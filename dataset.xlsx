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elvis\Documents\GitHub\agri_opt\"/>
    </mc:Choice>
  </mc:AlternateContent>
  <xr:revisionPtr revIDLastSave="0" documentId="13_ncr:1_{D0AA67C4-0DB7-4A52-A32E-3001CB1D045E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data" sheetId="1" r:id="rId1"/>
    <sheet name="data_anual" sheetId="2" r:id="rId2"/>
    <sheet name="conversiones" sheetId="3" r:id="rId3"/>
    <sheet name="Ciclo" sheetId="4" r:id="rId4"/>
    <sheet name="Hoja3" sheetId="5" r:id="rId5"/>
  </sheets>
  <definedNames>
    <definedName name="_xlnm._FilterDatabase" localSheetId="1" hidden="1">data_anual!$A$1:$N$277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5" l="1"/>
  <c r="B28" i="5"/>
  <c r="B24" i="5"/>
  <c r="B17" i="5"/>
  <c r="B15" i="5"/>
  <c r="D15" i="5" s="1"/>
  <c r="C13" i="5"/>
  <c r="D13" i="5" s="1"/>
  <c r="D13" i="4"/>
  <c r="D12" i="4"/>
  <c r="D11" i="4"/>
  <c r="D10" i="4"/>
  <c r="D9" i="4"/>
  <c r="D8" i="4"/>
  <c r="D7" i="4"/>
  <c r="D6" i="4"/>
  <c r="D5" i="4"/>
  <c r="D4" i="4"/>
  <c r="D3" i="4"/>
  <c r="D2" i="4"/>
  <c r="K277" i="2"/>
  <c r="I277" i="2"/>
  <c r="F277" i="2"/>
  <c r="L277" i="2" s="1"/>
  <c r="M277" i="2" s="1"/>
  <c r="N277" i="2" s="1"/>
  <c r="B277" i="2"/>
  <c r="K276" i="2"/>
  <c r="I276" i="2"/>
  <c r="F276" i="2"/>
  <c r="L276" i="2" s="1"/>
  <c r="M276" i="2" s="1"/>
  <c r="N276" i="2" s="1"/>
  <c r="B276" i="2"/>
  <c r="K275" i="2"/>
  <c r="I275" i="2"/>
  <c r="F275" i="2"/>
  <c r="L275" i="2" s="1"/>
  <c r="M275" i="2" s="1"/>
  <c r="N275" i="2" s="1"/>
  <c r="B275" i="2"/>
  <c r="K274" i="2"/>
  <c r="I274" i="2"/>
  <c r="F274" i="2"/>
  <c r="L274" i="2" s="1"/>
  <c r="M274" i="2" s="1"/>
  <c r="N274" i="2" s="1"/>
  <c r="B274" i="2"/>
  <c r="K273" i="2"/>
  <c r="I273" i="2"/>
  <c r="F273" i="2"/>
  <c r="L273" i="2" s="1"/>
  <c r="M273" i="2" s="1"/>
  <c r="N273" i="2" s="1"/>
  <c r="B273" i="2"/>
  <c r="M272" i="2"/>
  <c r="N272" i="2" s="1"/>
  <c r="L272" i="2"/>
  <c r="K272" i="2"/>
  <c r="I272" i="2"/>
  <c r="F272" i="2"/>
  <c r="B272" i="2"/>
  <c r="M271" i="2"/>
  <c r="N271" i="2" s="1"/>
  <c r="L271" i="2"/>
  <c r="K271" i="2"/>
  <c r="I271" i="2"/>
  <c r="F271" i="2"/>
  <c r="B271" i="2"/>
  <c r="K270" i="2"/>
  <c r="I270" i="2"/>
  <c r="L270" i="2" s="1"/>
  <c r="M270" i="2" s="1"/>
  <c r="N270" i="2" s="1"/>
  <c r="F270" i="2"/>
  <c r="B270" i="2"/>
  <c r="K269" i="2"/>
  <c r="I269" i="2"/>
  <c r="F269" i="2"/>
  <c r="B269" i="2"/>
  <c r="K268" i="2"/>
  <c r="I268" i="2"/>
  <c r="F268" i="2"/>
  <c r="B268" i="2"/>
  <c r="K267" i="2"/>
  <c r="I267" i="2"/>
  <c r="F267" i="2"/>
  <c r="L267" i="2" s="1"/>
  <c r="M267" i="2" s="1"/>
  <c r="N267" i="2" s="1"/>
  <c r="B267" i="2"/>
  <c r="N266" i="2"/>
  <c r="K266" i="2"/>
  <c r="I266" i="2"/>
  <c r="F266" i="2"/>
  <c r="L266" i="2" s="1"/>
  <c r="M266" i="2" s="1"/>
  <c r="B266" i="2"/>
  <c r="K265" i="2"/>
  <c r="I265" i="2"/>
  <c r="F265" i="2"/>
  <c r="L265" i="2" s="1"/>
  <c r="M265" i="2" s="1"/>
  <c r="N265" i="2" s="1"/>
  <c r="B265" i="2"/>
  <c r="L264" i="2"/>
  <c r="M264" i="2" s="1"/>
  <c r="N264" i="2" s="1"/>
  <c r="K264" i="2"/>
  <c r="I264" i="2"/>
  <c r="F264" i="2"/>
  <c r="B264" i="2"/>
  <c r="L263" i="2"/>
  <c r="M263" i="2" s="1"/>
  <c r="N263" i="2" s="1"/>
  <c r="K263" i="2"/>
  <c r="I263" i="2"/>
  <c r="F263" i="2"/>
  <c r="B263" i="2"/>
  <c r="L262" i="2"/>
  <c r="M262" i="2" s="1"/>
  <c r="K262" i="2"/>
  <c r="I262" i="2"/>
  <c r="F262" i="2"/>
  <c r="B262" i="2"/>
  <c r="K261" i="2"/>
  <c r="I261" i="2"/>
  <c r="F261" i="2"/>
  <c r="B261" i="2"/>
  <c r="K260" i="2"/>
  <c r="I260" i="2"/>
  <c r="F260" i="2"/>
  <c r="B260" i="2"/>
  <c r="K259" i="2"/>
  <c r="I259" i="2"/>
  <c r="F259" i="2"/>
  <c r="L259" i="2" s="1"/>
  <c r="M259" i="2" s="1"/>
  <c r="N259" i="2" s="1"/>
  <c r="B259" i="2"/>
  <c r="N258" i="2"/>
  <c r="K258" i="2"/>
  <c r="I258" i="2"/>
  <c r="F258" i="2"/>
  <c r="L258" i="2" s="1"/>
  <c r="M258" i="2" s="1"/>
  <c r="B258" i="2"/>
  <c r="K257" i="2"/>
  <c r="I257" i="2"/>
  <c r="F257" i="2"/>
  <c r="L257" i="2" s="1"/>
  <c r="M257" i="2" s="1"/>
  <c r="N257" i="2" s="1"/>
  <c r="B257" i="2"/>
  <c r="N256" i="2"/>
  <c r="M256" i="2"/>
  <c r="L256" i="2"/>
  <c r="K256" i="2"/>
  <c r="I256" i="2"/>
  <c r="F256" i="2"/>
  <c r="B256" i="2"/>
  <c r="M255" i="2"/>
  <c r="N255" i="2" s="1"/>
  <c r="L255" i="2"/>
  <c r="K255" i="2"/>
  <c r="I255" i="2"/>
  <c r="F255" i="2"/>
  <c r="B255" i="2"/>
  <c r="L254" i="2"/>
  <c r="M254" i="2" s="1"/>
  <c r="N254" i="2" s="1"/>
  <c r="K254" i="2"/>
  <c r="I254" i="2"/>
  <c r="F254" i="2"/>
  <c r="B254" i="2"/>
  <c r="K253" i="2"/>
  <c r="I253" i="2"/>
  <c r="F253" i="2"/>
  <c r="L253" i="2" s="1"/>
  <c r="M253" i="2" s="1"/>
  <c r="N253" i="2" s="1"/>
  <c r="B253" i="2"/>
  <c r="K252" i="2"/>
  <c r="I252" i="2"/>
  <c r="F252" i="2"/>
  <c r="B252" i="2"/>
  <c r="K251" i="2"/>
  <c r="I251" i="2"/>
  <c r="F251" i="2"/>
  <c r="L251" i="2" s="1"/>
  <c r="M251" i="2" s="1"/>
  <c r="N251" i="2" s="1"/>
  <c r="B251" i="2"/>
  <c r="N250" i="2"/>
  <c r="K250" i="2"/>
  <c r="I250" i="2"/>
  <c r="F250" i="2"/>
  <c r="L250" i="2" s="1"/>
  <c r="M250" i="2" s="1"/>
  <c r="B250" i="2"/>
  <c r="M249" i="2"/>
  <c r="N249" i="2" s="1"/>
  <c r="K249" i="2"/>
  <c r="I249" i="2"/>
  <c r="F249" i="2"/>
  <c r="L249" i="2" s="1"/>
  <c r="B249" i="2"/>
  <c r="N248" i="2"/>
  <c r="M248" i="2"/>
  <c r="L248" i="2"/>
  <c r="K248" i="2"/>
  <c r="I248" i="2"/>
  <c r="F248" i="2"/>
  <c r="B248" i="2"/>
  <c r="M247" i="2"/>
  <c r="N247" i="2" s="1"/>
  <c r="L247" i="2"/>
  <c r="K247" i="2"/>
  <c r="I247" i="2"/>
  <c r="F247" i="2"/>
  <c r="B247" i="2"/>
  <c r="L246" i="2"/>
  <c r="M246" i="2" s="1"/>
  <c r="K246" i="2"/>
  <c r="I246" i="2"/>
  <c r="F246" i="2"/>
  <c r="B246" i="2"/>
  <c r="K245" i="2"/>
  <c r="I245" i="2"/>
  <c r="F245" i="2"/>
  <c r="L245" i="2" s="1"/>
  <c r="M245" i="2" s="1"/>
  <c r="N245" i="2" s="1"/>
  <c r="B245" i="2"/>
  <c r="K244" i="2"/>
  <c r="I244" i="2"/>
  <c r="F244" i="2"/>
  <c r="B244" i="2"/>
  <c r="K243" i="2"/>
  <c r="I243" i="2"/>
  <c r="F243" i="2"/>
  <c r="L243" i="2" s="1"/>
  <c r="M243" i="2" s="1"/>
  <c r="N243" i="2" s="1"/>
  <c r="B243" i="2"/>
  <c r="N242" i="2"/>
  <c r="K242" i="2"/>
  <c r="I242" i="2"/>
  <c r="F242" i="2"/>
  <c r="L242" i="2" s="1"/>
  <c r="M242" i="2" s="1"/>
  <c r="B242" i="2"/>
  <c r="M241" i="2"/>
  <c r="N241" i="2" s="1"/>
  <c r="K241" i="2"/>
  <c r="I241" i="2"/>
  <c r="F241" i="2"/>
  <c r="L241" i="2" s="1"/>
  <c r="B241" i="2"/>
  <c r="L240" i="2"/>
  <c r="M240" i="2" s="1"/>
  <c r="N240" i="2" s="1"/>
  <c r="K240" i="2"/>
  <c r="I240" i="2"/>
  <c r="F240" i="2"/>
  <c r="B240" i="2"/>
  <c r="M239" i="2"/>
  <c r="N239" i="2" s="1"/>
  <c r="L239" i="2"/>
  <c r="K239" i="2"/>
  <c r="I239" i="2"/>
  <c r="F239" i="2"/>
  <c r="B239" i="2"/>
  <c r="L238" i="2"/>
  <c r="M238" i="2" s="1"/>
  <c r="N238" i="2" s="1"/>
  <c r="K238" i="2"/>
  <c r="I238" i="2"/>
  <c r="F238" i="2"/>
  <c r="B238" i="2"/>
  <c r="K237" i="2"/>
  <c r="I237" i="2"/>
  <c r="F237" i="2"/>
  <c r="B237" i="2"/>
  <c r="K236" i="2"/>
  <c r="I236" i="2"/>
  <c r="F236" i="2"/>
  <c r="B236" i="2"/>
  <c r="K235" i="2"/>
  <c r="I235" i="2"/>
  <c r="F235" i="2"/>
  <c r="L235" i="2" s="1"/>
  <c r="M235" i="2" s="1"/>
  <c r="N235" i="2" s="1"/>
  <c r="B235" i="2"/>
  <c r="N234" i="2"/>
  <c r="K234" i="2"/>
  <c r="I234" i="2"/>
  <c r="F234" i="2"/>
  <c r="L234" i="2" s="1"/>
  <c r="M234" i="2" s="1"/>
  <c r="B234" i="2"/>
  <c r="N233" i="2"/>
  <c r="M233" i="2"/>
  <c r="K233" i="2"/>
  <c r="I233" i="2"/>
  <c r="F233" i="2"/>
  <c r="L233" i="2" s="1"/>
  <c r="B233" i="2"/>
  <c r="L232" i="2"/>
  <c r="M232" i="2" s="1"/>
  <c r="N232" i="2" s="1"/>
  <c r="K232" i="2"/>
  <c r="I232" i="2"/>
  <c r="F232" i="2"/>
  <c r="B232" i="2"/>
  <c r="M231" i="2"/>
  <c r="L231" i="2"/>
  <c r="K231" i="2"/>
  <c r="I231" i="2"/>
  <c r="F231" i="2"/>
  <c r="B231" i="2"/>
  <c r="L230" i="2"/>
  <c r="M230" i="2" s="1"/>
  <c r="N230" i="2" s="1"/>
  <c r="K230" i="2"/>
  <c r="I230" i="2"/>
  <c r="F230" i="2"/>
  <c r="B230" i="2"/>
  <c r="K229" i="2"/>
  <c r="I229" i="2"/>
  <c r="F229" i="2"/>
  <c r="B229" i="2"/>
  <c r="K228" i="2"/>
  <c r="I228" i="2"/>
  <c r="F228" i="2"/>
  <c r="B228" i="2"/>
  <c r="K227" i="2"/>
  <c r="I227" i="2"/>
  <c r="F227" i="2"/>
  <c r="L227" i="2" s="1"/>
  <c r="M227" i="2" s="1"/>
  <c r="N227" i="2" s="1"/>
  <c r="B227" i="2"/>
  <c r="K226" i="2"/>
  <c r="I226" i="2"/>
  <c r="F226" i="2"/>
  <c r="L226" i="2" s="1"/>
  <c r="M226" i="2" s="1"/>
  <c r="N226" i="2" s="1"/>
  <c r="B226" i="2"/>
  <c r="N225" i="2"/>
  <c r="M225" i="2"/>
  <c r="K225" i="2"/>
  <c r="I225" i="2"/>
  <c r="F225" i="2"/>
  <c r="L225" i="2" s="1"/>
  <c r="B225" i="2"/>
  <c r="M224" i="2"/>
  <c r="N224" i="2" s="1"/>
  <c r="L224" i="2"/>
  <c r="K224" i="2"/>
  <c r="I224" i="2"/>
  <c r="F224" i="2"/>
  <c r="B224" i="2"/>
  <c r="L223" i="2"/>
  <c r="M223" i="2" s="1"/>
  <c r="N223" i="2" s="1"/>
  <c r="K223" i="2"/>
  <c r="I223" i="2"/>
  <c r="F223" i="2"/>
  <c r="B223" i="2"/>
  <c r="L222" i="2"/>
  <c r="M222" i="2" s="1"/>
  <c r="N222" i="2" s="1"/>
  <c r="K222" i="2"/>
  <c r="I222" i="2"/>
  <c r="F222" i="2"/>
  <c r="B222" i="2"/>
  <c r="K221" i="2"/>
  <c r="I221" i="2"/>
  <c r="F221" i="2"/>
  <c r="B221" i="2"/>
  <c r="K220" i="2"/>
  <c r="I220" i="2"/>
  <c r="F220" i="2"/>
  <c r="L220" i="2" s="1"/>
  <c r="M220" i="2" s="1"/>
  <c r="N220" i="2" s="1"/>
  <c r="B220" i="2"/>
  <c r="K219" i="2"/>
  <c r="I219" i="2"/>
  <c r="F219" i="2"/>
  <c r="L219" i="2" s="1"/>
  <c r="M219" i="2" s="1"/>
  <c r="N219" i="2" s="1"/>
  <c r="B219" i="2"/>
  <c r="K218" i="2"/>
  <c r="I218" i="2"/>
  <c r="F218" i="2"/>
  <c r="L218" i="2" s="1"/>
  <c r="M218" i="2" s="1"/>
  <c r="N218" i="2" s="1"/>
  <c r="B218" i="2"/>
  <c r="N217" i="2"/>
  <c r="M217" i="2"/>
  <c r="K217" i="2"/>
  <c r="I217" i="2"/>
  <c r="F217" i="2"/>
  <c r="L217" i="2" s="1"/>
  <c r="B217" i="2"/>
  <c r="N216" i="2"/>
  <c r="M216" i="2"/>
  <c r="L216" i="2"/>
  <c r="K216" i="2"/>
  <c r="I216" i="2"/>
  <c r="F216" i="2"/>
  <c r="B216" i="2"/>
  <c r="L215" i="2"/>
  <c r="M215" i="2" s="1"/>
  <c r="N215" i="2" s="1"/>
  <c r="K215" i="2"/>
  <c r="I215" i="2"/>
  <c r="F215" i="2"/>
  <c r="B215" i="2"/>
  <c r="K214" i="2"/>
  <c r="I214" i="2"/>
  <c r="L214" i="2" s="1"/>
  <c r="M214" i="2" s="1"/>
  <c r="N214" i="2" s="1"/>
  <c r="F214" i="2"/>
  <c r="B214" i="2"/>
  <c r="K213" i="2"/>
  <c r="I213" i="2"/>
  <c r="F213" i="2"/>
  <c r="B213" i="2"/>
  <c r="K212" i="2"/>
  <c r="I212" i="2"/>
  <c r="F212" i="2"/>
  <c r="L212" i="2" s="1"/>
  <c r="M212" i="2" s="1"/>
  <c r="N212" i="2" s="1"/>
  <c r="B212" i="2"/>
  <c r="K211" i="2"/>
  <c r="I211" i="2"/>
  <c r="F211" i="2"/>
  <c r="L211" i="2" s="1"/>
  <c r="M211" i="2" s="1"/>
  <c r="N211" i="2" s="1"/>
  <c r="B211" i="2"/>
  <c r="K210" i="2"/>
  <c r="I210" i="2"/>
  <c r="F210" i="2"/>
  <c r="L210" i="2" s="1"/>
  <c r="M210" i="2" s="1"/>
  <c r="N210" i="2" s="1"/>
  <c r="B210" i="2"/>
  <c r="K209" i="2"/>
  <c r="I209" i="2"/>
  <c r="F209" i="2"/>
  <c r="L209" i="2" s="1"/>
  <c r="M209" i="2" s="1"/>
  <c r="N209" i="2" s="1"/>
  <c r="B209" i="2"/>
  <c r="N208" i="2"/>
  <c r="M208" i="2"/>
  <c r="L208" i="2"/>
  <c r="K208" i="2"/>
  <c r="I208" i="2"/>
  <c r="F208" i="2"/>
  <c r="B208" i="2"/>
  <c r="M207" i="2"/>
  <c r="N207" i="2" s="1"/>
  <c r="L207" i="2"/>
  <c r="K207" i="2"/>
  <c r="I207" i="2"/>
  <c r="F207" i="2"/>
  <c r="B207" i="2"/>
  <c r="K206" i="2"/>
  <c r="I206" i="2"/>
  <c r="L206" i="2" s="1"/>
  <c r="M206" i="2" s="1"/>
  <c r="N206" i="2" s="1"/>
  <c r="F206" i="2"/>
  <c r="B206" i="2"/>
  <c r="K205" i="2"/>
  <c r="I205" i="2"/>
  <c r="F205" i="2"/>
  <c r="B205" i="2"/>
  <c r="K204" i="2"/>
  <c r="I204" i="2"/>
  <c r="F204" i="2"/>
  <c r="B204" i="2"/>
  <c r="K203" i="2"/>
  <c r="I203" i="2"/>
  <c r="F203" i="2"/>
  <c r="L203" i="2" s="1"/>
  <c r="M203" i="2" s="1"/>
  <c r="N203" i="2" s="1"/>
  <c r="B203" i="2"/>
  <c r="N202" i="2"/>
  <c r="K202" i="2"/>
  <c r="I202" i="2"/>
  <c r="F202" i="2"/>
  <c r="L202" i="2" s="1"/>
  <c r="M202" i="2" s="1"/>
  <c r="B202" i="2"/>
  <c r="K201" i="2"/>
  <c r="I201" i="2"/>
  <c r="F201" i="2"/>
  <c r="L201" i="2" s="1"/>
  <c r="M201" i="2" s="1"/>
  <c r="N201" i="2" s="1"/>
  <c r="B201" i="2"/>
  <c r="N200" i="2"/>
  <c r="M200" i="2"/>
  <c r="L200" i="2"/>
  <c r="K200" i="2"/>
  <c r="I200" i="2"/>
  <c r="F200" i="2"/>
  <c r="B200" i="2"/>
  <c r="M199" i="2"/>
  <c r="N199" i="2" s="1"/>
  <c r="L199" i="2"/>
  <c r="K199" i="2"/>
  <c r="I199" i="2"/>
  <c r="F199" i="2"/>
  <c r="B199" i="2"/>
  <c r="L198" i="2"/>
  <c r="M198" i="2" s="1"/>
  <c r="K198" i="2"/>
  <c r="I198" i="2"/>
  <c r="F198" i="2"/>
  <c r="B198" i="2"/>
  <c r="K197" i="2"/>
  <c r="I197" i="2"/>
  <c r="F197" i="2"/>
  <c r="B197" i="2"/>
  <c r="K196" i="2"/>
  <c r="I196" i="2"/>
  <c r="F196" i="2"/>
  <c r="B196" i="2"/>
  <c r="K195" i="2"/>
  <c r="I195" i="2"/>
  <c r="F195" i="2"/>
  <c r="L195" i="2" s="1"/>
  <c r="M195" i="2" s="1"/>
  <c r="N195" i="2" s="1"/>
  <c r="B195" i="2"/>
  <c r="N194" i="2"/>
  <c r="K194" i="2"/>
  <c r="I194" i="2"/>
  <c r="F194" i="2"/>
  <c r="L194" i="2" s="1"/>
  <c r="M194" i="2" s="1"/>
  <c r="B194" i="2"/>
  <c r="K193" i="2"/>
  <c r="I193" i="2"/>
  <c r="F193" i="2"/>
  <c r="L193" i="2" s="1"/>
  <c r="M193" i="2" s="1"/>
  <c r="N193" i="2" s="1"/>
  <c r="B193" i="2"/>
  <c r="K192" i="2"/>
  <c r="I192" i="2"/>
  <c r="L192" i="2" s="1"/>
  <c r="M192" i="2" s="1"/>
  <c r="N192" i="2" s="1"/>
  <c r="F192" i="2"/>
  <c r="B192" i="2"/>
  <c r="K191" i="2"/>
  <c r="I191" i="2"/>
  <c r="F191" i="2"/>
  <c r="L191" i="2" s="1"/>
  <c r="M191" i="2" s="1"/>
  <c r="N191" i="2" s="1"/>
  <c r="B191" i="2"/>
  <c r="M190" i="2"/>
  <c r="N190" i="2" s="1"/>
  <c r="L190" i="2"/>
  <c r="K190" i="2"/>
  <c r="I190" i="2"/>
  <c r="F190" i="2"/>
  <c r="B190" i="2"/>
  <c r="L189" i="2"/>
  <c r="M189" i="2" s="1"/>
  <c r="K189" i="2"/>
  <c r="I189" i="2"/>
  <c r="F189" i="2"/>
  <c r="B189" i="2"/>
  <c r="K188" i="2"/>
  <c r="I188" i="2"/>
  <c r="F188" i="2"/>
  <c r="L188" i="2" s="1"/>
  <c r="M188" i="2" s="1"/>
  <c r="N188" i="2" s="1"/>
  <c r="B188" i="2"/>
  <c r="K187" i="2"/>
  <c r="I187" i="2"/>
  <c r="F187" i="2"/>
  <c r="B187" i="2"/>
  <c r="L186" i="2"/>
  <c r="M186" i="2" s="1"/>
  <c r="N186" i="2" s="1"/>
  <c r="K186" i="2"/>
  <c r="I186" i="2"/>
  <c r="F186" i="2"/>
  <c r="B186" i="2"/>
  <c r="K185" i="2"/>
  <c r="I185" i="2"/>
  <c r="F185" i="2"/>
  <c r="L185" i="2" s="1"/>
  <c r="M185" i="2" s="1"/>
  <c r="N185" i="2" s="1"/>
  <c r="B185" i="2"/>
  <c r="N184" i="2"/>
  <c r="M184" i="2"/>
  <c r="L184" i="2"/>
  <c r="K184" i="2"/>
  <c r="I184" i="2"/>
  <c r="F184" i="2"/>
  <c r="B184" i="2"/>
  <c r="N183" i="2"/>
  <c r="M183" i="2"/>
  <c r="L183" i="2"/>
  <c r="K183" i="2"/>
  <c r="I183" i="2"/>
  <c r="F183" i="2"/>
  <c r="B183" i="2"/>
  <c r="M182" i="2"/>
  <c r="N182" i="2" s="1"/>
  <c r="L182" i="2"/>
  <c r="K182" i="2"/>
  <c r="I182" i="2"/>
  <c r="F182" i="2"/>
  <c r="B182" i="2"/>
  <c r="K181" i="2"/>
  <c r="I181" i="2"/>
  <c r="F181" i="2"/>
  <c r="L181" i="2" s="1"/>
  <c r="M181" i="2" s="1"/>
  <c r="N181" i="2" s="1"/>
  <c r="B181" i="2"/>
  <c r="K180" i="2"/>
  <c r="I180" i="2"/>
  <c r="F180" i="2"/>
  <c r="B180" i="2"/>
  <c r="K179" i="2"/>
  <c r="I179" i="2"/>
  <c r="F179" i="2"/>
  <c r="B179" i="2"/>
  <c r="K178" i="2"/>
  <c r="I178" i="2"/>
  <c r="F178" i="2"/>
  <c r="L178" i="2" s="1"/>
  <c r="M178" i="2" s="1"/>
  <c r="N178" i="2" s="1"/>
  <c r="B178" i="2"/>
  <c r="K177" i="2"/>
  <c r="I177" i="2"/>
  <c r="F177" i="2"/>
  <c r="L177" i="2" s="1"/>
  <c r="M177" i="2" s="1"/>
  <c r="N177" i="2" s="1"/>
  <c r="B177" i="2"/>
  <c r="N176" i="2"/>
  <c r="M176" i="2"/>
  <c r="L176" i="2"/>
  <c r="K176" i="2"/>
  <c r="I176" i="2"/>
  <c r="F176" i="2"/>
  <c r="B176" i="2"/>
  <c r="N175" i="2"/>
  <c r="M175" i="2"/>
  <c r="L175" i="2"/>
  <c r="K175" i="2"/>
  <c r="I175" i="2"/>
  <c r="F175" i="2"/>
  <c r="B175" i="2"/>
  <c r="L174" i="2"/>
  <c r="M174" i="2" s="1"/>
  <c r="N174" i="2" s="1"/>
  <c r="K174" i="2"/>
  <c r="I174" i="2"/>
  <c r="F174" i="2"/>
  <c r="B174" i="2"/>
  <c r="K173" i="2"/>
  <c r="I173" i="2"/>
  <c r="F173" i="2"/>
  <c r="L173" i="2" s="1"/>
  <c r="M173" i="2" s="1"/>
  <c r="N173" i="2" s="1"/>
  <c r="B173" i="2"/>
  <c r="K172" i="2"/>
  <c r="I172" i="2"/>
  <c r="F172" i="2"/>
  <c r="B172" i="2"/>
  <c r="K171" i="2"/>
  <c r="I171" i="2"/>
  <c r="F171" i="2"/>
  <c r="B171" i="2"/>
  <c r="K170" i="2"/>
  <c r="I170" i="2"/>
  <c r="F170" i="2"/>
  <c r="L170" i="2" s="1"/>
  <c r="M170" i="2" s="1"/>
  <c r="N170" i="2" s="1"/>
  <c r="B170" i="2"/>
  <c r="N169" i="2"/>
  <c r="M169" i="2"/>
  <c r="K169" i="2"/>
  <c r="I169" i="2"/>
  <c r="F169" i="2"/>
  <c r="L169" i="2" s="1"/>
  <c r="B169" i="2"/>
  <c r="N168" i="2"/>
  <c r="M168" i="2"/>
  <c r="L168" i="2"/>
  <c r="K168" i="2"/>
  <c r="I168" i="2"/>
  <c r="F168" i="2"/>
  <c r="B168" i="2"/>
  <c r="M167" i="2"/>
  <c r="N167" i="2" s="1"/>
  <c r="L167" i="2"/>
  <c r="K167" i="2"/>
  <c r="I167" i="2"/>
  <c r="F167" i="2"/>
  <c r="B167" i="2"/>
  <c r="L166" i="2"/>
  <c r="M166" i="2" s="1"/>
  <c r="N166" i="2" s="1"/>
  <c r="K166" i="2"/>
  <c r="I166" i="2"/>
  <c r="F166" i="2"/>
  <c r="B166" i="2"/>
  <c r="K165" i="2"/>
  <c r="I165" i="2"/>
  <c r="F165" i="2"/>
  <c r="L165" i="2" s="1"/>
  <c r="M165" i="2" s="1"/>
  <c r="N165" i="2" s="1"/>
  <c r="B165" i="2"/>
  <c r="K164" i="2"/>
  <c r="I164" i="2"/>
  <c r="F164" i="2"/>
  <c r="L164" i="2" s="1"/>
  <c r="M164" i="2" s="1"/>
  <c r="N164" i="2" s="1"/>
  <c r="B164" i="2"/>
  <c r="K163" i="2"/>
  <c r="I163" i="2"/>
  <c r="F163" i="2"/>
  <c r="B163" i="2"/>
  <c r="L162" i="2"/>
  <c r="M162" i="2" s="1"/>
  <c r="N162" i="2" s="1"/>
  <c r="K162" i="2"/>
  <c r="I162" i="2"/>
  <c r="F162" i="2"/>
  <c r="B162" i="2"/>
  <c r="K161" i="2"/>
  <c r="I161" i="2"/>
  <c r="F161" i="2"/>
  <c r="L161" i="2" s="1"/>
  <c r="M161" i="2" s="1"/>
  <c r="N161" i="2" s="1"/>
  <c r="B161" i="2"/>
  <c r="N160" i="2"/>
  <c r="M160" i="2"/>
  <c r="L160" i="2"/>
  <c r="K160" i="2"/>
  <c r="I160" i="2"/>
  <c r="F160" i="2"/>
  <c r="B160" i="2"/>
  <c r="N159" i="2"/>
  <c r="M159" i="2"/>
  <c r="L159" i="2"/>
  <c r="K159" i="2"/>
  <c r="I159" i="2"/>
  <c r="F159" i="2"/>
  <c r="B159" i="2"/>
  <c r="N158" i="2"/>
  <c r="M158" i="2"/>
  <c r="L158" i="2"/>
  <c r="K158" i="2"/>
  <c r="I158" i="2"/>
  <c r="F158" i="2"/>
  <c r="B158" i="2"/>
  <c r="L157" i="2"/>
  <c r="M157" i="2" s="1"/>
  <c r="N157" i="2" s="1"/>
  <c r="K157" i="2"/>
  <c r="I157" i="2"/>
  <c r="F157" i="2"/>
  <c r="B157" i="2"/>
  <c r="K156" i="2"/>
  <c r="I156" i="2"/>
  <c r="F156" i="2"/>
  <c r="L156" i="2" s="1"/>
  <c r="M156" i="2" s="1"/>
  <c r="N156" i="2" s="1"/>
  <c r="B156" i="2"/>
  <c r="M155" i="2"/>
  <c r="N155" i="2" s="1"/>
  <c r="K155" i="2"/>
  <c r="I155" i="2"/>
  <c r="F155" i="2"/>
  <c r="L155" i="2" s="1"/>
  <c r="B155" i="2"/>
  <c r="N154" i="2"/>
  <c r="L154" i="2"/>
  <c r="M154" i="2" s="1"/>
  <c r="K154" i="2"/>
  <c r="I154" i="2"/>
  <c r="F154" i="2"/>
  <c r="B154" i="2"/>
  <c r="M153" i="2"/>
  <c r="N153" i="2" s="1"/>
  <c r="K153" i="2"/>
  <c r="I153" i="2"/>
  <c r="F153" i="2"/>
  <c r="L153" i="2" s="1"/>
  <c r="B153" i="2"/>
  <c r="K152" i="2"/>
  <c r="I152" i="2"/>
  <c r="L152" i="2" s="1"/>
  <c r="M152" i="2" s="1"/>
  <c r="N152" i="2" s="1"/>
  <c r="F152" i="2"/>
  <c r="B152" i="2"/>
  <c r="K151" i="2"/>
  <c r="I151" i="2"/>
  <c r="F151" i="2"/>
  <c r="L151" i="2" s="1"/>
  <c r="M151" i="2" s="1"/>
  <c r="N151" i="2" s="1"/>
  <c r="B151" i="2"/>
  <c r="N150" i="2"/>
  <c r="M150" i="2"/>
  <c r="L150" i="2"/>
  <c r="K150" i="2"/>
  <c r="I150" i="2"/>
  <c r="F150" i="2"/>
  <c r="B150" i="2"/>
  <c r="M149" i="2"/>
  <c r="N149" i="2" s="1"/>
  <c r="L149" i="2"/>
  <c r="K149" i="2"/>
  <c r="I149" i="2"/>
  <c r="F149" i="2"/>
  <c r="B149" i="2"/>
  <c r="L148" i="2"/>
  <c r="M148" i="2" s="1"/>
  <c r="N148" i="2" s="1"/>
  <c r="K148" i="2"/>
  <c r="I148" i="2"/>
  <c r="F148" i="2"/>
  <c r="B148" i="2"/>
  <c r="K147" i="2"/>
  <c r="I147" i="2"/>
  <c r="F147" i="2"/>
  <c r="L147" i="2" s="1"/>
  <c r="M147" i="2" s="1"/>
  <c r="N147" i="2" s="1"/>
  <c r="B147" i="2"/>
  <c r="N146" i="2"/>
  <c r="L146" i="2"/>
  <c r="M146" i="2" s="1"/>
  <c r="K146" i="2"/>
  <c r="I146" i="2"/>
  <c r="F146" i="2"/>
  <c r="B146" i="2"/>
  <c r="N145" i="2"/>
  <c r="M145" i="2"/>
  <c r="K145" i="2"/>
  <c r="I145" i="2"/>
  <c r="F145" i="2"/>
  <c r="L145" i="2" s="1"/>
  <c r="B145" i="2"/>
  <c r="L144" i="2"/>
  <c r="M144" i="2" s="1"/>
  <c r="N144" i="2" s="1"/>
  <c r="K144" i="2"/>
  <c r="I144" i="2"/>
  <c r="F144" i="2"/>
  <c r="B144" i="2"/>
  <c r="L143" i="2"/>
  <c r="M143" i="2" s="1"/>
  <c r="N143" i="2" s="1"/>
  <c r="K143" i="2"/>
  <c r="I143" i="2"/>
  <c r="F143" i="2"/>
  <c r="B143" i="2"/>
  <c r="K142" i="2"/>
  <c r="I142" i="2"/>
  <c r="L142" i="2" s="1"/>
  <c r="M142" i="2" s="1"/>
  <c r="N142" i="2" s="1"/>
  <c r="F142" i="2"/>
  <c r="B142" i="2"/>
  <c r="K141" i="2"/>
  <c r="I141" i="2"/>
  <c r="F141" i="2"/>
  <c r="L141" i="2" s="1"/>
  <c r="M141" i="2" s="1"/>
  <c r="N141" i="2" s="1"/>
  <c r="B141" i="2"/>
  <c r="N140" i="2"/>
  <c r="L140" i="2"/>
  <c r="M140" i="2" s="1"/>
  <c r="K140" i="2"/>
  <c r="I140" i="2"/>
  <c r="F140" i="2"/>
  <c r="B140" i="2"/>
  <c r="K139" i="2"/>
  <c r="I139" i="2"/>
  <c r="F139" i="2"/>
  <c r="B139" i="2"/>
  <c r="K138" i="2"/>
  <c r="I138" i="2"/>
  <c r="F138" i="2"/>
  <c r="L138" i="2" s="1"/>
  <c r="M138" i="2" s="1"/>
  <c r="N138" i="2" s="1"/>
  <c r="B138" i="2"/>
  <c r="N137" i="2"/>
  <c r="M137" i="2"/>
  <c r="K137" i="2"/>
  <c r="I137" i="2"/>
  <c r="F137" i="2"/>
  <c r="L137" i="2" s="1"/>
  <c r="B137" i="2"/>
  <c r="N136" i="2"/>
  <c r="M136" i="2"/>
  <c r="L136" i="2"/>
  <c r="K136" i="2"/>
  <c r="I136" i="2"/>
  <c r="F136" i="2"/>
  <c r="B136" i="2"/>
  <c r="M135" i="2"/>
  <c r="N135" i="2" s="1"/>
  <c r="L135" i="2"/>
  <c r="K135" i="2"/>
  <c r="I135" i="2"/>
  <c r="F135" i="2"/>
  <c r="B135" i="2"/>
  <c r="L134" i="2"/>
  <c r="M134" i="2" s="1"/>
  <c r="N134" i="2" s="1"/>
  <c r="K134" i="2"/>
  <c r="I134" i="2"/>
  <c r="F134" i="2"/>
  <c r="B134" i="2"/>
  <c r="K133" i="2"/>
  <c r="I133" i="2"/>
  <c r="F133" i="2"/>
  <c r="L133" i="2" s="1"/>
  <c r="M133" i="2" s="1"/>
  <c r="N133" i="2" s="1"/>
  <c r="B133" i="2"/>
  <c r="K132" i="2"/>
  <c r="I132" i="2"/>
  <c r="F132" i="2"/>
  <c r="L132" i="2" s="1"/>
  <c r="M132" i="2" s="1"/>
  <c r="N132" i="2" s="1"/>
  <c r="B132" i="2"/>
  <c r="K131" i="2"/>
  <c r="I131" i="2"/>
  <c r="F131" i="2"/>
  <c r="B131" i="2"/>
  <c r="L130" i="2"/>
  <c r="M130" i="2" s="1"/>
  <c r="N130" i="2" s="1"/>
  <c r="K130" i="2"/>
  <c r="I130" i="2"/>
  <c r="F130" i="2"/>
  <c r="B130" i="2"/>
  <c r="K129" i="2"/>
  <c r="I129" i="2"/>
  <c r="F129" i="2"/>
  <c r="L129" i="2" s="1"/>
  <c r="M129" i="2" s="1"/>
  <c r="N129" i="2" s="1"/>
  <c r="B129" i="2"/>
  <c r="N128" i="2"/>
  <c r="M128" i="2"/>
  <c r="L128" i="2"/>
  <c r="K128" i="2"/>
  <c r="I128" i="2"/>
  <c r="F128" i="2"/>
  <c r="B128" i="2"/>
  <c r="N127" i="2"/>
  <c r="M127" i="2"/>
  <c r="L127" i="2"/>
  <c r="K127" i="2"/>
  <c r="I127" i="2"/>
  <c r="F127" i="2"/>
  <c r="B127" i="2"/>
  <c r="N126" i="2"/>
  <c r="M126" i="2"/>
  <c r="L126" i="2"/>
  <c r="K126" i="2"/>
  <c r="I126" i="2"/>
  <c r="F126" i="2"/>
  <c r="B126" i="2"/>
  <c r="L125" i="2"/>
  <c r="M125" i="2" s="1"/>
  <c r="N125" i="2" s="1"/>
  <c r="K125" i="2"/>
  <c r="I125" i="2"/>
  <c r="F125" i="2"/>
  <c r="B125" i="2"/>
  <c r="K124" i="2"/>
  <c r="I124" i="2"/>
  <c r="F124" i="2"/>
  <c r="L124" i="2" s="1"/>
  <c r="M124" i="2" s="1"/>
  <c r="N124" i="2" s="1"/>
  <c r="B124" i="2"/>
  <c r="M123" i="2"/>
  <c r="K123" i="2"/>
  <c r="I123" i="2"/>
  <c r="F123" i="2"/>
  <c r="L123" i="2" s="1"/>
  <c r="B123" i="2"/>
  <c r="N122" i="2"/>
  <c r="L122" i="2"/>
  <c r="M122" i="2" s="1"/>
  <c r="K122" i="2"/>
  <c r="I122" i="2"/>
  <c r="F122" i="2"/>
  <c r="B122" i="2"/>
  <c r="M121" i="2"/>
  <c r="N121" i="2" s="1"/>
  <c r="K121" i="2"/>
  <c r="I121" i="2"/>
  <c r="F121" i="2"/>
  <c r="L121" i="2" s="1"/>
  <c r="B121" i="2"/>
  <c r="K120" i="2"/>
  <c r="I120" i="2"/>
  <c r="L120" i="2" s="1"/>
  <c r="M120" i="2" s="1"/>
  <c r="N120" i="2" s="1"/>
  <c r="F120" i="2"/>
  <c r="B120" i="2"/>
  <c r="K119" i="2"/>
  <c r="I119" i="2"/>
  <c r="F119" i="2"/>
  <c r="L119" i="2" s="1"/>
  <c r="M119" i="2" s="1"/>
  <c r="N119" i="2" s="1"/>
  <c r="B119" i="2"/>
  <c r="K118" i="2"/>
  <c r="I118" i="2"/>
  <c r="F118" i="2"/>
  <c r="L118" i="2" s="1"/>
  <c r="M118" i="2" s="1"/>
  <c r="N118" i="2" s="1"/>
  <c r="B118" i="2"/>
  <c r="M117" i="2"/>
  <c r="N117" i="2" s="1"/>
  <c r="L117" i="2"/>
  <c r="K117" i="2"/>
  <c r="I117" i="2"/>
  <c r="F117" i="2"/>
  <c r="B117" i="2"/>
  <c r="L116" i="2"/>
  <c r="M116" i="2" s="1"/>
  <c r="N116" i="2" s="1"/>
  <c r="K116" i="2"/>
  <c r="I116" i="2"/>
  <c r="F116" i="2"/>
  <c r="B116" i="2"/>
  <c r="K115" i="2"/>
  <c r="I115" i="2"/>
  <c r="F115" i="2"/>
  <c r="B115" i="2"/>
  <c r="K114" i="2"/>
  <c r="I114" i="2"/>
  <c r="F114" i="2"/>
  <c r="L114" i="2" s="1"/>
  <c r="M114" i="2" s="1"/>
  <c r="N114" i="2" s="1"/>
  <c r="B114" i="2"/>
  <c r="K113" i="2"/>
  <c r="I113" i="2"/>
  <c r="F113" i="2"/>
  <c r="L113" i="2" s="1"/>
  <c r="M113" i="2" s="1"/>
  <c r="N113" i="2" s="1"/>
  <c r="B113" i="2"/>
  <c r="N112" i="2"/>
  <c r="M112" i="2"/>
  <c r="L112" i="2"/>
  <c r="K112" i="2"/>
  <c r="I112" i="2"/>
  <c r="F112" i="2"/>
  <c r="B112" i="2"/>
  <c r="N111" i="2"/>
  <c r="M111" i="2"/>
  <c r="L111" i="2"/>
  <c r="K111" i="2"/>
  <c r="I111" i="2"/>
  <c r="F111" i="2"/>
  <c r="B111" i="2"/>
  <c r="M110" i="2"/>
  <c r="N110" i="2" s="1"/>
  <c r="L110" i="2"/>
  <c r="K110" i="2"/>
  <c r="I110" i="2"/>
  <c r="F110" i="2"/>
  <c r="B110" i="2"/>
  <c r="K109" i="2"/>
  <c r="I109" i="2"/>
  <c r="L109" i="2" s="1"/>
  <c r="M109" i="2" s="1"/>
  <c r="N109" i="2" s="1"/>
  <c r="F109" i="2"/>
  <c r="B109" i="2"/>
  <c r="K108" i="2"/>
  <c r="I108" i="2"/>
  <c r="F108" i="2"/>
  <c r="L108" i="2" s="1"/>
  <c r="M108" i="2" s="1"/>
  <c r="N108" i="2" s="1"/>
  <c r="B108" i="2"/>
  <c r="N107" i="2"/>
  <c r="M107" i="2"/>
  <c r="K107" i="2"/>
  <c r="I107" i="2"/>
  <c r="F107" i="2"/>
  <c r="L107" i="2" s="1"/>
  <c r="B107" i="2"/>
  <c r="N106" i="2"/>
  <c r="M106" i="2"/>
  <c r="L106" i="2"/>
  <c r="K106" i="2"/>
  <c r="I106" i="2"/>
  <c r="F106" i="2"/>
  <c r="B106" i="2"/>
  <c r="M105" i="2"/>
  <c r="N105" i="2" s="1"/>
  <c r="L105" i="2"/>
  <c r="K105" i="2"/>
  <c r="I105" i="2"/>
  <c r="F105" i="2"/>
  <c r="B105" i="2"/>
  <c r="L104" i="2"/>
  <c r="M104" i="2" s="1"/>
  <c r="N104" i="2" s="1"/>
  <c r="K104" i="2"/>
  <c r="I104" i="2"/>
  <c r="F104" i="2"/>
  <c r="B104" i="2"/>
  <c r="K103" i="2"/>
  <c r="I103" i="2"/>
  <c r="L103" i="2" s="1"/>
  <c r="M103" i="2" s="1"/>
  <c r="N103" i="2" s="1"/>
  <c r="F103" i="2"/>
  <c r="B103" i="2"/>
  <c r="K102" i="2"/>
  <c r="I102" i="2"/>
  <c r="F102" i="2"/>
  <c r="L102" i="2" s="1"/>
  <c r="M102" i="2" s="1"/>
  <c r="N102" i="2" s="1"/>
  <c r="B102" i="2"/>
  <c r="K101" i="2"/>
  <c r="I101" i="2"/>
  <c r="F101" i="2"/>
  <c r="L101" i="2" s="1"/>
  <c r="M101" i="2" s="1"/>
  <c r="N101" i="2" s="1"/>
  <c r="B101" i="2"/>
  <c r="N100" i="2"/>
  <c r="L100" i="2"/>
  <c r="M100" i="2" s="1"/>
  <c r="K100" i="2"/>
  <c r="I100" i="2"/>
  <c r="F100" i="2"/>
  <c r="B100" i="2"/>
  <c r="K99" i="2"/>
  <c r="I99" i="2"/>
  <c r="F99" i="2"/>
  <c r="B99" i="2"/>
  <c r="K98" i="2"/>
  <c r="I98" i="2"/>
  <c r="L98" i="2" s="1"/>
  <c r="M98" i="2" s="1"/>
  <c r="N98" i="2" s="1"/>
  <c r="F98" i="2"/>
  <c r="B98" i="2"/>
  <c r="K97" i="2"/>
  <c r="I97" i="2"/>
  <c r="F97" i="2"/>
  <c r="L97" i="2" s="1"/>
  <c r="M97" i="2" s="1"/>
  <c r="N97" i="2" s="1"/>
  <c r="B97" i="2"/>
  <c r="K96" i="2"/>
  <c r="I96" i="2"/>
  <c r="L96" i="2" s="1"/>
  <c r="M96" i="2" s="1"/>
  <c r="N96" i="2" s="1"/>
  <c r="F96" i="2"/>
  <c r="B96" i="2"/>
  <c r="K95" i="2"/>
  <c r="I95" i="2"/>
  <c r="F95" i="2"/>
  <c r="L95" i="2" s="1"/>
  <c r="M95" i="2" s="1"/>
  <c r="N95" i="2" s="1"/>
  <c r="B95" i="2"/>
  <c r="N94" i="2"/>
  <c r="M94" i="2"/>
  <c r="L94" i="2"/>
  <c r="K94" i="2"/>
  <c r="I94" i="2"/>
  <c r="F94" i="2"/>
  <c r="B94" i="2"/>
  <c r="M93" i="2"/>
  <c r="N93" i="2" s="1"/>
  <c r="L93" i="2"/>
  <c r="K93" i="2"/>
  <c r="I93" i="2"/>
  <c r="F93" i="2"/>
  <c r="B93" i="2"/>
  <c r="K92" i="2"/>
  <c r="I92" i="2"/>
  <c r="L92" i="2" s="1"/>
  <c r="M92" i="2" s="1"/>
  <c r="N92" i="2" s="1"/>
  <c r="F92" i="2"/>
  <c r="B92" i="2"/>
  <c r="K91" i="2"/>
  <c r="I91" i="2"/>
  <c r="F91" i="2"/>
  <c r="L91" i="2" s="1"/>
  <c r="M91" i="2" s="1"/>
  <c r="N91" i="2" s="1"/>
  <c r="B91" i="2"/>
  <c r="K90" i="2"/>
  <c r="I90" i="2"/>
  <c r="F90" i="2"/>
  <c r="L90" i="2" s="1"/>
  <c r="M90" i="2" s="1"/>
  <c r="N90" i="2" s="1"/>
  <c r="B90" i="2"/>
  <c r="N89" i="2"/>
  <c r="M89" i="2"/>
  <c r="L89" i="2"/>
  <c r="K89" i="2"/>
  <c r="I89" i="2"/>
  <c r="F89" i="2"/>
  <c r="B89" i="2"/>
  <c r="N88" i="2"/>
  <c r="M88" i="2"/>
  <c r="L88" i="2"/>
  <c r="K88" i="2"/>
  <c r="I88" i="2"/>
  <c r="F88" i="2"/>
  <c r="B88" i="2"/>
  <c r="M87" i="2"/>
  <c r="N87" i="2" s="1"/>
  <c r="L87" i="2"/>
  <c r="K87" i="2"/>
  <c r="I87" i="2"/>
  <c r="F87" i="2"/>
  <c r="B87" i="2"/>
  <c r="L86" i="2"/>
  <c r="M86" i="2" s="1"/>
  <c r="N86" i="2" s="1"/>
  <c r="K86" i="2"/>
  <c r="I86" i="2"/>
  <c r="F86" i="2"/>
  <c r="B86" i="2"/>
  <c r="K85" i="2"/>
  <c r="I85" i="2"/>
  <c r="F85" i="2"/>
  <c r="L85" i="2" s="1"/>
  <c r="M85" i="2" s="1"/>
  <c r="N85" i="2" s="1"/>
  <c r="B85" i="2"/>
  <c r="K84" i="2"/>
  <c r="I84" i="2"/>
  <c r="F84" i="2"/>
  <c r="L84" i="2" s="1"/>
  <c r="M84" i="2" s="1"/>
  <c r="N84" i="2" s="1"/>
  <c r="B84" i="2"/>
  <c r="K83" i="2"/>
  <c r="I83" i="2"/>
  <c r="F83" i="2"/>
  <c r="B83" i="2"/>
  <c r="M82" i="2"/>
  <c r="N82" i="2" s="1"/>
  <c r="L82" i="2"/>
  <c r="K82" i="2"/>
  <c r="I82" i="2"/>
  <c r="F82" i="2"/>
  <c r="B82" i="2"/>
  <c r="L81" i="2"/>
  <c r="M81" i="2" s="1"/>
  <c r="N81" i="2" s="1"/>
  <c r="K81" i="2"/>
  <c r="I81" i="2"/>
  <c r="F81" i="2"/>
  <c r="B81" i="2"/>
  <c r="K80" i="2"/>
  <c r="I80" i="2"/>
  <c r="L80" i="2" s="1"/>
  <c r="M80" i="2" s="1"/>
  <c r="N80" i="2" s="1"/>
  <c r="F80" i="2"/>
  <c r="B80" i="2"/>
  <c r="K79" i="2"/>
  <c r="I79" i="2"/>
  <c r="F79" i="2"/>
  <c r="L79" i="2" s="1"/>
  <c r="M79" i="2" s="1"/>
  <c r="N79" i="2" s="1"/>
  <c r="B79" i="2"/>
  <c r="K78" i="2"/>
  <c r="I78" i="2"/>
  <c r="F78" i="2"/>
  <c r="L78" i="2" s="1"/>
  <c r="M78" i="2" s="1"/>
  <c r="N78" i="2" s="1"/>
  <c r="B78" i="2"/>
  <c r="M77" i="2"/>
  <c r="N77" i="2" s="1"/>
  <c r="L77" i="2"/>
  <c r="K77" i="2"/>
  <c r="I77" i="2"/>
  <c r="F77" i="2"/>
  <c r="B77" i="2"/>
  <c r="N76" i="2"/>
  <c r="L76" i="2"/>
  <c r="M76" i="2" s="1"/>
  <c r="K76" i="2"/>
  <c r="I76" i="2"/>
  <c r="F76" i="2"/>
  <c r="B76" i="2"/>
  <c r="K75" i="2"/>
  <c r="I75" i="2"/>
  <c r="F75" i="2"/>
  <c r="B75" i="2"/>
  <c r="K74" i="2"/>
  <c r="I74" i="2"/>
  <c r="F74" i="2"/>
  <c r="L74" i="2" s="1"/>
  <c r="M74" i="2" s="1"/>
  <c r="N74" i="2" s="1"/>
  <c r="B74" i="2"/>
  <c r="K73" i="2"/>
  <c r="I73" i="2"/>
  <c r="F73" i="2"/>
  <c r="L73" i="2" s="1"/>
  <c r="M73" i="2" s="1"/>
  <c r="N73" i="2" s="1"/>
  <c r="B73" i="2"/>
  <c r="L72" i="2"/>
  <c r="M72" i="2" s="1"/>
  <c r="N72" i="2" s="1"/>
  <c r="K72" i="2"/>
  <c r="I72" i="2"/>
  <c r="F72" i="2"/>
  <c r="B72" i="2"/>
  <c r="N71" i="2"/>
  <c r="M71" i="2"/>
  <c r="L71" i="2"/>
  <c r="K71" i="2"/>
  <c r="I71" i="2"/>
  <c r="F71" i="2"/>
  <c r="B71" i="2"/>
  <c r="N70" i="2"/>
  <c r="M70" i="2"/>
  <c r="L70" i="2"/>
  <c r="K70" i="2"/>
  <c r="I70" i="2"/>
  <c r="F70" i="2"/>
  <c r="B70" i="2"/>
  <c r="L69" i="2"/>
  <c r="M69" i="2" s="1"/>
  <c r="N69" i="2" s="1"/>
  <c r="K69" i="2"/>
  <c r="I69" i="2"/>
  <c r="F69" i="2"/>
  <c r="B69" i="2"/>
  <c r="K68" i="2"/>
  <c r="I68" i="2"/>
  <c r="F68" i="2"/>
  <c r="L68" i="2" s="1"/>
  <c r="M68" i="2" s="1"/>
  <c r="N68" i="2" s="1"/>
  <c r="B68" i="2"/>
  <c r="K67" i="2"/>
  <c r="I67" i="2"/>
  <c r="F67" i="2"/>
  <c r="L67" i="2" s="1"/>
  <c r="M67" i="2" s="1"/>
  <c r="N67" i="2" s="1"/>
  <c r="B67" i="2"/>
  <c r="N66" i="2"/>
  <c r="M66" i="2"/>
  <c r="L66" i="2"/>
  <c r="K66" i="2"/>
  <c r="I66" i="2"/>
  <c r="F66" i="2"/>
  <c r="B66" i="2"/>
  <c r="N65" i="2"/>
  <c r="M65" i="2"/>
  <c r="L65" i="2"/>
  <c r="K65" i="2"/>
  <c r="I65" i="2"/>
  <c r="F65" i="2"/>
  <c r="B65" i="2"/>
  <c r="M64" i="2"/>
  <c r="N64" i="2" s="1"/>
  <c r="L64" i="2"/>
  <c r="K64" i="2"/>
  <c r="I64" i="2"/>
  <c r="F64" i="2"/>
  <c r="B64" i="2"/>
  <c r="L63" i="2"/>
  <c r="M63" i="2" s="1"/>
  <c r="N63" i="2" s="1"/>
  <c r="K63" i="2"/>
  <c r="I63" i="2"/>
  <c r="F63" i="2"/>
  <c r="B63" i="2"/>
  <c r="K62" i="2"/>
  <c r="I62" i="2"/>
  <c r="L62" i="2" s="1"/>
  <c r="M62" i="2" s="1"/>
  <c r="N62" i="2" s="1"/>
  <c r="F62" i="2"/>
  <c r="B62" i="2"/>
  <c r="K61" i="2"/>
  <c r="I61" i="2"/>
  <c r="F61" i="2"/>
  <c r="L61" i="2" s="1"/>
  <c r="M61" i="2" s="1"/>
  <c r="N61" i="2" s="1"/>
  <c r="B61" i="2"/>
  <c r="N60" i="2"/>
  <c r="L60" i="2"/>
  <c r="M60" i="2" s="1"/>
  <c r="K60" i="2"/>
  <c r="I60" i="2"/>
  <c r="F60" i="2"/>
  <c r="B60" i="2"/>
  <c r="K59" i="2"/>
  <c r="I59" i="2"/>
  <c r="F59" i="2"/>
  <c r="B59" i="2"/>
  <c r="L58" i="2"/>
  <c r="M58" i="2" s="1"/>
  <c r="N58" i="2" s="1"/>
  <c r="K58" i="2"/>
  <c r="I58" i="2"/>
  <c r="F58" i="2"/>
  <c r="B58" i="2"/>
  <c r="K57" i="2"/>
  <c r="I57" i="2"/>
  <c r="L57" i="2" s="1"/>
  <c r="M57" i="2" s="1"/>
  <c r="N57" i="2" s="1"/>
  <c r="F57" i="2"/>
  <c r="B57" i="2"/>
  <c r="K56" i="2"/>
  <c r="I56" i="2"/>
  <c r="F56" i="2"/>
  <c r="L56" i="2" s="1"/>
  <c r="M56" i="2" s="1"/>
  <c r="N56" i="2" s="1"/>
  <c r="B56" i="2"/>
  <c r="K55" i="2"/>
  <c r="I55" i="2"/>
  <c r="F55" i="2"/>
  <c r="L55" i="2" s="1"/>
  <c r="M55" i="2" s="1"/>
  <c r="N55" i="2" s="1"/>
  <c r="B55" i="2"/>
  <c r="K54" i="2"/>
  <c r="I54" i="2"/>
  <c r="F54" i="2"/>
  <c r="L54" i="2" s="1"/>
  <c r="M54" i="2" s="1"/>
  <c r="N54" i="2" s="1"/>
  <c r="B54" i="2"/>
  <c r="N53" i="2"/>
  <c r="M53" i="2"/>
  <c r="L53" i="2"/>
  <c r="K53" i="2"/>
  <c r="I53" i="2"/>
  <c r="F53" i="2"/>
  <c r="B53" i="2"/>
  <c r="N52" i="2"/>
  <c r="M52" i="2"/>
  <c r="L52" i="2"/>
  <c r="K52" i="2"/>
  <c r="I52" i="2"/>
  <c r="F52" i="2"/>
  <c r="B52" i="2"/>
  <c r="M51" i="2"/>
  <c r="N51" i="2" s="1"/>
  <c r="L51" i="2"/>
  <c r="K51" i="2"/>
  <c r="I51" i="2"/>
  <c r="F51" i="2"/>
  <c r="B51" i="2"/>
  <c r="L50" i="2"/>
  <c r="M50" i="2" s="1"/>
  <c r="N50" i="2" s="1"/>
  <c r="K50" i="2"/>
  <c r="I50" i="2"/>
  <c r="F50" i="2"/>
  <c r="B50" i="2"/>
  <c r="K49" i="2"/>
  <c r="I49" i="2"/>
  <c r="L49" i="2" s="1"/>
  <c r="M49" i="2" s="1"/>
  <c r="N49" i="2" s="1"/>
  <c r="F49" i="2"/>
  <c r="B49" i="2"/>
  <c r="K48" i="2"/>
  <c r="I48" i="2"/>
  <c r="F48" i="2"/>
  <c r="L48" i="2" s="1"/>
  <c r="M48" i="2" s="1"/>
  <c r="N48" i="2" s="1"/>
  <c r="B48" i="2"/>
  <c r="K47" i="2"/>
  <c r="I47" i="2"/>
  <c r="F47" i="2"/>
  <c r="L47" i="2" s="1"/>
  <c r="M47" i="2" s="1"/>
  <c r="N47" i="2" s="1"/>
  <c r="B47" i="2"/>
  <c r="K46" i="2"/>
  <c r="I46" i="2"/>
  <c r="F46" i="2"/>
  <c r="L46" i="2" s="1"/>
  <c r="M46" i="2" s="1"/>
  <c r="N46" i="2" s="1"/>
  <c r="B46" i="2"/>
  <c r="N45" i="2"/>
  <c r="M45" i="2"/>
  <c r="L45" i="2"/>
  <c r="K45" i="2"/>
  <c r="I45" i="2"/>
  <c r="F45" i="2"/>
  <c r="B45" i="2"/>
  <c r="N44" i="2"/>
  <c r="M44" i="2"/>
  <c r="L44" i="2"/>
  <c r="K44" i="2"/>
  <c r="I44" i="2"/>
  <c r="F44" i="2"/>
  <c r="B44" i="2"/>
  <c r="M43" i="2"/>
  <c r="N43" i="2" s="1"/>
  <c r="L43" i="2"/>
  <c r="K43" i="2"/>
  <c r="I43" i="2"/>
  <c r="F43" i="2"/>
  <c r="B43" i="2"/>
  <c r="L42" i="2"/>
  <c r="M42" i="2" s="1"/>
  <c r="N42" i="2" s="1"/>
  <c r="K42" i="2"/>
  <c r="I42" i="2"/>
  <c r="F42" i="2"/>
  <c r="B42" i="2"/>
  <c r="K41" i="2"/>
  <c r="I41" i="2"/>
  <c r="L41" i="2" s="1"/>
  <c r="M41" i="2" s="1"/>
  <c r="N41" i="2" s="1"/>
  <c r="F41" i="2"/>
  <c r="B41" i="2"/>
  <c r="K40" i="2"/>
  <c r="I40" i="2"/>
  <c r="F40" i="2"/>
  <c r="L40" i="2" s="1"/>
  <c r="M40" i="2" s="1"/>
  <c r="N40" i="2" s="1"/>
  <c r="B40" i="2"/>
  <c r="K39" i="2"/>
  <c r="I39" i="2"/>
  <c r="F39" i="2"/>
  <c r="L39" i="2" s="1"/>
  <c r="M39" i="2" s="1"/>
  <c r="N39" i="2" s="1"/>
  <c r="B39" i="2"/>
  <c r="K38" i="2"/>
  <c r="I38" i="2"/>
  <c r="F38" i="2"/>
  <c r="L38" i="2" s="1"/>
  <c r="M38" i="2" s="1"/>
  <c r="N38" i="2" s="1"/>
  <c r="B38" i="2"/>
  <c r="N37" i="2"/>
  <c r="M37" i="2"/>
  <c r="L37" i="2"/>
  <c r="K37" i="2"/>
  <c r="I37" i="2"/>
  <c r="F37" i="2"/>
  <c r="B37" i="2"/>
  <c r="N36" i="2"/>
  <c r="M36" i="2"/>
  <c r="L36" i="2"/>
  <c r="K36" i="2"/>
  <c r="I36" i="2"/>
  <c r="F36" i="2"/>
  <c r="B36" i="2"/>
  <c r="M35" i="2"/>
  <c r="N35" i="2" s="1"/>
  <c r="L35" i="2"/>
  <c r="K35" i="2"/>
  <c r="I35" i="2"/>
  <c r="F35" i="2"/>
  <c r="B35" i="2"/>
  <c r="L34" i="2"/>
  <c r="M34" i="2" s="1"/>
  <c r="N34" i="2" s="1"/>
  <c r="K34" i="2"/>
  <c r="I34" i="2"/>
  <c r="F34" i="2"/>
  <c r="B34" i="2"/>
  <c r="K33" i="2"/>
  <c r="I33" i="2"/>
  <c r="L33" i="2" s="1"/>
  <c r="M33" i="2" s="1"/>
  <c r="N33" i="2" s="1"/>
  <c r="F33" i="2"/>
  <c r="B33" i="2"/>
  <c r="K32" i="2"/>
  <c r="I32" i="2"/>
  <c r="F32" i="2"/>
  <c r="L32" i="2" s="1"/>
  <c r="M32" i="2" s="1"/>
  <c r="N32" i="2" s="1"/>
  <c r="B32" i="2"/>
  <c r="K31" i="2"/>
  <c r="I31" i="2"/>
  <c r="F31" i="2"/>
  <c r="L31" i="2" s="1"/>
  <c r="M31" i="2" s="1"/>
  <c r="N31" i="2" s="1"/>
  <c r="B31" i="2"/>
  <c r="K30" i="2"/>
  <c r="I30" i="2"/>
  <c r="F30" i="2"/>
  <c r="L30" i="2" s="1"/>
  <c r="M30" i="2" s="1"/>
  <c r="N30" i="2" s="1"/>
  <c r="B30" i="2"/>
  <c r="N29" i="2"/>
  <c r="M29" i="2"/>
  <c r="L29" i="2"/>
  <c r="K29" i="2"/>
  <c r="I29" i="2"/>
  <c r="F29" i="2"/>
  <c r="B29" i="2"/>
  <c r="N28" i="2"/>
  <c r="M28" i="2"/>
  <c r="L28" i="2"/>
  <c r="K28" i="2"/>
  <c r="I28" i="2"/>
  <c r="F28" i="2"/>
  <c r="B28" i="2"/>
  <c r="M27" i="2"/>
  <c r="N27" i="2" s="1"/>
  <c r="L27" i="2"/>
  <c r="K27" i="2"/>
  <c r="I27" i="2"/>
  <c r="F27" i="2"/>
  <c r="B27" i="2"/>
  <c r="L26" i="2"/>
  <c r="M26" i="2" s="1"/>
  <c r="N26" i="2" s="1"/>
  <c r="K26" i="2"/>
  <c r="I26" i="2"/>
  <c r="F26" i="2"/>
  <c r="B26" i="2"/>
  <c r="M25" i="2"/>
  <c r="N25" i="2" s="1"/>
  <c r="K25" i="2"/>
  <c r="I25" i="2"/>
  <c r="L25" i="2" s="1"/>
  <c r="F25" i="2"/>
  <c r="B25" i="2"/>
  <c r="M24" i="2"/>
  <c r="N24" i="2" s="1"/>
  <c r="L24" i="2"/>
  <c r="K24" i="2"/>
  <c r="I24" i="2"/>
  <c r="F24" i="2"/>
  <c r="B24" i="2"/>
  <c r="M23" i="2"/>
  <c r="N23" i="2" s="1"/>
  <c r="L23" i="2"/>
  <c r="K23" i="2"/>
  <c r="I23" i="2"/>
  <c r="F23" i="2"/>
  <c r="B23" i="2"/>
  <c r="M22" i="2"/>
  <c r="N22" i="2" s="1"/>
  <c r="K22" i="2"/>
  <c r="I22" i="2"/>
  <c r="L22" i="2" s="1"/>
  <c r="F22" i="2"/>
  <c r="B22" i="2"/>
  <c r="M21" i="2"/>
  <c r="N21" i="2" s="1"/>
  <c r="K21" i="2"/>
  <c r="I21" i="2"/>
  <c r="F21" i="2"/>
  <c r="L21" i="2" s="1"/>
  <c r="B21" i="2"/>
  <c r="M20" i="2"/>
  <c r="N20" i="2" s="1"/>
  <c r="K20" i="2"/>
  <c r="I20" i="2"/>
  <c r="F20" i="2"/>
  <c r="L20" i="2" s="1"/>
  <c r="B20" i="2"/>
  <c r="M19" i="2"/>
  <c r="K19" i="2"/>
  <c r="I19" i="2"/>
  <c r="F19" i="2"/>
  <c r="L19" i="2" s="1"/>
  <c r="B19" i="2"/>
  <c r="N18" i="2"/>
  <c r="M18" i="2"/>
  <c r="K18" i="2"/>
  <c r="I18" i="2"/>
  <c r="F18" i="2"/>
  <c r="B18" i="2"/>
  <c r="M17" i="2"/>
  <c r="N17" i="2" s="1"/>
  <c r="K17" i="2"/>
  <c r="I17" i="2"/>
  <c r="F17" i="2"/>
  <c r="L17" i="2" s="1"/>
  <c r="B17" i="2"/>
  <c r="M16" i="2"/>
  <c r="N16" i="2" s="1"/>
  <c r="L16" i="2"/>
  <c r="K16" i="2"/>
  <c r="I16" i="2"/>
  <c r="F16" i="2"/>
  <c r="B16" i="2"/>
  <c r="M15" i="2"/>
  <c r="L15" i="2"/>
  <c r="K15" i="2"/>
  <c r="N15" i="2" s="1"/>
  <c r="I15" i="2"/>
  <c r="F15" i="2"/>
  <c r="B15" i="2"/>
  <c r="N14" i="2"/>
  <c r="M14" i="2"/>
  <c r="K14" i="2"/>
  <c r="I14" i="2"/>
  <c r="L14" i="2" s="1"/>
  <c r="F14" i="2"/>
  <c r="B14" i="2"/>
  <c r="M13" i="2"/>
  <c r="N13" i="2" s="1"/>
  <c r="K13" i="2"/>
  <c r="I13" i="2"/>
  <c r="F13" i="2"/>
  <c r="L13" i="2" s="1"/>
  <c r="B13" i="2"/>
  <c r="M12" i="2"/>
  <c r="N12" i="2" s="1"/>
  <c r="L12" i="2"/>
  <c r="K12" i="2"/>
  <c r="I12" i="2"/>
  <c r="F12" i="2"/>
  <c r="B12" i="2"/>
  <c r="M11" i="2"/>
  <c r="K11" i="2"/>
  <c r="N11" i="2" s="1"/>
  <c r="I11" i="2"/>
  <c r="L11" i="2" s="1"/>
  <c r="F11" i="2"/>
  <c r="B11" i="2"/>
  <c r="N10" i="2"/>
  <c r="M10" i="2"/>
  <c r="K10" i="2"/>
  <c r="I10" i="2"/>
  <c r="F10" i="2"/>
  <c r="B10" i="2"/>
  <c r="M9" i="2"/>
  <c r="N9" i="2" s="1"/>
  <c r="K9" i="2"/>
  <c r="I9" i="2"/>
  <c r="F9" i="2"/>
  <c r="L9" i="2" s="1"/>
  <c r="B9" i="2"/>
  <c r="M8" i="2"/>
  <c r="N8" i="2" s="1"/>
  <c r="L8" i="2"/>
  <c r="K8" i="2"/>
  <c r="I8" i="2"/>
  <c r="F8" i="2"/>
  <c r="B8" i="2"/>
  <c r="M7" i="2"/>
  <c r="L7" i="2"/>
  <c r="K7" i="2"/>
  <c r="N7" i="2" s="1"/>
  <c r="I7" i="2"/>
  <c r="F7" i="2"/>
  <c r="B7" i="2"/>
  <c r="M6" i="2"/>
  <c r="K6" i="2"/>
  <c r="N6" i="2" s="1"/>
  <c r="I6" i="2"/>
  <c r="L6" i="2" s="1"/>
  <c r="F6" i="2"/>
  <c r="B6" i="2"/>
  <c r="M5" i="2"/>
  <c r="N5" i="2" s="1"/>
  <c r="K5" i="2"/>
  <c r="I5" i="2"/>
  <c r="F5" i="2"/>
  <c r="L5" i="2" s="1"/>
  <c r="B5" i="2"/>
  <c r="M4" i="2"/>
  <c r="N4" i="2" s="1"/>
  <c r="K4" i="2"/>
  <c r="I4" i="2"/>
  <c r="F4" i="2"/>
  <c r="L4" i="2" s="1"/>
  <c r="B4" i="2"/>
  <c r="M3" i="2"/>
  <c r="K3" i="2"/>
  <c r="I3" i="2"/>
  <c r="L3" i="2" s="1"/>
  <c r="F3" i="2"/>
  <c r="B3" i="2"/>
  <c r="N2" i="2"/>
  <c r="M2" i="2"/>
  <c r="K2" i="2"/>
  <c r="I2" i="2"/>
  <c r="F2" i="2"/>
  <c r="L2" i="2" s="1"/>
  <c r="B2" i="2"/>
  <c r="L3313" i="1"/>
  <c r="H3313" i="1"/>
  <c r="I3313" i="1" s="1"/>
  <c r="N3313" i="1" s="1"/>
  <c r="O3313" i="1" s="1"/>
  <c r="P3313" i="1" s="1"/>
  <c r="E3313" i="1"/>
  <c r="N3312" i="1"/>
  <c r="O3312" i="1" s="1"/>
  <c r="P3312" i="1" s="1"/>
  <c r="L3312" i="1"/>
  <c r="E3312" i="1"/>
  <c r="H3312" i="1" s="1"/>
  <c r="I3312" i="1" s="1"/>
  <c r="L3311" i="1"/>
  <c r="N3311" i="1" s="1"/>
  <c r="O3311" i="1" s="1"/>
  <c r="P3311" i="1" s="1"/>
  <c r="E3311" i="1"/>
  <c r="H3311" i="1" s="1"/>
  <c r="I3311" i="1" s="1"/>
  <c r="L3310" i="1"/>
  <c r="E3310" i="1"/>
  <c r="H3310" i="1" s="1"/>
  <c r="I3310" i="1" s="1"/>
  <c r="N3309" i="1"/>
  <c r="O3309" i="1" s="1"/>
  <c r="P3309" i="1" s="1"/>
  <c r="L3309" i="1"/>
  <c r="H3309" i="1"/>
  <c r="I3309" i="1" s="1"/>
  <c r="E3309" i="1"/>
  <c r="L3308" i="1"/>
  <c r="E3308" i="1"/>
  <c r="H3308" i="1" s="1"/>
  <c r="I3308" i="1" s="1"/>
  <c r="N3308" i="1" s="1"/>
  <c r="O3308" i="1" s="1"/>
  <c r="P3308" i="1" s="1"/>
  <c r="L3307" i="1"/>
  <c r="E3307" i="1"/>
  <c r="H3307" i="1" s="1"/>
  <c r="I3307" i="1" s="1"/>
  <c r="N3307" i="1" s="1"/>
  <c r="O3307" i="1" s="1"/>
  <c r="P3307" i="1" s="1"/>
  <c r="P3306" i="1"/>
  <c r="L3306" i="1"/>
  <c r="I3306" i="1"/>
  <c r="N3306" i="1" s="1"/>
  <c r="O3306" i="1" s="1"/>
  <c r="H3306" i="1"/>
  <c r="E3306" i="1"/>
  <c r="L3305" i="1"/>
  <c r="H3305" i="1"/>
  <c r="I3305" i="1" s="1"/>
  <c r="N3305" i="1" s="1"/>
  <c r="O3305" i="1" s="1"/>
  <c r="P3305" i="1" s="1"/>
  <c r="E3305" i="1"/>
  <c r="L3304" i="1"/>
  <c r="E3304" i="1"/>
  <c r="H3304" i="1" s="1"/>
  <c r="I3304" i="1" s="1"/>
  <c r="N3304" i="1" s="1"/>
  <c r="O3304" i="1" s="1"/>
  <c r="P3304" i="1" s="1"/>
  <c r="L3303" i="1"/>
  <c r="N3303" i="1" s="1"/>
  <c r="O3303" i="1" s="1"/>
  <c r="P3303" i="1" s="1"/>
  <c r="E3303" i="1"/>
  <c r="H3303" i="1" s="1"/>
  <c r="I3303" i="1" s="1"/>
  <c r="L3302" i="1"/>
  <c r="E3302" i="1"/>
  <c r="H3302" i="1" s="1"/>
  <c r="I3302" i="1" s="1"/>
  <c r="N3302" i="1" s="1"/>
  <c r="O3302" i="1" s="1"/>
  <c r="P3302" i="1" s="1"/>
  <c r="O3301" i="1"/>
  <c r="P3301" i="1" s="1"/>
  <c r="N3301" i="1"/>
  <c r="L3301" i="1"/>
  <c r="I3301" i="1"/>
  <c r="H3301" i="1"/>
  <c r="E3301" i="1"/>
  <c r="L3300" i="1"/>
  <c r="E3300" i="1"/>
  <c r="H3300" i="1" s="1"/>
  <c r="I3300" i="1" s="1"/>
  <c r="N3300" i="1" s="1"/>
  <c r="O3300" i="1" s="1"/>
  <c r="P3300" i="1" s="1"/>
  <c r="L3299" i="1"/>
  <c r="I3299" i="1"/>
  <c r="N3299" i="1" s="1"/>
  <c r="O3299" i="1" s="1"/>
  <c r="P3299" i="1" s="1"/>
  <c r="E3299" i="1"/>
  <c r="H3299" i="1" s="1"/>
  <c r="P3298" i="1"/>
  <c r="L3298" i="1"/>
  <c r="H3298" i="1"/>
  <c r="I3298" i="1" s="1"/>
  <c r="N3298" i="1" s="1"/>
  <c r="O3298" i="1" s="1"/>
  <c r="E3298" i="1"/>
  <c r="L3297" i="1"/>
  <c r="I3297" i="1"/>
  <c r="N3297" i="1" s="1"/>
  <c r="O3297" i="1" s="1"/>
  <c r="P3297" i="1" s="1"/>
  <c r="E3297" i="1"/>
  <c r="H3297" i="1" s="1"/>
  <c r="N3296" i="1"/>
  <c r="O3296" i="1" s="1"/>
  <c r="P3296" i="1" s="1"/>
  <c r="L3296" i="1"/>
  <c r="H3296" i="1"/>
  <c r="I3296" i="1" s="1"/>
  <c r="E3296" i="1"/>
  <c r="L3295" i="1"/>
  <c r="E3295" i="1"/>
  <c r="H3295" i="1" s="1"/>
  <c r="I3295" i="1" s="1"/>
  <c r="N3295" i="1" s="1"/>
  <c r="O3295" i="1" s="1"/>
  <c r="P3295" i="1" s="1"/>
  <c r="L3294" i="1"/>
  <c r="E3294" i="1"/>
  <c r="H3294" i="1" s="1"/>
  <c r="I3294" i="1" s="1"/>
  <c r="N3294" i="1" s="1"/>
  <c r="O3294" i="1" s="1"/>
  <c r="P3294" i="1" s="1"/>
  <c r="L3293" i="1"/>
  <c r="H3293" i="1"/>
  <c r="I3293" i="1" s="1"/>
  <c r="N3293" i="1" s="1"/>
  <c r="O3293" i="1" s="1"/>
  <c r="P3293" i="1" s="1"/>
  <c r="E3293" i="1"/>
  <c r="L3292" i="1"/>
  <c r="H3292" i="1"/>
  <c r="I3292" i="1" s="1"/>
  <c r="N3292" i="1" s="1"/>
  <c r="O3292" i="1" s="1"/>
  <c r="P3292" i="1" s="1"/>
  <c r="E3292" i="1"/>
  <c r="L3291" i="1"/>
  <c r="E3291" i="1"/>
  <c r="H3291" i="1" s="1"/>
  <c r="I3291" i="1" s="1"/>
  <c r="N3291" i="1" s="1"/>
  <c r="O3291" i="1" s="1"/>
  <c r="P3291" i="1" s="1"/>
  <c r="L3290" i="1"/>
  <c r="H3290" i="1"/>
  <c r="I3290" i="1" s="1"/>
  <c r="N3290" i="1" s="1"/>
  <c r="O3290" i="1" s="1"/>
  <c r="P3290" i="1" s="1"/>
  <c r="E3290" i="1"/>
  <c r="L3289" i="1"/>
  <c r="E3289" i="1"/>
  <c r="H3289" i="1" s="1"/>
  <c r="I3289" i="1" s="1"/>
  <c r="N3289" i="1" s="1"/>
  <c r="O3289" i="1" s="1"/>
  <c r="P3289" i="1" s="1"/>
  <c r="L3288" i="1"/>
  <c r="E3288" i="1"/>
  <c r="H3288" i="1" s="1"/>
  <c r="I3288" i="1" s="1"/>
  <c r="N3288" i="1" s="1"/>
  <c r="O3288" i="1" s="1"/>
  <c r="P3288" i="1" s="1"/>
  <c r="L3287" i="1"/>
  <c r="E3287" i="1"/>
  <c r="H3287" i="1" s="1"/>
  <c r="I3287" i="1" s="1"/>
  <c r="N3287" i="1" s="1"/>
  <c r="O3287" i="1" s="1"/>
  <c r="P3287" i="1" s="1"/>
  <c r="L3286" i="1"/>
  <c r="I3286" i="1"/>
  <c r="N3286" i="1" s="1"/>
  <c r="O3286" i="1" s="1"/>
  <c r="P3286" i="1" s="1"/>
  <c r="E3286" i="1"/>
  <c r="H3286" i="1" s="1"/>
  <c r="N3285" i="1"/>
  <c r="O3285" i="1" s="1"/>
  <c r="P3285" i="1" s="1"/>
  <c r="L3285" i="1"/>
  <c r="I3285" i="1"/>
  <c r="H3285" i="1"/>
  <c r="E3285" i="1"/>
  <c r="L3284" i="1"/>
  <c r="H3284" i="1"/>
  <c r="I3284" i="1" s="1"/>
  <c r="E3284" i="1"/>
  <c r="L3283" i="1"/>
  <c r="I3283" i="1"/>
  <c r="N3283" i="1" s="1"/>
  <c r="O3283" i="1" s="1"/>
  <c r="P3283" i="1" s="1"/>
  <c r="E3283" i="1"/>
  <c r="H3283" i="1" s="1"/>
  <c r="L3282" i="1"/>
  <c r="H3282" i="1"/>
  <c r="I3282" i="1" s="1"/>
  <c r="N3282" i="1" s="1"/>
  <c r="O3282" i="1" s="1"/>
  <c r="P3282" i="1" s="1"/>
  <c r="E3282" i="1"/>
  <c r="L3281" i="1"/>
  <c r="E3281" i="1"/>
  <c r="H3281" i="1" s="1"/>
  <c r="I3281" i="1" s="1"/>
  <c r="N3281" i="1" s="1"/>
  <c r="O3281" i="1" s="1"/>
  <c r="P3281" i="1" s="1"/>
  <c r="N3280" i="1"/>
  <c r="O3280" i="1" s="1"/>
  <c r="P3280" i="1" s="1"/>
  <c r="L3280" i="1"/>
  <c r="H3280" i="1"/>
  <c r="I3280" i="1" s="1"/>
  <c r="E3280" i="1"/>
  <c r="L3279" i="1"/>
  <c r="I3279" i="1"/>
  <c r="N3279" i="1" s="1"/>
  <c r="O3279" i="1" s="1"/>
  <c r="P3279" i="1" s="1"/>
  <c r="E3279" i="1"/>
  <c r="H3279" i="1" s="1"/>
  <c r="P3278" i="1"/>
  <c r="O3278" i="1"/>
  <c r="L3278" i="1"/>
  <c r="H3278" i="1"/>
  <c r="I3278" i="1" s="1"/>
  <c r="N3278" i="1" s="1"/>
  <c r="E3278" i="1"/>
  <c r="N3277" i="1"/>
  <c r="O3277" i="1" s="1"/>
  <c r="P3277" i="1" s="1"/>
  <c r="L3277" i="1"/>
  <c r="E3277" i="1"/>
  <c r="H3277" i="1" s="1"/>
  <c r="I3277" i="1" s="1"/>
  <c r="N3276" i="1"/>
  <c r="O3276" i="1" s="1"/>
  <c r="P3276" i="1" s="1"/>
  <c r="L3276" i="1"/>
  <c r="H3276" i="1"/>
  <c r="I3276" i="1" s="1"/>
  <c r="E3276" i="1"/>
  <c r="L3275" i="1"/>
  <c r="E3275" i="1"/>
  <c r="H3275" i="1" s="1"/>
  <c r="I3275" i="1" s="1"/>
  <c r="N3275" i="1" s="1"/>
  <c r="O3275" i="1" s="1"/>
  <c r="P3275" i="1" s="1"/>
  <c r="L3274" i="1"/>
  <c r="I3274" i="1"/>
  <c r="N3274" i="1" s="1"/>
  <c r="O3274" i="1" s="1"/>
  <c r="P3274" i="1" s="1"/>
  <c r="H3274" i="1"/>
  <c r="E3274" i="1"/>
  <c r="L3273" i="1"/>
  <c r="H3273" i="1"/>
  <c r="I3273" i="1" s="1"/>
  <c r="N3273" i="1" s="1"/>
  <c r="O3273" i="1" s="1"/>
  <c r="P3273" i="1" s="1"/>
  <c r="E3273" i="1"/>
  <c r="L3272" i="1"/>
  <c r="E3272" i="1"/>
  <c r="H3272" i="1" s="1"/>
  <c r="I3272" i="1" s="1"/>
  <c r="N3272" i="1" s="1"/>
  <c r="O3272" i="1" s="1"/>
  <c r="P3272" i="1" s="1"/>
  <c r="L3271" i="1"/>
  <c r="E3271" i="1"/>
  <c r="H3271" i="1" s="1"/>
  <c r="I3271" i="1" s="1"/>
  <c r="N3271" i="1" s="1"/>
  <c r="O3271" i="1" s="1"/>
  <c r="P3271" i="1" s="1"/>
  <c r="L3270" i="1"/>
  <c r="H3270" i="1"/>
  <c r="I3270" i="1" s="1"/>
  <c r="N3270" i="1" s="1"/>
  <c r="O3270" i="1" s="1"/>
  <c r="P3270" i="1" s="1"/>
  <c r="E3270" i="1"/>
  <c r="L3269" i="1"/>
  <c r="E3269" i="1"/>
  <c r="H3269" i="1" s="1"/>
  <c r="I3269" i="1" s="1"/>
  <c r="N3269" i="1" s="1"/>
  <c r="O3269" i="1" s="1"/>
  <c r="P3269" i="1" s="1"/>
  <c r="N3268" i="1"/>
  <c r="O3268" i="1" s="1"/>
  <c r="P3268" i="1" s="1"/>
  <c r="L3268" i="1"/>
  <c r="H3268" i="1"/>
  <c r="I3268" i="1" s="1"/>
  <c r="E3268" i="1"/>
  <c r="L3267" i="1"/>
  <c r="E3267" i="1"/>
  <c r="H3267" i="1" s="1"/>
  <c r="I3267" i="1" s="1"/>
  <c r="L3266" i="1"/>
  <c r="I3266" i="1"/>
  <c r="N3266" i="1" s="1"/>
  <c r="O3266" i="1" s="1"/>
  <c r="P3266" i="1" s="1"/>
  <c r="H3266" i="1"/>
  <c r="E3266" i="1"/>
  <c r="N3265" i="1"/>
  <c r="O3265" i="1" s="1"/>
  <c r="P3265" i="1" s="1"/>
  <c r="L3265" i="1"/>
  <c r="E3265" i="1"/>
  <c r="H3265" i="1" s="1"/>
  <c r="I3265" i="1" s="1"/>
  <c r="L3264" i="1"/>
  <c r="E3264" i="1"/>
  <c r="H3264" i="1" s="1"/>
  <c r="I3264" i="1" s="1"/>
  <c r="N3264" i="1" s="1"/>
  <c r="O3264" i="1" s="1"/>
  <c r="P3264" i="1" s="1"/>
  <c r="L3263" i="1"/>
  <c r="E3263" i="1"/>
  <c r="H3263" i="1" s="1"/>
  <c r="I3263" i="1" s="1"/>
  <c r="N3263" i="1" s="1"/>
  <c r="O3263" i="1" s="1"/>
  <c r="P3263" i="1" s="1"/>
  <c r="L3262" i="1"/>
  <c r="H3262" i="1"/>
  <c r="I3262" i="1" s="1"/>
  <c r="N3262" i="1" s="1"/>
  <c r="O3262" i="1" s="1"/>
  <c r="P3262" i="1" s="1"/>
  <c r="E3262" i="1"/>
  <c r="L3261" i="1"/>
  <c r="E3261" i="1"/>
  <c r="H3261" i="1" s="1"/>
  <c r="I3261" i="1" s="1"/>
  <c r="N3261" i="1" s="1"/>
  <c r="O3261" i="1" s="1"/>
  <c r="P3261" i="1" s="1"/>
  <c r="L3260" i="1"/>
  <c r="H3260" i="1"/>
  <c r="I3260" i="1" s="1"/>
  <c r="N3260" i="1" s="1"/>
  <c r="O3260" i="1" s="1"/>
  <c r="P3260" i="1" s="1"/>
  <c r="E3260" i="1"/>
  <c r="L3259" i="1"/>
  <c r="E3259" i="1"/>
  <c r="H3259" i="1" s="1"/>
  <c r="I3259" i="1" s="1"/>
  <c r="N3259" i="1" s="1"/>
  <c r="O3259" i="1" s="1"/>
  <c r="P3259" i="1" s="1"/>
  <c r="O3258" i="1"/>
  <c r="P3258" i="1" s="1"/>
  <c r="L3258" i="1"/>
  <c r="I3258" i="1"/>
  <c r="N3258" i="1" s="1"/>
  <c r="H3258" i="1"/>
  <c r="E3258" i="1"/>
  <c r="L3257" i="1"/>
  <c r="H3257" i="1"/>
  <c r="I3257" i="1" s="1"/>
  <c r="N3257" i="1" s="1"/>
  <c r="O3257" i="1" s="1"/>
  <c r="P3257" i="1" s="1"/>
  <c r="E3257" i="1"/>
  <c r="L3256" i="1"/>
  <c r="E3256" i="1"/>
  <c r="H3256" i="1" s="1"/>
  <c r="I3256" i="1" s="1"/>
  <c r="N3256" i="1" s="1"/>
  <c r="O3256" i="1" s="1"/>
  <c r="P3256" i="1" s="1"/>
  <c r="L3255" i="1"/>
  <c r="E3255" i="1"/>
  <c r="H3255" i="1" s="1"/>
  <c r="I3255" i="1" s="1"/>
  <c r="N3255" i="1" s="1"/>
  <c r="O3255" i="1" s="1"/>
  <c r="P3255" i="1" s="1"/>
  <c r="O3254" i="1"/>
  <c r="P3254" i="1" s="1"/>
  <c r="L3254" i="1"/>
  <c r="H3254" i="1"/>
  <c r="I3254" i="1" s="1"/>
  <c r="N3254" i="1" s="1"/>
  <c r="E3254" i="1"/>
  <c r="L3253" i="1"/>
  <c r="E3253" i="1"/>
  <c r="H3253" i="1" s="1"/>
  <c r="I3253" i="1" s="1"/>
  <c r="N3253" i="1" s="1"/>
  <c r="O3253" i="1" s="1"/>
  <c r="P3253" i="1" s="1"/>
  <c r="L3252" i="1"/>
  <c r="H3252" i="1"/>
  <c r="I3252" i="1" s="1"/>
  <c r="N3252" i="1" s="1"/>
  <c r="O3252" i="1" s="1"/>
  <c r="P3252" i="1" s="1"/>
  <c r="E3252" i="1"/>
  <c r="L3251" i="1"/>
  <c r="E3251" i="1"/>
  <c r="H3251" i="1" s="1"/>
  <c r="I3251" i="1" s="1"/>
  <c r="N3251" i="1" s="1"/>
  <c r="O3251" i="1" s="1"/>
  <c r="P3251" i="1" s="1"/>
  <c r="L3250" i="1"/>
  <c r="I3250" i="1"/>
  <c r="N3250" i="1" s="1"/>
  <c r="O3250" i="1" s="1"/>
  <c r="P3250" i="1" s="1"/>
  <c r="H3250" i="1"/>
  <c r="E3250" i="1"/>
  <c r="L3249" i="1"/>
  <c r="E3249" i="1"/>
  <c r="H3249" i="1" s="1"/>
  <c r="I3249" i="1" s="1"/>
  <c r="N3249" i="1" s="1"/>
  <c r="O3249" i="1" s="1"/>
  <c r="P3249" i="1" s="1"/>
  <c r="L3248" i="1"/>
  <c r="E3248" i="1"/>
  <c r="H3248" i="1" s="1"/>
  <c r="I3248" i="1" s="1"/>
  <c r="N3248" i="1" s="1"/>
  <c r="O3248" i="1" s="1"/>
  <c r="P3248" i="1" s="1"/>
  <c r="L3247" i="1"/>
  <c r="E3247" i="1"/>
  <c r="H3247" i="1" s="1"/>
  <c r="I3247" i="1" s="1"/>
  <c r="N3247" i="1" s="1"/>
  <c r="O3247" i="1" s="1"/>
  <c r="P3247" i="1" s="1"/>
  <c r="O3246" i="1"/>
  <c r="P3246" i="1" s="1"/>
  <c r="L3246" i="1"/>
  <c r="H3246" i="1"/>
  <c r="I3246" i="1" s="1"/>
  <c r="N3246" i="1" s="1"/>
  <c r="E3246" i="1"/>
  <c r="N3245" i="1"/>
  <c r="O3245" i="1" s="1"/>
  <c r="P3245" i="1" s="1"/>
  <c r="L3245" i="1"/>
  <c r="E3245" i="1"/>
  <c r="H3245" i="1" s="1"/>
  <c r="I3245" i="1" s="1"/>
  <c r="L3244" i="1"/>
  <c r="H3244" i="1"/>
  <c r="I3244" i="1" s="1"/>
  <c r="N3244" i="1" s="1"/>
  <c r="O3244" i="1" s="1"/>
  <c r="P3244" i="1" s="1"/>
  <c r="E3244" i="1"/>
  <c r="L3243" i="1"/>
  <c r="I3243" i="1"/>
  <c r="N3243" i="1" s="1"/>
  <c r="O3243" i="1" s="1"/>
  <c r="P3243" i="1" s="1"/>
  <c r="E3243" i="1"/>
  <c r="H3243" i="1" s="1"/>
  <c r="L3242" i="1"/>
  <c r="I3242" i="1"/>
  <c r="N3242" i="1" s="1"/>
  <c r="O3242" i="1" s="1"/>
  <c r="P3242" i="1" s="1"/>
  <c r="H3242" i="1"/>
  <c r="E3242" i="1"/>
  <c r="L3241" i="1"/>
  <c r="E3241" i="1"/>
  <c r="H3241" i="1" s="1"/>
  <c r="I3241" i="1" s="1"/>
  <c r="N3241" i="1" s="1"/>
  <c r="O3241" i="1" s="1"/>
  <c r="P3241" i="1" s="1"/>
  <c r="L3240" i="1"/>
  <c r="E3240" i="1"/>
  <c r="H3240" i="1" s="1"/>
  <c r="I3240" i="1" s="1"/>
  <c r="N3240" i="1" s="1"/>
  <c r="O3240" i="1" s="1"/>
  <c r="P3240" i="1" s="1"/>
  <c r="L3239" i="1"/>
  <c r="E3239" i="1"/>
  <c r="H3239" i="1" s="1"/>
  <c r="I3239" i="1" s="1"/>
  <c r="N3239" i="1" s="1"/>
  <c r="O3239" i="1" s="1"/>
  <c r="P3239" i="1" s="1"/>
  <c r="L3238" i="1"/>
  <c r="H3238" i="1"/>
  <c r="I3238" i="1" s="1"/>
  <c r="N3238" i="1" s="1"/>
  <c r="O3238" i="1" s="1"/>
  <c r="P3238" i="1" s="1"/>
  <c r="E3238" i="1"/>
  <c r="L3237" i="1"/>
  <c r="E3237" i="1"/>
  <c r="H3237" i="1" s="1"/>
  <c r="I3237" i="1" s="1"/>
  <c r="N3237" i="1" s="1"/>
  <c r="O3237" i="1" s="1"/>
  <c r="P3237" i="1" s="1"/>
  <c r="N3236" i="1"/>
  <c r="O3236" i="1" s="1"/>
  <c r="P3236" i="1" s="1"/>
  <c r="L3236" i="1"/>
  <c r="H3236" i="1"/>
  <c r="I3236" i="1" s="1"/>
  <c r="E3236" i="1"/>
  <c r="L3235" i="1"/>
  <c r="I3235" i="1"/>
  <c r="N3235" i="1" s="1"/>
  <c r="O3235" i="1" s="1"/>
  <c r="P3235" i="1" s="1"/>
  <c r="E3235" i="1"/>
  <c r="H3235" i="1" s="1"/>
  <c r="O3234" i="1"/>
  <c r="P3234" i="1" s="1"/>
  <c r="L3234" i="1"/>
  <c r="I3234" i="1"/>
  <c r="N3234" i="1" s="1"/>
  <c r="H3234" i="1"/>
  <c r="E3234" i="1"/>
  <c r="L3233" i="1"/>
  <c r="E3233" i="1"/>
  <c r="H3233" i="1" s="1"/>
  <c r="I3233" i="1" s="1"/>
  <c r="N3233" i="1" s="1"/>
  <c r="O3233" i="1" s="1"/>
  <c r="P3233" i="1" s="1"/>
  <c r="L3232" i="1"/>
  <c r="E3232" i="1"/>
  <c r="H3232" i="1" s="1"/>
  <c r="I3232" i="1" s="1"/>
  <c r="N3232" i="1" s="1"/>
  <c r="O3232" i="1" s="1"/>
  <c r="P3232" i="1" s="1"/>
  <c r="L3231" i="1"/>
  <c r="E3231" i="1"/>
  <c r="H3231" i="1" s="1"/>
  <c r="I3231" i="1" s="1"/>
  <c r="N3231" i="1" s="1"/>
  <c r="O3231" i="1" s="1"/>
  <c r="P3231" i="1" s="1"/>
  <c r="L3230" i="1"/>
  <c r="H3230" i="1"/>
  <c r="I3230" i="1" s="1"/>
  <c r="N3230" i="1" s="1"/>
  <c r="O3230" i="1" s="1"/>
  <c r="P3230" i="1" s="1"/>
  <c r="E3230" i="1"/>
  <c r="L3229" i="1"/>
  <c r="E3229" i="1"/>
  <c r="H3229" i="1" s="1"/>
  <c r="I3229" i="1" s="1"/>
  <c r="N3229" i="1" s="1"/>
  <c r="O3229" i="1" s="1"/>
  <c r="P3229" i="1" s="1"/>
  <c r="L3228" i="1"/>
  <c r="H3228" i="1"/>
  <c r="I3228" i="1" s="1"/>
  <c r="N3228" i="1" s="1"/>
  <c r="O3228" i="1" s="1"/>
  <c r="P3228" i="1" s="1"/>
  <c r="E3228" i="1"/>
  <c r="L3227" i="1"/>
  <c r="I3227" i="1"/>
  <c r="N3227" i="1" s="1"/>
  <c r="O3227" i="1" s="1"/>
  <c r="P3227" i="1" s="1"/>
  <c r="E3227" i="1"/>
  <c r="H3227" i="1" s="1"/>
  <c r="O3226" i="1"/>
  <c r="P3226" i="1" s="1"/>
  <c r="L3226" i="1"/>
  <c r="I3226" i="1"/>
  <c r="N3226" i="1" s="1"/>
  <c r="H3226" i="1"/>
  <c r="E3226" i="1"/>
  <c r="L3225" i="1"/>
  <c r="E3225" i="1"/>
  <c r="H3225" i="1" s="1"/>
  <c r="I3225" i="1" s="1"/>
  <c r="N3225" i="1" s="1"/>
  <c r="O3225" i="1" s="1"/>
  <c r="P3225" i="1" s="1"/>
  <c r="L3224" i="1"/>
  <c r="E3224" i="1"/>
  <c r="H3224" i="1" s="1"/>
  <c r="I3224" i="1" s="1"/>
  <c r="N3224" i="1" s="1"/>
  <c r="O3224" i="1" s="1"/>
  <c r="P3224" i="1" s="1"/>
  <c r="L3223" i="1"/>
  <c r="I3223" i="1"/>
  <c r="N3223" i="1" s="1"/>
  <c r="O3223" i="1" s="1"/>
  <c r="P3223" i="1" s="1"/>
  <c r="E3223" i="1"/>
  <c r="H3223" i="1" s="1"/>
  <c r="L3222" i="1"/>
  <c r="H3222" i="1"/>
  <c r="I3222" i="1" s="1"/>
  <c r="N3222" i="1" s="1"/>
  <c r="O3222" i="1" s="1"/>
  <c r="P3222" i="1" s="1"/>
  <c r="E3222" i="1"/>
  <c r="N3221" i="1"/>
  <c r="O3221" i="1" s="1"/>
  <c r="P3221" i="1" s="1"/>
  <c r="L3221" i="1"/>
  <c r="E3221" i="1"/>
  <c r="H3221" i="1" s="1"/>
  <c r="I3221" i="1" s="1"/>
  <c r="L3220" i="1"/>
  <c r="H3220" i="1"/>
  <c r="I3220" i="1" s="1"/>
  <c r="N3220" i="1" s="1"/>
  <c r="O3220" i="1" s="1"/>
  <c r="P3220" i="1" s="1"/>
  <c r="E3220" i="1"/>
  <c r="L3219" i="1"/>
  <c r="E3219" i="1"/>
  <c r="H3219" i="1" s="1"/>
  <c r="I3219" i="1" s="1"/>
  <c r="N3219" i="1" s="1"/>
  <c r="O3219" i="1" s="1"/>
  <c r="P3219" i="1" s="1"/>
  <c r="O3218" i="1"/>
  <c r="P3218" i="1" s="1"/>
  <c r="L3218" i="1"/>
  <c r="I3218" i="1"/>
  <c r="N3218" i="1" s="1"/>
  <c r="H3218" i="1"/>
  <c r="E3218" i="1"/>
  <c r="L3217" i="1"/>
  <c r="H3217" i="1"/>
  <c r="I3217" i="1" s="1"/>
  <c r="N3217" i="1" s="1"/>
  <c r="O3217" i="1" s="1"/>
  <c r="P3217" i="1" s="1"/>
  <c r="E3217" i="1"/>
  <c r="L3216" i="1"/>
  <c r="E3216" i="1"/>
  <c r="H3216" i="1" s="1"/>
  <c r="I3216" i="1" s="1"/>
  <c r="N3216" i="1" s="1"/>
  <c r="O3216" i="1" s="1"/>
  <c r="P3216" i="1" s="1"/>
  <c r="L3215" i="1"/>
  <c r="I3215" i="1"/>
  <c r="N3215" i="1" s="1"/>
  <c r="O3215" i="1" s="1"/>
  <c r="P3215" i="1" s="1"/>
  <c r="E3215" i="1"/>
  <c r="H3215" i="1" s="1"/>
  <c r="O3214" i="1"/>
  <c r="P3214" i="1" s="1"/>
  <c r="L3214" i="1"/>
  <c r="H3214" i="1"/>
  <c r="I3214" i="1" s="1"/>
  <c r="N3214" i="1" s="1"/>
  <c r="E3214" i="1"/>
  <c r="N3213" i="1"/>
  <c r="O3213" i="1" s="1"/>
  <c r="P3213" i="1" s="1"/>
  <c r="L3213" i="1"/>
  <c r="E3213" i="1"/>
  <c r="H3213" i="1" s="1"/>
  <c r="I3213" i="1" s="1"/>
  <c r="N3212" i="1"/>
  <c r="O3212" i="1" s="1"/>
  <c r="P3212" i="1" s="1"/>
  <c r="L3212" i="1"/>
  <c r="H3212" i="1"/>
  <c r="I3212" i="1" s="1"/>
  <c r="E3212" i="1"/>
  <c r="L3211" i="1"/>
  <c r="E3211" i="1"/>
  <c r="H3211" i="1" s="1"/>
  <c r="I3211" i="1" s="1"/>
  <c r="N3211" i="1" s="1"/>
  <c r="O3211" i="1" s="1"/>
  <c r="P3211" i="1" s="1"/>
  <c r="L3210" i="1"/>
  <c r="I3210" i="1"/>
  <c r="N3210" i="1" s="1"/>
  <c r="O3210" i="1" s="1"/>
  <c r="P3210" i="1" s="1"/>
  <c r="H3210" i="1"/>
  <c r="E3210" i="1"/>
  <c r="L3209" i="1"/>
  <c r="H3209" i="1"/>
  <c r="I3209" i="1" s="1"/>
  <c r="N3209" i="1" s="1"/>
  <c r="O3209" i="1" s="1"/>
  <c r="P3209" i="1" s="1"/>
  <c r="E3209" i="1"/>
  <c r="L3208" i="1"/>
  <c r="E3208" i="1"/>
  <c r="H3208" i="1" s="1"/>
  <c r="I3208" i="1" s="1"/>
  <c r="N3208" i="1" s="1"/>
  <c r="O3208" i="1" s="1"/>
  <c r="P3208" i="1" s="1"/>
  <c r="L3207" i="1"/>
  <c r="I3207" i="1"/>
  <c r="N3207" i="1" s="1"/>
  <c r="O3207" i="1" s="1"/>
  <c r="P3207" i="1" s="1"/>
  <c r="E3207" i="1"/>
  <c r="H3207" i="1" s="1"/>
  <c r="L3206" i="1"/>
  <c r="H3206" i="1"/>
  <c r="I3206" i="1" s="1"/>
  <c r="N3206" i="1" s="1"/>
  <c r="O3206" i="1" s="1"/>
  <c r="P3206" i="1" s="1"/>
  <c r="E3206" i="1"/>
  <c r="L3205" i="1"/>
  <c r="E3205" i="1"/>
  <c r="H3205" i="1" s="1"/>
  <c r="I3205" i="1" s="1"/>
  <c r="N3205" i="1" s="1"/>
  <c r="O3205" i="1" s="1"/>
  <c r="P3205" i="1" s="1"/>
  <c r="N3204" i="1"/>
  <c r="O3204" i="1" s="1"/>
  <c r="P3204" i="1" s="1"/>
  <c r="L3204" i="1"/>
  <c r="H3204" i="1"/>
  <c r="I3204" i="1" s="1"/>
  <c r="E3204" i="1"/>
  <c r="L3203" i="1"/>
  <c r="E3203" i="1"/>
  <c r="H3203" i="1" s="1"/>
  <c r="I3203" i="1" s="1"/>
  <c r="N3203" i="1" s="1"/>
  <c r="O3203" i="1" s="1"/>
  <c r="P3203" i="1" s="1"/>
  <c r="L3202" i="1"/>
  <c r="I3202" i="1"/>
  <c r="N3202" i="1" s="1"/>
  <c r="O3202" i="1" s="1"/>
  <c r="P3202" i="1" s="1"/>
  <c r="H3202" i="1"/>
  <c r="E3202" i="1"/>
  <c r="N3201" i="1"/>
  <c r="O3201" i="1" s="1"/>
  <c r="P3201" i="1" s="1"/>
  <c r="L3201" i="1"/>
  <c r="H3201" i="1"/>
  <c r="I3201" i="1" s="1"/>
  <c r="E3201" i="1"/>
  <c r="L3200" i="1"/>
  <c r="E3200" i="1"/>
  <c r="H3200" i="1" s="1"/>
  <c r="I3200" i="1" s="1"/>
  <c r="N3200" i="1" s="1"/>
  <c r="O3200" i="1" s="1"/>
  <c r="P3200" i="1" s="1"/>
  <c r="L3199" i="1"/>
  <c r="E3199" i="1"/>
  <c r="H3199" i="1" s="1"/>
  <c r="I3199" i="1" s="1"/>
  <c r="N3199" i="1" s="1"/>
  <c r="O3199" i="1" s="1"/>
  <c r="P3199" i="1" s="1"/>
  <c r="L3198" i="1"/>
  <c r="H3198" i="1"/>
  <c r="I3198" i="1" s="1"/>
  <c r="N3198" i="1" s="1"/>
  <c r="O3198" i="1" s="1"/>
  <c r="P3198" i="1" s="1"/>
  <c r="E3198" i="1"/>
  <c r="L3197" i="1"/>
  <c r="E3197" i="1"/>
  <c r="H3197" i="1" s="1"/>
  <c r="I3197" i="1" s="1"/>
  <c r="N3197" i="1" s="1"/>
  <c r="O3197" i="1" s="1"/>
  <c r="P3197" i="1" s="1"/>
  <c r="L3196" i="1"/>
  <c r="H3196" i="1"/>
  <c r="I3196" i="1" s="1"/>
  <c r="N3196" i="1" s="1"/>
  <c r="O3196" i="1" s="1"/>
  <c r="P3196" i="1" s="1"/>
  <c r="E3196" i="1"/>
  <c r="L3195" i="1"/>
  <c r="E3195" i="1"/>
  <c r="H3195" i="1" s="1"/>
  <c r="I3195" i="1" s="1"/>
  <c r="N3195" i="1" s="1"/>
  <c r="O3195" i="1" s="1"/>
  <c r="P3195" i="1" s="1"/>
  <c r="O3194" i="1"/>
  <c r="P3194" i="1" s="1"/>
  <c r="L3194" i="1"/>
  <c r="I3194" i="1"/>
  <c r="N3194" i="1" s="1"/>
  <c r="H3194" i="1"/>
  <c r="E3194" i="1"/>
  <c r="L3193" i="1"/>
  <c r="E3193" i="1"/>
  <c r="H3193" i="1" s="1"/>
  <c r="I3193" i="1" s="1"/>
  <c r="N3193" i="1" s="1"/>
  <c r="O3193" i="1" s="1"/>
  <c r="P3193" i="1" s="1"/>
  <c r="L3192" i="1"/>
  <c r="E3192" i="1"/>
  <c r="H3192" i="1" s="1"/>
  <c r="I3192" i="1" s="1"/>
  <c r="N3192" i="1" s="1"/>
  <c r="O3192" i="1" s="1"/>
  <c r="P3192" i="1" s="1"/>
  <c r="L3191" i="1"/>
  <c r="E3191" i="1"/>
  <c r="H3191" i="1" s="1"/>
  <c r="I3191" i="1" s="1"/>
  <c r="N3191" i="1" s="1"/>
  <c r="O3191" i="1" s="1"/>
  <c r="P3191" i="1" s="1"/>
  <c r="O3190" i="1"/>
  <c r="P3190" i="1" s="1"/>
  <c r="L3190" i="1"/>
  <c r="H3190" i="1"/>
  <c r="I3190" i="1" s="1"/>
  <c r="N3190" i="1" s="1"/>
  <c r="E3190" i="1"/>
  <c r="L3189" i="1"/>
  <c r="E3189" i="1"/>
  <c r="H3189" i="1" s="1"/>
  <c r="I3189" i="1" s="1"/>
  <c r="N3189" i="1" s="1"/>
  <c r="O3189" i="1" s="1"/>
  <c r="P3189" i="1" s="1"/>
  <c r="L3188" i="1"/>
  <c r="H3188" i="1"/>
  <c r="I3188" i="1" s="1"/>
  <c r="N3188" i="1" s="1"/>
  <c r="O3188" i="1" s="1"/>
  <c r="P3188" i="1" s="1"/>
  <c r="E3188" i="1"/>
  <c r="L3187" i="1"/>
  <c r="E3187" i="1"/>
  <c r="H3187" i="1" s="1"/>
  <c r="I3187" i="1" s="1"/>
  <c r="N3187" i="1" s="1"/>
  <c r="O3187" i="1" s="1"/>
  <c r="P3187" i="1" s="1"/>
  <c r="L3186" i="1"/>
  <c r="I3186" i="1"/>
  <c r="N3186" i="1" s="1"/>
  <c r="O3186" i="1" s="1"/>
  <c r="P3186" i="1" s="1"/>
  <c r="H3186" i="1"/>
  <c r="E3186" i="1"/>
  <c r="L3185" i="1"/>
  <c r="E3185" i="1"/>
  <c r="H3185" i="1" s="1"/>
  <c r="I3185" i="1" s="1"/>
  <c r="N3185" i="1" s="1"/>
  <c r="O3185" i="1" s="1"/>
  <c r="P3185" i="1" s="1"/>
  <c r="L3184" i="1"/>
  <c r="E3184" i="1"/>
  <c r="H3184" i="1" s="1"/>
  <c r="I3184" i="1" s="1"/>
  <c r="N3184" i="1" s="1"/>
  <c r="O3184" i="1" s="1"/>
  <c r="P3184" i="1" s="1"/>
  <c r="L3183" i="1"/>
  <c r="E3183" i="1"/>
  <c r="H3183" i="1" s="1"/>
  <c r="I3183" i="1" s="1"/>
  <c r="N3183" i="1" s="1"/>
  <c r="O3183" i="1" s="1"/>
  <c r="P3183" i="1" s="1"/>
  <c r="O3182" i="1"/>
  <c r="P3182" i="1" s="1"/>
  <c r="L3182" i="1"/>
  <c r="H3182" i="1"/>
  <c r="I3182" i="1" s="1"/>
  <c r="N3182" i="1" s="1"/>
  <c r="E3182" i="1"/>
  <c r="N3181" i="1"/>
  <c r="O3181" i="1" s="1"/>
  <c r="P3181" i="1" s="1"/>
  <c r="L3181" i="1"/>
  <c r="E3181" i="1"/>
  <c r="H3181" i="1" s="1"/>
  <c r="I3181" i="1" s="1"/>
  <c r="L3180" i="1"/>
  <c r="H3180" i="1"/>
  <c r="I3180" i="1" s="1"/>
  <c r="N3180" i="1" s="1"/>
  <c r="O3180" i="1" s="1"/>
  <c r="P3180" i="1" s="1"/>
  <c r="E3180" i="1"/>
  <c r="L3179" i="1"/>
  <c r="I3179" i="1"/>
  <c r="E3179" i="1"/>
  <c r="H3179" i="1" s="1"/>
  <c r="L3178" i="1"/>
  <c r="I3178" i="1"/>
  <c r="N3178" i="1" s="1"/>
  <c r="O3178" i="1" s="1"/>
  <c r="P3178" i="1" s="1"/>
  <c r="H3178" i="1"/>
  <c r="E3178" i="1"/>
  <c r="N3177" i="1"/>
  <c r="O3177" i="1" s="1"/>
  <c r="P3177" i="1" s="1"/>
  <c r="L3177" i="1"/>
  <c r="E3177" i="1"/>
  <c r="H3177" i="1" s="1"/>
  <c r="I3177" i="1" s="1"/>
  <c r="L3176" i="1"/>
  <c r="E3176" i="1"/>
  <c r="H3176" i="1" s="1"/>
  <c r="I3176" i="1" s="1"/>
  <c r="N3176" i="1" s="1"/>
  <c r="O3176" i="1" s="1"/>
  <c r="P3176" i="1" s="1"/>
  <c r="L3175" i="1"/>
  <c r="E3175" i="1"/>
  <c r="H3175" i="1" s="1"/>
  <c r="I3175" i="1" s="1"/>
  <c r="N3175" i="1" s="1"/>
  <c r="O3175" i="1" s="1"/>
  <c r="P3175" i="1" s="1"/>
  <c r="P3174" i="1"/>
  <c r="L3174" i="1"/>
  <c r="H3174" i="1"/>
  <c r="I3174" i="1" s="1"/>
  <c r="N3174" i="1" s="1"/>
  <c r="O3174" i="1" s="1"/>
  <c r="E3174" i="1"/>
  <c r="L3173" i="1"/>
  <c r="E3173" i="1"/>
  <c r="H3173" i="1" s="1"/>
  <c r="I3173" i="1" s="1"/>
  <c r="N3173" i="1" s="1"/>
  <c r="O3173" i="1" s="1"/>
  <c r="P3173" i="1" s="1"/>
  <c r="N3172" i="1"/>
  <c r="O3172" i="1" s="1"/>
  <c r="P3172" i="1" s="1"/>
  <c r="L3172" i="1"/>
  <c r="H3172" i="1"/>
  <c r="I3172" i="1" s="1"/>
  <c r="E3172" i="1"/>
  <c r="L3171" i="1"/>
  <c r="I3171" i="1"/>
  <c r="N3171" i="1" s="1"/>
  <c r="O3171" i="1" s="1"/>
  <c r="P3171" i="1" s="1"/>
  <c r="E3171" i="1"/>
  <c r="H3171" i="1" s="1"/>
  <c r="O3170" i="1"/>
  <c r="P3170" i="1" s="1"/>
  <c r="L3170" i="1"/>
  <c r="I3170" i="1"/>
  <c r="N3170" i="1" s="1"/>
  <c r="H3170" i="1"/>
  <c r="E3170" i="1"/>
  <c r="L3169" i="1"/>
  <c r="H3169" i="1"/>
  <c r="I3169" i="1" s="1"/>
  <c r="N3169" i="1" s="1"/>
  <c r="O3169" i="1" s="1"/>
  <c r="P3169" i="1" s="1"/>
  <c r="E3169" i="1"/>
  <c r="L3168" i="1"/>
  <c r="E3168" i="1"/>
  <c r="H3168" i="1" s="1"/>
  <c r="I3168" i="1" s="1"/>
  <c r="N3168" i="1" s="1"/>
  <c r="O3168" i="1" s="1"/>
  <c r="P3168" i="1" s="1"/>
  <c r="L3167" i="1"/>
  <c r="E3167" i="1"/>
  <c r="H3167" i="1" s="1"/>
  <c r="I3167" i="1" s="1"/>
  <c r="N3167" i="1" s="1"/>
  <c r="O3167" i="1" s="1"/>
  <c r="P3167" i="1" s="1"/>
  <c r="L3166" i="1"/>
  <c r="H3166" i="1"/>
  <c r="I3166" i="1" s="1"/>
  <c r="N3166" i="1" s="1"/>
  <c r="O3166" i="1" s="1"/>
  <c r="P3166" i="1" s="1"/>
  <c r="E3166" i="1"/>
  <c r="N3165" i="1"/>
  <c r="O3165" i="1" s="1"/>
  <c r="P3165" i="1" s="1"/>
  <c r="L3165" i="1"/>
  <c r="I3165" i="1"/>
  <c r="E3165" i="1"/>
  <c r="H3165" i="1" s="1"/>
  <c r="L3164" i="1"/>
  <c r="H3164" i="1"/>
  <c r="I3164" i="1" s="1"/>
  <c r="N3164" i="1" s="1"/>
  <c r="O3164" i="1" s="1"/>
  <c r="P3164" i="1" s="1"/>
  <c r="E3164" i="1"/>
  <c r="L3163" i="1"/>
  <c r="E3163" i="1"/>
  <c r="H3163" i="1" s="1"/>
  <c r="I3163" i="1" s="1"/>
  <c r="N3163" i="1" s="1"/>
  <c r="O3163" i="1" s="1"/>
  <c r="P3163" i="1" s="1"/>
  <c r="L3162" i="1"/>
  <c r="E3162" i="1"/>
  <c r="H3162" i="1" s="1"/>
  <c r="I3162" i="1" s="1"/>
  <c r="N3162" i="1" s="1"/>
  <c r="O3162" i="1" s="1"/>
  <c r="P3162" i="1" s="1"/>
  <c r="L3161" i="1"/>
  <c r="I3161" i="1"/>
  <c r="N3161" i="1" s="1"/>
  <c r="O3161" i="1" s="1"/>
  <c r="P3161" i="1" s="1"/>
  <c r="E3161" i="1"/>
  <c r="H3161" i="1" s="1"/>
  <c r="L3160" i="1"/>
  <c r="H3160" i="1"/>
  <c r="I3160" i="1" s="1"/>
  <c r="N3160" i="1" s="1"/>
  <c r="O3160" i="1" s="1"/>
  <c r="P3160" i="1" s="1"/>
  <c r="E3160" i="1"/>
  <c r="L3159" i="1"/>
  <c r="I3159" i="1"/>
  <c r="E3159" i="1"/>
  <c r="H3159" i="1" s="1"/>
  <c r="L3158" i="1"/>
  <c r="H3158" i="1"/>
  <c r="I3158" i="1" s="1"/>
  <c r="N3158" i="1" s="1"/>
  <c r="O3158" i="1" s="1"/>
  <c r="P3158" i="1" s="1"/>
  <c r="E3158" i="1"/>
  <c r="L3157" i="1"/>
  <c r="H3157" i="1"/>
  <c r="I3157" i="1" s="1"/>
  <c r="E3157" i="1"/>
  <c r="L3156" i="1"/>
  <c r="E3156" i="1"/>
  <c r="H3156" i="1" s="1"/>
  <c r="I3156" i="1" s="1"/>
  <c r="N3156" i="1" s="1"/>
  <c r="O3156" i="1" s="1"/>
  <c r="P3156" i="1" s="1"/>
  <c r="L3155" i="1"/>
  <c r="E3155" i="1"/>
  <c r="H3155" i="1" s="1"/>
  <c r="I3155" i="1" s="1"/>
  <c r="N3155" i="1" s="1"/>
  <c r="O3155" i="1" s="1"/>
  <c r="P3155" i="1" s="1"/>
  <c r="L3154" i="1"/>
  <c r="E3154" i="1"/>
  <c r="H3154" i="1" s="1"/>
  <c r="I3154" i="1" s="1"/>
  <c r="L3153" i="1"/>
  <c r="E3153" i="1"/>
  <c r="H3153" i="1" s="1"/>
  <c r="I3153" i="1" s="1"/>
  <c r="N3153" i="1" s="1"/>
  <c r="O3153" i="1" s="1"/>
  <c r="P3153" i="1" s="1"/>
  <c r="L3152" i="1"/>
  <c r="H3152" i="1"/>
  <c r="I3152" i="1" s="1"/>
  <c r="N3152" i="1" s="1"/>
  <c r="O3152" i="1" s="1"/>
  <c r="P3152" i="1" s="1"/>
  <c r="E3152" i="1"/>
  <c r="N3151" i="1"/>
  <c r="O3151" i="1" s="1"/>
  <c r="P3151" i="1" s="1"/>
  <c r="L3151" i="1"/>
  <c r="E3151" i="1"/>
  <c r="H3151" i="1" s="1"/>
  <c r="I3151" i="1" s="1"/>
  <c r="L3150" i="1"/>
  <c r="I3150" i="1"/>
  <c r="N3150" i="1" s="1"/>
  <c r="O3150" i="1" s="1"/>
  <c r="P3150" i="1" s="1"/>
  <c r="H3150" i="1"/>
  <c r="E3150" i="1"/>
  <c r="P3149" i="1"/>
  <c r="L3149" i="1"/>
  <c r="E3149" i="1"/>
  <c r="H3149" i="1" s="1"/>
  <c r="I3149" i="1" s="1"/>
  <c r="N3149" i="1" s="1"/>
  <c r="O3149" i="1" s="1"/>
  <c r="L3148" i="1"/>
  <c r="I3148" i="1"/>
  <c r="N3148" i="1" s="1"/>
  <c r="O3148" i="1" s="1"/>
  <c r="P3148" i="1" s="1"/>
  <c r="H3148" i="1"/>
  <c r="E3148" i="1"/>
  <c r="L3147" i="1"/>
  <c r="H3147" i="1"/>
  <c r="I3147" i="1" s="1"/>
  <c r="N3147" i="1" s="1"/>
  <c r="O3147" i="1" s="1"/>
  <c r="P3147" i="1" s="1"/>
  <c r="E3147" i="1"/>
  <c r="P3146" i="1"/>
  <c r="O3146" i="1"/>
  <c r="L3146" i="1"/>
  <c r="E3146" i="1"/>
  <c r="H3146" i="1" s="1"/>
  <c r="I3146" i="1" s="1"/>
  <c r="N3146" i="1" s="1"/>
  <c r="L3145" i="1"/>
  <c r="E3145" i="1"/>
  <c r="H3145" i="1" s="1"/>
  <c r="I3145" i="1" s="1"/>
  <c r="N3145" i="1" s="1"/>
  <c r="O3145" i="1" s="1"/>
  <c r="P3145" i="1" s="1"/>
  <c r="L3144" i="1"/>
  <c r="H3144" i="1"/>
  <c r="I3144" i="1" s="1"/>
  <c r="N3144" i="1" s="1"/>
  <c r="O3144" i="1" s="1"/>
  <c r="P3144" i="1" s="1"/>
  <c r="E3144" i="1"/>
  <c r="O3143" i="1"/>
  <c r="P3143" i="1" s="1"/>
  <c r="N3143" i="1"/>
  <c r="L3143" i="1"/>
  <c r="I3143" i="1"/>
  <c r="E3143" i="1"/>
  <c r="H3143" i="1" s="1"/>
  <c r="L3142" i="1"/>
  <c r="H3142" i="1"/>
  <c r="I3142" i="1" s="1"/>
  <c r="N3142" i="1" s="1"/>
  <c r="O3142" i="1" s="1"/>
  <c r="P3142" i="1" s="1"/>
  <c r="E3142" i="1"/>
  <c r="L3141" i="1"/>
  <c r="E3141" i="1"/>
  <c r="H3141" i="1" s="1"/>
  <c r="I3141" i="1" s="1"/>
  <c r="N3141" i="1" s="1"/>
  <c r="O3141" i="1" s="1"/>
  <c r="P3141" i="1" s="1"/>
  <c r="L3140" i="1"/>
  <c r="E3140" i="1"/>
  <c r="H3140" i="1" s="1"/>
  <c r="I3140" i="1" s="1"/>
  <c r="N3140" i="1" s="1"/>
  <c r="O3140" i="1" s="1"/>
  <c r="P3140" i="1" s="1"/>
  <c r="L3139" i="1"/>
  <c r="E3139" i="1"/>
  <c r="H3139" i="1" s="1"/>
  <c r="I3139" i="1" s="1"/>
  <c r="N3139" i="1" s="1"/>
  <c r="O3139" i="1" s="1"/>
  <c r="P3139" i="1" s="1"/>
  <c r="L3138" i="1"/>
  <c r="E3138" i="1"/>
  <c r="H3138" i="1" s="1"/>
  <c r="I3138" i="1" s="1"/>
  <c r="L3137" i="1"/>
  <c r="I3137" i="1"/>
  <c r="N3137" i="1" s="1"/>
  <c r="O3137" i="1" s="1"/>
  <c r="P3137" i="1" s="1"/>
  <c r="E3137" i="1"/>
  <c r="H3137" i="1" s="1"/>
  <c r="L3136" i="1"/>
  <c r="N3136" i="1" s="1"/>
  <c r="O3136" i="1" s="1"/>
  <c r="P3136" i="1" s="1"/>
  <c r="H3136" i="1"/>
  <c r="I3136" i="1" s="1"/>
  <c r="E3136" i="1"/>
  <c r="O3135" i="1"/>
  <c r="P3135" i="1" s="1"/>
  <c r="L3135" i="1"/>
  <c r="E3135" i="1"/>
  <c r="H3135" i="1" s="1"/>
  <c r="I3135" i="1" s="1"/>
  <c r="N3135" i="1" s="1"/>
  <c r="L3134" i="1"/>
  <c r="I3134" i="1"/>
  <c r="N3134" i="1" s="1"/>
  <c r="O3134" i="1" s="1"/>
  <c r="P3134" i="1" s="1"/>
  <c r="H3134" i="1"/>
  <c r="E3134" i="1"/>
  <c r="L3133" i="1"/>
  <c r="H3133" i="1"/>
  <c r="I3133" i="1" s="1"/>
  <c r="N3133" i="1" s="1"/>
  <c r="O3133" i="1" s="1"/>
  <c r="P3133" i="1" s="1"/>
  <c r="E3133" i="1"/>
  <c r="L3132" i="1"/>
  <c r="H3132" i="1"/>
  <c r="I3132" i="1" s="1"/>
  <c r="N3132" i="1" s="1"/>
  <c r="O3132" i="1" s="1"/>
  <c r="P3132" i="1" s="1"/>
  <c r="E3132" i="1"/>
  <c r="L3131" i="1"/>
  <c r="E3131" i="1"/>
  <c r="H3131" i="1" s="1"/>
  <c r="I3131" i="1" s="1"/>
  <c r="N3131" i="1" s="1"/>
  <c r="O3131" i="1" s="1"/>
  <c r="P3131" i="1" s="1"/>
  <c r="L3130" i="1"/>
  <c r="E3130" i="1"/>
  <c r="H3130" i="1" s="1"/>
  <c r="I3130" i="1" s="1"/>
  <c r="N3130" i="1" s="1"/>
  <c r="O3130" i="1" s="1"/>
  <c r="P3130" i="1" s="1"/>
  <c r="L3129" i="1"/>
  <c r="E3129" i="1"/>
  <c r="H3129" i="1" s="1"/>
  <c r="I3129" i="1" s="1"/>
  <c r="N3129" i="1" s="1"/>
  <c r="O3129" i="1" s="1"/>
  <c r="P3129" i="1" s="1"/>
  <c r="L3128" i="1"/>
  <c r="H3128" i="1"/>
  <c r="I3128" i="1" s="1"/>
  <c r="N3128" i="1" s="1"/>
  <c r="O3128" i="1" s="1"/>
  <c r="P3128" i="1" s="1"/>
  <c r="E3128" i="1"/>
  <c r="L3127" i="1"/>
  <c r="E3127" i="1"/>
  <c r="H3127" i="1" s="1"/>
  <c r="I3127" i="1" s="1"/>
  <c r="N3127" i="1" s="1"/>
  <c r="O3127" i="1" s="1"/>
  <c r="P3127" i="1" s="1"/>
  <c r="L3126" i="1"/>
  <c r="I3126" i="1"/>
  <c r="N3126" i="1" s="1"/>
  <c r="O3126" i="1" s="1"/>
  <c r="P3126" i="1" s="1"/>
  <c r="H3126" i="1"/>
  <c r="E3126" i="1"/>
  <c r="L3125" i="1"/>
  <c r="E3125" i="1"/>
  <c r="H3125" i="1" s="1"/>
  <c r="I3125" i="1" s="1"/>
  <c r="N3125" i="1" s="1"/>
  <c r="O3125" i="1" s="1"/>
  <c r="P3125" i="1" s="1"/>
  <c r="L3124" i="1"/>
  <c r="E3124" i="1"/>
  <c r="H3124" i="1" s="1"/>
  <c r="I3124" i="1" s="1"/>
  <c r="N3124" i="1" s="1"/>
  <c r="O3124" i="1" s="1"/>
  <c r="P3124" i="1" s="1"/>
  <c r="L3123" i="1"/>
  <c r="H3123" i="1"/>
  <c r="I3123" i="1" s="1"/>
  <c r="N3123" i="1" s="1"/>
  <c r="O3123" i="1" s="1"/>
  <c r="P3123" i="1" s="1"/>
  <c r="E3123" i="1"/>
  <c r="L3122" i="1"/>
  <c r="E3122" i="1"/>
  <c r="H3122" i="1" s="1"/>
  <c r="I3122" i="1" s="1"/>
  <c r="N3122" i="1" s="1"/>
  <c r="O3122" i="1" s="1"/>
  <c r="P3122" i="1" s="1"/>
  <c r="N3121" i="1"/>
  <c r="O3121" i="1" s="1"/>
  <c r="P3121" i="1" s="1"/>
  <c r="L3121" i="1"/>
  <c r="I3121" i="1"/>
  <c r="E3121" i="1"/>
  <c r="H3121" i="1" s="1"/>
  <c r="L3120" i="1"/>
  <c r="H3120" i="1"/>
  <c r="I3120" i="1" s="1"/>
  <c r="E3120" i="1"/>
  <c r="L3119" i="1"/>
  <c r="I3119" i="1"/>
  <c r="N3119" i="1" s="1"/>
  <c r="O3119" i="1" s="1"/>
  <c r="P3119" i="1" s="1"/>
  <c r="E3119" i="1"/>
  <c r="H3119" i="1" s="1"/>
  <c r="N3118" i="1"/>
  <c r="O3118" i="1" s="1"/>
  <c r="P3118" i="1" s="1"/>
  <c r="L3118" i="1"/>
  <c r="H3118" i="1"/>
  <c r="I3118" i="1" s="1"/>
  <c r="E3118" i="1"/>
  <c r="L3117" i="1"/>
  <c r="E3117" i="1"/>
  <c r="H3117" i="1" s="1"/>
  <c r="I3117" i="1" s="1"/>
  <c r="N3117" i="1" s="1"/>
  <c r="O3117" i="1" s="1"/>
  <c r="P3117" i="1" s="1"/>
  <c r="L3116" i="1"/>
  <c r="E3116" i="1"/>
  <c r="H3116" i="1" s="1"/>
  <c r="I3116" i="1" s="1"/>
  <c r="N3116" i="1" s="1"/>
  <c r="O3116" i="1" s="1"/>
  <c r="P3116" i="1" s="1"/>
  <c r="N3115" i="1"/>
  <c r="O3115" i="1" s="1"/>
  <c r="P3115" i="1" s="1"/>
  <c r="L3115" i="1"/>
  <c r="E3115" i="1"/>
  <c r="H3115" i="1" s="1"/>
  <c r="I3115" i="1" s="1"/>
  <c r="L3114" i="1"/>
  <c r="E3114" i="1"/>
  <c r="H3114" i="1" s="1"/>
  <c r="I3114" i="1" s="1"/>
  <c r="L3113" i="1"/>
  <c r="I3113" i="1"/>
  <c r="N3113" i="1" s="1"/>
  <c r="O3113" i="1" s="1"/>
  <c r="P3113" i="1" s="1"/>
  <c r="H3113" i="1"/>
  <c r="E3113" i="1"/>
  <c r="O3112" i="1"/>
  <c r="P3112" i="1" s="1"/>
  <c r="N3112" i="1"/>
  <c r="L3112" i="1"/>
  <c r="H3112" i="1"/>
  <c r="I3112" i="1" s="1"/>
  <c r="E3112" i="1"/>
  <c r="L3111" i="1"/>
  <c r="I3111" i="1"/>
  <c r="N3111" i="1" s="1"/>
  <c r="O3111" i="1" s="1"/>
  <c r="P3111" i="1" s="1"/>
  <c r="E3111" i="1"/>
  <c r="H3111" i="1" s="1"/>
  <c r="L3110" i="1"/>
  <c r="E3110" i="1"/>
  <c r="H3110" i="1" s="1"/>
  <c r="I3110" i="1" s="1"/>
  <c r="N3110" i="1" s="1"/>
  <c r="O3110" i="1" s="1"/>
  <c r="P3110" i="1" s="1"/>
  <c r="L3109" i="1"/>
  <c r="E3109" i="1"/>
  <c r="H3109" i="1" s="1"/>
  <c r="I3109" i="1" s="1"/>
  <c r="N3109" i="1" s="1"/>
  <c r="O3109" i="1" s="1"/>
  <c r="P3109" i="1" s="1"/>
  <c r="L3108" i="1"/>
  <c r="H3108" i="1"/>
  <c r="I3108" i="1" s="1"/>
  <c r="N3108" i="1" s="1"/>
  <c r="O3108" i="1" s="1"/>
  <c r="P3108" i="1" s="1"/>
  <c r="E3108" i="1"/>
  <c r="L3107" i="1"/>
  <c r="H3107" i="1"/>
  <c r="I3107" i="1" s="1"/>
  <c r="N3107" i="1" s="1"/>
  <c r="O3107" i="1" s="1"/>
  <c r="P3107" i="1" s="1"/>
  <c r="E3107" i="1"/>
  <c r="O3106" i="1"/>
  <c r="P3106" i="1" s="1"/>
  <c r="L3106" i="1"/>
  <c r="E3106" i="1"/>
  <c r="H3106" i="1" s="1"/>
  <c r="I3106" i="1" s="1"/>
  <c r="N3106" i="1" s="1"/>
  <c r="L3105" i="1"/>
  <c r="I3105" i="1"/>
  <c r="H3105" i="1"/>
  <c r="E3105" i="1"/>
  <c r="L3104" i="1"/>
  <c r="I3104" i="1"/>
  <c r="N3104" i="1" s="1"/>
  <c r="O3104" i="1" s="1"/>
  <c r="P3104" i="1" s="1"/>
  <c r="H3104" i="1"/>
  <c r="E3104" i="1"/>
  <c r="L3103" i="1"/>
  <c r="E3103" i="1"/>
  <c r="H3103" i="1" s="1"/>
  <c r="I3103" i="1" s="1"/>
  <c r="N3103" i="1" s="1"/>
  <c r="O3103" i="1" s="1"/>
  <c r="P3103" i="1" s="1"/>
  <c r="L3102" i="1"/>
  <c r="E3102" i="1"/>
  <c r="H3102" i="1" s="1"/>
  <c r="I3102" i="1" s="1"/>
  <c r="N3102" i="1" s="1"/>
  <c r="O3102" i="1" s="1"/>
  <c r="P3102" i="1" s="1"/>
  <c r="L3101" i="1"/>
  <c r="I3101" i="1"/>
  <c r="N3101" i="1" s="1"/>
  <c r="O3101" i="1" s="1"/>
  <c r="P3101" i="1" s="1"/>
  <c r="H3101" i="1"/>
  <c r="E3101" i="1"/>
  <c r="L3100" i="1"/>
  <c r="E3100" i="1"/>
  <c r="H3100" i="1" s="1"/>
  <c r="I3100" i="1" s="1"/>
  <c r="N3100" i="1" s="1"/>
  <c r="O3100" i="1" s="1"/>
  <c r="P3100" i="1" s="1"/>
  <c r="L3099" i="1"/>
  <c r="E3099" i="1"/>
  <c r="H3099" i="1" s="1"/>
  <c r="I3099" i="1" s="1"/>
  <c r="N3099" i="1" s="1"/>
  <c r="O3099" i="1" s="1"/>
  <c r="P3099" i="1" s="1"/>
  <c r="O3098" i="1"/>
  <c r="P3098" i="1" s="1"/>
  <c r="N3098" i="1"/>
  <c r="L3098" i="1"/>
  <c r="E3098" i="1"/>
  <c r="H3098" i="1" s="1"/>
  <c r="I3098" i="1" s="1"/>
  <c r="L3097" i="1"/>
  <c r="I3097" i="1"/>
  <c r="N3097" i="1" s="1"/>
  <c r="O3097" i="1" s="1"/>
  <c r="P3097" i="1" s="1"/>
  <c r="H3097" i="1"/>
  <c r="E3097" i="1"/>
  <c r="L3096" i="1"/>
  <c r="H3096" i="1"/>
  <c r="I3096" i="1" s="1"/>
  <c r="N3096" i="1" s="1"/>
  <c r="O3096" i="1" s="1"/>
  <c r="P3096" i="1" s="1"/>
  <c r="E3096" i="1"/>
  <c r="L3095" i="1"/>
  <c r="H3095" i="1"/>
  <c r="I3095" i="1" s="1"/>
  <c r="N3095" i="1" s="1"/>
  <c r="O3095" i="1" s="1"/>
  <c r="P3095" i="1" s="1"/>
  <c r="E3095" i="1"/>
  <c r="L3094" i="1"/>
  <c r="H3094" i="1"/>
  <c r="I3094" i="1" s="1"/>
  <c r="E3094" i="1"/>
  <c r="L3093" i="1"/>
  <c r="H3093" i="1"/>
  <c r="I3093" i="1" s="1"/>
  <c r="N3093" i="1" s="1"/>
  <c r="O3093" i="1" s="1"/>
  <c r="P3093" i="1" s="1"/>
  <c r="E3093" i="1"/>
  <c r="L3092" i="1"/>
  <c r="H3092" i="1"/>
  <c r="I3092" i="1" s="1"/>
  <c r="N3092" i="1" s="1"/>
  <c r="O3092" i="1" s="1"/>
  <c r="P3092" i="1" s="1"/>
  <c r="E3092" i="1"/>
  <c r="P3091" i="1"/>
  <c r="O3091" i="1"/>
  <c r="L3091" i="1"/>
  <c r="E3091" i="1"/>
  <c r="H3091" i="1" s="1"/>
  <c r="I3091" i="1" s="1"/>
  <c r="N3091" i="1" s="1"/>
  <c r="L3090" i="1"/>
  <c r="N3090" i="1" s="1"/>
  <c r="O3090" i="1" s="1"/>
  <c r="P3090" i="1" s="1"/>
  <c r="E3090" i="1"/>
  <c r="H3090" i="1" s="1"/>
  <c r="I3090" i="1" s="1"/>
  <c r="L3089" i="1"/>
  <c r="N3089" i="1" s="1"/>
  <c r="O3089" i="1" s="1"/>
  <c r="P3089" i="1" s="1"/>
  <c r="I3089" i="1"/>
  <c r="H3089" i="1"/>
  <c r="E3089" i="1"/>
  <c r="L3088" i="1"/>
  <c r="I3088" i="1"/>
  <c r="N3088" i="1" s="1"/>
  <c r="O3088" i="1" s="1"/>
  <c r="P3088" i="1" s="1"/>
  <c r="H3088" i="1"/>
  <c r="E3088" i="1"/>
  <c r="O3087" i="1"/>
  <c r="P3087" i="1" s="1"/>
  <c r="L3087" i="1"/>
  <c r="E3087" i="1"/>
  <c r="H3087" i="1" s="1"/>
  <c r="I3087" i="1" s="1"/>
  <c r="N3087" i="1" s="1"/>
  <c r="N3086" i="1"/>
  <c r="O3086" i="1" s="1"/>
  <c r="P3086" i="1" s="1"/>
  <c r="L3086" i="1"/>
  <c r="H3086" i="1"/>
  <c r="I3086" i="1" s="1"/>
  <c r="E3086" i="1"/>
  <c r="L3085" i="1"/>
  <c r="I3085" i="1"/>
  <c r="E3085" i="1"/>
  <c r="H3085" i="1" s="1"/>
  <c r="L3084" i="1"/>
  <c r="H3084" i="1"/>
  <c r="I3084" i="1" s="1"/>
  <c r="N3084" i="1" s="1"/>
  <c r="O3084" i="1" s="1"/>
  <c r="P3084" i="1" s="1"/>
  <c r="E3084" i="1"/>
  <c r="L3083" i="1"/>
  <c r="H3083" i="1"/>
  <c r="I3083" i="1" s="1"/>
  <c r="E3083" i="1"/>
  <c r="L3082" i="1"/>
  <c r="E3082" i="1"/>
  <c r="H3082" i="1" s="1"/>
  <c r="I3082" i="1" s="1"/>
  <c r="N3082" i="1" s="1"/>
  <c r="O3082" i="1" s="1"/>
  <c r="P3082" i="1" s="1"/>
  <c r="L3081" i="1"/>
  <c r="H3081" i="1"/>
  <c r="I3081" i="1" s="1"/>
  <c r="N3081" i="1" s="1"/>
  <c r="O3081" i="1" s="1"/>
  <c r="P3081" i="1" s="1"/>
  <c r="E3081" i="1"/>
  <c r="O3080" i="1"/>
  <c r="P3080" i="1" s="1"/>
  <c r="L3080" i="1"/>
  <c r="E3080" i="1"/>
  <c r="H3080" i="1" s="1"/>
  <c r="I3080" i="1" s="1"/>
  <c r="N3080" i="1" s="1"/>
  <c r="N3079" i="1"/>
  <c r="O3079" i="1" s="1"/>
  <c r="P3079" i="1" s="1"/>
  <c r="L3079" i="1"/>
  <c r="E3079" i="1"/>
  <c r="H3079" i="1" s="1"/>
  <c r="I3079" i="1" s="1"/>
  <c r="N3078" i="1"/>
  <c r="O3078" i="1" s="1"/>
  <c r="P3078" i="1" s="1"/>
  <c r="L3078" i="1"/>
  <c r="H3078" i="1"/>
  <c r="I3078" i="1" s="1"/>
  <c r="E3078" i="1"/>
  <c r="L3077" i="1"/>
  <c r="I3077" i="1"/>
  <c r="E3077" i="1"/>
  <c r="H3077" i="1" s="1"/>
  <c r="L3076" i="1"/>
  <c r="H3076" i="1"/>
  <c r="I3076" i="1" s="1"/>
  <c r="N3076" i="1" s="1"/>
  <c r="O3076" i="1" s="1"/>
  <c r="P3076" i="1" s="1"/>
  <c r="E3076" i="1"/>
  <c r="L3075" i="1"/>
  <c r="H3075" i="1"/>
  <c r="I3075" i="1" s="1"/>
  <c r="E3075" i="1"/>
  <c r="L3074" i="1"/>
  <c r="E3074" i="1"/>
  <c r="H3074" i="1" s="1"/>
  <c r="I3074" i="1" s="1"/>
  <c r="N3074" i="1" s="1"/>
  <c r="O3074" i="1" s="1"/>
  <c r="P3074" i="1" s="1"/>
  <c r="L3073" i="1"/>
  <c r="H3073" i="1"/>
  <c r="I3073" i="1" s="1"/>
  <c r="N3073" i="1" s="1"/>
  <c r="O3073" i="1" s="1"/>
  <c r="P3073" i="1" s="1"/>
  <c r="E3073" i="1"/>
  <c r="L3072" i="1"/>
  <c r="E3072" i="1"/>
  <c r="H3072" i="1" s="1"/>
  <c r="I3072" i="1" s="1"/>
  <c r="N3072" i="1" s="1"/>
  <c r="O3072" i="1" s="1"/>
  <c r="P3072" i="1" s="1"/>
  <c r="N3071" i="1"/>
  <c r="O3071" i="1" s="1"/>
  <c r="P3071" i="1" s="1"/>
  <c r="L3071" i="1"/>
  <c r="E3071" i="1"/>
  <c r="H3071" i="1" s="1"/>
  <c r="I3071" i="1" s="1"/>
  <c r="L3070" i="1"/>
  <c r="H3070" i="1"/>
  <c r="I3070" i="1" s="1"/>
  <c r="N3070" i="1" s="1"/>
  <c r="O3070" i="1" s="1"/>
  <c r="P3070" i="1" s="1"/>
  <c r="E3070" i="1"/>
  <c r="L3069" i="1"/>
  <c r="I3069" i="1"/>
  <c r="E3069" i="1"/>
  <c r="H3069" i="1" s="1"/>
  <c r="L3068" i="1"/>
  <c r="H3068" i="1"/>
  <c r="I3068" i="1" s="1"/>
  <c r="N3068" i="1" s="1"/>
  <c r="O3068" i="1" s="1"/>
  <c r="P3068" i="1" s="1"/>
  <c r="E3068" i="1"/>
  <c r="L3067" i="1"/>
  <c r="H3067" i="1"/>
  <c r="I3067" i="1" s="1"/>
  <c r="E3067" i="1"/>
  <c r="L3066" i="1"/>
  <c r="E3066" i="1"/>
  <c r="H3066" i="1" s="1"/>
  <c r="I3066" i="1" s="1"/>
  <c r="N3066" i="1" s="1"/>
  <c r="O3066" i="1" s="1"/>
  <c r="P3066" i="1" s="1"/>
  <c r="L3065" i="1"/>
  <c r="H3065" i="1"/>
  <c r="I3065" i="1" s="1"/>
  <c r="N3065" i="1" s="1"/>
  <c r="O3065" i="1" s="1"/>
  <c r="P3065" i="1" s="1"/>
  <c r="E3065" i="1"/>
  <c r="L3064" i="1"/>
  <c r="E3064" i="1"/>
  <c r="H3064" i="1" s="1"/>
  <c r="I3064" i="1" s="1"/>
  <c r="N3064" i="1" s="1"/>
  <c r="O3064" i="1" s="1"/>
  <c r="P3064" i="1" s="1"/>
  <c r="N3063" i="1"/>
  <c r="O3063" i="1" s="1"/>
  <c r="P3063" i="1" s="1"/>
  <c r="L3063" i="1"/>
  <c r="E3063" i="1"/>
  <c r="H3063" i="1" s="1"/>
  <c r="I3063" i="1" s="1"/>
  <c r="L3062" i="1"/>
  <c r="H3062" i="1"/>
  <c r="I3062" i="1" s="1"/>
  <c r="N3062" i="1" s="1"/>
  <c r="O3062" i="1" s="1"/>
  <c r="P3062" i="1" s="1"/>
  <c r="E3062" i="1"/>
  <c r="L3061" i="1"/>
  <c r="I3061" i="1"/>
  <c r="E3061" i="1"/>
  <c r="H3061" i="1" s="1"/>
  <c r="L3060" i="1"/>
  <c r="H3060" i="1"/>
  <c r="I3060" i="1" s="1"/>
  <c r="N3060" i="1" s="1"/>
  <c r="O3060" i="1" s="1"/>
  <c r="P3060" i="1" s="1"/>
  <c r="E3060" i="1"/>
  <c r="L3059" i="1"/>
  <c r="E3059" i="1"/>
  <c r="H3059" i="1" s="1"/>
  <c r="I3059" i="1" s="1"/>
  <c r="N3059" i="1" s="1"/>
  <c r="O3059" i="1" s="1"/>
  <c r="P3059" i="1" s="1"/>
  <c r="L3058" i="1"/>
  <c r="I3058" i="1"/>
  <c r="E3058" i="1"/>
  <c r="H3058" i="1" s="1"/>
  <c r="L3057" i="1"/>
  <c r="H3057" i="1"/>
  <c r="I3057" i="1" s="1"/>
  <c r="N3057" i="1" s="1"/>
  <c r="O3057" i="1" s="1"/>
  <c r="P3057" i="1" s="1"/>
  <c r="E3057" i="1"/>
  <c r="P3056" i="1"/>
  <c r="O3056" i="1"/>
  <c r="L3056" i="1"/>
  <c r="H3056" i="1"/>
  <c r="I3056" i="1" s="1"/>
  <c r="N3056" i="1" s="1"/>
  <c r="E3056" i="1"/>
  <c r="L3055" i="1"/>
  <c r="I3055" i="1"/>
  <c r="N3055" i="1" s="1"/>
  <c r="O3055" i="1" s="1"/>
  <c r="P3055" i="1" s="1"/>
  <c r="E3055" i="1"/>
  <c r="H3055" i="1" s="1"/>
  <c r="L3054" i="1"/>
  <c r="H3054" i="1"/>
  <c r="I3054" i="1" s="1"/>
  <c r="N3054" i="1" s="1"/>
  <c r="O3054" i="1" s="1"/>
  <c r="P3054" i="1" s="1"/>
  <c r="E3054" i="1"/>
  <c r="P3053" i="1"/>
  <c r="L3053" i="1"/>
  <c r="E3053" i="1"/>
  <c r="H3053" i="1" s="1"/>
  <c r="I3053" i="1" s="1"/>
  <c r="N3053" i="1" s="1"/>
  <c r="O3053" i="1" s="1"/>
  <c r="L3052" i="1"/>
  <c r="I3052" i="1"/>
  <c r="N3052" i="1" s="1"/>
  <c r="O3052" i="1" s="1"/>
  <c r="P3052" i="1" s="1"/>
  <c r="H3052" i="1"/>
  <c r="E3052" i="1"/>
  <c r="L3051" i="1"/>
  <c r="E3051" i="1"/>
  <c r="H3051" i="1" s="1"/>
  <c r="I3051" i="1" s="1"/>
  <c r="N3051" i="1" s="1"/>
  <c r="O3051" i="1" s="1"/>
  <c r="P3051" i="1" s="1"/>
  <c r="L3050" i="1"/>
  <c r="I3050" i="1"/>
  <c r="E3050" i="1"/>
  <c r="H3050" i="1" s="1"/>
  <c r="L3049" i="1"/>
  <c r="H3049" i="1"/>
  <c r="I3049" i="1" s="1"/>
  <c r="N3049" i="1" s="1"/>
  <c r="O3049" i="1" s="1"/>
  <c r="P3049" i="1" s="1"/>
  <c r="E3049" i="1"/>
  <c r="L3048" i="1"/>
  <c r="E3048" i="1"/>
  <c r="H3048" i="1" s="1"/>
  <c r="I3048" i="1" s="1"/>
  <c r="N3048" i="1" s="1"/>
  <c r="O3048" i="1" s="1"/>
  <c r="P3048" i="1" s="1"/>
  <c r="N3047" i="1"/>
  <c r="O3047" i="1" s="1"/>
  <c r="P3047" i="1" s="1"/>
  <c r="L3047" i="1"/>
  <c r="I3047" i="1"/>
  <c r="E3047" i="1"/>
  <c r="H3047" i="1" s="1"/>
  <c r="L3046" i="1"/>
  <c r="H3046" i="1"/>
  <c r="I3046" i="1" s="1"/>
  <c r="N3046" i="1" s="1"/>
  <c r="O3046" i="1" s="1"/>
  <c r="P3046" i="1" s="1"/>
  <c r="E3046" i="1"/>
  <c r="P3045" i="1"/>
  <c r="O3045" i="1"/>
  <c r="L3045" i="1"/>
  <c r="I3045" i="1"/>
  <c r="N3045" i="1" s="1"/>
  <c r="E3045" i="1"/>
  <c r="H3045" i="1" s="1"/>
  <c r="L3044" i="1"/>
  <c r="I3044" i="1"/>
  <c r="N3044" i="1" s="1"/>
  <c r="O3044" i="1" s="1"/>
  <c r="P3044" i="1" s="1"/>
  <c r="H3044" i="1"/>
  <c r="E3044" i="1"/>
  <c r="L3043" i="1"/>
  <c r="H3043" i="1"/>
  <c r="I3043" i="1" s="1"/>
  <c r="N3043" i="1" s="1"/>
  <c r="O3043" i="1" s="1"/>
  <c r="P3043" i="1" s="1"/>
  <c r="E3043" i="1"/>
  <c r="L3042" i="1"/>
  <c r="E3042" i="1"/>
  <c r="H3042" i="1" s="1"/>
  <c r="I3042" i="1" s="1"/>
  <c r="N3042" i="1" s="1"/>
  <c r="O3042" i="1" s="1"/>
  <c r="P3042" i="1" s="1"/>
  <c r="N3041" i="1"/>
  <c r="O3041" i="1" s="1"/>
  <c r="P3041" i="1" s="1"/>
  <c r="L3041" i="1"/>
  <c r="E3041" i="1"/>
  <c r="H3041" i="1" s="1"/>
  <c r="I3041" i="1" s="1"/>
  <c r="L3040" i="1"/>
  <c r="H3040" i="1"/>
  <c r="I3040" i="1" s="1"/>
  <c r="N3040" i="1" s="1"/>
  <c r="O3040" i="1" s="1"/>
  <c r="P3040" i="1" s="1"/>
  <c r="E3040" i="1"/>
  <c r="L3039" i="1"/>
  <c r="I3039" i="1"/>
  <c r="N3039" i="1" s="1"/>
  <c r="O3039" i="1" s="1"/>
  <c r="P3039" i="1" s="1"/>
  <c r="E3039" i="1"/>
  <c r="H3039" i="1" s="1"/>
  <c r="P3038" i="1"/>
  <c r="O3038" i="1"/>
  <c r="N3038" i="1"/>
  <c r="L3038" i="1"/>
  <c r="H3038" i="1"/>
  <c r="I3038" i="1" s="1"/>
  <c r="E3038" i="1"/>
  <c r="N3037" i="1"/>
  <c r="O3037" i="1" s="1"/>
  <c r="P3037" i="1" s="1"/>
  <c r="L3037" i="1"/>
  <c r="I3037" i="1"/>
  <c r="E3037" i="1"/>
  <c r="H3037" i="1" s="1"/>
  <c r="L3036" i="1"/>
  <c r="H3036" i="1"/>
  <c r="I3036" i="1" s="1"/>
  <c r="N3036" i="1" s="1"/>
  <c r="O3036" i="1" s="1"/>
  <c r="P3036" i="1" s="1"/>
  <c r="E3036" i="1"/>
  <c r="L3035" i="1"/>
  <c r="H3035" i="1"/>
  <c r="I3035" i="1" s="1"/>
  <c r="N3035" i="1" s="1"/>
  <c r="O3035" i="1" s="1"/>
  <c r="P3035" i="1" s="1"/>
  <c r="E3035" i="1"/>
  <c r="O3034" i="1"/>
  <c r="P3034" i="1" s="1"/>
  <c r="L3034" i="1"/>
  <c r="E3034" i="1"/>
  <c r="H3034" i="1" s="1"/>
  <c r="I3034" i="1" s="1"/>
  <c r="N3034" i="1" s="1"/>
  <c r="L3033" i="1"/>
  <c r="I3033" i="1"/>
  <c r="N3033" i="1" s="1"/>
  <c r="O3033" i="1" s="1"/>
  <c r="P3033" i="1" s="1"/>
  <c r="H3033" i="1"/>
  <c r="E3033" i="1"/>
  <c r="L3032" i="1"/>
  <c r="E3032" i="1"/>
  <c r="H3032" i="1" s="1"/>
  <c r="I3032" i="1" s="1"/>
  <c r="N3032" i="1" s="1"/>
  <c r="O3032" i="1" s="1"/>
  <c r="P3032" i="1" s="1"/>
  <c r="L3031" i="1"/>
  <c r="H3031" i="1"/>
  <c r="I3031" i="1" s="1"/>
  <c r="N3031" i="1" s="1"/>
  <c r="O3031" i="1" s="1"/>
  <c r="P3031" i="1" s="1"/>
  <c r="E3031" i="1"/>
  <c r="L3030" i="1"/>
  <c r="E3030" i="1"/>
  <c r="H3030" i="1" s="1"/>
  <c r="I3030" i="1" s="1"/>
  <c r="N3030" i="1" s="1"/>
  <c r="O3030" i="1" s="1"/>
  <c r="P3030" i="1" s="1"/>
  <c r="O3029" i="1"/>
  <c r="P3029" i="1" s="1"/>
  <c r="L3029" i="1"/>
  <c r="H3029" i="1"/>
  <c r="I3029" i="1" s="1"/>
  <c r="N3029" i="1" s="1"/>
  <c r="E3029" i="1"/>
  <c r="N3028" i="1"/>
  <c r="O3028" i="1" s="1"/>
  <c r="P3028" i="1" s="1"/>
  <c r="L3028" i="1"/>
  <c r="E3028" i="1"/>
  <c r="H3028" i="1" s="1"/>
  <c r="I3028" i="1" s="1"/>
  <c r="L3027" i="1"/>
  <c r="I3027" i="1"/>
  <c r="H3027" i="1"/>
  <c r="E3027" i="1"/>
  <c r="L3026" i="1"/>
  <c r="I3026" i="1"/>
  <c r="N3026" i="1" s="1"/>
  <c r="O3026" i="1" s="1"/>
  <c r="P3026" i="1" s="1"/>
  <c r="H3026" i="1"/>
  <c r="E3026" i="1"/>
  <c r="L3025" i="1"/>
  <c r="E3025" i="1"/>
  <c r="H3025" i="1" s="1"/>
  <c r="I3025" i="1" s="1"/>
  <c r="N3025" i="1" s="1"/>
  <c r="O3025" i="1" s="1"/>
  <c r="P3025" i="1" s="1"/>
  <c r="L3024" i="1"/>
  <c r="E3024" i="1"/>
  <c r="H3024" i="1" s="1"/>
  <c r="I3024" i="1" s="1"/>
  <c r="N3024" i="1" s="1"/>
  <c r="O3024" i="1" s="1"/>
  <c r="P3024" i="1" s="1"/>
  <c r="P3023" i="1"/>
  <c r="L3023" i="1"/>
  <c r="H3023" i="1"/>
  <c r="I3023" i="1" s="1"/>
  <c r="N3023" i="1" s="1"/>
  <c r="O3023" i="1" s="1"/>
  <c r="E3023" i="1"/>
  <c r="O3022" i="1"/>
  <c r="P3022" i="1" s="1"/>
  <c r="L3022" i="1"/>
  <c r="E3022" i="1"/>
  <c r="H3022" i="1" s="1"/>
  <c r="I3022" i="1" s="1"/>
  <c r="N3022" i="1" s="1"/>
  <c r="L3021" i="1"/>
  <c r="H3021" i="1"/>
  <c r="I3021" i="1" s="1"/>
  <c r="N3021" i="1" s="1"/>
  <c r="O3021" i="1" s="1"/>
  <c r="P3021" i="1" s="1"/>
  <c r="E3021" i="1"/>
  <c r="N3020" i="1"/>
  <c r="O3020" i="1" s="1"/>
  <c r="P3020" i="1" s="1"/>
  <c r="L3020" i="1"/>
  <c r="E3020" i="1"/>
  <c r="H3020" i="1" s="1"/>
  <c r="I3020" i="1" s="1"/>
  <c r="L3019" i="1"/>
  <c r="I3019" i="1"/>
  <c r="H3019" i="1"/>
  <c r="E3019" i="1"/>
  <c r="L3018" i="1"/>
  <c r="I3018" i="1"/>
  <c r="N3018" i="1" s="1"/>
  <c r="O3018" i="1" s="1"/>
  <c r="P3018" i="1" s="1"/>
  <c r="H3018" i="1"/>
  <c r="E3018" i="1"/>
  <c r="L3017" i="1"/>
  <c r="H3017" i="1"/>
  <c r="I3017" i="1" s="1"/>
  <c r="N3017" i="1" s="1"/>
  <c r="O3017" i="1" s="1"/>
  <c r="P3017" i="1" s="1"/>
  <c r="E3017" i="1"/>
  <c r="L3016" i="1"/>
  <c r="E3016" i="1"/>
  <c r="H3016" i="1" s="1"/>
  <c r="I3016" i="1" s="1"/>
  <c r="N3016" i="1" s="1"/>
  <c r="O3016" i="1" s="1"/>
  <c r="P3016" i="1" s="1"/>
  <c r="P3015" i="1"/>
  <c r="L3015" i="1"/>
  <c r="H3015" i="1"/>
  <c r="I3015" i="1" s="1"/>
  <c r="N3015" i="1" s="1"/>
  <c r="O3015" i="1" s="1"/>
  <c r="E3015" i="1"/>
  <c r="L3014" i="1"/>
  <c r="E3014" i="1"/>
  <c r="H3014" i="1" s="1"/>
  <c r="I3014" i="1" s="1"/>
  <c r="N3014" i="1" s="1"/>
  <c r="O3014" i="1" s="1"/>
  <c r="P3014" i="1" s="1"/>
  <c r="L3013" i="1"/>
  <c r="H3013" i="1"/>
  <c r="I3013" i="1" s="1"/>
  <c r="N3013" i="1" s="1"/>
  <c r="O3013" i="1" s="1"/>
  <c r="P3013" i="1" s="1"/>
  <c r="E3013" i="1"/>
  <c r="L3012" i="1"/>
  <c r="E3012" i="1"/>
  <c r="H3012" i="1" s="1"/>
  <c r="I3012" i="1" s="1"/>
  <c r="N3012" i="1" s="1"/>
  <c r="O3012" i="1" s="1"/>
  <c r="P3012" i="1" s="1"/>
  <c r="L3011" i="1"/>
  <c r="I3011" i="1"/>
  <c r="H3011" i="1"/>
  <c r="E3011" i="1"/>
  <c r="L3010" i="1"/>
  <c r="H3010" i="1"/>
  <c r="I3010" i="1" s="1"/>
  <c r="N3010" i="1" s="1"/>
  <c r="O3010" i="1" s="1"/>
  <c r="P3010" i="1" s="1"/>
  <c r="E3010" i="1"/>
  <c r="L3009" i="1"/>
  <c r="E3009" i="1"/>
  <c r="H3009" i="1" s="1"/>
  <c r="I3009" i="1" s="1"/>
  <c r="N3009" i="1" s="1"/>
  <c r="O3009" i="1" s="1"/>
  <c r="P3009" i="1" s="1"/>
  <c r="L3008" i="1"/>
  <c r="E3008" i="1"/>
  <c r="H3008" i="1" s="1"/>
  <c r="I3008" i="1" s="1"/>
  <c r="N3008" i="1" s="1"/>
  <c r="O3008" i="1" s="1"/>
  <c r="P3008" i="1" s="1"/>
  <c r="L3007" i="1"/>
  <c r="H3007" i="1"/>
  <c r="I3007" i="1" s="1"/>
  <c r="N3007" i="1" s="1"/>
  <c r="O3007" i="1" s="1"/>
  <c r="P3007" i="1" s="1"/>
  <c r="E3007" i="1"/>
  <c r="L3006" i="1"/>
  <c r="E3006" i="1"/>
  <c r="H3006" i="1" s="1"/>
  <c r="I3006" i="1" s="1"/>
  <c r="N3006" i="1" s="1"/>
  <c r="O3006" i="1" s="1"/>
  <c r="P3006" i="1" s="1"/>
  <c r="N3005" i="1"/>
  <c r="O3005" i="1" s="1"/>
  <c r="P3005" i="1" s="1"/>
  <c r="L3005" i="1"/>
  <c r="H3005" i="1"/>
  <c r="I3005" i="1" s="1"/>
  <c r="E3005" i="1"/>
  <c r="L3004" i="1"/>
  <c r="I3004" i="1"/>
  <c r="N3004" i="1" s="1"/>
  <c r="O3004" i="1" s="1"/>
  <c r="P3004" i="1" s="1"/>
  <c r="E3004" i="1"/>
  <c r="H3004" i="1" s="1"/>
  <c r="L3003" i="1"/>
  <c r="I3003" i="1"/>
  <c r="H3003" i="1"/>
  <c r="E3003" i="1"/>
  <c r="L3002" i="1"/>
  <c r="H3002" i="1"/>
  <c r="I3002" i="1" s="1"/>
  <c r="N3002" i="1" s="1"/>
  <c r="O3002" i="1" s="1"/>
  <c r="P3002" i="1" s="1"/>
  <c r="E3002" i="1"/>
  <c r="L3001" i="1"/>
  <c r="H3001" i="1"/>
  <c r="I3001" i="1" s="1"/>
  <c r="N3001" i="1" s="1"/>
  <c r="O3001" i="1" s="1"/>
  <c r="P3001" i="1" s="1"/>
  <c r="E3001" i="1"/>
  <c r="L3000" i="1"/>
  <c r="E3000" i="1"/>
  <c r="H3000" i="1" s="1"/>
  <c r="I3000" i="1" s="1"/>
  <c r="N3000" i="1" s="1"/>
  <c r="O3000" i="1" s="1"/>
  <c r="P3000" i="1" s="1"/>
  <c r="L2999" i="1"/>
  <c r="H2999" i="1"/>
  <c r="I2999" i="1" s="1"/>
  <c r="N2999" i="1" s="1"/>
  <c r="O2999" i="1" s="1"/>
  <c r="P2999" i="1" s="1"/>
  <c r="E2999" i="1"/>
  <c r="N2998" i="1"/>
  <c r="O2998" i="1" s="1"/>
  <c r="P2998" i="1" s="1"/>
  <c r="L2998" i="1"/>
  <c r="E2998" i="1"/>
  <c r="H2998" i="1" s="1"/>
  <c r="I2998" i="1" s="1"/>
  <c r="O2997" i="1"/>
  <c r="P2997" i="1" s="1"/>
  <c r="N2997" i="1"/>
  <c r="L2997" i="1"/>
  <c r="H2997" i="1"/>
  <c r="I2997" i="1" s="1"/>
  <c r="E2997" i="1"/>
  <c r="L2996" i="1"/>
  <c r="E2996" i="1"/>
  <c r="H2996" i="1" s="1"/>
  <c r="I2996" i="1" s="1"/>
  <c r="N2996" i="1" s="1"/>
  <c r="O2996" i="1" s="1"/>
  <c r="P2996" i="1" s="1"/>
  <c r="L2995" i="1"/>
  <c r="I2995" i="1"/>
  <c r="H2995" i="1"/>
  <c r="E2995" i="1"/>
  <c r="L2994" i="1"/>
  <c r="E2994" i="1"/>
  <c r="H2994" i="1" s="1"/>
  <c r="I2994" i="1" s="1"/>
  <c r="N2994" i="1" s="1"/>
  <c r="O2994" i="1" s="1"/>
  <c r="P2994" i="1" s="1"/>
  <c r="L2993" i="1"/>
  <c r="H2993" i="1"/>
  <c r="I2993" i="1" s="1"/>
  <c r="N2993" i="1" s="1"/>
  <c r="O2993" i="1" s="1"/>
  <c r="P2993" i="1" s="1"/>
  <c r="E2993" i="1"/>
  <c r="L2992" i="1"/>
  <c r="E2992" i="1"/>
  <c r="H2992" i="1" s="1"/>
  <c r="I2992" i="1" s="1"/>
  <c r="N2992" i="1" s="1"/>
  <c r="O2992" i="1" s="1"/>
  <c r="P2992" i="1" s="1"/>
  <c r="O2991" i="1"/>
  <c r="P2991" i="1" s="1"/>
  <c r="L2991" i="1"/>
  <c r="H2991" i="1"/>
  <c r="I2991" i="1" s="1"/>
  <c r="N2991" i="1" s="1"/>
  <c r="E2991" i="1"/>
  <c r="L2990" i="1"/>
  <c r="E2990" i="1"/>
  <c r="H2990" i="1" s="1"/>
  <c r="I2990" i="1" s="1"/>
  <c r="N2990" i="1" s="1"/>
  <c r="O2990" i="1" s="1"/>
  <c r="P2990" i="1" s="1"/>
  <c r="N2989" i="1"/>
  <c r="O2989" i="1" s="1"/>
  <c r="P2989" i="1" s="1"/>
  <c r="L2989" i="1"/>
  <c r="H2989" i="1"/>
  <c r="I2989" i="1" s="1"/>
  <c r="E2989" i="1"/>
  <c r="L2988" i="1"/>
  <c r="I2988" i="1"/>
  <c r="N2988" i="1" s="1"/>
  <c r="O2988" i="1" s="1"/>
  <c r="P2988" i="1" s="1"/>
  <c r="E2988" i="1"/>
  <c r="H2988" i="1" s="1"/>
  <c r="L2987" i="1"/>
  <c r="H2987" i="1"/>
  <c r="I2987" i="1" s="1"/>
  <c r="N2987" i="1" s="1"/>
  <c r="O2987" i="1" s="1"/>
  <c r="P2987" i="1" s="1"/>
  <c r="E2987" i="1"/>
  <c r="L2986" i="1"/>
  <c r="H2986" i="1"/>
  <c r="I2986" i="1" s="1"/>
  <c r="N2986" i="1" s="1"/>
  <c r="O2986" i="1" s="1"/>
  <c r="P2986" i="1" s="1"/>
  <c r="E2986" i="1"/>
  <c r="L2985" i="1"/>
  <c r="E2985" i="1"/>
  <c r="H2985" i="1" s="1"/>
  <c r="I2985" i="1" s="1"/>
  <c r="N2985" i="1" s="1"/>
  <c r="O2985" i="1" s="1"/>
  <c r="P2985" i="1" s="1"/>
  <c r="P2984" i="1"/>
  <c r="L2984" i="1"/>
  <c r="E2984" i="1"/>
  <c r="H2984" i="1" s="1"/>
  <c r="I2984" i="1" s="1"/>
  <c r="N2984" i="1" s="1"/>
  <c r="O2984" i="1" s="1"/>
  <c r="P2983" i="1"/>
  <c r="O2983" i="1"/>
  <c r="L2983" i="1"/>
  <c r="H2983" i="1"/>
  <c r="I2983" i="1" s="1"/>
  <c r="N2983" i="1" s="1"/>
  <c r="E2983" i="1"/>
  <c r="L2982" i="1"/>
  <c r="E2982" i="1"/>
  <c r="H2982" i="1" s="1"/>
  <c r="I2982" i="1" s="1"/>
  <c r="N2982" i="1" s="1"/>
  <c r="O2982" i="1" s="1"/>
  <c r="P2982" i="1" s="1"/>
  <c r="L2981" i="1"/>
  <c r="H2981" i="1"/>
  <c r="I2981" i="1" s="1"/>
  <c r="N2981" i="1" s="1"/>
  <c r="O2981" i="1" s="1"/>
  <c r="P2981" i="1" s="1"/>
  <c r="E2981" i="1"/>
  <c r="L2980" i="1"/>
  <c r="E2980" i="1"/>
  <c r="H2980" i="1" s="1"/>
  <c r="I2980" i="1" s="1"/>
  <c r="L2979" i="1"/>
  <c r="H2979" i="1"/>
  <c r="I2979" i="1" s="1"/>
  <c r="N2979" i="1" s="1"/>
  <c r="O2979" i="1" s="1"/>
  <c r="P2979" i="1" s="1"/>
  <c r="E2979" i="1"/>
  <c r="L2978" i="1"/>
  <c r="E2978" i="1"/>
  <c r="H2978" i="1" s="1"/>
  <c r="I2978" i="1" s="1"/>
  <c r="N2978" i="1" s="1"/>
  <c r="O2978" i="1" s="1"/>
  <c r="P2978" i="1" s="1"/>
  <c r="L2977" i="1"/>
  <c r="E2977" i="1"/>
  <c r="H2977" i="1" s="1"/>
  <c r="I2977" i="1" s="1"/>
  <c r="N2977" i="1" s="1"/>
  <c r="O2977" i="1" s="1"/>
  <c r="P2977" i="1" s="1"/>
  <c r="L2976" i="1"/>
  <c r="E2976" i="1"/>
  <c r="H2976" i="1" s="1"/>
  <c r="I2976" i="1" s="1"/>
  <c r="N2976" i="1" s="1"/>
  <c r="O2976" i="1" s="1"/>
  <c r="P2976" i="1" s="1"/>
  <c r="O2975" i="1"/>
  <c r="P2975" i="1" s="1"/>
  <c r="L2975" i="1"/>
  <c r="H2975" i="1"/>
  <c r="I2975" i="1" s="1"/>
  <c r="N2975" i="1" s="1"/>
  <c r="E2975" i="1"/>
  <c r="N2974" i="1"/>
  <c r="O2974" i="1" s="1"/>
  <c r="P2974" i="1" s="1"/>
  <c r="L2974" i="1"/>
  <c r="E2974" i="1"/>
  <c r="H2974" i="1" s="1"/>
  <c r="I2974" i="1" s="1"/>
  <c r="L2973" i="1"/>
  <c r="H2973" i="1"/>
  <c r="I2973" i="1" s="1"/>
  <c r="N2973" i="1" s="1"/>
  <c r="O2973" i="1" s="1"/>
  <c r="P2973" i="1" s="1"/>
  <c r="E2973" i="1"/>
  <c r="N2972" i="1"/>
  <c r="O2972" i="1" s="1"/>
  <c r="P2972" i="1" s="1"/>
  <c r="L2972" i="1"/>
  <c r="I2972" i="1"/>
  <c r="E2972" i="1"/>
  <c r="H2972" i="1" s="1"/>
  <c r="L2971" i="1"/>
  <c r="H2971" i="1"/>
  <c r="I2971" i="1" s="1"/>
  <c r="N2971" i="1" s="1"/>
  <c r="O2971" i="1" s="1"/>
  <c r="P2971" i="1" s="1"/>
  <c r="E2971" i="1"/>
  <c r="L2970" i="1"/>
  <c r="H2970" i="1"/>
  <c r="I2970" i="1" s="1"/>
  <c r="N2970" i="1" s="1"/>
  <c r="O2970" i="1" s="1"/>
  <c r="P2970" i="1" s="1"/>
  <c r="E2970" i="1"/>
  <c r="L2969" i="1"/>
  <c r="E2969" i="1"/>
  <c r="H2969" i="1" s="1"/>
  <c r="I2969" i="1" s="1"/>
  <c r="N2969" i="1" s="1"/>
  <c r="O2969" i="1" s="1"/>
  <c r="P2969" i="1" s="1"/>
  <c r="L2968" i="1"/>
  <c r="E2968" i="1"/>
  <c r="H2968" i="1" s="1"/>
  <c r="I2968" i="1" s="1"/>
  <c r="N2968" i="1" s="1"/>
  <c r="O2968" i="1" s="1"/>
  <c r="P2968" i="1" s="1"/>
  <c r="L2967" i="1"/>
  <c r="H2967" i="1"/>
  <c r="I2967" i="1" s="1"/>
  <c r="N2967" i="1" s="1"/>
  <c r="O2967" i="1" s="1"/>
  <c r="P2967" i="1" s="1"/>
  <c r="E2967" i="1"/>
  <c r="O2966" i="1"/>
  <c r="P2966" i="1" s="1"/>
  <c r="N2966" i="1"/>
  <c r="L2966" i="1"/>
  <c r="E2966" i="1"/>
  <c r="H2966" i="1" s="1"/>
  <c r="I2966" i="1" s="1"/>
  <c r="N2965" i="1"/>
  <c r="O2965" i="1" s="1"/>
  <c r="P2965" i="1" s="1"/>
  <c r="L2965" i="1"/>
  <c r="H2965" i="1"/>
  <c r="I2965" i="1" s="1"/>
  <c r="E2965" i="1"/>
  <c r="L2964" i="1"/>
  <c r="E2964" i="1"/>
  <c r="H2964" i="1" s="1"/>
  <c r="I2964" i="1" s="1"/>
  <c r="N2964" i="1" s="1"/>
  <c r="O2964" i="1" s="1"/>
  <c r="P2964" i="1" s="1"/>
  <c r="L2963" i="1"/>
  <c r="I2963" i="1"/>
  <c r="H2963" i="1"/>
  <c r="E2963" i="1"/>
  <c r="L2962" i="1"/>
  <c r="E2962" i="1"/>
  <c r="H2962" i="1" s="1"/>
  <c r="I2962" i="1" s="1"/>
  <c r="N2962" i="1" s="1"/>
  <c r="O2962" i="1" s="1"/>
  <c r="P2962" i="1" s="1"/>
  <c r="L2961" i="1"/>
  <c r="E2961" i="1"/>
  <c r="H2961" i="1" s="1"/>
  <c r="I2961" i="1" s="1"/>
  <c r="N2961" i="1" s="1"/>
  <c r="O2961" i="1" s="1"/>
  <c r="P2961" i="1" s="1"/>
  <c r="L2960" i="1"/>
  <c r="E2960" i="1"/>
  <c r="H2960" i="1" s="1"/>
  <c r="I2960" i="1" s="1"/>
  <c r="N2960" i="1" s="1"/>
  <c r="O2960" i="1" s="1"/>
  <c r="P2960" i="1" s="1"/>
  <c r="L2959" i="1"/>
  <c r="H2959" i="1"/>
  <c r="I2959" i="1" s="1"/>
  <c r="N2959" i="1" s="1"/>
  <c r="O2959" i="1" s="1"/>
  <c r="P2959" i="1" s="1"/>
  <c r="E2959" i="1"/>
  <c r="L2958" i="1"/>
  <c r="E2958" i="1"/>
  <c r="H2958" i="1" s="1"/>
  <c r="I2958" i="1" s="1"/>
  <c r="N2958" i="1" s="1"/>
  <c r="O2958" i="1" s="1"/>
  <c r="P2958" i="1" s="1"/>
  <c r="N2957" i="1"/>
  <c r="O2957" i="1" s="1"/>
  <c r="P2957" i="1" s="1"/>
  <c r="L2957" i="1"/>
  <c r="H2957" i="1"/>
  <c r="I2957" i="1" s="1"/>
  <c r="E2957" i="1"/>
  <c r="L2956" i="1"/>
  <c r="E2956" i="1"/>
  <c r="H2956" i="1" s="1"/>
  <c r="I2956" i="1" s="1"/>
  <c r="N2956" i="1" s="1"/>
  <c r="O2956" i="1" s="1"/>
  <c r="P2956" i="1" s="1"/>
  <c r="L2955" i="1"/>
  <c r="H2955" i="1"/>
  <c r="I2955" i="1" s="1"/>
  <c r="N2955" i="1" s="1"/>
  <c r="O2955" i="1" s="1"/>
  <c r="P2955" i="1" s="1"/>
  <c r="E2955" i="1"/>
  <c r="L2954" i="1"/>
  <c r="I2954" i="1"/>
  <c r="N2954" i="1" s="1"/>
  <c r="O2954" i="1" s="1"/>
  <c r="P2954" i="1" s="1"/>
  <c r="E2954" i="1"/>
  <c r="H2954" i="1" s="1"/>
  <c r="L2953" i="1"/>
  <c r="E2953" i="1"/>
  <c r="H2953" i="1" s="1"/>
  <c r="I2953" i="1" s="1"/>
  <c r="N2953" i="1" s="1"/>
  <c r="O2953" i="1" s="1"/>
  <c r="P2953" i="1" s="1"/>
  <c r="L2952" i="1"/>
  <c r="I2952" i="1"/>
  <c r="N2952" i="1" s="1"/>
  <c r="O2952" i="1" s="1"/>
  <c r="P2952" i="1" s="1"/>
  <c r="E2952" i="1"/>
  <c r="H2952" i="1" s="1"/>
  <c r="L2951" i="1"/>
  <c r="H2951" i="1"/>
  <c r="I2951" i="1" s="1"/>
  <c r="N2951" i="1" s="1"/>
  <c r="O2951" i="1" s="1"/>
  <c r="P2951" i="1" s="1"/>
  <c r="E2951" i="1"/>
  <c r="O2950" i="1"/>
  <c r="P2950" i="1" s="1"/>
  <c r="N2950" i="1"/>
  <c r="L2950" i="1"/>
  <c r="E2950" i="1"/>
  <c r="H2950" i="1" s="1"/>
  <c r="I2950" i="1" s="1"/>
  <c r="L2949" i="1"/>
  <c r="N2949" i="1" s="1"/>
  <c r="O2949" i="1" s="1"/>
  <c r="P2949" i="1" s="1"/>
  <c r="H2949" i="1"/>
  <c r="I2949" i="1" s="1"/>
  <c r="E2949" i="1"/>
  <c r="L2948" i="1"/>
  <c r="E2948" i="1"/>
  <c r="H2948" i="1" s="1"/>
  <c r="I2948" i="1" s="1"/>
  <c r="N2948" i="1" s="1"/>
  <c r="O2948" i="1" s="1"/>
  <c r="P2948" i="1" s="1"/>
  <c r="L2947" i="1"/>
  <c r="I2947" i="1"/>
  <c r="N2947" i="1" s="1"/>
  <c r="O2947" i="1" s="1"/>
  <c r="P2947" i="1" s="1"/>
  <c r="H2947" i="1"/>
  <c r="E2947" i="1"/>
  <c r="L2946" i="1"/>
  <c r="H2946" i="1"/>
  <c r="I2946" i="1" s="1"/>
  <c r="N2946" i="1" s="1"/>
  <c r="O2946" i="1" s="1"/>
  <c r="P2946" i="1" s="1"/>
  <c r="E2946" i="1"/>
  <c r="L2945" i="1"/>
  <c r="H2945" i="1"/>
  <c r="I2945" i="1" s="1"/>
  <c r="E2945" i="1"/>
  <c r="L2944" i="1"/>
  <c r="E2944" i="1"/>
  <c r="H2944" i="1" s="1"/>
  <c r="I2944" i="1" s="1"/>
  <c r="N2944" i="1" s="1"/>
  <c r="O2944" i="1" s="1"/>
  <c r="P2944" i="1" s="1"/>
  <c r="O2943" i="1"/>
  <c r="P2943" i="1" s="1"/>
  <c r="L2943" i="1"/>
  <c r="H2943" i="1"/>
  <c r="I2943" i="1" s="1"/>
  <c r="N2943" i="1" s="1"/>
  <c r="E2943" i="1"/>
  <c r="L2942" i="1"/>
  <c r="E2942" i="1"/>
  <c r="H2942" i="1" s="1"/>
  <c r="I2942" i="1" s="1"/>
  <c r="N2942" i="1" s="1"/>
  <c r="O2942" i="1" s="1"/>
  <c r="P2942" i="1" s="1"/>
  <c r="O2941" i="1"/>
  <c r="P2941" i="1" s="1"/>
  <c r="N2941" i="1"/>
  <c r="L2941" i="1"/>
  <c r="H2941" i="1"/>
  <c r="I2941" i="1" s="1"/>
  <c r="E2941" i="1"/>
  <c r="L2940" i="1"/>
  <c r="I2940" i="1"/>
  <c r="E2940" i="1"/>
  <c r="H2940" i="1" s="1"/>
  <c r="L2939" i="1"/>
  <c r="H2939" i="1"/>
  <c r="I2939" i="1" s="1"/>
  <c r="N2939" i="1" s="1"/>
  <c r="O2939" i="1" s="1"/>
  <c r="P2939" i="1" s="1"/>
  <c r="E2939" i="1"/>
  <c r="N2938" i="1"/>
  <c r="O2938" i="1" s="1"/>
  <c r="P2938" i="1" s="1"/>
  <c r="L2938" i="1"/>
  <c r="E2938" i="1"/>
  <c r="H2938" i="1" s="1"/>
  <c r="I2938" i="1" s="1"/>
  <c r="L2937" i="1"/>
  <c r="H2937" i="1"/>
  <c r="I2937" i="1" s="1"/>
  <c r="N2937" i="1" s="1"/>
  <c r="O2937" i="1" s="1"/>
  <c r="P2937" i="1" s="1"/>
  <c r="E2937" i="1"/>
  <c r="P2936" i="1"/>
  <c r="L2936" i="1"/>
  <c r="E2936" i="1"/>
  <c r="H2936" i="1" s="1"/>
  <c r="I2936" i="1" s="1"/>
  <c r="N2936" i="1" s="1"/>
  <c r="O2936" i="1" s="1"/>
  <c r="L2935" i="1"/>
  <c r="H2935" i="1"/>
  <c r="I2935" i="1" s="1"/>
  <c r="N2935" i="1" s="1"/>
  <c r="O2935" i="1" s="1"/>
  <c r="P2935" i="1" s="1"/>
  <c r="E2935" i="1"/>
  <c r="L2934" i="1"/>
  <c r="E2934" i="1"/>
  <c r="H2934" i="1" s="1"/>
  <c r="I2934" i="1" s="1"/>
  <c r="N2934" i="1" s="1"/>
  <c r="O2934" i="1" s="1"/>
  <c r="P2934" i="1" s="1"/>
  <c r="O2933" i="1"/>
  <c r="P2933" i="1" s="1"/>
  <c r="N2933" i="1"/>
  <c r="L2933" i="1"/>
  <c r="H2933" i="1"/>
  <c r="I2933" i="1" s="1"/>
  <c r="E2933" i="1"/>
  <c r="L2932" i="1"/>
  <c r="I2932" i="1"/>
  <c r="N2932" i="1" s="1"/>
  <c r="O2932" i="1" s="1"/>
  <c r="P2932" i="1" s="1"/>
  <c r="E2932" i="1"/>
  <c r="H2932" i="1" s="1"/>
  <c r="L2931" i="1"/>
  <c r="I2931" i="1"/>
  <c r="N2931" i="1" s="1"/>
  <c r="O2931" i="1" s="1"/>
  <c r="P2931" i="1" s="1"/>
  <c r="H2931" i="1"/>
  <c r="E2931" i="1"/>
  <c r="L2930" i="1"/>
  <c r="E2930" i="1"/>
  <c r="H2930" i="1" s="1"/>
  <c r="I2930" i="1" s="1"/>
  <c r="N2930" i="1" s="1"/>
  <c r="O2930" i="1" s="1"/>
  <c r="P2930" i="1" s="1"/>
  <c r="L2929" i="1"/>
  <c r="H2929" i="1"/>
  <c r="I2929" i="1" s="1"/>
  <c r="N2929" i="1" s="1"/>
  <c r="O2929" i="1" s="1"/>
  <c r="P2929" i="1" s="1"/>
  <c r="E2929" i="1"/>
  <c r="L2928" i="1"/>
  <c r="E2928" i="1"/>
  <c r="H2928" i="1" s="1"/>
  <c r="I2928" i="1" s="1"/>
  <c r="N2928" i="1" s="1"/>
  <c r="O2928" i="1" s="1"/>
  <c r="P2928" i="1" s="1"/>
  <c r="O2927" i="1"/>
  <c r="P2927" i="1" s="1"/>
  <c r="L2927" i="1"/>
  <c r="H2927" i="1"/>
  <c r="I2927" i="1" s="1"/>
  <c r="N2927" i="1" s="1"/>
  <c r="E2927" i="1"/>
  <c r="L2926" i="1"/>
  <c r="E2926" i="1"/>
  <c r="H2926" i="1" s="1"/>
  <c r="I2926" i="1" s="1"/>
  <c r="N2926" i="1" s="1"/>
  <c r="O2926" i="1" s="1"/>
  <c r="P2926" i="1" s="1"/>
  <c r="L2925" i="1"/>
  <c r="H2925" i="1"/>
  <c r="I2925" i="1" s="1"/>
  <c r="N2925" i="1" s="1"/>
  <c r="O2925" i="1" s="1"/>
  <c r="P2925" i="1" s="1"/>
  <c r="E2925" i="1"/>
  <c r="L2924" i="1"/>
  <c r="E2924" i="1"/>
  <c r="H2924" i="1" s="1"/>
  <c r="I2924" i="1" s="1"/>
  <c r="N2924" i="1" s="1"/>
  <c r="O2924" i="1" s="1"/>
  <c r="P2924" i="1" s="1"/>
  <c r="L2923" i="1"/>
  <c r="I2923" i="1"/>
  <c r="N2923" i="1" s="1"/>
  <c r="O2923" i="1" s="1"/>
  <c r="P2923" i="1" s="1"/>
  <c r="H2923" i="1"/>
  <c r="E2923" i="1"/>
  <c r="L2922" i="1"/>
  <c r="E2922" i="1"/>
  <c r="H2922" i="1" s="1"/>
  <c r="I2922" i="1" s="1"/>
  <c r="N2922" i="1" s="1"/>
  <c r="O2922" i="1" s="1"/>
  <c r="P2922" i="1" s="1"/>
  <c r="L2921" i="1"/>
  <c r="E2921" i="1"/>
  <c r="H2921" i="1" s="1"/>
  <c r="I2921" i="1" s="1"/>
  <c r="N2921" i="1" s="1"/>
  <c r="O2921" i="1" s="1"/>
  <c r="P2921" i="1" s="1"/>
  <c r="L2920" i="1"/>
  <c r="H2920" i="1"/>
  <c r="I2920" i="1" s="1"/>
  <c r="N2920" i="1" s="1"/>
  <c r="O2920" i="1" s="1"/>
  <c r="P2920" i="1" s="1"/>
  <c r="E2920" i="1"/>
  <c r="L2919" i="1"/>
  <c r="E2919" i="1"/>
  <c r="H2919" i="1" s="1"/>
  <c r="I2919" i="1" s="1"/>
  <c r="N2919" i="1" s="1"/>
  <c r="O2919" i="1" s="1"/>
  <c r="P2919" i="1" s="1"/>
  <c r="L2918" i="1"/>
  <c r="E2918" i="1"/>
  <c r="H2918" i="1" s="1"/>
  <c r="I2918" i="1" s="1"/>
  <c r="N2918" i="1" s="1"/>
  <c r="O2918" i="1" s="1"/>
  <c r="P2918" i="1" s="1"/>
  <c r="O2917" i="1"/>
  <c r="P2917" i="1" s="1"/>
  <c r="L2917" i="1"/>
  <c r="N2917" i="1" s="1"/>
  <c r="H2917" i="1"/>
  <c r="I2917" i="1" s="1"/>
  <c r="E2917" i="1"/>
  <c r="L2916" i="1"/>
  <c r="E2916" i="1"/>
  <c r="H2916" i="1" s="1"/>
  <c r="I2916" i="1" s="1"/>
  <c r="L2915" i="1"/>
  <c r="I2915" i="1"/>
  <c r="N2915" i="1" s="1"/>
  <c r="O2915" i="1" s="1"/>
  <c r="P2915" i="1" s="1"/>
  <c r="H2915" i="1"/>
  <c r="E2915" i="1"/>
  <c r="L2914" i="1"/>
  <c r="H2914" i="1"/>
  <c r="I2914" i="1" s="1"/>
  <c r="N2914" i="1" s="1"/>
  <c r="O2914" i="1" s="1"/>
  <c r="P2914" i="1" s="1"/>
  <c r="E2914" i="1"/>
  <c r="P2913" i="1"/>
  <c r="L2913" i="1"/>
  <c r="E2913" i="1"/>
  <c r="H2913" i="1" s="1"/>
  <c r="I2913" i="1" s="1"/>
  <c r="N2913" i="1" s="1"/>
  <c r="O2913" i="1" s="1"/>
  <c r="L2912" i="1"/>
  <c r="E2912" i="1"/>
  <c r="H2912" i="1" s="1"/>
  <c r="I2912" i="1" s="1"/>
  <c r="N2912" i="1" s="1"/>
  <c r="O2912" i="1" s="1"/>
  <c r="P2912" i="1" s="1"/>
  <c r="N2911" i="1"/>
  <c r="O2911" i="1" s="1"/>
  <c r="P2911" i="1" s="1"/>
  <c r="L2911" i="1"/>
  <c r="E2911" i="1"/>
  <c r="H2911" i="1" s="1"/>
  <c r="I2911" i="1" s="1"/>
  <c r="L2910" i="1"/>
  <c r="H2910" i="1"/>
  <c r="I2910" i="1" s="1"/>
  <c r="E2910" i="1"/>
  <c r="L2909" i="1"/>
  <c r="I2909" i="1"/>
  <c r="N2909" i="1" s="1"/>
  <c r="O2909" i="1" s="1"/>
  <c r="P2909" i="1" s="1"/>
  <c r="E2909" i="1"/>
  <c r="H2909" i="1" s="1"/>
  <c r="L2908" i="1"/>
  <c r="H2908" i="1"/>
  <c r="I2908" i="1" s="1"/>
  <c r="N2908" i="1" s="1"/>
  <c r="O2908" i="1" s="1"/>
  <c r="P2908" i="1" s="1"/>
  <c r="E2908" i="1"/>
  <c r="L2907" i="1"/>
  <c r="E2907" i="1"/>
  <c r="H2907" i="1" s="1"/>
  <c r="I2907" i="1" s="1"/>
  <c r="N2907" i="1" s="1"/>
  <c r="O2907" i="1" s="1"/>
  <c r="P2907" i="1" s="1"/>
  <c r="L2906" i="1"/>
  <c r="H2906" i="1"/>
  <c r="I2906" i="1" s="1"/>
  <c r="N2906" i="1" s="1"/>
  <c r="O2906" i="1" s="1"/>
  <c r="P2906" i="1" s="1"/>
  <c r="E2906" i="1"/>
  <c r="P2905" i="1"/>
  <c r="L2905" i="1"/>
  <c r="E2905" i="1"/>
  <c r="H2905" i="1" s="1"/>
  <c r="I2905" i="1" s="1"/>
  <c r="N2905" i="1" s="1"/>
  <c r="O2905" i="1" s="1"/>
  <c r="L2904" i="1"/>
  <c r="E2904" i="1"/>
  <c r="H2904" i="1" s="1"/>
  <c r="I2904" i="1" s="1"/>
  <c r="N2904" i="1" s="1"/>
  <c r="O2904" i="1" s="1"/>
  <c r="P2904" i="1" s="1"/>
  <c r="N2903" i="1"/>
  <c r="O2903" i="1" s="1"/>
  <c r="P2903" i="1" s="1"/>
  <c r="L2903" i="1"/>
  <c r="E2903" i="1"/>
  <c r="H2903" i="1" s="1"/>
  <c r="I2903" i="1" s="1"/>
  <c r="L2902" i="1"/>
  <c r="H2902" i="1"/>
  <c r="I2902" i="1" s="1"/>
  <c r="E2902" i="1"/>
  <c r="L2901" i="1"/>
  <c r="E2901" i="1"/>
  <c r="H2901" i="1" s="1"/>
  <c r="I2901" i="1" s="1"/>
  <c r="N2901" i="1" s="1"/>
  <c r="O2901" i="1" s="1"/>
  <c r="P2901" i="1" s="1"/>
  <c r="L2900" i="1"/>
  <c r="H2900" i="1"/>
  <c r="I2900" i="1" s="1"/>
  <c r="N2900" i="1" s="1"/>
  <c r="O2900" i="1" s="1"/>
  <c r="P2900" i="1" s="1"/>
  <c r="E2900" i="1"/>
  <c r="L2899" i="1"/>
  <c r="E2899" i="1"/>
  <c r="H2899" i="1" s="1"/>
  <c r="I2899" i="1" s="1"/>
  <c r="N2899" i="1" s="1"/>
  <c r="O2899" i="1" s="1"/>
  <c r="P2899" i="1" s="1"/>
  <c r="L2898" i="1"/>
  <c r="H2898" i="1"/>
  <c r="I2898" i="1" s="1"/>
  <c r="N2898" i="1" s="1"/>
  <c r="O2898" i="1" s="1"/>
  <c r="P2898" i="1" s="1"/>
  <c r="E2898" i="1"/>
  <c r="P2897" i="1"/>
  <c r="L2897" i="1"/>
  <c r="E2897" i="1"/>
  <c r="H2897" i="1" s="1"/>
  <c r="I2897" i="1" s="1"/>
  <c r="N2897" i="1" s="1"/>
  <c r="O2897" i="1" s="1"/>
  <c r="L2896" i="1"/>
  <c r="E2896" i="1"/>
  <c r="H2896" i="1" s="1"/>
  <c r="I2896" i="1" s="1"/>
  <c r="N2896" i="1" s="1"/>
  <c r="O2896" i="1" s="1"/>
  <c r="P2896" i="1" s="1"/>
  <c r="L2895" i="1"/>
  <c r="E2895" i="1"/>
  <c r="H2895" i="1" s="1"/>
  <c r="I2895" i="1" s="1"/>
  <c r="N2895" i="1" s="1"/>
  <c r="O2895" i="1" s="1"/>
  <c r="P2895" i="1" s="1"/>
  <c r="L2894" i="1"/>
  <c r="H2894" i="1"/>
  <c r="I2894" i="1" s="1"/>
  <c r="E2894" i="1"/>
  <c r="L2893" i="1"/>
  <c r="I2893" i="1"/>
  <c r="N2893" i="1" s="1"/>
  <c r="O2893" i="1" s="1"/>
  <c r="P2893" i="1" s="1"/>
  <c r="E2893" i="1"/>
  <c r="H2893" i="1" s="1"/>
  <c r="L2892" i="1"/>
  <c r="H2892" i="1"/>
  <c r="I2892" i="1" s="1"/>
  <c r="N2892" i="1" s="1"/>
  <c r="O2892" i="1" s="1"/>
  <c r="P2892" i="1" s="1"/>
  <c r="E2892" i="1"/>
  <c r="L2891" i="1"/>
  <c r="E2891" i="1"/>
  <c r="H2891" i="1" s="1"/>
  <c r="I2891" i="1" s="1"/>
  <c r="N2891" i="1" s="1"/>
  <c r="O2891" i="1" s="1"/>
  <c r="P2891" i="1" s="1"/>
  <c r="L2890" i="1"/>
  <c r="H2890" i="1"/>
  <c r="I2890" i="1" s="1"/>
  <c r="N2890" i="1" s="1"/>
  <c r="O2890" i="1" s="1"/>
  <c r="P2890" i="1" s="1"/>
  <c r="E2890" i="1"/>
  <c r="P2889" i="1"/>
  <c r="L2889" i="1"/>
  <c r="E2889" i="1"/>
  <c r="H2889" i="1" s="1"/>
  <c r="I2889" i="1" s="1"/>
  <c r="N2889" i="1" s="1"/>
  <c r="O2889" i="1" s="1"/>
  <c r="O2888" i="1"/>
  <c r="P2888" i="1" s="1"/>
  <c r="L2888" i="1"/>
  <c r="E2888" i="1"/>
  <c r="H2888" i="1" s="1"/>
  <c r="I2888" i="1" s="1"/>
  <c r="N2888" i="1" s="1"/>
  <c r="L2887" i="1"/>
  <c r="E2887" i="1"/>
  <c r="H2887" i="1" s="1"/>
  <c r="I2887" i="1" s="1"/>
  <c r="N2887" i="1" s="1"/>
  <c r="O2887" i="1" s="1"/>
  <c r="P2887" i="1" s="1"/>
  <c r="L2886" i="1"/>
  <c r="H2886" i="1"/>
  <c r="I2886" i="1" s="1"/>
  <c r="N2886" i="1" s="1"/>
  <c r="O2886" i="1" s="1"/>
  <c r="P2886" i="1" s="1"/>
  <c r="E2886" i="1"/>
  <c r="L2885" i="1"/>
  <c r="E2885" i="1"/>
  <c r="H2885" i="1" s="1"/>
  <c r="I2885" i="1" s="1"/>
  <c r="N2885" i="1" s="1"/>
  <c r="O2885" i="1" s="1"/>
  <c r="P2885" i="1" s="1"/>
  <c r="L2884" i="1"/>
  <c r="H2884" i="1"/>
  <c r="I2884" i="1" s="1"/>
  <c r="N2884" i="1" s="1"/>
  <c r="O2884" i="1" s="1"/>
  <c r="P2884" i="1" s="1"/>
  <c r="E2884" i="1"/>
  <c r="L2883" i="1"/>
  <c r="E2883" i="1"/>
  <c r="H2883" i="1" s="1"/>
  <c r="I2883" i="1" s="1"/>
  <c r="N2883" i="1" s="1"/>
  <c r="O2883" i="1" s="1"/>
  <c r="P2883" i="1" s="1"/>
  <c r="L2882" i="1"/>
  <c r="H2882" i="1"/>
  <c r="I2882" i="1" s="1"/>
  <c r="N2882" i="1" s="1"/>
  <c r="O2882" i="1" s="1"/>
  <c r="P2882" i="1" s="1"/>
  <c r="E2882" i="1"/>
  <c r="L2881" i="1"/>
  <c r="E2881" i="1"/>
  <c r="H2881" i="1" s="1"/>
  <c r="I2881" i="1" s="1"/>
  <c r="N2881" i="1" s="1"/>
  <c r="O2881" i="1" s="1"/>
  <c r="P2881" i="1" s="1"/>
  <c r="L2880" i="1"/>
  <c r="E2880" i="1"/>
  <c r="H2880" i="1" s="1"/>
  <c r="I2880" i="1" s="1"/>
  <c r="L2879" i="1"/>
  <c r="E2879" i="1"/>
  <c r="H2879" i="1" s="1"/>
  <c r="I2879" i="1" s="1"/>
  <c r="N2879" i="1" s="1"/>
  <c r="O2879" i="1" s="1"/>
  <c r="P2879" i="1" s="1"/>
  <c r="L2878" i="1"/>
  <c r="H2878" i="1"/>
  <c r="I2878" i="1" s="1"/>
  <c r="N2878" i="1" s="1"/>
  <c r="O2878" i="1" s="1"/>
  <c r="P2878" i="1" s="1"/>
  <c r="E2878" i="1"/>
  <c r="L2877" i="1"/>
  <c r="E2877" i="1"/>
  <c r="H2877" i="1" s="1"/>
  <c r="I2877" i="1" s="1"/>
  <c r="N2877" i="1" s="1"/>
  <c r="O2877" i="1" s="1"/>
  <c r="P2877" i="1" s="1"/>
  <c r="L2876" i="1"/>
  <c r="H2876" i="1"/>
  <c r="I2876" i="1" s="1"/>
  <c r="N2876" i="1" s="1"/>
  <c r="O2876" i="1" s="1"/>
  <c r="P2876" i="1" s="1"/>
  <c r="E2876" i="1"/>
  <c r="P2875" i="1"/>
  <c r="L2875" i="1"/>
  <c r="E2875" i="1"/>
  <c r="H2875" i="1" s="1"/>
  <c r="I2875" i="1" s="1"/>
  <c r="N2875" i="1" s="1"/>
  <c r="O2875" i="1" s="1"/>
  <c r="L2874" i="1"/>
  <c r="H2874" i="1"/>
  <c r="I2874" i="1" s="1"/>
  <c r="N2874" i="1" s="1"/>
  <c r="O2874" i="1" s="1"/>
  <c r="P2874" i="1" s="1"/>
  <c r="E2874" i="1"/>
  <c r="L2873" i="1"/>
  <c r="E2873" i="1"/>
  <c r="H2873" i="1" s="1"/>
  <c r="I2873" i="1" s="1"/>
  <c r="N2873" i="1" s="1"/>
  <c r="O2873" i="1" s="1"/>
  <c r="P2873" i="1" s="1"/>
  <c r="N2872" i="1"/>
  <c r="O2872" i="1" s="1"/>
  <c r="P2872" i="1" s="1"/>
  <c r="L2872" i="1"/>
  <c r="E2872" i="1"/>
  <c r="H2872" i="1" s="1"/>
  <c r="I2872" i="1" s="1"/>
  <c r="L2871" i="1"/>
  <c r="E2871" i="1"/>
  <c r="H2871" i="1" s="1"/>
  <c r="I2871" i="1" s="1"/>
  <c r="N2871" i="1" s="1"/>
  <c r="O2871" i="1" s="1"/>
  <c r="P2871" i="1" s="1"/>
  <c r="L2870" i="1"/>
  <c r="I2870" i="1"/>
  <c r="N2870" i="1" s="1"/>
  <c r="O2870" i="1" s="1"/>
  <c r="P2870" i="1" s="1"/>
  <c r="H2870" i="1"/>
  <c r="E2870" i="1"/>
  <c r="L2869" i="1"/>
  <c r="E2869" i="1"/>
  <c r="H2869" i="1" s="1"/>
  <c r="I2869" i="1" s="1"/>
  <c r="N2869" i="1" s="1"/>
  <c r="O2869" i="1" s="1"/>
  <c r="P2869" i="1" s="1"/>
  <c r="L2868" i="1"/>
  <c r="H2868" i="1"/>
  <c r="I2868" i="1" s="1"/>
  <c r="N2868" i="1" s="1"/>
  <c r="O2868" i="1" s="1"/>
  <c r="P2868" i="1" s="1"/>
  <c r="E2868" i="1"/>
  <c r="P2867" i="1"/>
  <c r="L2867" i="1"/>
  <c r="E2867" i="1"/>
  <c r="H2867" i="1" s="1"/>
  <c r="I2867" i="1" s="1"/>
  <c r="N2867" i="1" s="1"/>
  <c r="O2867" i="1" s="1"/>
  <c r="L2866" i="1"/>
  <c r="H2866" i="1"/>
  <c r="I2866" i="1" s="1"/>
  <c r="N2866" i="1" s="1"/>
  <c r="O2866" i="1" s="1"/>
  <c r="P2866" i="1" s="1"/>
  <c r="E2866" i="1"/>
  <c r="N2865" i="1"/>
  <c r="O2865" i="1" s="1"/>
  <c r="P2865" i="1" s="1"/>
  <c r="L2865" i="1"/>
  <c r="E2865" i="1"/>
  <c r="H2865" i="1" s="1"/>
  <c r="I2865" i="1" s="1"/>
  <c r="N2864" i="1"/>
  <c r="O2864" i="1" s="1"/>
  <c r="P2864" i="1" s="1"/>
  <c r="L2864" i="1"/>
  <c r="E2864" i="1"/>
  <c r="H2864" i="1" s="1"/>
  <c r="I2864" i="1" s="1"/>
  <c r="L2863" i="1"/>
  <c r="E2863" i="1"/>
  <c r="H2863" i="1" s="1"/>
  <c r="I2863" i="1" s="1"/>
  <c r="N2863" i="1" s="1"/>
  <c r="O2863" i="1" s="1"/>
  <c r="P2863" i="1" s="1"/>
  <c r="L2862" i="1"/>
  <c r="I2862" i="1"/>
  <c r="N2862" i="1" s="1"/>
  <c r="O2862" i="1" s="1"/>
  <c r="P2862" i="1" s="1"/>
  <c r="H2862" i="1"/>
  <c r="E2862" i="1"/>
  <c r="L2861" i="1"/>
  <c r="E2861" i="1"/>
  <c r="H2861" i="1" s="1"/>
  <c r="I2861" i="1" s="1"/>
  <c r="N2861" i="1" s="1"/>
  <c r="O2861" i="1" s="1"/>
  <c r="P2861" i="1" s="1"/>
  <c r="L2860" i="1"/>
  <c r="H2860" i="1"/>
  <c r="I2860" i="1" s="1"/>
  <c r="N2860" i="1" s="1"/>
  <c r="O2860" i="1" s="1"/>
  <c r="P2860" i="1" s="1"/>
  <c r="E2860" i="1"/>
  <c r="P2859" i="1"/>
  <c r="L2859" i="1"/>
  <c r="E2859" i="1"/>
  <c r="H2859" i="1" s="1"/>
  <c r="I2859" i="1" s="1"/>
  <c r="N2859" i="1" s="1"/>
  <c r="O2859" i="1" s="1"/>
  <c r="L2858" i="1"/>
  <c r="H2858" i="1"/>
  <c r="I2858" i="1" s="1"/>
  <c r="N2858" i="1" s="1"/>
  <c r="O2858" i="1" s="1"/>
  <c r="P2858" i="1" s="1"/>
  <c r="E2858" i="1"/>
  <c r="N2857" i="1"/>
  <c r="O2857" i="1" s="1"/>
  <c r="P2857" i="1" s="1"/>
  <c r="L2857" i="1"/>
  <c r="E2857" i="1"/>
  <c r="H2857" i="1" s="1"/>
  <c r="I2857" i="1" s="1"/>
  <c r="N2856" i="1"/>
  <c r="O2856" i="1" s="1"/>
  <c r="P2856" i="1" s="1"/>
  <c r="L2856" i="1"/>
  <c r="E2856" i="1"/>
  <c r="H2856" i="1" s="1"/>
  <c r="I2856" i="1" s="1"/>
  <c r="L2855" i="1"/>
  <c r="E2855" i="1"/>
  <c r="H2855" i="1" s="1"/>
  <c r="I2855" i="1" s="1"/>
  <c r="N2855" i="1" s="1"/>
  <c r="O2855" i="1" s="1"/>
  <c r="P2855" i="1" s="1"/>
  <c r="L2854" i="1"/>
  <c r="I2854" i="1"/>
  <c r="N2854" i="1" s="1"/>
  <c r="O2854" i="1" s="1"/>
  <c r="P2854" i="1" s="1"/>
  <c r="H2854" i="1"/>
  <c r="E2854" i="1"/>
  <c r="L2853" i="1"/>
  <c r="E2853" i="1"/>
  <c r="H2853" i="1" s="1"/>
  <c r="I2853" i="1" s="1"/>
  <c r="N2853" i="1" s="1"/>
  <c r="O2853" i="1" s="1"/>
  <c r="P2853" i="1" s="1"/>
  <c r="L2852" i="1"/>
  <c r="H2852" i="1"/>
  <c r="I2852" i="1" s="1"/>
  <c r="N2852" i="1" s="1"/>
  <c r="O2852" i="1" s="1"/>
  <c r="P2852" i="1" s="1"/>
  <c r="E2852" i="1"/>
  <c r="P2851" i="1"/>
  <c r="L2851" i="1"/>
  <c r="E2851" i="1"/>
  <c r="H2851" i="1" s="1"/>
  <c r="I2851" i="1" s="1"/>
  <c r="N2851" i="1" s="1"/>
  <c r="O2851" i="1" s="1"/>
  <c r="L2850" i="1"/>
  <c r="H2850" i="1"/>
  <c r="I2850" i="1" s="1"/>
  <c r="N2850" i="1" s="1"/>
  <c r="O2850" i="1" s="1"/>
  <c r="P2850" i="1" s="1"/>
  <c r="E2850" i="1"/>
  <c r="N2849" i="1"/>
  <c r="O2849" i="1" s="1"/>
  <c r="P2849" i="1" s="1"/>
  <c r="L2849" i="1"/>
  <c r="E2849" i="1"/>
  <c r="H2849" i="1" s="1"/>
  <c r="I2849" i="1" s="1"/>
  <c r="N2848" i="1"/>
  <c r="O2848" i="1" s="1"/>
  <c r="P2848" i="1" s="1"/>
  <c r="L2848" i="1"/>
  <c r="E2848" i="1"/>
  <c r="H2848" i="1" s="1"/>
  <c r="I2848" i="1" s="1"/>
  <c r="L2847" i="1"/>
  <c r="E2847" i="1"/>
  <c r="H2847" i="1" s="1"/>
  <c r="I2847" i="1" s="1"/>
  <c r="N2847" i="1" s="1"/>
  <c r="O2847" i="1" s="1"/>
  <c r="P2847" i="1" s="1"/>
  <c r="L2846" i="1"/>
  <c r="I2846" i="1"/>
  <c r="N2846" i="1" s="1"/>
  <c r="O2846" i="1" s="1"/>
  <c r="P2846" i="1" s="1"/>
  <c r="H2846" i="1"/>
  <c r="E2846" i="1"/>
  <c r="L2845" i="1"/>
  <c r="E2845" i="1"/>
  <c r="H2845" i="1" s="1"/>
  <c r="I2845" i="1" s="1"/>
  <c r="N2845" i="1" s="1"/>
  <c r="O2845" i="1" s="1"/>
  <c r="P2845" i="1" s="1"/>
  <c r="L2844" i="1"/>
  <c r="H2844" i="1"/>
  <c r="I2844" i="1" s="1"/>
  <c r="N2844" i="1" s="1"/>
  <c r="O2844" i="1" s="1"/>
  <c r="P2844" i="1" s="1"/>
  <c r="E2844" i="1"/>
  <c r="P2843" i="1"/>
  <c r="L2843" i="1"/>
  <c r="E2843" i="1"/>
  <c r="H2843" i="1" s="1"/>
  <c r="I2843" i="1" s="1"/>
  <c r="N2843" i="1" s="1"/>
  <c r="O2843" i="1" s="1"/>
  <c r="L2842" i="1"/>
  <c r="H2842" i="1"/>
  <c r="I2842" i="1" s="1"/>
  <c r="N2842" i="1" s="1"/>
  <c r="O2842" i="1" s="1"/>
  <c r="P2842" i="1" s="1"/>
  <c r="E2842" i="1"/>
  <c r="N2841" i="1"/>
  <c r="O2841" i="1" s="1"/>
  <c r="P2841" i="1" s="1"/>
  <c r="L2841" i="1"/>
  <c r="E2841" i="1"/>
  <c r="H2841" i="1" s="1"/>
  <c r="I2841" i="1" s="1"/>
  <c r="N2840" i="1"/>
  <c r="O2840" i="1" s="1"/>
  <c r="P2840" i="1" s="1"/>
  <c r="L2840" i="1"/>
  <c r="E2840" i="1"/>
  <c r="H2840" i="1" s="1"/>
  <c r="I2840" i="1" s="1"/>
  <c r="L2839" i="1"/>
  <c r="N2839" i="1" s="1"/>
  <c r="O2839" i="1" s="1"/>
  <c r="P2839" i="1" s="1"/>
  <c r="I2839" i="1"/>
  <c r="H2839" i="1"/>
  <c r="E2839" i="1"/>
  <c r="L2838" i="1"/>
  <c r="H2838" i="1"/>
  <c r="I2838" i="1" s="1"/>
  <c r="E2838" i="1"/>
  <c r="L2837" i="1"/>
  <c r="H2837" i="1"/>
  <c r="I2837" i="1" s="1"/>
  <c r="N2837" i="1" s="1"/>
  <c r="O2837" i="1" s="1"/>
  <c r="P2837" i="1" s="1"/>
  <c r="E2837" i="1"/>
  <c r="L2836" i="1"/>
  <c r="E2836" i="1"/>
  <c r="H2836" i="1" s="1"/>
  <c r="I2836" i="1" s="1"/>
  <c r="N2836" i="1" s="1"/>
  <c r="O2836" i="1" s="1"/>
  <c r="P2836" i="1" s="1"/>
  <c r="P2835" i="1"/>
  <c r="L2835" i="1"/>
  <c r="E2835" i="1"/>
  <c r="H2835" i="1" s="1"/>
  <c r="I2835" i="1" s="1"/>
  <c r="N2835" i="1" s="1"/>
  <c r="O2835" i="1" s="1"/>
  <c r="L2834" i="1"/>
  <c r="H2834" i="1"/>
  <c r="I2834" i="1" s="1"/>
  <c r="N2834" i="1" s="1"/>
  <c r="O2834" i="1" s="1"/>
  <c r="P2834" i="1" s="1"/>
  <c r="E2834" i="1"/>
  <c r="L2833" i="1"/>
  <c r="E2833" i="1"/>
  <c r="H2833" i="1" s="1"/>
  <c r="I2833" i="1" s="1"/>
  <c r="N2833" i="1" s="1"/>
  <c r="O2833" i="1" s="1"/>
  <c r="P2833" i="1" s="1"/>
  <c r="O2832" i="1"/>
  <c r="P2832" i="1" s="1"/>
  <c r="L2832" i="1"/>
  <c r="N2832" i="1" s="1"/>
  <c r="E2832" i="1"/>
  <c r="H2832" i="1" s="1"/>
  <c r="I2832" i="1" s="1"/>
  <c r="N2831" i="1"/>
  <c r="O2831" i="1" s="1"/>
  <c r="P2831" i="1" s="1"/>
  <c r="L2831" i="1"/>
  <c r="I2831" i="1"/>
  <c r="E2831" i="1"/>
  <c r="H2831" i="1" s="1"/>
  <c r="L2830" i="1"/>
  <c r="H2830" i="1"/>
  <c r="I2830" i="1" s="1"/>
  <c r="N2830" i="1" s="1"/>
  <c r="O2830" i="1" s="1"/>
  <c r="P2830" i="1" s="1"/>
  <c r="E2830" i="1"/>
  <c r="L2829" i="1"/>
  <c r="H2829" i="1"/>
  <c r="I2829" i="1" s="1"/>
  <c r="N2829" i="1" s="1"/>
  <c r="O2829" i="1" s="1"/>
  <c r="P2829" i="1" s="1"/>
  <c r="E2829" i="1"/>
  <c r="L2828" i="1"/>
  <c r="E2828" i="1"/>
  <c r="H2828" i="1" s="1"/>
  <c r="I2828" i="1" s="1"/>
  <c r="N2828" i="1" s="1"/>
  <c r="O2828" i="1" s="1"/>
  <c r="P2828" i="1" s="1"/>
  <c r="P2827" i="1"/>
  <c r="L2827" i="1"/>
  <c r="E2827" i="1"/>
  <c r="H2827" i="1" s="1"/>
  <c r="I2827" i="1" s="1"/>
  <c r="N2827" i="1" s="1"/>
  <c r="O2827" i="1" s="1"/>
  <c r="L2826" i="1"/>
  <c r="H2826" i="1"/>
  <c r="I2826" i="1" s="1"/>
  <c r="N2826" i="1" s="1"/>
  <c r="O2826" i="1" s="1"/>
  <c r="P2826" i="1" s="1"/>
  <c r="E2826" i="1"/>
  <c r="L2825" i="1"/>
  <c r="E2825" i="1"/>
  <c r="H2825" i="1" s="1"/>
  <c r="I2825" i="1" s="1"/>
  <c r="N2825" i="1" s="1"/>
  <c r="O2825" i="1" s="1"/>
  <c r="P2825" i="1" s="1"/>
  <c r="L2824" i="1"/>
  <c r="N2824" i="1" s="1"/>
  <c r="O2824" i="1" s="1"/>
  <c r="P2824" i="1" s="1"/>
  <c r="E2824" i="1"/>
  <c r="H2824" i="1" s="1"/>
  <c r="I2824" i="1" s="1"/>
  <c r="N2823" i="1"/>
  <c r="O2823" i="1" s="1"/>
  <c r="P2823" i="1" s="1"/>
  <c r="L2823" i="1"/>
  <c r="I2823" i="1"/>
  <c r="E2823" i="1"/>
  <c r="H2823" i="1" s="1"/>
  <c r="L2822" i="1"/>
  <c r="H2822" i="1"/>
  <c r="I2822" i="1" s="1"/>
  <c r="N2822" i="1" s="1"/>
  <c r="O2822" i="1" s="1"/>
  <c r="P2822" i="1" s="1"/>
  <c r="E2822" i="1"/>
  <c r="L2821" i="1"/>
  <c r="H2821" i="1"/>
  <c r="I2821" i="1" s="1"/>
  <c r="N2821" i="1" s="1"/>
  <c r="O2821" i="1" s="1"/>
  <c r="P2821" i="1" s="1"/>
  <c r="E2821" i="1"/>
  <c r="L2820" i="1"/>
  <c r="E2820" i="1"/>
  <c r="H2820" i="1" s="1"/>
  <c r="I2820" i="1" s="1"/>
  <c r="N2820" i="1" s="1"/>
  <c r="O2820" i="1" s="1"/>
  <c r="P2820" i="1" s="1"/>
  <c r="P2819" i="1"/>
  <c r="L2819" i="1"/>
  <c r="E2819" i="1"/>
  <c r="H2819" i="1" s="1"/>
  <c r="I2819" i="1" s="1"/>
  <c r="N2819" i="1" s="1"/>
  <c r="O2819" i="1" s="1"/>
  <c r="L2818" i="1"/>
  <c r="H2818" i="1"/>
  <c r="I2818" i="1" s="1"/>
  <c r="N2818" i="1" s="1"/>
  <c r="O2818" i="1" s="1"/>
  <c r="P2818" i="1" s="1"/>
  <c r="E2818" i="1"/>
  <c r="L2817" i="1"/>
  <c r="E2817" i="1"/>
  <c r="H2817" i="1" s="1"/>
  <c r="I2817" i="1" s="1"/>
  <c r="N2817" i="1" s="1"/>
  <c r="O2817" i="1" s="1"/>
  <c r="P2817" i="1" s="1"/>
  <c r="L2816" i="1"/>
  <c r="N2816" i="1" s="1"/>
  <c r="O2816" i="1" s="1"/>
  <c r="P2816" i="1" s="1"/>
  <c r="E2816" i="1"/>
  <c r="H2816" i="1" s="1"/>
  <c r="I2816" i="1" s="1"/>
  <c r="N2815" i="1"/>
  <c r="O2815" i="1" s="1"/>
  <c r="P2815" i="1" s="1"/>
  <c r="L2815" i="1"/>
  <c r="I2815" i="1"/>
  <c r="E2815" i="1"/>
  <c r="H2815" i="1" s="1"/>
  <c r="L2814" i="1"/>
  <c r="H2814" i="1"/>
  <c r="I2814" i="1" s="1"/>
  <c r="N2814" i="1" s="1"/>
  <c r="O2814" i="1" s="1"/>
  <c r="P2814" i="1" s="1"/>
  <c r="E2814" i="1"/>
  <c r="L2813" i="1"/>
  <c r="H2813" i="1"/>
  <c r="I2813" i="1" s="1"/>
  <c r="N2813" i="1" s="1"/>
  <c r="O2813" i="1" s="1"/>
  <c r="P2813" i="1" s="1"/>
  <c r="E2813" i="1"/>
  <c r="L2812" i="1"/>
  <c r="E2812" i="1"/>
  <c r="H2812" i="1" s="1"/>
  <c r="I2812" i="1" s="1"/>
  <c r="N2812" i="1" s="1"/>
  <c r="O2812" i="1" s="1"/>
  <c r="P2812" i="1" s="1"/>
  <c r="P2811" i="1"/>
  <c r="L2811" i="1"/>
  <c r="E2811" i="1"/>
  <c r="H2811" i="1" s="1"/>
  <c r="I2811" i="1" s="1"/>
  <c r="N2811" i="1" s="1"/>
  <c r="O2811" i="1" s="1"/>
  <c r="L2810" i="1"/>
  <c r="H2810" i="1"/>
  <c r="I2810" i="1" s="1"/>
  <c r="N2810" i="1" s="1"/>
  <c r="O2810" i="1" s="1"/>
  <c r="P2810" i="1" s="1"/>
  <c r="E2810" i="1"/>
  <c r="O2809" i="1"/>
  <c r="P2809" i="1" s="1"/>
  <c r="N2809" i="1"/>
  <c r="L2809" i="1"/>
  <c r="E2809" i="1"/>
  <c r="H2809" i="1" s="1"/>
  <c r="I2809" i="1" s="1"/>
  <c r="L2808" i="1"/>
  <c r="N2808" i="1" s="1"/>
  <c r="O2808" i="1" s="1"/>
  <c r="P2808" i="1" s="1"/>
  <c r="E2808" i="1"/>
  <c r="H2808" i="1" s="1"/>
  <c r="I2808" i="1" s="1"/>
  <c r="N2807" i="1"/>
  <c r="O2807" i="1" s="1"/>
  <c r="P2807" i="1" s="1"/>
  <c r="L2807" i="1"/>
  <c r="I2807" i="1"/>
  <c r="E2807" i="1"/>
  <c r="H2807" i="1" s="1"/>
  <c r="L2806" i="1"/>
  <c r="H2806" i="1"/>
  <c r="I2806" i="1" s="1"/>
  <c r="N2806" i="1" s="1"/>
  <c r="O2806" i="1" s="1"/>
  <c r="P2806" i="1" s="1"/>
  <c r="E2806" i="1"/>
  <c r="L2805" i="1"/>
  <c r="H2805" i="1"/>
  <c r="I2805" i="1" s="1"/>
  <c r="N2805" i="1" s="1"/>
  <c r="O2805" i="1" s="1"/>
  <c r="P2805" i="1" s="1"/>
  <c r="E2805" i="1"/>
  <c r="L2804" i="1"/>
  <c r="E2804" i="1"/>
  <c r="H2804" i="1" s="1"/>
  <c r="I2804" i="1" s="1"/>
  <c r="N2804" i="1" s="1"/>
  <c r="O2804" i="1" s="1"/>
  <c r="P2804" i="1" s="1"/>
  <c r="L2803" i="1"/>
  <c r="E2803" i="1"/>
  <c r="H2803" i="1" s="1"/>
  <c r="I2803" i="1" s="1"/>
  <c r="N2803" i="1" s="1"/>
  <c r="O2803" i="1" s="1"/>
  <c r="P2803" i="1" s="1"/>
  <c r="L2802" i="1"/>
  <c r="H2802" i="1"/>
  <c r="I2802" i="1" s="1"/>
  <c r="N2802" i="1" s="1"/>
  <c r="O2802" i="1" s="1"/>
  <c r="P2802" i="1" s="1"/>
  <c r="E2802" i="1"/>
  <c r="O2801" i="1"/>
  <c r="P2801" i="1" s="1"/>
  <c r="N2801" i="1"/>
  <c r="L2801" i="1"/>
  <c r="E2801" i="1"/>
  <c r="H2801" i="1" s="1"/>
  <c r="I2801" i="1" s="1"/>
  <c r="L2800" i="1"/>
  <c r="N2800" i="1" s="1"/>
  <c r="O2800" i="1" s="1"/>
  <c r="P2800" i="1" s="1"/>
  <c r="E2800" i="1"/>
  <c r="H2800" i="1" s="1"/>
  <c r="I2800" i="1" s="1"/>
  <c r="N2799" i="1"/>
  <c r="O2799" i="1" s="1"/>
  <c r="P2799" i="1" s="1"/>
  <c r="L2799" i="1"/>
  <c r="I2799" i="1"/>
  <c r="E2799" i="1"/>
  <c r="H2799" i="1" s="1"/>
  <c r="L2798" i="1"/>
  <c r="H2798" i="1"/>
  <c r="I2798" i="1" s="1"/>
  <c r="N2798" i="1" s="1"/>
  <c r="O2798" i="1" s="1"/>
  <c r="P2798" i="1" s="1"/>
  <c r="E2798" i="1"/>
  <c r="L2797" i="1"/>
  <c r="H2797" i="1"/>
  <c r="I2797" i="1" s="1"/>
  <c r="N2797" i="1" s="1"/>
  <c r="O2797" i="1" s="1"/>
  <c r="P2797" i="1" s="1"/>
  <c r="E2797" i="1"/>
  <c r="L2796" i="1"/>
  <c r="E2796" i="1"/>
  <c r="H2796" i="1" s="1"/>
  <c r="I2796" i="1" s="1"/>
  <c r="N2796" i="1" s="1"/>
  <c r="O2796" i="1" s="1"/>
  <c r="P2796" i="1" s="1"/>
  <c r="L2795" i="1"/>
  <c r="E2795" i="1"/>
  <c r="H2795" i="1" s="1"/>
  <c r="I2795" i="1" s="1"/>
  <c r="N2795" i="1" s="1"/>
  <c r="O2795" i="1" s="1"/>
  <c r="P2795" i="1" s="1"/>
  <c r="L2794" i="1"/>
  <c r="H2794" i="1"/>
  <c r="I2794" i="1" s="1"/>
  <c r="N2794" i="1" s="1"/>
  <c r="O2794" i="1" s="1"/>
  <c r="P2794" i="1" s="1"/>
  <c r="E2794" i="1"/>
  <c r="O2793" i="1"/>
  <c r="P2793" i="1" s="1"/>
  <c r="N2793" i="1"/>
  <c r="L2793" i="1"/>
  <c r="E2793" i="1"/>
  <c r="H2793" i="1" s="1"/>
  <c r="I2793" i="1" s="1"/>
  <c r="L2792" i="1"/>
  <c r="N2792" i="1" s="1"/>
  <c r="O2792" i="1" s="1"/>
  <c r="P2792" i="1" s="1"/>
  <c r="E2792" i="1"/>
  <c r="H2792" i="1" s="1"/>
  <c r="I2792" i="1" s="1"/>
  <c r="L2791" i="1"/>
  <c r="E2791" i="1"/>
  <c r="H2791" i="1" s="1"/>
  <c r="I2791" i="1" s="1"/>
  <c r="N2791" i="1" s="1"/>
  <c r="O2791" i="1" s="1"/>
  <c r="P2791" i="1" s="1"/>
  <c r="L2790" i="1"/>
  <c r="H2790" i="1"/>
  <c r="I2790" i="1" s="1"/>
  <c r="N2790" i="1" s="1"/>
  <c r="O2790" i="1" s="1"/>
  <c r="P2790" i="1" s="1"/>
  <c r="E2790" i="1"/>
  <c r="L2789" i="1"/>
  <c r="I2789" i="1"/>
  <c r="N2789" i="1" s="1"/>
  <c r="O2789" i="1" s="1"/>
  <c r="P2789" i="1" s="1"/>
  <c r="E2789" i="1"/>
  <c r="H2789" i="1" s="1"/>
  <c r="L2788" i="1"/>
  <c r="H2788" i="1"/>
  <c r="I2788" i="1" s="1"/>
  <c r="N2788" i="1" s="1"/>
  <c r="O2788" i="1" s="1"/>
  <c r="P2788" i="1" s="1"/>
  <c r="E2788" i="1"/>
  <c r="L2787" i="1"/>
  <c r="I2787" i="1"/>
  <c r="N2787" i="1" s="1"/>
  <c r="O2787" i="1" s="1"/>
  <c r="P2787" i="1" s="1"/>
  <c r="E2787" i="1"/>
  <c r="H2787" i="1" s="1"/>
  <c r="L2786" i="1"/>
  <c r="H2786" i="1"/>
  <c r="I2786" i="1" s="1"/>
  <c r="N2786" i="1" s="1"/>
  <c r="O2786" i="1" s="1"/>
  <c r="P2786" i="1" s="1"/>
  <c r="E2786" i="1"/>
  <c r="O2785" i="1"/>
  <c r="P2785" i="1" s="1"/>
  <c r="N2785" i="1"/>
  <c r="L2785" i="1"/>
  <c r="E2785" i="1"/>
  <c r="H2785" i="1" s="1"/>
  <c r="I2785" i="1" s="1"/>
  <c r="L2784" i="1"/>
  <c r="N2784" i="1" s="1"/>
  <c r="O2784" i="1" s="1"/>
  <c r="P2784" i="1" s="1"/>
  <c r="E2784" i="1"/>
  <c r="H2784" i="1" s="1"/>
  <c r="I2784" i="1" s="1"/>
  <c r="L2783" i="1"/>
  <c r="E2783" i="1"/>
  <c r="H2783" i="1" s="1"/>
  <c r="I2783" i="1" s="1"/>
  <c r="N2783" i="1" s="1"/>
  <c r="O2783" i="1" s="1"/>
  <c r="P2783" i="1" s="1"/>
  <c r="L2782" i="1"/>
  <c r="H2782" i="1"/>
  <c r="I2782" i="1" s="1"/>
  <c r="N2782" i="1" s="1"/>
  <c r="O2782" i="1" s="1"/>
  <c r="P2782" i="1" s="1"/>
  <c r="E2782" i="1"/>
  <c r="L2781" i="1"/>
  <c r="E2781" i="1"/>
  <c r="H2781" i="1" s="1"/>
  <c r="I2781" i="1" s="1"/>
  <c r="N2781" i="1" s="1"/>
  <c r="O2781" i="1" s="1"/>
  <c r="P2781" i="1" s="1"/>
  <c r="L2780" i="1"/>
  <c r="H2780" i="1"/>
  <c r="I2780" i="1" s="1"/>
  <c r="N2780" i="1" s="1"/>
  <c r="O2780" i="1" s="1"/>
  <c r="P2780" i="1" s="1"/>
  <c r="E2780" i="1"/>
  <c r="P2779" i="1"/>
  <c r="L2779" i="1"/>
  <c r="I2779" i="1"/>
  <c r="N2779" i="1" s="1"/>
  <c r="O2779" i="1" s="1"/>
  <c r="E2779" i="1"/>
  <c r="H2779" i="1" s="1"/>
  <c r="L2778" i="1"/>
  <c r="H2778" i="1"/>
  <c r="I2778" i="1" s="1"/>
  <c r="N2778" i="1" s="1"/>
  <c r="O2778" i="1" s="1"/>
  <c r="P2778" i="1" s="1"/>
  <c r="E2778" i="1"/>
  <c r="O2777" i="1"/>
  <c r="P2777" i="1" s="1"/>
  <c r="N2777" i="1"/>
  <c r="L2777" i="1"/>
  <c r="E2777" i="1"/>
  <c r="H2777" i="1" s="1"/>
  <c r="I2777" i="1" s="1"/>
  <c r="L2776" i="1"/>
  <c r="N2776" i="1" s="1"/>
  <c r="O2776" i="1" s="1"/>
  <c r="P2776" i="1" s="1"/>
  <c r="E2776" i="1"/>
  <c r="H2776" i="1" s="1"/>
  <c r="I2776" i="1" s="1"/>
  <c r="L2775" i="1"/>
  <c r="N2775" i="1" s="1"/>
  <c r="O2775" i="1" s="1"/>
  <c r="P2775" i="1" s="1"/>
  <c r="I2775" i="1"/>
  <c r="H2775" i="1"/>
  <c r="E2775" i="1"/>
  <c r="L2774" i="1"/>
  <c r="H2774" i="1"/>
  <c r="I2774" i="1" s="1"/>
  <c r="N2774" i="1" s="1"/>
  <c r="O2774" i="1" s="1"/>
  <c r="P2774" i="1" s="1"/>
  <c r="E2774" i="1"/>
  <c r="L2773" i="1"/>
  <c r="H2773" i="1"/>
  <c r="I2773" i="1" s="1"/>
  <c r="N2773" i="1" s="1"/>
  <c r="O2773" i="1" s="1"/>
  <c r="P2773" i="1" s="1"/>
  <c r="E2773" i="1"/>
  <c r="L2772" i="1"/>
  <c r="H2772" i="1"/>
  <c r="I2772" i="1" s="1"/>
  <c r="N2772" i="1" s="1"/>
  <c r="O2772" i="1" s="1"/>
  <c r="P2772" i="1" s="1"/>
  <c r="E2772" i="1"/>
  <c r="P2771" i="1"/>
  <c r="L2771" i="1"/>
  <c r="I2771" i="1"/>
  <c r="N2771" i="1" s="1"/>
  <c r="O2771" i="1" s="1"/>
  <c r="E2771" i="1"/>
  <c r="H2771" i="1" s="1"/>
  <c r="L2770" i="1"/>
  <c r="H2770" i="1"/>
  <c r="I2770" i="1" s="1"/>
  <c r="N2770" i="1" s="1"/>
  <c r="O2770" i="1" s="1"/>
  <c r="P2770" i="1" s="1"/>
  <c r="E2770" i="1"/>
  <c r="L2769" i="1"/>
  <c r="H2769" i="1"/>
  <c r="I2769" i="1" s="1"/>
  <c r="N2769" i="1" s="1"/>
  <c r="O2769" i="1" s="1"/>
  <c r="P2769" i="1" s="1"/>
  <c r="E2769" i="1"/>
  <c r="L2768" i="1"/>
  <c r="E2768" i="1"/>
  <c r="H2768" i="1" s="1"/>
  <c r="I2768" i="1" s="1"/>
  <c r="N2768" i="1" s="1"/>
  <c r="O2768" i="1" s="1"/>
  <c r="P2768" i="1" s="1"/>
  <c r="L2767" i="1"/>
  <c r="E2767" i="1"/>
  <c r="H2767" i="1" s="1"/>
  <c r="I2767" i="1" s="1"/>
  <c r="L2766" i="1"/>
  <c r="I2766" i="1"/>
  <c r="H2766" i="1"/>
  <c r="E2766" i="1"/>
  <c r="N2765" i="1"/>
  <c r="O2765" i="1" s="1"/>
  <c r="P2765" i="1" s="1"/>
  <c r="L2765" i="1"/>
  <c r="I2765" i="1"/>
  <c r="H2765" i="1"/>
  <c r="E2765" i="1"/>
  <c r="L2764" i="1"/>
  <c r="H2764" i="1"/>
  <c r="I2764" i="1" s="1"/>
  <c r="N2764" i="1" s="1"/>
  <c r="O2764" i="1" s="1"/>
  <c r="P2764" i="1" s="1"/>
  <c r="E2764" i="1"/>
  <c r="L2763" i="1"/>
  <c r="E2763" i="1"/>
  <c r="H2763" i="1" s="1"/>
  <c r="I2763" i="1" s="1"/>
  <c r="N2763" i="1" s="1"/>
  <c r="O2763" i="1" s="1"/>
  <c r="P2763" i="1" s="1"/>
  <c r="L2762" i="1"/>
  <c r="H2762" i="1"/>
  <c r="I2762" i="1" s="1"/>
  <c r="N2762" i="1" s="1"/>
  <c r="O2762" i="1" s="1"/>
  <c r="P2762" i="1" s="1"/>
  <c r="E2762" i="1"/>
  <c r="L2761" i="1"/>
  <c r="E2761" i="1"/>
  <c r="H2761" i="1" s="1"/>
  <c r="I2761" i="1" s="1"/>
  <c r="N2761" i="1" s="1"/>
  <c r="O2761" i="1" s="1"/>
  <c r="P2761" i="1" s="1"/>
  <c r="L2760" i="1"/>
  <c r="I2760" i="1"/>
  <c r="N2760" i="1" s="1"/>
  <c r="O2760" i="1" s="1"/>
  <c r="P2760" i="1" s="1"/>
  <c r="H2760" i="1"/>
  <c r="E2760" i="1"/>
  <c r="N2759" i="1"/>
  <c r="O2759" i="1" s="1"/>
  <c r="P2759" i="1" s="1"/>
  <c r="L2759" i="1"/>
  <c r="I2759" i="1"/>
  <c r="H2759" i="1"/>
  <c r="E2759" i="1"/>
  <c r="O2758" i="1"/>
  <c r="P2758" i="1" s="1"/>
  <c r="L2758" i="1"/>
  <c r="H2758" i="1"/>
  <c r="I2758" i="1" s="1"/>
  <c r="N2758" i="1" s="1"/>
  <c r="E2758" i="1"/>
  <c r="L2757" i="1"/>
  <c r="E2757" i="1"/>
  <c r="H2757" i="1" s="1"/>
  <c r="I2757" i="1" s="1"/>
  <c r="N2757" i="1" s="1"/>
  <c r="O2757" i="1" s="1"/>
  <c r="P2757" i="1" s="1"/>
  <c r="L2756" i="1"/>
  <c r="H2756" i="1"/>
  <c r="I2756" i="1" s="1"/>
  <c r="E2756" i="1"/>
  <c r="L2755" i="1"/>
  <c r="E2755" i="1"/>
  <c r="H2755" i="1" s="1"/>
  <c r="I2755" i="1" s="1"/>
  <c r="N2755" i="1" s="1"/>
  <c r="O2755" i="1" s="1"/>
  <c r="P2755" i="1" s="1"/>
  <c r="L2754" i="1"/>
  <c r="H2754" i="1"/>
  <c r="I2754" i="1" s="1"/>
  <c r="N2754" i="1" s="1"/>
  <c r="O2754" i="1" s="1"/>
  <c r="P2754" i="1" s="1"/>
  <c r="E2754" i="1"/>
  <c r="L2753" i="1"/>
  <c r="E2753" i="1"/>
  <c r="H2753" i="1" s="1"/>
  <c r="I2753" i="1" s="1"/>
  <c r="N2753" i="1" s="1"/>
  <c r="O2753" i="1" s="1"/>
  <c r="P2753" i="1" s="1"/>
  <c r="L2752" i="1"/>
  <c r="I2752" i="1"/>
  <c r="N2752" i="1" s="1"/>
  <c r="O2752" i="1" s="1"/>
  <c r="P2752" i="1" s="1"/>
  <c r="H2752" i="1"/>
  <c r="E2752" i="1"/>
  <c r="P2751" i="1"/>
  <c r="N2751" i="1"/>
  <c r="O2751" i="1" s="1"/>
  <c r="L2751" i="1"/>
  <c r="I2751" i="1"/>
  <c r="H2751" i="1"/>
  <c r="E2751" i="1"/>
  <c r="L2750" i="1"/>
  <c r="H2750" i="1"/>
  <c r="I2750" i="1" s="1"/>
  <c r="N2750" i="1" s="1"/>
  <c r="O2750" i="1" s="1"/>
  <c r="P2750" i="1" s="1"/>
  <c r="E2750" i="1"/>
  <c r="N2749" i="1"/>
  <c r="O2749" i="1" s="1"/>
  <c r="P2749" i="1" s="1"/>
  <c r="L2749" i="1"/>
  <c r="E2749" i="1"/>
  <c r="H2749" i="1" s="1"/>
  <c r="I2749" i="1" s="1"/>
  <c r="L2748" i="1"/>
  <c r="H2748" i="1"/>
  <c r="I2748" i="1" s="1"/>
  <c r="N2748" i="1" s="1"/>
  <c r="O2748" i="1" s="1"/>
  <c r="P2748" i="1" s="1"/>
  <c r="E2748" i="1"/>
  <c r="L2747" i="1"/>
  <c r="E2747" i="1"/>
  <c r="H2747" i="1" s="1"/>
  <c r="I2747" i="1" s="1"/>
  <c r="N2747" i="1" s="1"/>
  <c r="O2747" i="1" s="1"/>
  <c r="P2747" i="1" s="1"/>
  <c r="L2746" i="1"/>
  <c r="H2746" i="1"/>
  <c r="I2746" i="1" s="1"/>
  <c r="N2746" i="1" s="1"/>
  <c r="O2746" i="1" s="1"/>
  <c r="P2746" i="1" s="1"/>
  <c r="E2746" i="1"/>
  <c r="L2745" i="1"/>
  <c r="E2745" i="1"/>
  <c r="H2745" i="1" s="1"/>
  <c r="I2745" i="1" s="1"/>
  <c r="N2745" i="1" s="1"/>
  <c r="O2745" i="1" s="1"/>
  <c r="P2745" i="1" s="1"/>
  <c r="L2744" i="1"/>
  <c r="I2744" i="1"/>
  <c r="N2744" i="1" s="1"/>
  <c r="O2744" i="1" s="1"/>
  <c r="P2744" i="1" s="1"/>
  <c r="H2744" i="1"/>
  <c r="E2744" i="1"/>
  <c r="N2743" i="1"/>
  <c r="O2743" i="1" s="1"/>
  <c r="P2743" i="1" s="1"/>
  <c r="L2743" i="1"/>
  <c r="I2743" i="1"/>
  <c r="H2743" i="1"/>
  <c r="E2743" i="1"/>
  <c r="O2742" i="1"/>
  <c r="P2742" i="1" s="1"/>
  <c r="L2742" i="1"/>
  <c r="H2742" i="1"/>
  <c r="I2742" i="1" s="1"/>
  <c r="N2742" i="1" s="1"/>
  <c r="E2742" i="1"/>
  <c r="L2741" i="1"/>
  <c r="E2741" i="1"/>
  <c r="H2741" i="1" s="1"/>
  <c r="I2741" i="1" s="1"/>
  <c r="N2741" i="1" s="1"/>
  <c r="O2741" i="1" s="1"/>
  <c r="P2741" i="1" s="1"/>
  <c r="L2740" i="1"/>
  <c r="H2740" i="1"/>
  <c r="I2740" i="1" s="1"/>
  <c r="N2740" i="1" s="1"/>
  <c r="O2740" i="1" s="1"/>
  <c r="P2740" i="1" s="1"/>
  <c r="E2740" i="1"/>
  <c r="L2739" i="1"/>
  <c r="E2739" i="1"/>
  <c r="H2739" i="1" s="1"/>
  <c r="I2739" i="1" s="1"/>
  <c r="N2739" i="1" s="1"/>
  <c r="O2739" i="1" s="1"/>
  <c r="P2739" i="1" s="1"/>
  <c r="L2738" i="1"/>
  <c r="H2738" i="1"/>
  <c r="I2738" i="1" s="1"/>
  <c r="N2738" i="1" s="1"/>
  <c r="O2738" i="1" s="1"/>
  <c r="P2738" i="1" s="1"/>
  <c r="E2738" i="1"/>
  <c r="L2737" i="1"/>
  <c r="E2737" i="1"/>
  <c r="H2737" i="1" s="1"/>
  <c r="I2737" i="1" s="1"/>
  <c r="N2737" i="1" s="1"/>
  <c r="O2737" i="1" s="1"/>
  <c r="P2737" i="1" s="1"/>
  <c r="L2736" i="1"/>
  <c r="I2736" i="1"/>
  <c r="N2736" i="1" s="1"/>
  <c r="O2736" i="1" s="1"/>
  <c r="P2736" i="1" s="1"/>
  <c r="H2736" i="1"/>
  <c r="E2736" i="1"/>
  <c r="P2735" i="1"/>
  <c r="N2735" i="1"/>
  <c r="O2735" i="1" s="1"/>
  <c r="L2735" i="1"/>
  <c r="I2735" i="1"/>
  <c r="H2735" i="1"/>
  <c r="E2735" i="1"/>
  <c r="L2734" i="1"/>
  <c r="H2734" i="1"/>
  <c r="I2734" i="1" s="1"/>
  <c r="N2734" i="1" s="1"/>
  <c r="O2734" i="1" s="1"/>
  <c r="P2734" i="1" s="1"/>
  <c r="E2734" i="1"/>
  <c r="N2733" i="1"/>
  <c r="O2733" i="1" s="1"/>
  <c r="P2733" i="1" s="1"/>
  <c r="L2733" i="1"/>
  <c r="E2733" i="1"/>
  <c r="H2733" i="1" s="1"/>
  <c r="I2733" i="1" s="1"/>
  <c r="L2732" i="1"/>
  <c r="H2732" i="1"/>
  <c r="I2732" i="1" s="1"/>
  <c r="N2732" i="1" s="1"/>
  <c r="O2732" i="1" s="1"/>
  <c r="P2732" i="1" s="1"/>
  <c r="E2732" i="1"/>
  <c r="L2731" i="1"/>
  <c r="E2731" i="1"/>
  <c r="H2731" i="1" s="1"/>
  <c r="I2731" i="1" s="1"/>
  <c r="N2731" i="1" s="1"/>
  <c r="O2731" i="1" s="1"/>
  <c r="P2731" i="1" s="1"/>
  <c r="L2730" i="1"/>
  <c r="H2730" i="1"/>
  <c r="I2730" i="1" s="1"/>
  <c r="N2730" i="1" s="1"/>
  <c r="O2730" i="1" s="1"/>
  <c r="P2730" i="1" s="1"/>
  <c r="E2730" i="1"/>
  <c r="L2729" i="1"/>
  <c r="E2729" i="1"/>
  <c r="H2729" i="1" s="1"/>
  <c r="I2729" i="1" s="1"/>
  <c r="N2729" i="1" s="1"/>
  <c r="O2729" i="1" s="1"/>
  <c r="P2729" i="1" s="1"/>
  <c r="L2728" i="1"/>
  <c r="I2728" i="1"/>
  <c r="N2728" i="1" s="1"/>
  <c r="O2728" i="1" s="1"/>
  <c r="P2728" i="1" s="1"/>
  <c r="H2728" i="1"/>
  <c r="E2728" i="1"/>
  <c r="P2727" i="1"/>
  <c r="N2727" i="1"/>
  <c r="O2727" i="1" s="1"/>
  <c r="L2727" i="1"/>
  <c r="I2727" i="1"/>
  <c r="H2727" i="1"/>
  <c r="E2727" i="1"/>
  <c r="O2726" i="1"/>
  <c r="P2726" i="1" s="1"/>
  <c r="L2726" i="1"/>
  <c r="H2726" i="1"/>
  <c r="I2726" i="1" s="1"/>
  <c r="N2726" i="1" s="1"/>
  <c r="E2726" i="1"/>
  <c r="L2725" i="1"/>
  <c r="E2725" i="1"/>
  <c r="H2725" i="1" s="1"/>
  <c r="I2725" i="1" s="1"/>
  <c r="N2725" i="1" s="1"/>
  <c r="O2725" i="1" s="1"/>
  <c r="P2725" i="1" s="1"/>
  <c r="L2724" i="1"/>
  <c r="H2724" i="1"/>
  <c r="I2724" i="1" s="1"/>
  <c r="N2724" i="1" s="1"/>
  <c r="O2724" i="1" s="1"/>
  <c r="P2724" i="1" s="1"/>
  <c r="E2724" i="1"/>
  <c r="L2723" i="1"/>
  <c r="E2723" i="1"/>
  <c r="H2723" i="1" s="1"/>
  <c r="I2723" i="1" s="1"/>
  <c r="N2723" i="1" s="1"/>
  <c r="O2723" i="1" s="1"/>
  <c r="P2723" i="1" s="1"/>
  <c r="L2722" i="1"/>
  <c r="H2722" i="1"/>
  <c r="I2722" i="1" s="1"/>
  <c r="N2722" i="1" s="1"/>
  <c r="O2722" i="1" s="1"/>
  <c r="P2722" i="1" s="1"/>
  <c r="E2722" i="1"/>
  <c r="L2721" i="1"/>
  <c r="E2721" i="1"/>
  <c r="H2721" i="1" s="1"/>
  <c r="I2721" i="1" s="1"/>
  <c r="N2721" i="1" s="1"/>
  <c r="O2721" i="1" s="1"/>
  <c r="P2721" i="1" s="1"/>
  <c r="L2720" i="1"/>
  <c r="I2720" i="1"/>
  <c r="N2720" i="1" s="1"/>
  <c r="O2720" i="1" s="1"/>
  <c r="P2720" i="1" s="1"/>
  <c r="H2720" i="1"/>
  <c r="E2720" i="1"/>
  <c r="P2719" i="1"/>
  <c r="N2719" i="1"/>
  <c r="O2719" i="1" s="1"/>
  <c r="L2719" i="1"/>
  <c r="I2719" i="1"/>
  <c r="H2719" i="1"/>
  <c r="E2719" i="1"/>
  <c r="L2718" i="1"/>
  <c r="H2718" i="1"/>
  <c r="I2718" i="1" s="1"/>
  <c r="N2718" i="1" s="1"/>
  <c r="O2718" i="1" s="1"/>
  <c r="P2718" i="1" s="1"/>
  <c r="E2718" i="1"/>
  <c r="N2717" i="1"/>
  <c r="O2717" i="1" s="1"/>
  <c r="P2717" i="1" s="1"/>
  <c r="L2717" i="1"/>
  <c r="E2717" i="1"/>
  <c r="H2717" i="1" s="1"/>
  <c r="I2717" i="1" s="1"/>
  <c r="L2716" i="1"/>
  <c r="H2716" i="1"/>
  <c r="I2716" i="1" s="1"/>
  <c r="N2716" i="1" s="1"/>
  <c r="O2716" i="1" s="1"/>
  <c r="P2716" i="1" s="1"/>
  <c r="E2716" i="1"/>
  <c r="L2715" i="1"/>
  <c r="E2715" i="1"/>
  <c r="H2715" i="1" s="1"/>
  <c r="I2715" i="1" s="1"/>
  <c r="N2715" i="1" s="1"/>
  <c r="O2715" i="1" s="1"/>
  <c r="P2715" i="1" s="1"/>
  <c r="L2714" i="1"/>
  <c r="H2714" i="1"/>
  <c r="I2714" i="1" s="1"/>
  <c r="N2714" i="1" s="1"/>
  <c r="O2714" i="1" s="1"/>
  <c r="P2714" i="1" s="1"/>
  <c r="E2714" i="1"/>
  <c r="L2713" i="1"/>
  <c r="E2713" i="1"/>
  <c r="H2713" i="1" s="1"/>
  <c r="I2713" i="1" s="1"/>
  <c r="N2713" i="1" s="1"/>
  <c r="O2713" i="1" s="1"/>
  <c r="P2713" i="1" s="1"/>
  <c r="L2712" i="1"/>
  <c r="I2712" i="1"/>
  <c r="N2712" i="1" s="1"/>
  <c r="O2712" i="1" s="1"/>
  <c r="P2712" i="1" s="1"/>
  <c r="H2712" i="1"/>
  <c r="E2712" i="1"/>
  <c r="P2711" i="1"/>
  <c r="N2711" i="1"/>
  <c r="O2711" i="1" s="1"/>
  <c r="L2711" i="1"/>
  <c r="I2711" i="1"/>
  <c r="H2711" i="1"/>
  <c r="E2711" i="1"/>
  <c r="O2710" i="1"/>
  <c r="P2710" i="1" s="1"/>
  <c r="L2710" i="1"/>
  <c r="H2710" i="1"/>
  <c r="I2710" i="1" s="1"/>
  <c r="N2710" i="1" s="1"/>
  <c r="E2710" i="1"/>
  <c r="L2709" i="1"/>
  <c r="E2709" i="1"/>
  <c r="H2709" i="1" s="1"/>
  <c r="I2709" i="1" s="1"/>
  <c r="N2709" i="1" s="1"/>
  <c r="O2709" i="1" s="1"/>
  <c r="P2709" i="1" s="1"/>
  <c r="L2708" i="1"/>
  <c r="H2708" i="1"/>
  <c r="I2708" i="1" s="1"/>
  <c r="N2708" i="1" s="1"/>
  <c r="O2708" i="1" s="1"/>
  <c r="P2708" i="1" s="1"/>
  <c r="E2708" i="1"/>
  <c r="L2707" i="1"/>
  <c r="E2707" i="1"/>
  <c r="H2707" i="1" s="1"/>
  <c r="I2707" i="1" s="1"/>
  <c r="N2707" i="1" s="1"/>
  <c r="O2707" i="1" s="1"/>
  <c r="P2707" i="1" s="1"/>
  <c r="L2706" i="1"/>
  <c r="H2706" i="1"/>
  <c r="I2706" i="1" s="1"/>
  <c r="N2706" i="1" s="1"/>
  <c r="O2706" i="1" s="1"/>
  <c r="P2706" i="1" s="1"/>
  <c r="E2706" i="1"/>
  <c r="L2705" i="1"/>
  <c r="E2705" i="1"/>
  <c r="H2705" i="1" s="1"/>
  <c r="I2705" i="1" s="1"/>
  <c r="N2705" i="1" s="1"/>
  <c r="O2705" i="1" s="1"/>
  <c r="P2705" i="1" s="1"/>
  <c r="L2704" i="1"/>
  <c r="I2704" i="1"/>
  <c r="N2704" i="1" s="1"/>
  <c r="O2704" i="1" s="1"/>
  <c r="P2704" i="1" s="1"/>
  <c r="H2704" i="1"/>
  <c r="E2704" i="1"/>
  <c r="P2703" i="1"/>
  <c r="N2703" i="1"/>
  <c r="O2703" i="1" s="1"/>
  <c r="L2703" i="1"/>
  <c r="I2703" i="1"/>
  <c r="H2703" i="1"/>
  <c r="E2703" i="1"/>
  <c r="L2702" i="1"/>
  <c r="H2702" i="1"/>
  <c r="I2702" i="1" s="1"/>
  <c r="N2702" i="1" s="1"/>
  <c r="O2702" i="1" s="1"/>
  <c r="P2702" i="1" s="1"/>
  <c r="E2702" i="1"/>
  <c r="N2701" i="1"/>
  <c r="O2701" i="1" s="1"/>
  <c r="P2701" i="1" s="1"/>
  <c r="L2701" i="1"/>
  <c r="E2701" i="1"/>
  <c r="H2701" i="1" s="1"/>
  <c r="I2701" i="1" s="1"/>
  <c r="L2700" i="1"/>
  <c r="H2700" i="1"/>
  <c r="I2700" i="1" s="1"/>
  <c r="N2700" i="1" s="1"/>
  <c r="O2700" i="1" s="1"/>
  <c r="P2700" i="1" s="1"/>
  <c r="E2700" i="1"/>
  <c r="L2699" i="1"/>
  <c r="E2699" i="1"/>
  <c r="H2699" i="1" s="1"/>
  <c r="I2699" i="1" s="1"/>
  <c r="N2699" i="1" s="1"/>
  <c r="O2699" i="1" s="1"/>
  <c r="P2699" i="1" s="1"/>
  <c r="L2698" i="1"/>
  <c r="H2698" i="1"/>
  <c r="I2698" i="1" s="1"/>
  <c r="N2698" i="1" s="1"/>
  <c r="O2698" i="1" s="1"/>
  <c r="P2698" i="1" s="1"/>
  <c r="E2698" i="1"/>
  <c r="L2697" i="1"/>
  <c r="E2697" i="1"/>
  <c r="H2697" i="1" s="1"/>
  <c r="I2697" i="1" s="1"/>
  <c r="N2697" i="1" s="1"/>
  <c r="O2697" i="1" s="1"/>
  <c r="P2697" i="1" s="1"/>
  <c r="L2696" i="1"/>
  <c r="I2696" i="1"/>
  <c r="N2696" i="1" s="1"/>
  <c r="O2696" i="1" s="1"/>
  <c r="P2696" i="1" s="1"/>
  <c r="H2696" i="1"/>
  <c r="E2696" i="1"/>
  <c r="P2695" i="1"/>
  <c r="N2695" i="1"/>
  <c r="O2695" i="1" s="1"/>
  <c r="L2695" i="1"/>
  <c r="I2695" i="1"/>
  <c r="H2695" i="1"/>
  <c r="E2695" i="1"/>
  <c r="O2694" i="1"/>
  <c r="P2694" i="1" s="1"/>
  <c r="L2694" i="1"/>
  <c r="H2694" i="1"/>
  <c r="I2694" i="1" s="1"/>
  <c r="N2694" i="1" s="1"/>
  <c r="E2694" i="1"/>
  <c r="L2693" i="1"/>
  <c r="E2693" i="1"/>
  <c r="H2693" i="1" s="1"/>
  <c r="I2693" i="1" s="1"/>
  <c r="N2693" i="1" s="1"/>
  <c r="O2693" i="1" s="1"/>
  <c r="P2693" i="1" s="1"/>
  <c r="L2692" i="1"/>
  <c r="H2692" i="1"/>
  <c r="I2692" i="1" s="1"/>
  <c r="N2692" i="1" s="1"/>
  <c r="O2692" i="1" s="1"/>
  <c r="P2692" i="1" s="1"/>
  <c r="E2692" i="1"/>
  <c r="L2691" i="1"/>
  <c r="E2691" i="1"/>
  <c r="H2691" i="1" s="1"/>
  <c r="I2691" i="1" s="1"/>
  <c r="N2691" i="1" s="1"/>
  <c r="O2691" i="1" s="1"/>
  <c r="P2691" i="1" s="1"/>
  <c r="L2690" i="1"/>
  <c r="H2690" i="1"/>
  <c r="I2690" i="1" s="1"/>
  <c r="N2690" i="1" s="1"/>
  <c r="O2690" i="1" s="1"/>
  <c r="P2690" i="1" s="1"/>
  <c r="E2690" i="1"/>
  <c r="L2689" i="1"/>
  <c r="E2689" i="1"/>
  <c r="H2689" i="1" s="1"/>
  <c r="I2689" i="1" s="1"/>
  <c r="N2689" i="1" s="1"/>
  <c r="O2689" i="1" s="1"/>
  <c r="P2689" i="1" s="1"/>
  <c r="L2688" i="1"/>
  <c r="I2688" i="1"/>
  <c r="N2688" i="1" s="1"/>
  <c r="O2688" i="1" s="1"/>
  <c r="P2688" i="1" s="1"/>
  <c r="H2688" i="1"/>
  <c r="E2688" i="1"/>
  <c r="P2687" i="1"/>
  <c r="N2687" i="1"/>
  <c r="O2687" i="1" s="1"/>
  <c r="L2687" i="1"/>
  <c r="I2687" i="1"/>
  <c r="H2687" i="1"/>
  <c r="E2687" i="1"/>
  <c r="L2686" i="1"/>
  <c r="H2686" i="1"/>
  <c r="I2686" i="1" s="1"/>
  <c r="N2686" i="1" s="1"/>
  <c r="O2686" i="1" s="1"/>
  <c r="P2686" i="1" s="1"/>
  <c r="E2686" i="1"/>
  <c r="N2685" i="1"/>
  <c r="O2685" i="1" s="1"/>
  <c r="P2685" i="1" s="1"/>
  <c r="L2685" i="1"/>
  <c r="E2685" i="1"/>
  <c r="H2685" i="1" s="1"/>
  <c r="I2685" i="1" s="1"/>
  <c r="L2684" i="1"/>
  <c r="H2684" i="1"/>
  <c r="I2684" i="1" s="1"/>
  <c r="N2684" i="1" s="1"/>
  <c r="O2684" i="1" s="1"/>
  <c r="P2684" i="1" s="1"/>
  <c r="E2684" i="1"/>
  <c r="L2683" i="1"/>
  <c r="E2683" i="1"/>
  <c r="H2683" i="1" s="1"/>
  <c r="I2683" i="1" s="1"/>
  <c r="N2683" i="1" s="1"/>
  <c r="O2683" i="1" s="1"/>
  <c r="P2683" i="1" s="1"/>
  <c r="L2682" i="1"/>
  <c r="H2682" i="1"/>
  <c r="I2682" i="1" s="1"/>
  <c r="N2682" i="1" s="1"/>
  <c r="O2682" i="1" s="1"/>
  <c r="P2682" i="1" s="1"/>
  <c r="E2682" i="1"/>
  <c r="L2681" i="1"/>
  <c r="E2681" i="1"/>
  <c r="H2681" i="1" s="1"/>
  <c r="I2681" i="1" s="1"/>
  <c r="N2681" i="1" s="1"/>
  <c r="O2681" i="1" s="1"/>
  <c r="P2681" i="1" s="1"/>
  <c r="L2680" i="1"/>
  <c r="I2680" i="1"/>
  <c r="N2680" i="1" s="1"/>
  <c r="O2680" i="1" s="1"/>
  <c r="P2680" i="1" s="1"/>
  <c r="H2680" i="1"/>
  <c r="E2680" i="1"/>
  <c r="P2679" i="1"/>
  <c r="N2679" i="1"/>
  <c r="O2679" i="1" s="1"/>
  <c r="L2679" i="1"/>
  <c r="I2679" i="1"/>
  <c r="H2679" i="1"/>
  <c r="E2679" i="1"/>
  <c r="O2678" i="1"/>
  <c r="P2678" i="1" s="1"/>
  <c r="L2678" i="1"/>
  <c r="H2678" i="1"/>
  <c r="I2678" i="1" s="1"/>
  <c r="N2678" i="1" s="1"/>
  <c r="E2678" i="1"/>
  <c r="L2677" i="1"/>
  <c r="E2677" i="1"/>
  <c r="H2677" i="1" s="1"/>
  <c r="I2677" i="1" s="1"/>
  <c r="N2677" i="1" s="1"/>
  <c r="O2677" i="1" s="1"/>
  <c r="P2677" i="1" s="1"/>
  <c r="L2676" i="1"/>
  <c r="H2676" i="1"/>
  <c r="I2676" i="1" s="1"/>
  <c r="N2676" i="1" s="1"/>
  <c r="O2676" i="1" s="1"/>
  <c r="P2676" i="1" s="1"/>
  <c r="E2676" i="1"/>
  <c r="L2675" i="1"/>
  <c r="E2675" i="1"/>
  <c r="H2675" i="1" s="1"/>
  <c r="I2675" i="1" s="1"/>
  <c r="N2675" i="1" s="1"/>
  <c r="O2675" i="1" s="1"/>
  <c r="P2675" i="1" s="1"/>
  <c r="L2674" i="1"/>
  <c r="H2674" i="1"/>
  <c r="I2674" i="1" s="1"/>
  <c r="N2674" i="1" s="1"/>
  <c r="O2674" i="1" s="1"/>
  <c r="P2674" i="1" s="1"/>
  <c r="E2674" i="1"/>
  <c r="L2673" i="1"/>
  <c r="E2673" i="1"/>
  <c r="H2673" i="1" s="1"/>
  <c r="I2673" i="1" s="1"/>
  <c r="N2673" i="1" s="1"/>
  <c r="O2673" i="1" s="1"/>
  <c r="P2673" i="1" s="1"/>
  <c r="L2672" i="1"/>
  <c r="I2672" i="1"/>
  <c r="N2672" i="1" s="1"/>
  <c r="O2672" i="1" s="1"/>
  <c r="P2672" i="1" s="1"/>
  <c r="H2672" i="1"/>
  <c r="E2672" i="1"/>
  <c r="P2671" i="1"/>
  <c r="N2671" i="1"/>
  <c r="O2671" i="1" s="1"/>
  <c r="L2671" i="1"/>
  <c r="I2671" i="1"/>
  <c r="H2671" i="1"/>
  <c r="E2671" i="1"/>
  <c r="L2670" i="1"/>
  <c r="H2670" i="1"/>
  <c r="I2670" i="1" s="1"/>
  <c r="N2670" i="1" s="1"/>
  <c r="O2670" i="1" s="1"/>
  <c r="P2670" i="1" s="1"/>
  <c r="E2670" i="1"/>
  <c r="N2669" i="1"/>
  <c r="O2669" i="1" s="1"/>
  <c r="P2669" i="1" s="1"/>
  <c r="L2669" i="1"/>
  <c r="E2669" i="1"/>
  <c r="H2669" i="1" s="1"/>
  <c r="I2669" i="1" s="1"/>
  <c r="L2668" i="1"/>
  <c r="H2668" i="1"/>
  <c r="I2668" i="1" s="1"/>
  <c r="N2668" i="1" s="1"/>
  <c r="O2668" i="1" s="1"/>
  <c r="P2668" i="1" s="1"/>
  <c r="E2668" i="1"/>
  <c r="L2667" i="1"/>
  <c r="E2667" i="1"/>
  <c r="H2667" i="1" s="1"/>
  <c r="I2667" i="1" s="1"/>
  <c r="N2667" i="1" s="1"/>
  <c r="O2667" i="1" s="1"/>
  <c r="P2667" i="1" s="1"/>
  <c r="L2666" i="1"/>
  <c r="H2666" i="1"/>
  <c r="I2666" i="1" s="1"/>
  <c r="N2666" i="1" s="1"/>
  <c r="O2666" i="1" s="1"/>
  <c r="P2666" i="1" s="1"/>
  <c r="E2666" i="1"/>
  <c r="L2665" i="1"/>
  <c r="E2665" i="1"/>
  <c r="H2665" i="1" s="1"/>
  <c r="I2665" i="1" s="1"/>
  <c r="N2665" i="1" s="1"/>
  <c r="O2665" i="1" s="1"/>
  <c r="P2665" i="1" s="1"/>
  <c r="L2664" i="1"/>
  <c r="I2664" i="1"/>
  <c r="N2664" i="1" s="1"/>
  <c r="O2664" i="1" s="1"/>
  <c r="P2664" i="1" s="1"/>
  <c r="H2664" i="1"/>
  <c r="E2664" i="1"/>
  <c r="P2663" i="1"/>
  <c r="N2663" i="1"/>
  <c r="O2663" i="1" s="1"/>
  <c r="L2663" i="1"/>
  <c r="I2663" i="1"/>
  <c r="H2663" i="1"/>
  <c r="E2663" i="1"/>
  <c r="O2662" i="1"/>
  <c r="P2662" i="1" s="1"/>
  <c r="L2662" i="1"/>
  <c r="H2662" i="1"/>
  <c r="I2662" i="1" s="1"/>
  <c r="N2662" i="1" s="1"/>
  <c r="E2662" i="1"/>
  <c r="L2661" i="1"/>
  <c r="E2661" i="1"/>
  <c r="H2661" i="1" s="1"/>
  <c r="I2661" i="1" s="1"/>
  <c r="N2661" i="1" s="1"/>
  <c r="O2661" i="1" s="1"/>
  <c r="P2661" i="1" s="1"/>
  <c r="L2660" i="1"/>
  <c r="H2660" i="1"/>
  <c r="I2660" i="1" s="1"/>
  <c r="N2660" i="1" s="1"/>
  <c r="O2660" i="1" s="1"/>
  <c r="P2660" i="1" s="1"/>
  <c r="E2660" i="1"/>
  <c r="L2659" i="1"/>
  <c r="E2659" i="1"/>
  <c r="H2659" i="1" s="1"/>
  <c r="I2659" i="1" s="1"/>
  <c r="N2659" i="1" s="1"/>
  <c r="O2659" i="1" s="1"/>
  <c r="P2659" i="1" s="1"/>
  <c r="L2658" i="1"/>
  <c r="H2658" i="1"/>
  <c r="I2658" i="1" s="1"/>
  <c r="N2658" i="1" s="1"/>
  <c r="O2658" i="1" s="1"/>
  <c r="P2658" i="1" s="1"/>
  <c r="E2658" i="1"/>
  <c r="L2657" i="1"/>
  <c r="E2657" i="1"/>
  <c r="H2657" i="1" s="1"/>
  <c r="I2657" i="1" s="1"/>
  <c r="N2657" i="1" s="1"/>
  <c r="O2657" i="1" s="1"/>
  <c r="P2657" i="1" s="1"/>
  <c r="L2656" i="1"/>
  <c r="I2656" i="1"/>
  <c r="N2656" i="1" s="1"/>
  <c r="O2656" i="1" s="1"/>
  <c r="P2656" i="1" s="1"/>
  <c r="H2656" i="1"/>
  <c r="E2656" i="1"/>
  <c r="P2655" i="1"/>
  <c r="N2655" i="1"/>
  <c r="O2655" i="1" s="1"/>
  <c r="L2655" i="1"/>
  <c r="I2655" i="1"/>
  <c r="H2655" i="1"/>
  <c r="E2655" i="1"/>
  <c r="L2654" i="1"/>
  <c r="H2654" i="1"/>
  <c r="I2654" i="1" s="1"/>
  <c r="N2654" i="1" s="1"/>
  <c r="O2654" i="1" s="1"/>
  <c r="P2654" i="1" s="1"/>
  <c r="E2654" i="1"/>
  <c r="N2653" i="1"/>
  <c r="O2653" i="1" s="1"/>
  <c r="P2653" i="1" s="1"/>
  <c r="L2653" i="1"/>
  <c r="E2653" i="1"/>
  <c r="H2653" i="1" s="1"/>
  <c r="I2653" i="1" s="1"/>
  <c r="L2652" i="1"/>
  <c r="H2652" i="1"/>
  <c r="I2652" i="1" s="1"/>
  <c r="N2652" i="1" s="1"/>
  <c r="O2652" i="1" s="1"/>
  <c r="P2652" i="1" s="1"/>
  <c r="E2652" i="1"/>
  <c r="L2651" i="1"/>
  <c r="E2651" i="1"/>
  <c r="H2651" i="1" s="1"/>
  <c r="I2651" i="1" s="1"/>
  <c r="N2651" i="1" s="1"/>
  <c r="O2651" i="1" s="1"/>
  <c r="P2651" i="1" s="1"/>
  <c r="L2650" i="1"/>
  <c r="H2650" i="1"/>
  <c r="I2650" i="1" s="1"/>
  <c r="N2650" i="1" s="1"/>
  <c r="O2650" i="1" s="1"/>
  <c r="P2650" i="1" s="1"/>
  <c r="E2650" i="1"/>
  <c r="L2649" i="1"/>
  <c r="E2649" i="1"/>
  <c r="H2649" i="1" s="1"/>
  <c r="I2649" i="1" s="1"/>
  <c r="N2649" i="1" s="1"/>
  <c r="O2649" i="1" s="1"/>
  <c r="P2649" i="1" s="1"/>
  <c r="L2648" i="1"/>
  <c r="E2648" i="1"/>
  <c r="H2648" i="1" s="1"/>
  <c r="I2648" i="1" s="1"/>
  <c r="N2648" i="1" s="1"/>
  <c r="O2648" i="1" s="1"/>
  <c r="P2648" i="1" s="1"/>
  <c r="P2647" i="1"/>
  <c r="N2647" i="1"/>
  <c r="O2647" i="1" s="1"/>
  <c r="L2647" i="1"/>
  <c r="I2647" i="1"/>
  <c r="H2647" i="1"/>
  <c r="E2647" i="1"/>
  <c r="O2646" i="1"/>
  <c r="P2646" i="1" s="1"/>
  <c r="L2646" i="1"/>
  <c r="H2646" i="1"/>
  <c r="I2646" i="1" s="1"/>
  <c r="N2646" i="1" s="1"/>
  <c r="E2646" i="1"/>
  <c r="N2645" i="1"/>
  <c r="O2645" i="1" s="1"/>
  <c r="P2645" i="1" s="1"/>
  <c r="L2645" i="1"/>
  <c r="E2645" i="1"/>
  <c r="H2645" i="1" s="1"/>
  <c r="I2645" i="1" s="1"/>
  <c r="L2644" i="1"/>
  <c r="H2644" i="1"/>
  <c r="I2644" i="1" s="1"/>
  <c r="N2644" i="1" s="1"/>
  <c r="O2644" i="1" s="1"/>
  <c r="P2644" i="1" s="1"/>
  <c r="E2644" i="1"/>
  <c r="L2643" i="1"/>
  <c r="E2643" i="1"/>
  <c r="H2643" i="1" s="1"/>
  <c r="I2643" i="1" s="1"/>
  <c r="N2643" i="1" s="1"/>
  <c r="O2643" i="1" s="1"/>
  <c r="P2643" i="1" s="1"/>
  <c r="L2642" i="1"/>
  <c r="H2642" i="1"/>
  <c r="I2642" i="1" s="1"/>
  <c r="N2642" i="1" s="1"/>
  <c r="O2642" i="1" s="1"/>
  <c r="P2642" i="1" s="1"/>
  <c r="E2642" i="1"/>
  <c r="L2641" i="1"/>
  <c r="E2641" i="1"/>
  <c r="H2641" i="1" s="1"/>
  <c r="I2641" i="1" s="1"/>
  <c r="N2641" i="1" s="1"/>
  <c r="O2641" i="1" s="1"/>
  <c r="P2641" i="1" s="1"/>
  <c r="L2640" i="1"/>
  <c r="I2640" i="1"/>
  <c r="N2640" i="1" s="1"/>
  <c r="O2640" i="1" s="1"/>
  <c r="P2640" i="1" s="1"/>
  <c r="H2640" i="1"/>
  <c r="E2640" i="1"/>
  <c r="P2639" i="1"/>
  <c r="N2639" i="1"/>
  <c r="O2639" i="1" s="1"/>
  <c r="L2639" i="1"/>
  <c r="I2639" i="1"/>
  <c r="H2639" i="1"/>
  <c r="E2639" i="1"/>
  <c r="O2638" i="1"/>
  <c r="P2638" i="1" s="1"/>
  <c r="L2638" i="1"/>
  <c r="H2638" i="1"/>
  <c r="I2638" i="1" s="1"/>
  <c r="N2638" i="1" s="1"/>
  <c r="E2638" i="1"/>
  <c r="N2637" i="1"/>
  <c r="O2637" i="1" s="1"/>
  <c r="P2637" i="1" s="1"/>
  <c r="L2637" i="1"/>
  <c r="E2637" i="1"/>
  <c r="H2637" i="1" s="1"/>
  <c r="I2637" i="1" s="1"/>
  <c r="L2636" i="1"/>
  <c r="H2636" i="1"/>
  <c r="I2636" i="1" s="1"/>
  <c r="N2636" i="1" s="1"/>
  <c r="O2636" i="1" s="1"/>
  <c r="P2636" i="1" s="1"/>
  <c r="E2636" i="1"/>
  <c r="L2635" i="1"/>
  <c r="E2635" i="1"/>
  <c r="H2635" i="1" s="1"/>
  <c r="I2635" i="1" s="1"/>
  <c r="N2635" i="1" s="1"/>
  <c r="O2635" i="1" s="1"/>
  <c r="P2635" i="1" s="1"/>
  <c r="L2634" i="1"/>
  <c r="H2634" i="1"/>
  <c r="I2634" i="1" s="1"/>
  <c r="N2634" i="1" s="1"/>
  <c r="O2634" i="1" s="1"/>
  <c r="P2634" i="1" s="1"/>
  <c r="E2634" i="1"/>
  <c r="L2633" i="1"/>
  <c r="E2633" i="1"/>
  <c r="H2633" i="1" s="1"/>
  <c r="I2633" i="1" s="1"/>
  <c r="N2633" i="1" s="1"/>
  <c r="O2633" i="1" s="1"/>
  <c r="P2633" i="1" s="1"/>
  <c r="L2632" i="1"/>
  <c r="E2632" i="1"/>
  <c r="H2632" i="1" s="1"/>
  <c r="I2632" i="1" s="1"/>
  <c r="N2632" i="1" s="1"/>
  <c r="O2632" i="1" s="1"/>
  <c r="P2632" i="1" s="1"/>
  <c r="P2631" i="1"/>
  <c r="N2631" i="1"/>
  <c r="O2631" i="1" s="1"/>
  <c r="L2631" i="1"/>
  <c r="I2631" i="1"/>
  <c r="H2631" i="1"/>
  <c r="E2631" i="1"/>
  <c r="L2630" i="1"/>
  <c r="H2630" i="1"/>
  <c r="I2630" i="1" s="1"/>
  <c r="N2630" i="1" s="1"/>
  <c r="O2630" i="1" s="1"/>
  <c r="P2630" i="1" s="1"/>
  <c r="E2630" i="1"/>
  <c r="N2629" i="1"/>
  <c r="O2629" i="1" s="1"/>
  <c r="P2629" i="1" s="1"/>
  <c r="L2629" i="1"/>
  <c r="E2629" i="1"/>
  <c r="H2629" i="1" s="1"/>
  <c r="I2629" i="1" s="1"/>
  <c r="L2628" i="1"/>
  <c r="H2628" i="1"/>
  <c r="I2628" i="1" s="1"/>
  <c r="N2628" i="1" s="1"/>
  <c r="O2628" i="1" s="1"/>
  <c r="P2628" i="1" s="1"/>
  <c r="E2628" i="1"/>
  <c r="L2627" i="1"/>
  <c r="E2627" i="1"/>
  <c r="H2627" i="1" s="1"/>
  <c r="I2627" i="1" s="1"/>
  <c r="N2627" i="1" s="1"/>
  <c r="O2627" i="1" s="1"/>
  <c r="P2627" i="1" s="1"/>
  <c r="L2626" i="1"/>
  <c r="H2626" i="1"/>
  <c r="I2626" i="1" s="1"/>
  <c r="N2626" i="1" s="1"/>
  <c r="O2626" i="1" s="1"/>
  <c r="P2626" i="1" s="1"/>
  <c r="E2626" i="1"/>
  <c r="L2625" i="1"/>
  <c r="E2625" i="1"/>
  <c r="H2625" i="1" s="1"/>
  <c r="I2625" i="1" s="1"/>
  <c r="N2625" i="1" s="1"/>
  <c r="O2625" i="1" s="1"/>
  <c r="P2625" i="1" s="1"/>
  <c r="L2624" i="1"/>
  <c r="E2624" i="1"/>
  <c r="H2624" i="1" s="1"/>
  <c r="I2624" i="1" s="1"/>
  <c r="N2624" i="1" s="1"/>
  <c r="O2624" i="1" s="1"/>
  <c r="P2624" i="1" s="1"/>
  <c r="P2623" i="1"/>
  <c r="N2623" i="1"/>
  <c r="O2623" i="1" s="1"/>
  <c r="L2623" i="1"/>
  <c r="I2623" i="1"/>
  <c r="H2623" i="1"/>
  <c r="E2623" i="1"/>
  <c r="O2622" i="1"/>
  <c r="P2622" i="1" s="1"/>
  <c r="L2622" i="1"/>
  <c r="H2622" i="1"/>
  <c r="I2622" i="1" s="1"/>
  <c r="N2622" i="1" s="1"/>
  <c r="E2622" i="1"/>
  <c r="N2621" i="1"/>
  <c r="O2621" i="1" s="1"/>
  <c r="P2621" i="1" s="1"/>
  <c r="L2621" i="1"/>
  <c r="E2621" i="1"/>
  <c r="H2621" i="1" s="1"/>
  <c r="I2621" i="1" s="1"/>
  <c r="L2620" i="1"/>
  <c r="H2620" i="1"/>
  <c r="I2620" i="1" s="1"/>
  <c r="N2620" i="1" s="1"/>
  <c r="O2620" i="1" s="1"/>
  <c r="P2620" i="1" s="1"/>
  <c r="E2620" i="1"/>
  <c r="L2619" i="1"/>
  <c r="E2619" i="1"/>
  <c r="H2619" i="1" s="1"/>
  <c r="I2619" i="1" s="1"/>
  <c r="N2619" i="1" s="1"/>
  <c r="O2619" i="1" s="1"/>
  <c r="P2619" i="1" s="1"/>
  <c r="L2618" i="1"/>
  <c r="H2618" i="1"/>
  <c r="I2618" i="1" s="1"/>
  <c r="N2618" i="1" s="1"/>
  <c r="O2618" i="1" s="1"/>
  <c r="P2618" i="1" s="1"/>
  <c r="E2618" i="1"/>
  <c r="L2617" i="1"/>
  <c r="E2617" i="1"/>
  <c r="H2617" i="1" s="1"/>
  <c r="I2617" i="1" s="1"/>
  <c r="N2617" i="1" s="1"/>
  <c r="O2617" i="1" s="1"/>
  <c r="P2617" i="1" s="1"/>
  <c r="L2616" i="1"/>
  <c r="I2616" i="1"/>
  <c r="N2616" i="1" s="1"/>
  <c r="O2616" i="1" s="1"/>
  <c r="P2616" i="1" s="1"/>
  <c r="H2616" i="1"/>
  <c r="E2616" i="1"/>
  <c r="P2615" i="1"/>
  <c r="N2615" i="1"/>
  <c r="O2615" i="1" s="1"/>
  <c r="L2615" i="1"/>
  <c r="I2615" i="1"/>
  <c r="H2615" i="1"/>
  <c r="E2615" i="1"/>
  <c r="O2614" i="1"/>
  <c r="P2614" i="1" s="1"/>
  <c r="L2614" i="1"/>
  <c r="H2614" i="1"/>
  <c r="I2614" i="1" s="1"/>
  <c r="N2614" i="1" s="1"/>
  <c r="E2614" i="1"/>
  <c r="N2613" i="1"/>
  <c r="O2613" i="1" s="1"/>
  <c r="P2613" i="1" s="1"/>
  <c r="L2613" i="1"/>
  <c r="E2613" i="1"/>
  <c r="H2613" i="1" s="1"/>
  <c r="I2613" i="1" s="1"/>
  <c r="L2612" i="1"/>
  <c r="H2612" i="1"/>
  <c r="I2612" i="1" s="1"/>
  <c r="E2612" i="1"/>
  <c r="L2611" i="1"/>
  <c r="E2611" i="1"/>
  <c r="H2611" i="1" s="1"/>
  <c r="I2611" i="1" s="1"/>
  <c r="N2611" i="1" s="1"/>
  <c r="O2611" i="1" s="1"/>
  <c r="P2611" i="1" s="1"/>
  <c r="L2610" i="1"/>
  <c r="H2610" i="1"/>
  <c r="I2610" i="1" s="1"/>
  <c r="N2610" i="1" s="1"/>
  <c r="O2610" i="1" s="1"/>
  <c r="P2610" i="1" s="1"/>
  <c r="E2610" i="1"/>
  <c r="L2609" i="1"/>
  <c r="E2609" i="1"/>
  <c r="H2609" i="1" s="1"/>
  <c r="I2609" i="1" s="1"/>
  <c r="N2609" i="1" s="1"/>
  <c r="O2609" i="1" s="1"/>
  <c r="P2609" i="1" s="1"/>
  <c r="L2608" i="1"/>
  <c r="E2608" i="1"/>
  <c r="H2608" i="1" s="1"/>
  <c r="I2608" i="1" s="1"/>
  <c r="N2608" i="1" s="1"/>
  <c r="O2608" i="1" s="1"/>
  <c r="P2608" i="1" s="1"/>
  <c r="P2607" i="1"/>
  <c r="N2607" i="1"/>
  <c r="O2607" i="1" s="1"/>
  <c r="L2607" i="1"/>
  <c r="I2607" i="1"/>
  <c r="H2607" i="1"/>
  <c r="E2607" i="1"/>
  <c r="L2606" i="1"/>
  <c r="H2606" i="1"/>
  <c r="I2606" i="1" s="1"/>
  <c r="N2606" i="1" s="1"/>
  <c r="O2606" i="1" s="1"/>
  <c r="P2606" i="1" s="1"/>
  <c r="E2606" i="1"/>
  <c r="N2605" i="1"/>
  <c r="O2605" i="1" s="1"/>
  <c r="P2605" i="1" s="1"/>
  <c r="L2605" i="1"/>
  <c r="E2605" i="1"/>
  <c r="H2605" i="1" s="1"/>
  <c r="I2605" i="1" s="1"/>
  <c r="L2604" i="1"/>
  <c r="H2604" i="1"/>
  <c r="I2604" i="1" s="1"/>
  <c r="N2604" i="1" s="1"/>
  <c r="O2604" i="1" s="1"/>
  <c r="P2604" i="1" s="1"/>
  <c r="E2604" i="1"/>
  <c r="L2603" i="1"/>
  <c r="E2603" i="1"/>
  <c r="H2603" i="1" s="1"/>
  <c r="I2603" i="1" s="1"/>
  <c r="N2603" i="1" s="1"/>
  <c r="O2603" i="1" s="1"/>
  <c r="P2603" i="1" s="1"/>
  <c r="L2602" i="1"/>
  <c r="H2602" i="1"/>
  <c r="I2602" i="1" s="1"/>
  <c r="N2602" i="1" s="1"/>
  <c r="O2602" i="1" s="1"/>
  <c r="P2602" i="1" s="1"/>
  <c r="E2602" i="1"/>
  <c r="L2601" i="1"/>
  <c r="E2601" i="1"/>
  <c r="H2601" i="1" s="1"/>
  <c r="I2601" i="1" s="1"/>
  <c r="N2601" i="1" s="1"/>
  <c r="O2601" i="1" s="1"/>
  <c r="P2601" i="1" s="1"/>
  <c r="L2600" i="1"/>
  <c r="E2600" i="1"/>
  <c r="H2600" i="1" s="1"/>
  <c r="I2600" i="1" s="1"/>
  <c r="N2600" i="1" s="1"/>
  <c r="O2600" i="1" s="1"/>
  <c r="P2600" i="1" s="1"/>
  <c r="P2599" i="1"/>
  <c r="L2599" i="1"/>
  <c r="I2599" i="1"/>
  <c r="N2599" i="1" s="1"/>
  <c r="O2599" i="1" s="1"/>
  <c r="H2599" i="1"/>
  <c r="E2599" i="1"/>
  <c r="L2598" i="1"/>
  <c r="H2598" i="1"/>
  <c r="I2598" i="1" s="1"/>
  <c r="N2598" i="1" s="1"/>
  <c r="O2598" i="1" s="1"/>
  <c r="P2598" i="1" s="1"/>
  <c r="E2598" i="1"/>
  <c r="N2597" i="1"/>
  <c r="O2597" i="1" s="1"/>
  <c r="P2597" i="1" s="1"/>
  <c r="L2597" i="1"/>
  <c r="E2597" i="1"/>
  <c r="H2597" i="1" s="1"/>
  <c r="I2597" i="1" s="1"/>
  <c r="L2596" i="1"/>
  <c r="H2596" i="1"/>
  <c r="I2596" i="1" s="1"/>
  <c r="E2596" i="1"/>
  <c r="L2595" i="1"/>
  <c r="E2595" i="1"/>
  <c r="H2595" i="1" s="1"/>
  <c r="I2595" i="1" s="1"/>
  <c r="N2595" i="1" s="1"/>
  <c r="O2595" i="1" s="1"/>
  <c r="P2595" i="1" s="1"/>
  <c r="L2594" i="1"/>
  <c r="H2594" i="1"/>
  <c r="I2594" i="1" s="1"/>
  <c r="N2594" i="1" s="1"/>
  <c r="O2594" i="1" s="1"/>
  <c r="P2594" i="1" s="1"/>
  <c r="E2594" i="1"/>
  <c r="L2593" i="1"/>
  <c r="E2593" i="1"/>
  <c r="H2593" i="1" s="1"/>
  <c r="I2593" i="1" s="1"/>
  <c r="N2593" i="1" s="1"/>
  <c r="O2593" i="1" s="1"/>
  <c r="P2593" i="1" s="1"/>
  <c r="L2592" i="1"/>
  <c r="E2592" i="1"/>
  <c r="H2592" i="1" s="1"/>
  <c r="I2592" i="1" s="1"/>
  <c r="N2592" i="1" s="1"/>
  <c r="O2592" i="1" s="1"/>
  <c r="P2592" i="1" s="1"/>
  <c r="P2591" i="1"/>
  <c r="N2591" i="1"/>
  <c r="O2591" i="1" s="1"/>
  <c r="L2591" i="1"/>
  <c r="I2591" i="1"/>
  <c r="H2591" i="1"/>
  <c r="E2591" i="1"/>
  <c r="L2590" i="1"/>
  <c r="H2590" i="1"/>
  <c r="I2590" i="1" s="1"/>
  <c r="N2590" i="1" s="1"/>
  <c r="O2590" i="1" s="1"/>
  <c r="P2590" i="1" s="1"/>
  <c r="E2590" i="1"/>
  <c r="L2589" i="1"/>
  <c r="E2589" i="1"/>
  <c r="H2589" i="1" s="1"/>
  <c r="I2589" i="1" s="1"/>
  <c r="N2589" i="1" s="1"/>
  <c r="O2589" i="1" s="1"/>
  <c r="P2589" i="1" s="1"/>
  <c r="L2588" i="1"/>
  <c r="H2588" i="1"/>
  <c r="I2588" i="1" s="1"/>
  <c r="N2588" i="1" s="1"/>
  <c r="O2588" i="1" s="1"/>
  <c r="P2588" i="1" s="1"/>
  <c r="E2588" i="1"/>
  <c r="P2587" i="1"/>
  <c r="L2587" i="1"/>
  <c r="I2587" i="1"/>
  <c r="N2587" i="1" s="1"/>
  <c r="O2587" i="1" s="1"/>
  <c r="E2587" i="1"/>
  <c r="H2587" i="1" s="1"/>
  <c r="O2586" i="1"/>
  <c r="P2586" i="1" s="1"/>
  <c r="L2586" i="1"/>
  <c r="E2586" i="1"/>
  <c r="H2586" i="1" s="1"/>
  <c r="I2586" i="1" s="1"/>
  <c r="N2586" i="1" s="1"/>
  <c r="L2585" i="1"/>
  <c r="E2585" i="1"/>
  <c r="H2585" i="1" s="1"/>
  <c r="I2585" i="1" s="1"/>
  <c r="N2585" i="1" s="1"/>
  <c r="O2585" i="1" s="1"/>
  <c r="P2585" i="1" s="1"/>
  <c r="L2584" i="1"/>
  <c r="I2584" i="1"/>
  <c r="N2584" i="1" s="1"/>
  <c r="O2584" i="1" s="1"/>
  <c r="P2584" i="1" s="1"/>
  <c r="H2584" i="1"/>
  <c r="E2584" i="1"/>
  <c r="N2583" i="1"/>
  <c r="O2583" i="1" s="1"/>
  <c r="P2583" i="1" s="1"/>
  <c r="L2583" i="1"/>
  <c r="I2583" i="1"/>
  <c r="H2583" i="1"/>
  <c r="E2583" i="1"/>
  <c r="L2582" i="1"/>
  <c r="H2582" i="1"/>
  <c r="I2582" i="1" s="1"/>
  <c r="N2582" i="1" s="1"/>
  <c r="O2582" i="1" s="1"/>
  <c r="P2582" i="1" s="1"/>
  <c r="E2582" i="1"/>
  <c r="L2581" i="1"/>
  <c r="N2581" i="1" s="1"/>
  <c r="O2581" i="1" s="1"/>
  <c r="P2581" i="1" s="1"/>
  <c r="I2581" i="1"/>
  <c r="E2581" i="1"/>
  <c r="H2581" i="1" s="1"/>
  <c r="L2580" i="1"/>
  <c r="H2580" i="1"/>
  <c r="I2580" i="1" s="1"/>
  <c r="N2580" i="1" s="1"/>
  <c r="O2580" i="1" s="1"/>
  <c r="P2580" i="1" s="1"/>
  <c r="E2580" i="1"/>
  <c r="L2579" i="1"/>
  <c r="E2579" i="1"/>
  <c r="H2579" i="1" s="1"/>
  <c r="I2579" i="1" s="1"/>
  <c r="N2579" i="1" s="1"/>
  <c r="O2579" i="1" s="1"/>
  <c r="P2579" i="1" s="1"/>
  <c r="L2578" i="1"/>
  <c r="E2578" i="1"/>
  <c r="H2578" i="1" s="1"/>
  <c r="I2578" i="1" s="1"/>
  <c r="N2578" i="1" s="1"/>
  <c r="O2578" i="1" s="1"/>
  <c r="P2578" i="1" s="1"/>
  <c r="L2577" i="1"/>
  <c r="E2577" i="1"/>
  <c r="H2577" i="1" s="1"/>
  <c r="I2577" i="1" s="1"/>
  <c r="N2577" i="1" s="1"/>
  <c r="O2577" i="1" s="1"/>
  <c r="P2577" i="1" s="1"/>
  <c r="O2576" i="1"/>
  <c r="P2576" i="1" s="1"/>
  <c r="L2576" i="1"/>
  <c r="E2576" i="1"/>
  <c r="H2576" i="1" s="1"/>
  <c r="I2576" i="1" s="1"/>
  <c r="N2576" i="1" s="1"/>
  <c r="L2575" i="1"/>
  <c r="I2575" i="1"/>
  <c r="N2575" i="1" s="1"/>
  <c r="O2575" i="1" s="1"/>
  <c r="P2575" i="1" s="1"/>
  <c r="H2575" i="1"/>
  <c r="E2575" i="1"/>
  <c r="O2574" i="1"/>
  <c r="P2574" i="1" s="1"/>
  <c r="N2574" i="1"/>
  <c r="L2574" i="1"/>
  <c r="H2574" i="1"/>
  <c r="I2574" i="1" s="1"/>
  <c r="E2574" i="1"/>
  <c r="L2573" i="1"/>
  <c r="E2573" i="1"/>
  <c r="H2573" i="1" s="1"/>
  <c r="I2573" i="1" s="1"/>
  <c r="N2573" i="1" s="1"/>
  <c r="O2573" i="1" s="1"/>
  <c r="P2573" i="1" s="1"/>
  <c r="L2572" i="1"/>
  <c r="I2572" i="1"/>
  <c r="H2572" i="1"/>
  <c r="E2572" i="1"/>
  <c r="L2571" i="1"/>
  <c r="H2571" i="1"/>
  <c r="I2571" i="1" s="1"/>
  <c r="N2571" i="1" s="1"/>
  <c r="O2571" i="1" s="1"/>
  <c r="P2571" i="1" s="1"/>
  <c r="E2571" i="1"/>
  <c r="O2570" i="1"/>
  <c r="P2570" i="1" s="1"/>
  <c r="L2570" i="1"/>
  <c r="H2570" i="1"/>
  <c r="I2570" i="1" s="1"/>
  <c r="N2570" i="1" s="1"/>
  <c r="E2570" i="1"/>
  <c r="L2569" i="1"/>
  <c r="E2569" i="1"/>
  <c r="H2569" i="1" s="1"/>
  <c r="I2569" i="1" s="1"/>
  <c r="N2569" i="1" s="1"/>
  <c r="O2569" i="1" s="1"/>
  <c r="P2569" i="1" s="1"/>
  <c r="L2568" i="1"/>
  <c r="I2568" i="1"/>
  <c r="H2568" i="1"/>
  <c r="E2568" i="1"/>
  <c r="L2567" i="1"/>
  <c r="I2567" i="1"/>
  <c r="N2567" i="1" s="1"/>
  <c r="O2567" i="1" s="1"/>
  <c r="P2567" i="1" s="1"/>
  <c r="H2567" i="1"/>
  <c r="E2567" i="1"/>
  <c r="L2566" i="1"/>
  <c r="N2566" i="1" s="1"/>
  <c r="O2566" i="1" s="1"/>
  <c r="P2566" i="1" s="1"/>
  <c r="H2566" i="1"/>
  <c r="I2566" i="1" s="1"/>
  <c r="E2566" i="1"/>
  <c r="L2565" i="1"/>
  <c r="I2565" i="1"/>
  <c r="N2565" i="1" s="1"/>
  <c r="O2565" i="1" s="1"/>
  <c r="P2565" i="1" s="1"/>
  <c r="E2565" i="1"/>
  <c r="H2565" i="1" s="1"/>
  <c r="L2564" i="1"/>
  <c r="I2564" i="1"/>
  <c r="N2564" i="1" s="1"/>
  <c r="O2564" i="1" s="1"/>
  <c r="P2564" i="1" s="1"/>
  <c r="H2564" i="1"/>
  <c r="E2564" i="1"/>
  <c r="L2563" i="1"/>
  <c r="E2563" i="1"/>
  <c r="H2563" i="1" s="1"/>
  <c r="I2563" i="1" s="1"/>
  <c r="N2563" i="1" s="1"/>
  <c r="O2563" i="1" s="1"/>
  <c r="P2563" i="1" s="1"/>
  <c r="L2562" i="1"/>
  <c r="E2562" i="1"/>
  <c r="H2562" i="1" s="1"/>
  <c r="I2562" i="1" s="1"/>
  <c r="N2562" i="1" s="1"/>
  <c r="O2562" i="1" s="1"/>
  <c r="P2562" i="1" s="1"/>
  <c r="N2561" i="1"/>
  <c r="O2561" i="1" s="1"/>
  <c r="P2561" i="1" s="1"/>
  <c r="L2561" i="1"/>
  <c r="E2561" i="1"/>
  <c r="H2561" i="1" s="1"/>
  <c r="I2561" i="1" s="1"/>
  <c r="L2560" i="1"/>
  <c r="I2560" i="1"/>
  <c r="N2560" i="1" s="1"/>
  <c r="O2560" i="1" s="1"/>
  <c r="P2560" i="1" s="1"/>
  <c r="H2560" i="1"/>
  <c r="E2560" i="1"/>
  <c r="L2559" i="1"/>
  <c r="H2559" i="1"/>
  <c r="I2559" i="1" s="1"/>
  <c r="N2559" i="1" s="1"/>
  <c r="O2559" i="1" s="1"/>
  <c r="P2559" i="1" s="1"/>
  <c r="E2559" i="1"/>
  <c r="O2558" i="1"/>
  <c r="P2558" i="1" s="1"/>
  <c r="L2558" i="1"/>
  <c r="H2558" i="1"/>
  <c r="I2558" i="1" s="1"/>
  <c r="N2558" i="1" s="1"/>
  <c r="E2558" i="1"/>
  <c r="L2557" i="1"/>
  <c r="E2557" i="1"/>
  <c r="H2557" i="1" s="1"/>
  <c r="I2557" i="1" s="1"/>
  <c r="N2557" i="1" s="1"/>
  <c r="O2557" i="1" s="1"/>
  <c r="P2557" i="1" s="1"/>
  <c r="L2556" i="1"/>
  <c r="I2556" i="1"/>
  <c r="N2556" i="1" s="1"/>
  <c r="O2556" i="1" s="1"/>
  <c r="P2556" i="1" s="1"/>
  <c r="H2556" i="1"/>
  <c r="E2556" i="1"/>
  <c r="L2555" i="1"/>
  <c r="E2555" i="1"/>
  <c r="H2555" i="1" s="1"/>
  <c r="I2555" i="1" s="1"/>
  <c r="N2555" i="1" s="1"/>
  <c r="O2555" i="1" s="1"/>
  <c r="P2555" i="1" s="1"/>
  <c r="L2554" i="1"/>
  <c r="E2554" i="1"/>
  <c r="H2554" i="1" s="1"/>
  <c r="I2554" i="1" s="1"/>
  <c r="N2554" i="1" s="1"/>
  <c r="O2554" i="1" s="1"/>
  <c r="P2554" i="1" s="1"/>
  <c r="L2553" i="1"/>
  <c r="N2553" i="1" s="1"/>
  <c r="O2553" i="1" s="1"/>
  <c r="P2553" i="1" s="1"/>
  <c r="E2553" i="1"/>
  <c r="H2553" i="1" s="1"/>
  <c r="I2553" i="1" s="1"/>
  <c r="L2552" i="1"/>
  <c r="I2552" i="1"/>
  <c r="N2552" i="1" s="1"/>
  <c r="O2552" i="1" s="1"/>
  <c r="P2552" i="1" s="1"/>
  <c r="E2552" i="1"/>
  <c r="H2552" i="1" s="1"/>
  <c r="L2551" i="1"/>
  <c r="I2551" i="1"/>
  <c r="N2551" i="1" s="1"/>
  <c r="O2551" i="1" s="1"/>
  <c r="P2551" i="1" s="1"/>
  <c r="H2551" i="1"/>
  <c r="E2551" i="1"/>
  <c r="L2550" i="1"/>
  <c r="N2550" i="1" s="1"/>
  <c r="O2550" i="1" s="1"/>
  <c r="P2550" i="1" s="1"/>
  <c r="H2550" i="1"/>
  <c r="I2550" i="1" s="1"/>
  <c r="E2550" i="1"/>
  <c r="L2549" i="1"/>
  <c r="E2549" i="1"/>
  <c r="H2549" i="1" s="1"/>
  <c r="I2549" i="1" s="1"/>
  <c r="N2549" i="1" s="1"/>
  <c r="O2549" i="1" s="1"/>
  <c r="P2549" i="1" s="1"/>
  <c r="L2548" i="1"/>
  <c r="I2548" i="1"/>
  <c r="N2548" i="1" s="1"/>
  <c r="O2548" i="1" s="1"/>
  <c r="P2548" i="1" s="1"/>
  <c r="H2548" i="1"/>
  <c r="E2548" i="1"/>
  <c r="L2547" i="1"/>
  <c r="H2547" i="1"/>
  <c r="I2547" i="1" s="1"/>
  <c r="N2547" i="1" s="1"/>
  <c r="O2547" i="1" s="1"/>
  <c r="P2547" i="1" s="1"/>
  <c r="E2547" i="1"/>
  <c r="L2546" i="1"/>
  <c r="H2546" i="1"/>
  <c r="I2546" i="1" s="1"/>
  <c r="N2546" i="1" s="1"/>
  <c r="O2546" i="1" s="1"/>
  <c r="P2546" i="1" s="1"/>
  <c r="E2546" i="1"/>
  <c r="L2545" i="1"/>
  <c r="I2545" i="1"/>
  <c r="N2545" i="1" s="1"/>
  <c r="O2545" i="1" s="1"/>
  <c r="P2545" i="1" s="1"/>
  <c r="H2545" i="1"/>
  <c r="E2545" i="1"/>
  <c r="L2544" i="1"/>
  <c r="E2544" i="1"/>
  <c r="H2544" i="1" s="1"/>
  <c r="I2544" i="1" s="1"/>
  <c r="N2544" i="1" s="1"/>
  <c r="O2544" i="1" s="1"/>
  <c r="P2544" i="1" s="1"/>
  <c r="L2543" i="1"/>
  <c r="E2543" i="1"/>
  <c r="H2543" i="1" s="1"/>
  <c r="I2543" i="1" s="1"/>
  <c r="N2543" i="1" s="1"/>
  <c r="O2543" i="1" s="1"/>
  <c r="P2543" i="1" s="1"/>
  <c r="L2542" i="1"/>
  <c r="E2542" i="1"/>
  <c r="H2542" i="1" s="1"/>
  <c r="I2542" i="1" s="1"/>
  <c r="N2542" i="1" s="1"/>
  <c r="O2542" i="1" s="1"/>
  <c r="P2542" i="1" s="1"/>
  <c r="L2541" i="1"/>
  <c r="E2541" i="1"/>
  <c r="H2541" i="1" s="1"/>
  <c r="I2541" i="1" s="1"/>
  <c r="N2541" i="1" s="1"/>
  <c r="O2541" i="1" s="1"/>
  <c r="P2541" i="1" s="1"/>
  <c r="O2540" i="1"/>
  <c r="P2540" i="1" s="1"/>
  <c r="L2540" i="1"/>
  <c r="I2540" i="1"/>
  <c r="N2540" i="1" s="1"/>
  <c r="H2540" i="1"/>
  <c r="E2540" i="1"/>
  <c r="L2539" i="1"/>
  <c r="H2539" i="1"/>
  <c r="I2539" i="1" s="1"/>
  <c r="N2539" i="1" s="1"/>
  <c r="O2539" i="1" s="1"/>
  <c r="P2539" i="1" s="1"/>
  <c r="E2539" i="1"/>
  <c r="L2538" i="1"/>
  <c r="E2538" i="1"/>
  <c r="H2538" i="1" s="1"/>
  <c r="I2538" i="1" s="1"/>
  <c r="N2538" i="1" s="1"/>
  <c r="O2538" i="1" s="1"/>
  <c r="P2538" i="1" s="1"/>
  <c r="L2537" i="1"/>
  <c r="E2537" i="1"/>
  <c r="H2537" i="1" s="1"/>
  <c r="I2537" i="1" s="1"/>
  <c r="N2537" i="1" s="1"/>
  <c r="O2537" i="1" s="1"/>
  <c r="P2537" i="1" s="1"/>
  <c r="L2536" i="1"/>
  <c r="H2536" i="1"/>
  <c r="I2536" i="1" s="1"/>
  <c r="N2536" i="1" s="1"/>
  <c r="O2536" i="1" s="1"/>
  <c r="P2536" i="1" s="1"/>
  <c r="E2536" i="1"/>
  <c r="L2535" i="1"/>
  <c r="E2535" i="1"/>
  <c r="H2535" i="1" s="1"/>
  <c r="I2535" i="1" s="1"/>
  <c r="N2535" i="1" s="1"/>
  <c r="O2535" i="1" s="1"/>
  <c r="P2535" i="1" s="1"/>
  <c r="O2534" i="1"/>
  <c r="P2534" i="1" s="1"/>
  <c r="L2534" i="1"/>
  <c r="I2534" i="1"/>
  <c r="N2534" i="1" s="1"/>
  <c r="H2534" i="1"/>
  <c r="E2534" i="1"/>
  <c r="L2533" i="1"/>
  <c r="H2533" i="1"/>
  <c r="I2533" i="1" s="1"/>
  <c r="N2533" i="1" s="1"/>
  <c r="O2533" i="1" s="1"/>
  <c r="P2533" i="1" s="1"/>
  <c r="E2533" i="1"/>
  <c r="L2532" i="1"/>
  <c r="E2532" i="1"/>
  <c r="H2532" i="1" s="1"/>
  <c r="I2532" i="1" s="1"/>
  <c r="L2531" i="1"/>
  <c r="I2531" i="1"/>
  <c r="N2531" i="1" s="1"/>
  <c r="O2531" i="1" s="1"/>
  <c r="P2531" i="1" s="1"/>
  <c r="E2531" i="1"/>
  <c r="H2531" i="1" s="1"/>
  <c r="L2530" i="1"/>
  <c r="H2530" i="1"/>
  <c r="I2530" i="1" s="1"/>
  <c r="N2530" i="1" s="1"/>
  <c r="O2530" i="1" s="1"/>
  <c r="P2530" i="1" s="1"/>
  <c r="E2530" i="1"/>
  <c r="L2529" i="1"/>
  <c r="E2529" i="1"/>
  <c r="H2529" i="1" s="1"/>
  <c r="I2529" i="1" s="1"/>
  <c r="N2529" i="1" s="1"/>
  <c r="O2529" i="1" s="1"/>
  <c r="P2529" i="1" s="1"/>
  <c r="L2528" i="1"/>
  <c r="H2528" i="1"/>
  <c r="I2528" i="1" s="1"/>
  <c r="N2528" i="1" s="1"/>
  <c r="O2528" i="1" s="1"/>
  <c r="P2528" i="1" s="1"/>
  <c r="E2528" i="1"/>
  <c r="L2527" i="1"/>
  <c r="E2527" i="1"/>
  <c r="H2527" i="1" s="1"/>
  <c r="I2527" i="1" s="1"/>
  <c r="N2527" i="1" s="1"/>
  <c r="O2527" i="1" s="1"/>
  <c r="P2527" i="1" s="1"/>
  <c r="L2526" i="1"/>
  <c r="I2526" i="1"/>
  <c r="N2526" i="1" s="1"/>
  <c r="O2526" i="1" s="1"/>
  <c r="P2526" i="1" s="1"/>
  <c r="H2526" i="1"/>
  <c r="E2526" i="1"/>
  <c r="L2525" i="1"/>
  <c r="H2525" i="1"/>
  <c r="I2525" i="1" s="1"/>
  <c r="N2525" i="1" s="1"/>
  <c r="O2525" i="1" s="1"/>
  <c r="P2525" i="1" s="1"/>
  <c r="E2525" i="1"/>
  <c r="L2524" i="1"/>
  <c r="E2524" i="1"/>
  <c r="H2524" i="1" s="1"/>
  <c r="I2524" i="1" s="1"/>
  <c r="L2523" i="1"/>
  <c r="I2523" i="1"/>
  <c r="N2523" i="1" s="1"/>
  <c r="O2523" i="1" s="1"/>
  <c r="P2523" i="1" s="1"/>
  <c r="E2523" i="1"/>
  <c r="H2523" i="1" s="1"/>
  <c r="L2522" i="1"/>
  <c r="H2522" i="1"/>
  <c r="I2522" i="1" s="1"/>
  <c r="N2522" i="1" s="1"/>
  <c r="O2522" i="1" s="1"/>
  <c r="P2522" i="1" s="1"/>
  <c r="E2522" i="1"/>
  <c r="L2521" i="1"/>
  <c r="E2521" i="1"/>
  <c r="H2521" i="1" s="1"/>
  <c r="I2521" i="1" s="1"/>
  <c r="N2521" i="1" s="1"/>
  <c r="O2521" i="1" s="1"/>
  <c r="P2521" i="1" s="1"/>
  <c r="L2520" i="1"/>
  <c r="H2520" i="1"/>
  <c r="I2520" i="1" s="1"/>
  <c r="N2520" i="1" s="1"/>
  <c r="O2520" i="1" s="1"/>
  <c r="P2520" i="1" s="1"/>
  <c r="E2520" i="1"/>
  <c r="P2519" i="1"/>
  <c r="L2519" i="1"/>
  <c r="E2519" i="1"/>
  <c r="H2519" i="1" s="1"/>
  <c r="I2519" i="1" s="1"/>
  <c r="N2519" i="1" s="1"/>
  <c r="O2519" i="1" s="1"/>
  <c r="L2518" i="1"/>
  <c r="I2518" i="1"/>
  <c r="N2518" i="1" s="1"/>
  <c r="O2518" i="1" s="1"/>
  <c r="P2518" i="1" s="1"/>
  <c r="H2518" i="1"/>
  <c r="E2518" i="1"/>
  <c r="N2517" i="1"/>
  <c r="O2517" i="1" s="1"/>
  <c r="P2517" i="1" s="1"/>
  <c r="L2517" i="1"/>
  <c r="H2517" i="1"/>
  <c r="I2517" i="1" s="1"/>
  <c r="E2517" i="1"/>
  <c r="L2516" i="1"/>
  <c r="E2516" i="1"/>
  <c r="H2516" i="1" s="1"/>
  <c r="I2516" i="1" s="1"/>
  <c r="N2516" i="1" s="1"/>
  <c r="O2516" i="1" s="1"/>
  <c r="P2516" i="1" s="1"/>
  <c r="L2515" i="1"/>
  <c r="E2515" i="1"/>
  <c r="H2515" i="1" s="1"/>
  <c r="I2515" i="1" s="1"/>
  <c r="N2515" i="1" s="1"/>
  <c r="O2515" i="1" s="1"/>
  <c r="P2515" i="1" s="1"/>
  <c r="L2514" i="1"/>
  <c r="H2514" i="1"/>
  <c r="I2514" i="1" s="1"/>
  <c r="N2514" i="1" s="1"/>
  <c r="O2514" i="1" s="1"/>
  <c r="P2514" i="1" s="1"/>
  <c r="E2514" i="1"/>
  <c r="L2513" i="1"/>
  <c r="E2513" i="1"/>
  <c r="H2513" i="1" s="1"/>
  <c r="I2513" i="1" s="1"/>
  <c r="N2513" i="1" s="1"/>
  <c r="O2513" i="1" s="1"/>
  <c r="P2513" i="1" s="1"/>
  <c r="L2512" i="1"/>
  <c r="H2512" i="1"/>
  <c r="I2512" i="1" s="1"/>
  <c r="N2512" i="1" s="1"/>
  <c r="O2512" i="1" s="1"/>
  <c r="P2512" i="1" s="1"/>
  <c r="E2512" i="1"/>
  <c r="P2511" i="1"/>
  <c r="L2511" i="1"/>
  <c r="E2511" i="1"/>
  <c r="H2511" i="1" s="1"/>
  <c r="I2511" i="1" s="1"/>
  <c r="N2511" i="1" s="1"/>
  <c r="O2511" i="1" s="1"/>
  <c r="O2510" i="1"/>
  <c r="P2510" i="1" s="1"/>
  <c r="L2510" i="1"/>
  <c r="I2510" i="1"/>
  <c r="N2510" i="1" s="1"/>
  <c r="H2510" i="1"/>
  <c r="E2510" i="1"/>
  <c r="N2509" i="1"/>
  <c r="O2509" i="1" s="1"/>
  <c r="P2509" i="1" s="1"/>
  <c r="L2509" i="1"/>
  <c r="H2509" i="1"/>
  <c r="I2509" i="1" s="1"/>
  <c r="E2509" i="1"/>
  <c r="L2508" i="1"/>
  <c r="E2508" i="1"/>
  <c r="H2508" i="1" s="1"/>
  <c r="I2508" i="1" s="1"/>
  <c r="L2507" i="1"/>
  <c r="I2507" i="1"/>
  <c r="N2507" i="1" s="1"/>
  <c r="O2507" i="1" s="1"/>
  <c r="P2507" i="1" s="1"/>
  <c r="E2507" i="1"/>
  <c r="H2507" i="1" s="1"/>
  <c r="L2506" i="1"/>
  <c r="H2506" i="1"/>
  <c r="I2506" i="1" s="1"/>
  <c r="N2506" i="1" s="1"/>
  <c r="O2506" i="1" s="1"/>
  <c r="P2506" i="1" s="1"/>
  <c r="E2506" i="1"/>
  <c r="L2505" i="1"/>
  <c r="E2505" i="1"/>
  <c r="H2505" i="1" s="1"/>
  <c r="I2505" i="1" s="1"/>
  <c r="N2505" i="1" s="1"/>
  <c r="O2505" i="1" s="1"/>
  <c r="P2505" i="1" s="1"/>
  <c r="L2504" i="1"/>
  <c r="H2504" i="1"/>
  <c r="I2504" i="1" s="1"/>
  <c r="N2504" i="1" s="1"/>
  <c r="O2504" i="1" s="1"/>
  <c r="P2504" i="1" s="1"/>
  <c r="E2504" i="1"/>
  <c r="L2503" i="1"/>
  <c r="E2503" i="1"/>
  <c r="H2503" i="1" s="1"/>
  <c r="I2503" i="1" s="1"/>
  <c r="N2503" i="1" s="1"/>
  <c r="O2503" i="1" s="1"/>
  <c r="P2503" i="1" s="1"/>
  <c r="O2502" i="1"/>
  <c r="P2502" i="1" s="1"/>
  <c r="L2502" i="1"/>
  <c r="I2502" i="1"/>
  <c r="N2502" i="1" s="1"/>
  <c r="H2502" i="1"/>
  <c r="E2502" i="1"/>
  <c r="L2501" i="1"/>
  <c r="H2501" i="1"/>
  <c r="I2501" i="1" s="1"/>
  <c r="N2501" i="1" s="1"/>
  <c r="O2501" i="1" s="1"/>
  <c r="P2501" i="1" s="1"/>
  <c r="E2501" i="1"/>
  <c r="L2500" i="1"/>
  <c r="E2500" i="1"/>
  <c r="H2500" i="1" s="1"/>
  <c r="I2500" i="1" s="1"/>
  <c r="L2499" i="1"/>
  <c r="I2499" i="1"/>
  <c r="N2499" i="1" s="1"/>
  <c r="O2499" i="1" s="1"/>
  <c r="P2499" i="1" s="1"/>
  <c r="E2499" i="1"/>
  <c r="H2499" i="1" s="1"/>
  <c r="L2498" i="1"/>
  <c r="H2498" i="1"/>
  <c r="I2498" i="1" s="1"/>
  <c r="N2498" i="1" s="1"/>
  <c r="O2498" i="1" s="1"/>
  <c r="P2498" i="1" s="1"/>
  <c r="E2498" i="1"/>
  <c r="L2497" i="1"/>
  <c r="E2497" i="1"/>
  <c r="H2497" i="1" s="1"/>
  <c r="I2497" i="1" s="1"/>
  <c r="N2497" i="1" s="1"/>
  <c r="O2497" i="1" s="1"/>
  <c r="P2497" i="1" s="1"/>
  <c r="L2496" i="1"/>
  <c r="H2496" i="1"/>
  <c r="I2496" i="1" s="1"/>
  <c r="N2496" i="1" s="1"/>
  <c r="O2496" i="1" s="1"/>
  <c r="P2496" i="1" s="1"/>
  <c r="E2496" i="1"/>
  <c r="L2495" i="1"/>
  <c r="E2495" i="1"/>
  <c r="H2495" i="1" s="1"/>
  <c r="I2495" i="1" s="1"/>
  <c r="N2495" i="1" s="1"/>
  <c r="O2495" i="1" s="1"/>
  <c r="P2495" i="1" s="1"/>
  <c r="L2494" i="1"/>
  <c r="I2494" i="1"/>
  <c r="N2494" i="1" s="1"/>
  <c r="O2494" i="1" s="1"/>
  <c r="P2494" i="1" s="1"/>
  <c r="H2494" i="1"/>
  <c r="E2494" i="1"/>
  <c r="L2493" i="1"/>
  <c r="H2493" i="1"/>
  <c r="I2493" i="1" s="1"/>
  <c r="N2493" i="1" s="1"/>
  <c r="O2493" i="1" s="1"/>
  <c r="P2493" i="1" s="1"/>
  <c r="E2493" i="1"/>
  <c r="L2492" i="1"/>
  <c r="E2492" i="1"/>
  <c r="H2492" i="1" s="1"/>
  <c r="I2492" i="1" s="1"/>
  <c r="N2492" i="1" s="1"/>
  <c r="O2492" i="1" s="1"/>
  <c r="P2492" i="1" s="1"/>
  <c r="L2491" i="1"/>
  <c r="E2491" i="1"/>
  <c r="H2491" i="1" s="1"/>
  <c r="I2491" i="1" s="1"/>
  <c r="N2491" i="1" s="1"/>
  <c r="O2491" i="1" s="1"/>
  <c r="P2491" i="1" s="1"/>
  <c r="L2490" i="1"/>
  <c r="H2490" i="1"/>
  <c r="I2490" i="1" s="1"/>
  <c r="N2490" i="1" s="1"/>
  <c r="O2490" i="1" s="1"/>
  <c r="P2490" i="1" s="1"/>
  <c r="E2490" i="1"/>
  <c r="L2489" i="1"/>
  <c r="E2489" i="1"/>
  <c r="H2489" i="1" s="1"/>
  <c r="I2489" i="1" s="1"/>
  <c r="N2489" i="1" s="1"/>
  <c r="O2489" i="1" s="1"/>
  <c r="P2489" i="1" s="1"/>
  <c r="L2488" i="1"/>
  <c r="H2488" i="1"/>
  <c r="I2488" i="1" s="1"/>
  <c r="N2488" i="1" s="1"/>
  <c r="O2488" i="1" s="1"/>
  <c r="P2488" i="1" s="1"/>
  <c r="E2488" i="1"/>
  <c r="L2487" i="1"/>
  <c r="E2487" i="1"/>
  <c r="H2487" i="1" s="1"/>
  <c r="I2487" i="1" s="1"/>
  <c r="N2487" i="1" s="1"/>
  <c r="O2487" i="1" s="1"/>
  <c r="P2487" i="1" s="1"/>
  <c r="L2486" i="1"/>
  <c r="I2486" i="1"/>
  <c r="N2486" i="1" s="1"/>
  <c r="O2486" i="1" s="1"/>
  <c r="P2486" i="1" s="1"/>
  <c r="H2486" i="1"/>
  <c r="E2486" i="1"/>
  <c r="L2485" i="1"/>
  <c r="H2485" i="1"/>
  <c r="I2485" i="1" s="1"/>
  <c r="N2485" i="1" s="1"/>
  <c r="O2485" i="1" s="1"/>
  <c r="P2485" i="1" s="1"/>
  <c r="E2485" i="1"/>
  <c r="L2484" i="1"/>
  <c r="E2484" i="1"/>
  <c r="H2484" i="1" s="1"/>
  <c r="I2484" i="1" s="1"/>
  <c r="N2484" i="1" s="1"/>
  <c r="O2484" i="1" s="1"/>
  <c r="P2484" i="1" s="1"/>
  <c r="L2483" i="1"/>
  <c r="E2483" i="1"/>
  <c r="H2483" i="1" s="1"/>
  <c r="I2483" i="1" s="1"/>
  <c r="N2483" i="1" s="1"/>
  <c r="O2483" i="1" s="1"/>
  <c r="P2483" i="1" s="1"/>
  <c r="L2482" i="1"/>
  <c r="H2482" i="1"/>
  <c r="I2482" i="1" s="1"/>
  <c r="N2482" i="1" s="1"/>
  <c r="O2482" i="1" s="1"/>
  <c r="P2482" i="1" s="1"/>
  <c r="E2482" i="1"/>
  <c r="L2481" i="1"/>
  <c r="E2481" i="1"/>
  <c r="H2481" i="1" s="1"/>
  <c r="I2481" i="1" s="1"/>
  <c r="N2481" i="1" s="1"/>
  <c r="O2481" i="1" s="1"/>
  <c r="P2481" i="1" s="1"/>
  <c r="L2480" i="1"/>
  <c r="H2480" i="1"/>
  <c r="I2480" i="1" s="1"/>
  <c r="N2480" i="1" s="1"/>
  <c r="O2480" i="1" s="1"/>
  <c r="P2480" i="1" s="1"/>
  <c r="E2480" i="1"/>
  <c r="P2479" i="1"/>
  <c r="L2479" i="1"/>
  <c r="E2479" i="1"/>
  <c r="H2479" i="1" s="1"/>
  <c r="I2479" i="1" s="1"/>
  <c r="N2479" i="1" s="1"/>
  <c r="O2479" i="1" s="1"/>
  <c r="O2478" i="1"/>
  <c r="P2478" i="1" s="1"/>
  <c r="L2478" i="1"/>
  <c r="I2478" i="1"/>
  <c r="N2478" i="1" s="1"/>
  <c r="H2478" i="1"/>
  <c r="E2478" i="1"/>
  <c r="N2477" i="1"/>
  <c r="O2477" i="1" s="1"/>
  <c r="P2477" i="1" s="1"/>
  <c r="L2477" i="1"/>
  <c r="H2477" i="1"/>
  <c r="I2477" i="1" s="1"/>
  <c r="E2477" i="1"/>
  <c r="L2476" i="1"/>
  <c r="E2476" i="1"/>
  <c r="H2476" i="1" s="1"/>
  <c r="I2476" i="1" s="1"/>
  <c r="L2475" i="1"/>
  <c r="E2475" i="1"/>
  <c r="H2475" i="1" s="1"/>
  <c r="I2475" i="1" s="1"/>
  <c r="N2475" i="1" s="1"/>
  <c r="O2475" i="1" s="1"/>
  <c r="P2475" i="1" s="1"/>
  <c r="L2474" i="1"/>
  <c r="H2474" i="1"/>
  <c r="I2474" i="1" s="1"/>
  <c r="N2474" i="1" s="1"/>
  <c r="O2474" i="1" s="1"/>
  <c r="P2474" i="1" s="1"/>
  <c r="E2474" i="1"/>
  <c r="L2473" i="1"/>
  <c r="E2473" i="1"/>
  <c r="H2473" i="1" s="1"/>
  <c r="I2473" i="1" s="1"/>
  <c r="N2473" i="1" s="1"/>
  <c r="O2473" i="1" s="1"/>
  <c r="P2473" i="1" s="1"/>
  <c r="L2472" i="1"/>
  <c r="H2472" i="1"/>
  <c r="I2472" i="1" s="1"/>
  <c r="N2472" i="1" s="1"/>
  <c r="O2472" i="1" s="1"/>
  <c r="P2472" i="1" s="1"/>
  <c r="E2472" i="1"/>
  <c r="L2471" i="1"/>
  <c r="E2471" i="1"/>
  <c r="H2471" i="1" s="1"/>
  <c r="I2471" i="1" s="1"/>
  <c r="N2471" i="1" s="1"/>
  <c r="O2471" i="1" s="1"/>
  <c r="P2471" i="1" s="1"/>
  <c r="O2470" i="1"/>
  <c r="P2470" i="1" s="1"/>
  <c r="L2470" i="1"/>
  <c r="I2470" i="1"/>
  <c r="N2470" i="1" s="1"/>
  <c r="H2470" i="1"/>
  <c r="E2470" i="1"/>
  <c r="L2469" i="1"/>
  <c r="H2469" i="1"/>
  <c r="I2469" i="1" s="1"/>
  <c r="N2469" i="1" s="1"/>
  <c r="O2469" i="1" s="1"/>
  <c r="P2469" i="1" s="1"/>
  <c r="E2469" i="1"/>
  <c r="L2468" i="1"/>
  <c r="E2468" i="1"/>
  <c r="H2468" i="1" s="1"/>
  <c r="I2468" i="1" s="1"/>
  <c r="N2468" i="1" s="1"/>
  <c r="O2468" i="1" s="1"/>
  <c r="P2468" i="1" s="1"/>
  <c r="L2467" i="1"/>
  <c r="I2467" i="1"/>
  <c r="N2467" i="1" s="1"/>
  <c r="O2467" i="1" s="1"/>
  <c r="P2467" i="1" s="1"/>
  <c r="E2467" i="1"/>
  <c r="H2467" i="1" s="1"/>
  <c r="L2466" i="1"/>
  <c r="H2466" i="1"/>
  <c r="I2466" i="1" s="1"/>
  <c r="N2466" i="1" s="1"/>
  <c r="O2466" i="1" s="1"/>
  <c r="P2466" i="1" s="1"/>
  <c r="E2466" i="1"/>
  <c r="L2465" i="1"/>
  <c r="E2465" i="1"/>
  <c r="H2465" i="1" s="1"/>
  <c r="I2465" i="1" s="1"/>
  <c r="N2465" i="1" s="1"/>
  <c r="O2465" i="1" s="1"/>
  <c r="P2465" i="1" s="1"/>
  <c r="L2464" i="1"/>
  <c r="H2464" i="1"/>
  <c r="I2464" i="1" s="1"/>
  <c r="N2464" i="1" s="1"/>
  <c r="O2464" i="1" s="1"/>
  <c r="P2464" i="1" s="1"/>
  <c r="E2464" i="1"/>
  <c r="L2463" i="1"/>
  <c r="E2463" i="1"/>
  <c r="H2463" i="1" s="1"/>
  <c r="I2463" i="1" s="1"/>
  <c r="N2463" i="1" s="1"/>
  <c r="O2463" i="1" s="1"/>
  <c r="P2463" i="1" s="1"/>
  <c r="L2462" i="1"/>
  <c r="I2462" i="1"/>
  <c r="N2462" i="1" s="1"/>
  <c r="O2462" i="1" s="1"/>
  <c r="P2462" i="1" s="1"/>
  <c r="H2462" i="1"/>
  <c r="E2462" i="1"/>
  <c r="L2461" i="1"/>
  <c r="H2461" i="1"/>
  <c r="I2461" i="1" s="1"/>
  <c r="N2461" i="1" s="1"/>
  <c r="O2461" i="1" s="1"/>
  <c r="P2461" i="1" s="1"/>
  <c r="E2461" i="1"/>
  <c r="L2460" i="1"/>
  <c r="E2460" i="1"/>
  <c r="H2460" i="1" s="1"/>
  <c r="I2460" i="1" s="1"/>
  <c r="L2459" i="1"/>
  <c r="I2459" i="1"/>
  <c r="N2459" i="1" s="1"/>
  <c r="O2459" i="1" s="1"/>
  <c r="P2459" i="1" s="1"/>
  <c r="E2459" i="1"/>
  <c r="H2459" i="1" s="1"/>
  <c r="L2458" i="1"/>
  <c r="H2458" i="1"/>
  <c r="I2458" i="1" s="1"/>
  <c r="N2458" i="1" s="1"/>
  <c r="O2458" i="1" s="1"/>
  <c r="P2458" i="1" s="1"/>
  <c r="E2458" i="1"/>
  <c r="L2457" i="1"/>
  <c r="E2457" i="1"/>
  <c r="H2457" i="1" s="1"/>
  <c r="I2457" i="1" s="1"/>
  <c r="N2457" i="1" s="1"/>
  <c r="O2457" i="1" s="1"/>
  <c r="P2457" i="1" s="1"/>
  <c r="L2456" i="1"/>
  <c r="H2456" i="1"/>
  <c r="I2456" i="1" s="1"/>
  <c r="N2456" i="1" s="1"/>
  <c r="O2456" i="1" s="1"/>
  <c r="P2456" i="1" s="1"/>
  <c r="E2456" i="1"/>
  <c r="P2455" i="1"/>
  <c r="L2455" i="1"/>
  <c r="E2455" i="1"/>
  <c r="H2455" i="1" s="1"/>
  <c r="I2455" i="1" s="1"/>
  <c r="N2455" i="1" s="1"/>
  <c r="O2455" i="1" s="1"/>
  <c r="L2454" i="1"/>
  <c r="I2454" i="1"/>
  <c r="N2454" i="1" s="1"/>
  <c r="O2454" i="1" s="1"/>
  <c r="P2454" i="1" s="1"/>
  <c r="H2454" i="1"/>
  <c r="E2454" i="1"/>
  <c r="N2453" i="1"/>
  <c r="O2453" i="1" s="1"/>
  <c r="P2453" i="1" s="1"/>
  <c r="L2453" i="1"/>
  <c r="H2453" i="1"/>
  <c r="I2453" i="1" s="1"/>
  <c r="E2453" i="1"/>
  <c r="L2452" i="1"/>
  <c r="E2452" i="1"/>
  <c r="H2452" i="1" s="1"/>
  <c r="I2452" i="1" s="1"/>
  <c r="N2452" i="1" s="1"/>
  <c r="O2452" i="1" s="1"/>
  <c r="P2452" i="1" s="1"/>
  <c r="L2451" i="1"/>
  <c r="E2451" i="1"/>
  <c r="H2451" i="1" s="1"/>
  <c r="I2451" i="1" s="1"/>
  <c r="N2451" i="1" s="1"/>
  <c r="O2451" i="1" s="1"/>
  <c r="P2451" i="1" s="1"/>
  <c r="L2450" i="1"/>
  <c r="H2450" i="1"/>
  <c r="I2450" i="1" s="1"/>
  <c r="N2450" i="1" s="1"/>
  <c r="O2450" i="1" s="1"/>
  <c r="P2450" i="1" s="1"/>
  <c r="E2450" i="1"/>
  <c r="L2449" i="1"/>
  <c r="E2449" i="1"/>
  <c r="H2449" i="1" s="1"/>
  <c r="I2449" i="1" s="1"/>
  <c r="N2449" i="1" s="1"/>
  <c r="O2449" i="1" s="1"/>
  <c r="P2449" i="1" s="1"/>
  <c r="L2448" i="1"/>
  <c r="H2448" i="1"/>
  <c r="I2448" i="1" s="1"/>
  <c r="N2448" i="1" s="1"/>
  <c r="O2448" i="1" s="1"/>
  <c r="P2448" i="1" s="1"/>
  <c r="E2448" i="1"/>
  <c r="P2447" i="1"/>
  <c r="L2447" i="1"/>
  <c r="E2447" i="1"/>
  <c r="H2447" i="1" s="1"/>
  <c r="I2447" i="1" s="1"/>
  <c r="N2447" i="1" s="1"/>
  <c r="O2447" i="1" s="1"/>
  <c r="L2446" i="1"/>
  <c r="I2446" i="1"/>
  <c r="N2446" i="1" s="1"/>
  <c r="O2446" i="1" s="1"/>
  <c r="P2446" i="1" s="1"/>
  <c r="H2446" i="1"/>
  <c r="E2446" i="1"/>
  <c r="N2445" i="1"/>
  <c r="O2445" i="1" s="1"/>
  <c r="P2445" i="1" s="1"/>
  <c r="L2445" i="1"/>
  <c r="H2445" i="1"/>
  <c r="I2445" i="1" s="1"/>
  <c r="E2445" i="1"/>
  <c r="L2444" i="1"/>
  <c r="E2444" i="1"/>
  <c r="H2444" i="1" s="1"/>
  <c r="I2444" i="1" s="1"/>
  <c r="L2443" i="1"/>
  <c r="E2443" i="1"/>
  <c r="H2443" i="1" s="1"/>
  <c r="I2443" i="1" s="1"/>
  <c r="N2443" i="1" s="1"/>
  <c r="O2443" i="1" s="1"/>
  <c r="P2443" i="1" s="1"/>
  <c r="L2442" i="1"/>
  <c r="H2442" i="1"/>
  <c r="I2442" i="1" s="1"/>
  <c r="N2442" i="1" s="1"/>
  <c r="O2442" i="1" s="1"/>
  <c r="P2442" i="1" s="1"/>
  <c r="E2442" i="1"/>
  <c r="L2441" i="1"/>
  <c r="E2441" i="1"/>
  <c r="H2441" i="1" s="1"/>
  <c r="I2441" i="1" s="1"/>
  <c r="N2441" i="1" s="1"/>
  <c r="O2441" i="1" s="1"/>
  <c r="P2441" i="1" s="1"/>
  <c r="L2440" i="1"/>
  <c r="H2440" i="1"/>
  <c r="I2440" i="1" s="1"/>
  <c r="N2440" i="1" s="1"/>
  <c r="O2440" i="1" s="1"/>
  <c r="P2440" i="1" s="1"/>
  <c r="E2440" i="1"/>
  <c r="L2439" i="1"/>
  <c r="E2439" i="1"/>
  <c r="H2439" i="1" s="1"/>
  <c r="I2439" i="1" s="1"/>
  <c r="N2439" i="1" s="1"/>
  <c r="O2439" i="1" s="1"/>
  <c r="P2439" i="1" s="1"/>
  <c r="O2438" i="1"/>
  <c r="P2438" i="1" s="1"/>
  <c r="L2438" i="1"/>
  <c r="I2438" i="1"/>
  <c r="N2438" i="1" s="1"/>
  <c r="H2438" i="1"/>
  <c r="E2438" i="1"/>
  <c r="L2437" i="1"/>
  <c r="H2437" i="1"/>
  <c r="I2437" i="1" s="1"/>
  <c r="N2437" i="1" s="1"/>
  <c r="O2437" i="1" s="1"/>
  <c r="P2437" i="1" s="1"/>
  <c r="E2437" i="1"/>
  <c r="L2436" i="1"/>
  <c r="E2436" i="1"/>
  <c r="H2436" i="1" s="1"/>
  <c r="I2436" i="1" s="1"/>
  <c r="L2435" i="1"/>
  <c r="I2435" i="1"/>
  <c r="N2435" i="1" s="1"/>
  <c r="O2435" i="1" s="1"/>
  <c r="P2435" i="1" s="1"/>
  <c r="E2435" i="1"/>
  <c r="H2435" i="1" s="1"/>
  <c r="L2434" i="1"/>
  <c r="H2434" i="1"/>
  <c r="I2434" i="1" s="1"/>
  <c r="N2434" i="1" s="1"/>
  <c r="O2434" i="1" s="1"/>
  <c r="P2434" i="1" s="1"/>
  <c r="E2434" i="1"/>
  <c r="L2433" i="1"/>
  <c r="E2433" i="1"/>
  <c r="H2433" i="1" s="1"/>
  <c r="I2433" i="1" s="1"/>
  <c r="N2433" i="1" s="1"/>
  <c r="O2433" i="1" s="1"/>
  <c r="P2433" i="1" s="1"/>
  <c r="L2432" i="1"/>
  <c r="H2432" i="1"/>
  <c r="I2432" i="1" s="1"/>
  <c r="N2432" i="1" s="1"/>
  <c r="O2432" i="1" s="1"/>
  <c r="P2432" i="1" s="1"/>
  <c r="E2432" i="1"/>
  <c r="L2431" i="1"/>
  <c r="E2431" i="1"/>
  <c r="H2431" i="1" s="1"/>
  <c r="I2431" i="1" s="1"/>
  <c r="N2431" i="1" s="1"/>
  <c r="O2431" i="1" s="1"/>
  <c r="P2431" i="1" s="1"/>
  <c r="O2430" i="1"/>
  <c r="P2430" i="1" s="1"/>
  <c r="L2430" i="1"/>
  <c r="I2430" i="1"/>
  <c r="N2430" i="1" s="1"/>
  <c r="H2430" i="1"/>
  <c r="E2430" i="1"/>
  <c r="L2429" i="1"/>
  <c r="H2429" i="1"/>
  <c r="I2429" i="1" s="1"/>
  <c r="N2429" i="1" s="1"/>
  <c r="O2429" i="1" s="1"/>
  <c r="P2429" i="1" s="1"/>
  <c r="E2429" i="1"/>
  <c r="L2428" i="1"/>
  <c r="E2428" i="1"/>
  <c r="H2428" i="1" s="1"/>
  <c r="I2428" i="1" s="1"/>
  <c r="N2428" i="1" s="1"/>
  <c r="O2428" i="1" s="1"/>
  <c r="P2428" i="1" s="1"/>
  <c r="L2427" i="1"/>
  <c r="I2427" i="1"/>
  <c r="N2427" i="1" s="1"/>
  <c r="O2427" i="1" s="1"/>
  <c r="P2427" i="1" s="1"/>
  <c r="E2427" i="1"/>
  <c r="H2427" i="1" s="1"/>
  <c r="L2426" i="1"/>
  <c r="H2426" i="1"/>
  <c r="I2426" i="1" s="1"/>
  <c r="N2426" i="1" s="1"/>
  <c r="O2426" i="1" s="1"/>
  <c r="P2426" i="1" s="1"/>
  <c r="E2426" i="1"/>
  <c r="L2425" i="1"/>
  <c r="E2425" i="1"/>
  <c r="H2425" i="1" s="1"/>
  <c r="I2425" i="1" s="1"/>
  <c r="N2425" i="1" s="1"/>
  <c r="O2425" i="1" s="1"/>
  <c r="P2425" i="1" s="1"/>
  <c r="L2424" i="1"/>
  <c r="H2424" i="1"/>
  <c r="I2424" i="1" s="1"/>
  <c r="N2424" i="1" s="1"/>
  <c r="O2424" i="1" s="1"/>
  <c r="P2424" i="1" s="1"/>
  <c r="E2424" i="1"/>
  <c r="L2423" i="1"/>
  <c r="E2423" i="1"/>
  <c r="H2423" i="1" s="1"/>
  <c r="I2423" i="1" s="1"/>
  <c r="O2422" i="1"/>
  <c r="P2422" i="1" s="1"/>
  <c r="L2422" i="1"/>
  <c r="I2422" i="1"/>
  <c r="N2422" i="1" s="1"/>
  <c r="H2422" i="1"/>
  <c r="E2422" i="1"/>
  <c r="L2421" i="1"/>
  <c r="H2421" i="1"/>
  <c r="I2421" i="1" s="1"/>
  <c r="N2421" i="1" s="1"/>
  <c r="O2421" i="1" s="1"/>
  <c r="P2421" i="1" s="1"/>
  <c r="E2421" i="1"/>
  <c r="L2420" i="1"/>
  <c r="E2420" i="1"/>
  <c r="H2420" i="1" s="1"/>
  <c r="I2420" i="1" s="1"/>
  <c r="L2419" i="1"/>
  <c r="I2419" i="1"/>
  <c r="N2419" i="1" s="1"/>
  <c r="O2419" i="1" s="1"/>
  <c r="P2419" i="1" s="1"/>
  <c r="E2419" i="1"/>
  <c r="H2419" i="1" s="1"/>
  <c r="L2418" i="1"/>
  <c r="H2418" i="1"/>
  <c r="I2418" i="1" s="1"/>
  <c r="N2418" i="1" s="1"/>
  <c r="O2418" i="1" s="1"/>
  <c r="P2418" i="1" s="1"/>
  <c r="E2418" i="1"/>
  <c r="L2417" i="1"/>
  <c r="E2417" i="1"/>
  <c r="H2417" i="1" s="1"/>
  <c r="I2417" i="1" s="1"/>
  <c r="N2417" i="1" s="1"/>
  <c r="O2417" i="1" s="1"/>
  <c r="P2417" i="1" s="1"/>
  <c r="L2416" i="1"/>
  <c r="H2416" i="1"/>
  <c r="I2416" i="1" s="1"/>
  <c r="N2416" i="1" s="1"/>
  <c r="O2416" i="1" s="1"/>
  <c r="P2416" i="1" s="1"/>
  <c r="E2416" i="1"/>
  <c r="L2415" i="1"/>
  <c r="E2415" i="1"/>
  <c r="H2415" i="1" s="1"/>
  <c r="I2415" i="1" s="1"/>
  <c r="N2415" i="1" s="1"/>
  <c r="O2415" i="1" s="1"/>
  <c r="P2415" i="1" s="1"/>
  <c r="O2414" i="1"/>
  <c r="P2414" i="1" s="1"/>
  <c r="L2414" i="1"/>
  <c r="I2414" i="1"/>
  <c r="N2414" i="1" s="1"/>
  <c r="H2414" i="1"/>
  <c r="E2414" i="1"/>
  <c r="L2413" i="1"/>
  <c r="H2413" i="1"/>
  <c r="I2413" i="1" s="1"/>
  <c r="N2413" i="1" s="1"/>
  <c r="O2413" i="1" s="1"/>
  <c r="P2413" i="1" s="1"/>
  <c r="E2413" i="1"/>
  <c r="L2412" i="1"/>
  <c r="E2412" i="1"/>
  <c r="H2412" i="1" s="1"/>
  <c r="I2412" i="1" s="1"/>
  <c r="N2412" i="1" s="1"/>
  <c r="O2412" i="1" s="1"/>
  <c r="P2412" i="1" s="1"/>
  <c r="L2411" i="1"/>
  <c r="I2411" i="1"/>
  <c r="N2411" i="1" s="1"/>
  <c r="O2411" i="1" s="1"/>
  <c r="P2411" i="1" s="1"/>
  <c r="E2411" i="1"/>
  <c r="H2411" i="1" s="1"/>
  <c r="L2410" i="1"/>
  <c r="H2410" i="1"/>
  <c r="I2410" i="1" s="1"/>
  <c r="N2410" i="1" s="1"/>
  <c r="O2410" i="1" s="1"/>
  <c r="P2410" i="1" s="1"/>
  <c r="E2410" i="1"/>
  <c r="L2409" i="1"/>
  <c r="I2409" i="1"/>
  <c r="N2409" i="1" s="1"/>
  <c r="O2409" i="1" s="1"/>
  <c r="P2409" i="1" s="1"/>
  <c r="E2409" i="1"/>
  <c r="H2409" i="1" s="1"/>
  <c r="L2408" i="1"/>
  <c r="H2408" i="1"/>
  <c r="I2408" i="1" s="1"/>
  <c r="N2408" i="1" s="1"/>
  <c r="O2408" i="1" s="1"/>
  <c r="P2408" i="1" s="1"/>
  <c r="E2408" i="1"/>
  <c r="L2407" i="1"/>
  <c r="E2407" i="1"/>
  <c r="H2407" i="1" s="1"/>
  <c r="I2407" i="1" s="1"/>
  <c r="N2407" i="1" s="1"/>
  <c r="O2407" i="1" s="1"/>
  <c r="P2407" i="1" s="1"/>
  <c r="L2406" i="1"/>
  <c r="I2406" i="1"/>
  <c r="N2406" i="1" s="1"/>
  <c r="O2406" i="1" s="1"/>
  <c r="P2406" i="1" s="1"/>
  <c r="H2406" i="1"/>
  <c r="E2406" i="1"/>
  <c r="L2405" i="1"/>
  <c r="H2405" i="1"/>
  <c r="I2405" i="1" s="1"/>
  <c r="N2405" i="1" s="1"/>
  <c r="O2405" i="1" s="1"/>
  <c r="P2405" i="1" s="1"/>
  <c r="E2405" i="1"/>
  <c r="L2404" i="1"/>
  <c r="E2404" i="1"/>
  <c r="H2404" i="1" s="1"/>
  <c r="I2404" i="1" s="1"/>
  <c r="L2403" i="1"/>
  <c r="I2403" i="1"/>
  <c r="N2403" i="1" s="1"/>
  <c r="O2403" i="1" s="1"/>
  <c r="P2403" i="1" s="1"/>
  <c r="E2403" i="1"/>
  <c r="H2403" i="1" s="1"/>
  <c r="O2402" i="1"/>
  <c r="P2402" i="1" s="1"/>
  <c r="L2402" i="1"/>
  <c r="H2402" i="1"/>
  <c r="I2402" i="1" s="1"/>
  <c r="N2402" i="1" s="1"/>
  <c r="E2402" i="1"/>
  <c r="O2401" i="1"/>
  <c r="P2401" i="1" s="1"/>
  <c r="L2401" i="1"/>
  <c r="I2401" i="1"/>
  <c r="N2401" i="1" s="1"/>
  <c r="E2401" i="1"/>
  <c r="H2401" i="1" s="1"/>
  <c r="L2400" i="1"/>
  <c r="H2400" i="1"/>
  <c r="I2400" i="1" s="1"/>
  <c r="N2400" i="1" s="1"/>
  <c r="O2400" i="1" s="1"/>
  <c r="P2400" i="1" s="1"/>
  <c r="E2400" i="1"/>
  <c r="L2399" i="1"/>
  <c r="I2399" i="1"/>
  <c r="N2399" i="1" s="1"/>
  <c r="O2399" i="1" s="1"/>
  <c r="P2399" i="1" s="1"/>
  <c r="E2399" i="1"/>
  <c r="H2399" i="1" s="1"/>
  <c r="L2398" i="1"/>
  <c r="H2398" i="1"/>
  <c r="I2398" i="1" s="1"/>
  <c r="N2398" i="1" s="1"/>
  <c r="O2398" i="1" s="1"/>
  <c r="P2398" i="1" s="1"/>
  <c r="E2398" i="1"/>
  <c r="L2397" i="1"/>
  <c r="E2397" i="1"/>
  <c r="H2397" i="1" s="1"/>
  <c r="I2397" i="1" s="1"/>
  <c r="N2397" i="1" s="1"/>
  <c r="O2397" i="1" s="1"/>
  <c r="P2397" i="1" s="1"/>
  <c r="L2396" i="1"/>
  <c r="E2396" i="1"/>
  <c r="H2396" i="1" s="1"/>
  <c r="I2396" i="1" s="1"/>
  <c r="N2395" i="1"/>
  <c r="O2395" i="1" s="1"/>
  <c r="P2395" i="1" s="1"/>
  <c r="L2395" i="1"/>
  <c r="E2395" i="1"/>
  <c r="H2395" i="1" s="1"/>
  <c r="I2395" i="1" s="1"/>
  <c r="L2394" i="1"/>
  <c r="H2394" i="1"/>
  <c r="I2394" i="1" s="1"/>
  <c r="E2394" i="1"/>
  <c r="O2393" i="1"/>
  <c r="P2393" i="1" s="1"/>
  <c r="L2393" i="1"/>
  <c r="E2393" i="1"/>
  <c r="H2393" i="1" s="1"/>
  <c r="I2393" i="1" s="1"/>
  <c r="N2393" i="1" s="1"/>
  <c r="L2392" i="1"/>
  <c r="H2392" i="1"/>
  <c r="I2392" i="1" s="1"/>
  <c r="N2392" i="1" s="1"/>
  <c r="O2392" i="1" s="1"/>
  <c r="P2392" i="1" s="1"/>
  <c r="E2392" i="1"/>
  <c r="L2391" i="1"/>
  <c r="E2391" i="1"/>
  <c r="H2391" i="1" s="1"/>
  <c r="I2391" i="1" s="1"/>
  <c r="N2391" i="1" s="1"/>
  <c r="O2391" i="1" s="1"/>
  <c r="P2391" i="1" s="1"/>
  <c r="L2390" i="1"/>
  <c r="I2390" i="1"/>
  <c r="N2390" i="1" s="1"/>
  <c r="O2390" i="1" s="1"/>
  <c r="P2390" i="1" s="1"/>
  <c r="H2390" i="1"/>
  <c r="E2390" i="1"/>
  <c r="L2389" i="1"/>
  <c r="H2389" i="1"/>
  <c r="I2389" i="1" s="1"/>
  <c r="N2389" i="1" s="1"/>
  <c r="O2389" i="1" s="1"/>
  <c r="P2389" i="1" s="1"/>
  <c r="E2389" i="1"/>
  <c r="L2388" i="1"/>
  <c r="E2388" i="1"/>
  <c r="H2388" i="1" s="1"/>
  <c r="I2388" i="1" s="1"/>
  <c r="L2387" i="1"/>
  <c r="I2387" i="1"/>
  <c r="N2387" i="1" s="1"/>
  <c r="O2387" i="1" s="1"/>
  <c r="P2387" i="1" s="1"/>
  <c r="E2387" i="1"/>
  <c r="H2387" i="1" s="1"/>
  <c r="P2386" i="1"/>
  <c r="O2386" i="1"/>
  <c r="L2386" i="1"/>
  <c r="H2386" i="1"/>
  <c r="I2386" i="1" s="1"/>
  <c r="N2386" i="1" s="1"/>
  <c r="E2386" i="1"/>
  <c r="L2385" i="1"/>
  <c r="E2385" i="1"/>
  <c r="H2385" i="1" s="1"/>
  <c r="I2385" i="1" s="1"/>
  <c r="N2385" i="1" s="1"/>
  <c r="O2385" i="1" s="1"/>
  <c r="P2385" i="1" s="1"/>
  <c r="L2384" i="1"/>
  <c r="H2384" i="1"/>
  <c r="I2384" i="1" s="1"/>
  <c r="N2384" i="1" s="1"/>
  <c r="O2384" i="1" s="1"/>
  <c r="P2384" i="1" s="1"/>
  <c r="E2384" i="1"/>
  <c r="L2383" i="1"/>
  <c r="I2383" i="1"/>
  <c r="N2383" i="1" s="1"/>
  <c r="O2383" i="1" s="1"/>
  <c r="P2383" i="1" s="1"/>
  <c r="E2383" i="1"/>
  <c r="H2383" i="1" s="1"/>
  <c r="L2382" i="1"/>
  <c r="H2382" i="1"/>
  <c r="I2382" i="1" s="1"/>
  <c r="N2382" i="1" s="1"/>
  <c r="O2382" i="1" s="1"/>
  <c r="P2382" i="1" s="1"/>
  <c r="E2382" i="1"/>
  <c r="N2381" i="1"/>
  <c r="O2381" i="1" s="1"/>
  <c r="P2381" i="1" s="1"/>
  <c r="L2381" i="1"/>
  <c r="E2381" i="1"/>
  <c r="H2381" i="1" s="1"/>
  <c r="I2381" i="1" s="1"/>
  <c r="L2380" i="1"/>
  <c r="E2380" i="1"/>
  <c r="H2380" i="1" s="1"/>
  <c r="I2380" i="1" s="1"/>
  <c r="L2379" i="1"/>
  <c r="E2379" i="1"/>
  <c r="H2379" i="1" s="1"/>
  <c r="I2379" i="1" s="1"/>
  <c r="N2379" i="1" s="1"/>
  <c r="O2379" i="1" s="1"/>
  <c r="P2379" i="1" s="1"/>
  <c r="L2378" i="1"/>
  <c r="H2378" i="1"/>
  <c r="I2378" i="1" s="1"/>
  <c r="E2378" i="1"/>
  <c r="L2377" i="1"/>
  <c r="E2377" i="1"/>
  <c r="H2377" i="1" s="1"/>
  <c r="I2377" i="1" s="1"/>
  <c r="N2377" i="1" s="1"/>
  <c r="O2377" i="1" s="1"/>
  <c r="P2377" i="1" s="1"/>
  <c r="L2376" i="1"/>
  <c r="H2376" i="1"/>
  <c r="I2376" i="1" s="1"/>
  <c r="N2376" i="1" s="1"/>
  <c r="O2376" i="1" s="1"/>
  <c r="P2376" i="1" s="1"/>
  <c r="E2376" i="1"/>
  <c r="L2375" i="1"/>
  <c r="E2375" i="1"/>
  <c r="H2375" i="1" s="1"/>
  <c r="I2375" i="1" s="1"/>
  <c r="N2375" i="1" s="1"/>
  <c r="O2375" i="1" s="1"/>
  <c r="P2375" i="1" s="1"/>
  <c r="L2374" i="1"/>
  <c r="H2374" i="1"/>
  <c r="I2374" i="1" s="1"/>
  <c r="N2374" i="1" s="1"/>
  <c r="O2374" i="1" s="1"/>
  <c r="P2374" i="1" s="1"/>
  <c r="E2374" i="1"/>
  <c r="L2373" i="1"/>
  <c r="H2373" i="1"/>
  <c r="I2373" i="1" s="1"/>
  <c r="N2373" i="1" s="1"/>
  <c r="O2373" i="1" s="1"/>
  <c r="P2373" i="1" s="1"/>
  <c r="E2373" i="1"/>
  <c r="L2372" i="1"/>
  <c r="E2372" i="1"/>
  <c r="H2372" i="1" s="1"/>
  <c r="I2372" i="1" s="1"/>
  <c r="L2371" i="1"/>
  <c r="I2371" i="1"/>
  <c r="N2371" i="1" s="1"/>
  <c r="O2371" i="1" s="1"/>
  <c r="P2371" i="1" s="1"/>
  <c r="E2371" i="1"/>
  <c r="H2371" i="1" s="1"/>
  <c r="O2370" i="1"/>
  <c r="P2370" i="1" s="1"/>
  <c r="L2370" i="1"/>
  <c r="H2370" i="1"/>
  <c r="I2370" i="1" s="1"/>
  <c r="N2370" i="1" s="1"/>
  <c r="E2370" i="1"/>
  <c r="L2369" i="1"/>
  <c r="I2369" i="1"/>
  <c r="N2369" i="1" s="1"/>
  <c r="O2369" i="1" s="1"/>
  <c r="P2369" i="1" s="1"/>
  <c r="E2369" i="1"/>
  <c r="H2369" i="1" s="1"/>
  <c r="L2368" i="1"/>
  <c r="N2368" i="1" s="1"/>
  <c r="O2368" i="1" s="1"/>
  <c r="P2368" i="1" s="1"/>
  <c r="H2368" i="1"/>
  <c r="I2368" i="1" s="1"/>
  <c r="E2368" i="1"/>
  <c r="L2367" i="1"/>
  <c r="I2367" i="1"/>
  <c r="N2367" i="1" s="1"/>
  <c r="O2367" i="1" s="1"/>
  <c r="P2367" i="1" s="1"/>
  <c r="E2367" i="1"/>
  <c r="H2367" i="1" s="1"/>
  <c r="L2366" i="1"/>
  <c r="H2366" i="1"/>
  <c r="I2366" i="1" s="1"/>
  <c r="N2366" i="1" s="1"/>
  <c r="O2366" i="1" s="1"/>
  <c r="P2366" i="1" s="1"/>
  <c r="E2366" i="1"/>
  <c r="N2365" i="1"/>
  <c r="O2365" i="1" s="1"/>
  <c r="P2365" i="1" s="1"/>
  <c r="L2365" i="1"/>
  <c r="E2365" i="1"/>
  <c r="H2365" i="1" s="1"/>
  <c r="I2365" i="1" s="1"/>
  <c r="L2364" i="1"/>
  <c r="E2364" i="1"/>
  <c r="H2364" i="1" s="1"/>
  <c r="I2364" i="1" s="1"/>
  <c r="N2363" i="1"/>
  <c r="O2363" i="1" s="1"/>
  <c r="P2363" i="1" s="1"/>
  <c r="L2363" i="1"/>
  <c r="E2363" i="1"/>
  <c r="H2363" i="1" s="1"/>
  <c r="I2363" i="1" s="1"/>
  <c r="L2362" i="1"/>
  <c r="H2362" i="1"/>
  <c r="I2362" i="1" s="1"/>
  <c r="E2362" i="1"/>
  <c r="O2361" i="1"/>
  <c r="P2361" i="1" s="1"/>
  <c r="L2361" i="1"/>
  <c r="E2361" i="1"/>
  <c r="H2361" i="1" s="1"/>
  <c r="I2361" i="1" s="1"/>
  <c r="N2361" i="1" s="1"/>
  <c r="L2360" i="1"/>
  <c r="H2360" i="1"/>
  <c r="I2360" i="1" s="1"/>
  <c r="N2360" i="1" s="1"/>
  <c r="O2360" i="1" s="1"/>
  <c r="P2360" i="1" s="1"/>
  <c r="E2360" i="1"/>
  <c r="L2359" i="1"/>
  <c r="E2359" i="1"/>
  <c r="H2359" i="1" s="1"/>
  <c r="I2359" i="1" s="1"/>
  <c r="N2359" i="1" s="1"/>
  <c r="O2359" i="1" s="1"/>
  <c r="P2359" i="1" s="1"/>
  <c r="L2358" i="1"/>
  <c r="I2358" i="1"/>
  <c r="N2358" i="1" s="1"/>
  <c r="O2358" i="1" s="1"/>
  <c r="P2358" i="1" s="1"/>
  <c r="H2358" i="1"/>
  <c r="E2358" i="1"/>
  <c r="L2357" i="1"/>
  <c r="H2357" i="1"/>
  <c r="I2357" i="1" s="1"/>
  <c r="N2357" i="1" s="1"/>
  <c r="O2357" i="1" s="1"/>
  <c r="P2357" i="1" s="1"/>
  <c r="E2357" i="1"/>
  <c r="L2356" i="1"/>
  <c r="E2356" i="1"/>
  <c r="H2356" i="1" s="1"/>
  <c r="I2356" i="1" s="1"/>
  <c r="L2355" i="1"/>
  <c r="I2355" i="1"/>
  <c r="N2355" i="1" s="1"/>
  <c r="O2355" i="1" s="1"/>
  <c r="P2355" i="1" s="1"/>
  <c r="E2355" i="1"/>
  <c r="H2355" i="1" s="1"/>
  <c r="O2354" i="1"/>
  <c r="P2354" i="1" s="1"/>
  <c r="L2354" i="1"/>
  <c r="H2354" i="1"/>
  <c r="I2354" i="1" s="1"/>
  <c r="N2354" i="1" s="1"/>
  <c r="E2354" i="1"/>
  <c r="O2353" i="1"/>
  <c r="P2353" i="1" s="1"/>
  <c r="L2353" i="1"/>
  <c r="I2353" i="1"/>
  <c r="N2353" i="1" s="1"/>
  <c r="E2353" i="1"/>
  <c r="H2353" i="1" s="1"/>
  <c r="L2352" i="1"/>
  <c r="N2352" i="1" s="1"/>
  <c r="O2352" i="1" s="1"/>
  <c r="P2352" i="1" s="1"/>
  <c r="H2352" i="1"/>
  <c r="I2352" i="1" s="1"/>
  <c r="E2352" i="1"/>
  <c r="L2351" i="1"/>
  <c r="I2351" i="1"/>
  <c r="N2351" i="1" s="1"/>
  <c r="O2351" i="1" s="1"/>
  <c r="P2351" i="1" s="1"/>
  <c r="E2351" i="1"/>
  <c r="H2351" i="1" s="1"/>
  <c r="L2350" i="1"/>
  <c r="H2350" i="1"/>
  <c r="I2350" i="1" s="1"/>
  <c r="N2350" i="1" s="1"/>
  <c r="O2350" i="1" s="1"/>
  <c r="P2350" i="1" s="1"/>
  <c r="E2350" i="1"/>
  <c r="N2349" i="1"/>
  <c r="O2349" i="1" s="1"/>
  <c r="P2349" i="1" s="1"/>
  <c r="L2349" i="1"/>
  <c r="H2349" i="1"/>
  <c r="I2349" i="1" s="1"/>
  <c r="E2349" i="1"/>
  <c r="O2348" i="1"/>
  <c r="P2348" i="1" s="1"/>
  <c r="L2348" i="1"/>
  <c r="E2348" i="1"/>
  <c r="H2348" i="1" s="1"/>
  <c r="I2348" i="1" s="1"/>
  <c r="N2348" i="1" s="1"/>
  <c r="L2347" i="1"/>
  <c r="E2347" i="1"/>
  <c r="H2347" i="1" s="1"/>
  <c r="I2347" i="1" s="1"/>
  <c r="N2347" i="1" s="1"/>
  <c r="O2347" i="1" s="1"/>
  <c r="P2347" i="1" s="1"/>
  <c r="L2346" i="1"/>
  <c r="H2346" i="1"/>
  <c r="I2346" i="1" s="1"/>
  <c r="E2346" i="1"/>
  <c r="N2345" i="1"/>
  <c r="O2345" i="1" s="1"/>
  <c r="P2345" i="1" s="1"/>
  <c r="L2345" i="1"/>
  <c r="E2345" i="1"/>
  <c r="H2345" i="1" s="1"/>
  <c r="I2345" i="1" s="1"/>
  <c r="O2344" i="1"/>
  <c r="P2344" i="1" s="1"/>
  <c r="L2344" i="1"/>
  <c r="N2344" i="1" s="1"/>
  <c r="H2344" i="1"/>
  <c r="I2344" i="1" s="1"/>
  <c r="E2344" i="1"/>
  <c r="L2343" i="1"/>
  <c r="I2343" i="1"/>
  <c r="E2343" i="1"/>
  <c r="H2343" i="1" s="1"/>
  <c r="L2342" i="1"/>
  <c r="I2342" i="1"/>
  <c r="N2342" i="1" s="1"/>
  <c r="O2342" i="1" s="1"/>
  <c r="P2342" i="1" s="1"/>
  <c r="H2342" i="1"/>
  <c r="E2342" i="1"/>
  <c r="P2341" i="1"/>
  <c r="N2341" i="1"/>
  <c r="O2341" i="1" s="1"/>
  <c r="L2341" i="1"/>
  <c r="E2341" i="1"/>
  <c r="H2341" i="1" s="1"/>
  <c r="I2341" i="1" s="1"/>
  <c r="L2340" i="1"/>
  <c r="H2340" i="1"/>
  <c r="I2340" i="1" s="1"/>
  <c r="N2340" i="1" s="1"/>
  <c r="O2340" i="1" s="1"/>
  <c r="P2340" i="1" s="1"/>
  <c r="E2340" i="1"/>
  <c r="L2339" i="1"/>
  <c r="I2339" i="1"/>
  <c r="N2339" i="1" s="1"/>
  <c r="O2339" i="1" s="1"/>
  <c r="P2339" i="1" s="1"/>
  <c r="E2339" i="1"/>
  <c r="H2339" i="1" s="1"/>
  <c r="L2338" i="1"/>
  <c r="H2338" i="1"/>
  <c r="I2338" i="1" s="1"/>
  <c r="E2338" i="1"/>
  <c r="O2337" i="1"/>
  <c r="P2337" i="1" s="1"/>
  <c r="L2337" i="1"/>
  <c r="I2337" i="1"/>
  <c r="N2337" i="1" s="1"/>
  <c r="E2337" i="1"/>
  <c r="H2337" i="1" s="1"/>
  <c r="L2336" i="1"/>
  <c r="H2336" i="1"/>
  <c r="I2336" i="1" s="1"/>
  <c r="N2336" i="1" s="1"/>
  <c r="O2336" i="1" s="1"/>
  <c r="P2336" i="1" s="1"/>
  <c r="E2336" i="1"/>
  <c r="L2335" i="1"/>
  <c r="E2335" i="1"/>
  <c r="H2335" i="1" s="1"/>
  <c r="I2335" i="1" s="1"/>
  <c r="N2335" i="1" s="1"/>
  <c r="O2335" i="1" s="1"/>
  <c r="P2335" i="1" s="1"/>
  <c r="L2334" i="1"/>
  <c r="I2334" i="1"/>
  <c r="H2334" i="1"/>
  <c r="E2334" i="1"/>
  <c r="L2333" i="1"/>
  <c r="H2333" i="1"/>
  <c r="I2333" i="1" s="1"/>
  <c r="N2333" i="1" s="1"/>
  <c r="O2333" i="1" s="1"/>
  <c r="P2333" i="1" s="1"/>
  <c r="E2333" i="1"/>
  <c r="L2332" i="1"/>
  <c r="H2332" i="1"/>
  <c r="I2332" i="1" s="1"/>
  <c r="E2332" i="1"/>
  <c r="L2331" i="1"/>
  <c r="I2331" i="1"/>
  <c r="N2331" i="1" s="1"/>
  <c r="O2331" i="1" s="1"/>
  <c r="P2331" i="1" s="1"/>
  <c r="E2331" i="1"/>
  <c r="H2331" i="1" s="1"/>
  <c r="O2330" i="1"/>
  <c r="P2330" i="1" s="1"/>
  <c r="L2330" i="1"/>
  <c r="H2330" i="1"/>
  <c r="I2330" i="1" s="1"/>
  <c r="N2330" i="1" s="1"/>
  <c r="E2330" i="1"/>
  <c r="L2329" i="1"/>
  <c r="I2329" i="1"/>
  <c r="N2329" i="1" s="1"/>
  <c r="O2329" i="1" s="1"/>
  <c r="P2329" i="1" s="1"/>
  <c r="E2329" i="1"/>
  <c r="H2329" i="1" s="1"/>
  <c r="L2328" i="1"/>
  <c r="H2328" i="1"/>
  <c r="I2328" i="1" s="1"/>
  <c r="E2328" i="1"/>
  <c r="P2327" i="1"/>
  <c r="N2327" i="1"/>
  <c r="O2327" i="1" s="1"/>
  <c r="L2327" i="1"/>
  <c r="I2327" i="1"/>
  <c r="E2327" i="1"/>
  <c r="H2327" i="1" s="1"/>
  <c r="O2326" i="1"/>
  <c r="P2326" i="1" s="1"/>
  <c r="L2326" i="1"/>
  <c r="H2326" i="1"/>
  <c r="I2326" i="1" s="1"/>
  <c r="N2326" i="1" s="1"/>
  <c r="E2326" i="1"/>
  <c r="L2325" i="1"/>
  <c r="I2325" i="1"/>
  <c r="N2325" i="1" s="1"/>
  <c r="O2325" i="1" s="1"/>
  <c r="P2325" i="1" s="1"/>
  <c r="H2325" i="1"/>
  <c r="E2325" i="1"/>
  <c r="L2324" i="1"/>
  <c r="E2324" i="1"/>
  <c r="H2324" i="1" s="1"/>
  <c r="I2324" i="1" s="1"/>
  <c r="N2323" i="1"/>
  <c r="O2323" i="1" s="1"/>
  <c r="P2323" i="1" s="1"/>
  <c r="L2323" i="1"/>
  <c r="E2323" i="1"/>
  <c r="H2323" i="1" s="1"/>
  <c r="I2323" i="1" s="1"/>
  <c r="L2322" i="1"/>
  <c r="H2322" i="1"/>
  <c r="I2322" i="1" s="1"/>
  <c r="E2322" i="1"/>
  <c r="N2321" i="1"/>
  <c r="O2321" i="1" s="1"/>
  <c r="P2321" i="1" s="1"/>
  <c r="L2321" i="1"/>
  <c r="E2321" i="1"/>
  <c r="H2321" i="1" s="1"/>
  <c r="I2321" i="1" s="1"/>
  <c r="L2320" i="1"/>
  <c r="H2320" i="1"/>
  <c r="I2320" i="1" s="1"/>
  <c r="N2320" i="1" s="1"/>
  <c r="O2320" i="1" s="1"/>
  <c r="P2320" i="1" s="1"/>
  <c r="E2320" i="1"/>
  <c r="L2319" i="1"/>
  <c r="I2319" i="1"/>
  <c r="E2319" i="1"/>
  <c r="H2319" i="1" s="1"/>
  <c r="O2318" i="1"/>
  <c r="P2318" i="1" s="1"/>
  <c r="N2318" i="1"/>
  <c r="L2318" i="1"/>
  <c r="I2318" i="1"/>
  <c r="H2318" i="1"/>
  <c r="E2318" i="1"/>
  <c r="L2317" i="1"/>
  <c r="I2317" i="1"/>
  <c r="E2317" i="1"/>
  <c r="H2317" i="1" s="1"/>
  <c r="L2316" i="1"/>
  <c r="E2316" i="1"/>
  <c r="H2316" i="1" s="1"/>
  <c r="I2316" i="1" s="1"/>
  <c r="N2316" i="1" s="1"/>
  <c r="O2316" i="1" s="1"/>
  <c r="P2316" i="1" s="1"/>
  <c r="P2315" i="1"/>
  <c r="L2315" i="1"/>
  <c r="I2315" i="1"/>
  <c r="N2315" i="1" s="1"/>
  <c r="O2315" i="1" s="1"/>
  <c r="H2315" i="1"/>
  <c r="E2315" i="1"/>
  <c r="L2314" i="1"/>
  <c r="E2314" i="1"/>
  <c r="H2314" i="1" s="1"/>
  <c r="I2314" i="1" s="1"/>
  <c r="N2314" i="1" s="1"/>
  <c r="O2314" i="1" s="1"/>
  <c r="P2314" i="1" s="1"/>
  <c r="N2313" i="1"/>
  <c r="O2313" i="1" s="1"/>
  <c r="P2313" i="1" s="1"/>
  <c r="L2313" i="1"/>
  <c r="E2313" i="1"/>
  <c r="H2313" i="1" s="1"/>
  <c r="I2313" i="1" s="1"/>
  <c r="L2312" i="1"/>
  <c r="H2312" i="1"/>
  <c r="I2312" i="1" s="1"/>
  <c r="N2312" i="1" s="1"/>
  <c r="O2312" i="1" s="1"/>
  <c r="P2312" i="1" s="1"/>
  <c r="E2312" i="1"/>
  <c r="N2311" i="1"/>
  <c r="O2311" i="1" s="1"/>
  <c r="P2311" i="1" s="1"/>
  <c r="L2311" i="1"/>
  <c r="H2311" i="1"/>
  <c r="I2311" i="1" s="1"/>
  <c r="E2311" i="1"/>
  <c r="L2310" i="1"/>
  <c r="I2310" i="1"/>
  <c r="N2310" i="1" s="1"/>
  <c r="O2310" i="1" s="1"/>
  <c r="P2310" i="1" s="1"/>
  <c r="H2310" i="1"/>
  <c r="E2310" i="1"/>
  <c r="P2309" i="1"/>
  <c r="N2309" i="1"/>
  <c r="O2309" i="1" s="1"/>
  <c r="L2309" i="1"/>
  <c r="E2309" i="1"/>
  <c r="H2309" i="1" s="1"/>
  <c r="I2309" i="1" s="1"/>
  <c r="L2308" i="1"/>
  <c r="E2308" i="1"/>
  <c r="H2308" i="1" s="1"/>
  <c r="I2308" i="1" s="1"/>
  <c r="N2308" i="1" s="1"/>
  <c r="O2308" i="1" s="1"/>
  <c r="P2308" i="1" s="1"/>
  <c r="O2307" i="1"/>
  <c r="P2307" i="1" s="1"/>
  <c r="L2307" i="1"/>
  <c r="I2307" i="1"/>
  <c r="N2307" i="1" s="1"/>
  <c r="H2307" i="1"/>
  <c r="E2307" i="1"/>
  <c r="L2306" i="1"/>
  <c r="E2306" i="1"/>
  <c r="H2306" i="1" s="1"/>
  <c r="I2306" i="1" s="1"/>
  <c r="N2306" i="1" s="1"/>
  <c r="O2306" i="1" s="1"/>
  <c r="P2306" i="1" s="1"/>
  <c r="P2305" i="1"/>
  <c r="L2305" i="1"/>
  <c r="I2305" i="1"/>
  <c r="N2305" i="1" s="1"/>
  <c r="O2305" i="1" s="1"/>
  <c r="H2305" i="1"/>
  <c r="E2305" i="1"/>
  <c r="L2304" i="1"/>
  <c r="H2304" i="1"/>
  <c r="I2304" i="1" s="1"/>
  <c r="N2304" i="1" s="1"/>
  <c r="O2304" i="1" s="1"/>
  <c r="P2304" i="1" s="1"/>
  <c r="E2304" i="1"/>
  <c r="O2303" i="1"/>
  <c r="P2303" i="1" s="1"/>
  <c r="N2303" i="1"/>
  <c r="L2303" i="1"/>
  <c r="E2303" i="1"/>
  <c r="H2303" i="1" s="1"/>
  <c r="I2303" i="1" s="1"/>
  <c r="L2302" i="1"/>
  <c r="H2302" i="1"/>
  <c r="I2302" i="1" s="1"/>
  <c r="N2302" i="1" s="1"/>
  <c r="O2302" i="1" s="1"/>
  <c r="P2302" i="1" s="1"/>
  <c r="E2302" i="1"/>
  <c r="L2301" i="1"/>
  <c r="I2301" i="1"/>
  <c r="E2301" i="1"/>
  <c r="H2301" i="1" s="1"/>
  <c r="L2300" i="1"/>
  <c r="H2300" i="1"/>
  <c r="I2300" i="1" s="1"/>
  <c r="N2300" i="1" s="1"/>
  <c r="O2300" i="1" s="1"/>
  <c r="P2300" i="1" s="1"/>
  <c r="E2300" i="1"/>
  <c r="L2299" i="1"/>
  <c r="E2299" i="1"/>
  <c r="H2299" i="1" s="1"/>
  <c r="I2299" i="1" s="1"/>
  <c r="N2299" i="1" s="1"/>
  <c r="O2299" i="1" s="1"/>
  <c r="P2299" i="1" s="1"/>
  <c r="L2298" i="1"/>
  <c r="E2298" i="1"/>
  <c r="H2298" i="1" s="1"/>
  <c r="I2298" i="1" s="1"/>
  <c r="P2297" i="1"/>
  <c r="L2297" i="1"/>
  <c r="I2297" i="1"/>
  <c r="N2297" i="1" s="1"/>
  <c r="O2297" i="1" s="1"/>
  <c r="H2297" i="1"/>
  <c r="E2297" i="1"/>
  <c r="L2296" i="1"/>
  <c r="H2296" i="1"/>
  <c r="I2296" i="1" s="1"/>
  <c r="N2296" i="1" s="1"/>
  <c r="O2296" i="1" s="1"/>
  <c r="P2296" i="1" s="1"/>
  <c r="E2296" i="1"/>
  <c r="L2295" i="1"/>
  <c r="E2295" i="1"/>
  <c r="H2295" i="1" s="1"/>
  <c r="I2295" i="1" s="1"/>
  <c r="N2295" i="1" s="1"/>
  <c r="O2295" i="1" s="1"/>
  <c r="P2295" i="1" s="1"/>
  <c r="L2294" i="1"/>
  <c r="H2294" i="1"/>
  <c r="I2294" i="1" s="1"/>
  <c r="N2294" i="1" s="1"/>
  <c r="O2294" i="1" s="1"/>
  <c r="P2294" i="1" s="1"/>
  <c r="E2294" i="1"/>
  <c r="L2293" i="1"/>
  <c r="E2293" i="1"/>
  <c r="H2293" i="1" s="1"/>
  <c r="I2293" i="1" s="1"/>
  <c r="N2293" i="1" s="1"/>
  <c r="O2293" i="1" s="1"/>
  <c r="P2293" i="1" s="1"/>
  <c r="O2292" i="1"/>
  <c r="P2292" i="1" s="1"/>
  <c r="L2292" i="1"/>
  <c r="I2292" i="1"/>
  <c r="N2292" i="1" s="1"/>
  <c r="H2292" i="1"/>
  <c r="E2292" i="1"/>
  <c r="L2291" i="1"/>
  <c r="E2291" i="1"/>
  <c r="H2291" i="1" s="1"/>
  <c r="I2291" i="1" s="1"/>
  <c r="N2291" i="1" s="1"/>
  <c r="O2291" i="1" s="1"/>
  <c r="P2291" i="1" s="1"/>
  <c r="L2290" i="1"/>
  <c r="E2290" i="1"/>
  <c r="H2290" i="1" s="1"/>
  <c r="I2290" i="1" s="1"/>
  <c r="N2290" i="1" s="1"/>
  <c r="O2290" i="1" s="1"/>
  <c r="P2290" i="1" s="1"/>
  <c r="P2289" i="1"/>
  <c r="L2289" i="1"/>
  <c r="I2289" i="1"/>
  <c r="N2289" i="1" s="1"/>
  <c r="O2289" i="1" s="1"/>
  <c r="H2289" i="1"/>
  <c r="E2289" i="1"/>
  <c r="P2288" i="1"/>
  <c r="O2288" i="1"/>
  <c r="L2288" i="1"/>
  <c r="H2288" i="1"/>
  <c r="I2288" i="1" s="1"/>
  <c r="N2288" i="1" s="1"/>
  <c r="E2288" i="1"/>
  <c r="L2287" i="1"/>
  <c r="E2287" i="1"/>
  <c r="H2287" i="1" s="1"/>
  <c r="I2287" i="1" s="1"/>
  <c r="N2287" i="1" s="1"/>
  <c r="O2287" i="1" s="1"/>
  <c r="P2287" i="1" s="1"/>
  <c r="L2286" i="1"/>
  <c r="N2286" i="1" s="1"/>
  <c r="O2286" i="1" s="1"/>
  <c r="P2286" i="1" s="1"/>
  <c r="H2286" i="1"/>
  <c r="I2286" i="1" s="1"/>
  <c r="E2286" i="1"/>
  <c r="L2285" i="1"/>
  <c r="E2285" i="1"/>
  <c r="H2285" i="1" s="1"/>
  <c r="I2285" i="1" s="1"/>
  <c r="N2285" i="1" s="1"/>
  <c r="O2285" i="1" s="1"/>
  <c r="P2285" i="1" s="1"/>
  <c r="O2284" i="1"/>
  <c r="P2284" i="1" s="1"/>
  <c r="L2284" i="1"/>
  <c r="I2284" i="1"/>
  <c r="N2284" i="1" s="1"/>
  <c r="H2284" i="1"/>
  <c r="E2284" i="1"/>
  <c r="L2283" i="1"/>
  <c r="H2283" i="1"/>
  <c r="I2283" i="1" s="1"/>
  <c r="N2283" i="1" s="1"/>
  <c r="O2283" i="1" s="1"/>
  <c r="P2283" i="1" s="1"/>
  <c r="E2283" i="1"/>
  <c r="L2282" i="1"/>
  <c r="E2282" i="1"/>
  <c r="H2282" i="1" s="1"/>
  <c r="I2282" i="1" s="1"/>
  <c r="P2281" i="1"/>
  <c r="L2281" i="1"/>
  <c r="I2281" i="1"/>
  <c r="N2281" i="1" s="1"/>
  <c r="O2281" i="1" s="1"/>
  <c r="H2281" i="1"/>
  <c r="E2281" i="1"/>
  <c r="O2280" i="1"/>
  <c r="P2280" i="1" s="1"/>
  <c r="L2280" i="1"/>
  <c r="H2280" i="1"/>
  <c r="I2280" i="1" s="1"/>
  <c r="N2280" i="1" s="1"/>
  <c r="E2280" i="1"/>
  <c r="L2279" i="1"/>
  <c r="E2279" i="1"/>
  <c r="H2279" i="1" s="1"/>
  <c r="I2279" i="1" s="1"/>
  <c r="N2279" i="1" s="1"/>
  <c r="O2279" i="1" s="1"/>
  <c r="P2279" i="1" s="1"/>
  <c r="N2278" i="1"/>
  <c r="O2278" i="1" s="1"/>
  <c r="P2278" i="1" s="1"/>
  <c r="L2278" i="1"/>
  <c r="H2278" i="1"/>
  <c r="I2278" i="1" s="1"/>
  <c r="E2278" i="1"/>
  <c r="L2277" i="1"/>
  <c r="I2277" i="1"/>
  <c r="N2277" i="1" s="1"/>
  <c r="O2277" i="1" s="1"/>
  <c r="P2277" i="1" s="1"/>
  <c r="E2277" i="1"/>
  <c r="H2277" i="1" s="1"/>
  <c r="O2276" i="1"/>
  <c r="P2276" i="1" s="1"/>
  <c r="L2276" i="1"/>
  <c r="I2276" i="1"/>
  <c r="N2276" i="1" s="1"/>
  <c r="H2276" i="1"/>
  <c r="E2276" i="1"/>
  <c r="L2275" i="1"/>
  <c r="E2275" i="1"/>
  <c r="H2275" i="1" s="1"/>
  <c r="I2275" i="1" s="1"/>
  <c r="N2275" i="1" s="1"/>
  <c r="O2275" i="1" s="1"/>
  <c r="P2275" i="1" s="1"/>
  <c r="L2274" i="1"/>
  <c r="E2274" i="1"/>
  <c r="H2274" i="1" s="1"/>
  <c r="I2274" i="1" s="1"/>
  <c r="L2273" i="1"/>
  <c r="I2273" i="1"/>
  <c r="N2273" i="1" s="1"/>
  <c r="O2273" i="1" s="1"/>
  <c r="P2273" i="1" s="1"/>
  <c r="H2273" i="1"/>
  <c r="E2273" i="1"/>
  <c r="P2272" i="1"/>
  <c r="O2272" i="1"/>
  <c r="L2272" i="1"/>
  <c r="H2272" i="1"/>
  <c r="I2272" i="1" s="1"/>
  <c r="N2272" i="1" s="1"/>
  <c r="E2272" i="1"/>
  <c r="N2271" i="1"/>
  <c r="O2271" i="1" s="1"/>
  <c r="P2271" i="1" s="1"/>
  <c r="L2271" i="1"/>
  <c r="E2271" i="1"/>
  <c r="H2271" i="1" s="1"/>
  <c r="I2271" i="1" s="1"/>
  <c r="N2270" i="1"/>
  <c r="O2270" i="1" s="1"/>
  <c r="P2270" i="1" s="1"/>
  <c r="L2270" i="1"/>
  <c r="H2270" i="1"/>
  <c r="I2270" i="1" s="1"/>
  <c r="E2270" i="1"/>
  <c r="L2269" i="1"/>
  <c r="E2269" i="1"/>
  <c r="H2269" i="1" s="1"/>
  <c r="I2269" i="1" s="1"/>
  <c r="O2268" i="1"/>
  <c r="P2268" i="1" s="1"/>
  <c r="L2268" i="1"/>
  <c r="I2268" i="1"/>
  <c r="N2268" i="1" s="1"/>
  <c r="H2268" i="1"/>
  <c r="E2268" i="1"/>
  <c r="N2267" i="1"/>
  <c r="O2267" i="1" s="1"/>
  <c r="P2267" i="1" s="1"/>
  <c r="L2267" i="1"/>
  <c r="H2267" i="1"/>
  <c r="I2267" i="1" s="1"/>
  <c r="E2267" i="1"/>
  <c r="L2266" i="1"/>
  <c r="E2266" i="1"/>
  <c r="H2266" i="1" s="1"/>
  <c r="I2266" i="1" s="1"/>
  <c r="L2265" i="1"/>
  <c r="I2265" i="1"/>
  <c r="N2265" i="1" s="1"/>
  <c r="O2265" i="1" s="1"/>
  <c r="P2265" i="1" s="1"/>
  <c r="H2265" i="1"/>
  <c r="E2265" i="1"/>
  <c r="P2264" i="1"/>
  <c r="O2264" i="1"/>
  <c r="L2264" i="1"/>
  <c r="H2264" i="1"/>
  <c r="I2264" i="1" s="1"/>
  <c r="N2264" i="1" s="1"/>
  <c r="E2264" i="1"/>
  <c r="O2263" i="1"/>
  <c r="P2263" i="1" s="1"/>
  <c r="N2263" i="1"/>
  <c r="L2263" i="1"/>
  <c r="E2263" i="1"/>
  <c r="H2263" i="1" s="1"/>
  <c r="I2263" i="1" s="1"/>
  <c r="N2262" i="1"/>
  <c r="O2262" i="1" s="1"/>
  <c r="P2262" i="1" s="1"/>
  <c r="L2262" i="1"/>
  <c r="H2262" i="1"/>
  <c r="I2262" i="1" s="1"/>
  <c r="E2262" i="1"/>
  <c r="L2261" i="1"/>
  <c r="I2261" i="1"/>
  <c r="N2261" i="1" s="1"/>
  <c r="O2261" i="1" s="1"/>
  <c r="P2261" i="1" s="1"/>
  <c r="E2261" i="1"/>
  <c r="H2261" i="1" s="1"/>
  <c r="L2260" i="1"/>
  <c r="H2260" i="1"/>
  <c r="I2260" i="1" s="1"/>
  <c r="N2260" i="1" s="1"/>
  <c r="O2260" i="1" s="1"/>
  <c r="P2260" i="1" s="1"/>
  <c r="E2260" i="1"/>
  <c r="N2259" i="1"/>
  <c r="O2259" i="1" s="1"/>
  <c r="P2259" i="1" s="1"/>
  <c r="L2259" i="1"/>
  <c r="H2259" i="1"/>
  <c r="I2259" i="1" s="1"/>
  <c r="E2259" i="1"/>
  <c r="L2258" i="1"/>
  <c r="E2258" i="1"/>
  <c r="H2258" i="1" s="1"/>
  <c r="I2258" i="1" s="1"/>
  <c r="L2257" i="1"/>
  <c r="I2257" i="1"/>
  <c r="N2257" i="1" s="1"/>
  <c r="O2257" i="1" s="1"/>
  <c r="P2257" i="1" s="1"/>
  <c r="H2257" i="1"/>
  <c r="E2257" i="1"/>
  <c r="P2256" i="1"/>
  <c r="O2256" i="1"/>
  <c r="L2256" i="1"/>
  <c r="H2256" i="1"/>
  <c r="I2256" i="1" s="1"/>
  <c r="N2256" i="1" s="1"/>
  <c r="E2256" i="1"/>
  <c r="N2255" i="1"/>
  <c r="O2255" i="1" s="1"/>
  <c r="P2255" i="1" s="1"/>
  <c r="L2255" i="1"/>
  <c r="E2255" i="1"/>
  <c r="H2255" i="1" s="1"/>
  <c r="I2255" i="1" s="1"/>
  <c r="N2254" i="1"/>
  <c r="O2254" i="1" s="1"/>
  <c r="P2254" i="1" s="1"/>
  <c r="L2254" i="1"/>
  <c r="H2254" i="1"/>
  <c r="I2254" i="1" s="1"/>
  <c r="E2254" i="1"/>
  <c r="L2253" i="1"/>
  <c r="I2253" i="1"/>
  <c r="E2253" i="1"/>
  <c r="H2253" i="1" s="1"/>
  <c r="L2252" i="1"/>
  <c r="H2252" i="1"/>
  <c r="I2252" i="1" s="1"/>
  <c r="N2252" i="1" s="1"/>
  <c r="O2252" i="1" s="1"/>
  <c r="P2252" i="1" s="1"/>
  <c r="E2252" i="1"/>
  <c r="N2251" i="1"/>
  <c r="O2251" i="1" s="1"/>
  <c r="P2251" i="1" s="1"/>
  <c r="L2251" i="1"/>
  <c r="H2251" i="1"/>
  <c r="I2251" i="1" s="1"/>
  <c r="E2251" i="1"/>
  <c r="L2250" i="1"/>
  <c r="E2250" i="1"/>
  <c r="H2250" i="1" s="1"/>
  <c r="I2250" i="1" s="1"/>
  <c r="N2250" i="1" s="1"/>
  <c r="O2250" i="1" s="1"/>
  <c r="P2250" i="1" s="1"/>
  <c r="P2249" i="1"/>
  <c r="L2249" i="1"/>
  <c r="I2249" i="1"/>
  <c r="N2249" i="1" s="1"/>
  <c r="O2249" i="1" s="1"/>
  <c r="H2249" i="1"/>
  <c r="E2249" i="1"/>
  <c r="L2248" i="1"/>
  <c r="H2248" i="1"/>
  <c r="I2248" i="1" s="1"/>
  <c r="N2248" i="1" s="1"/>
  <c r="O2248" i="1" s="1"/>
  <c r="P2248" i="1" s="1"/>
  <c r="E2248" i="1"/>
  <c r="O2247" i="1"/>
  <c r="P2247" i="1" s="1"/>
  <c r="N2247" i="1"/>
  <c r="L2247" i="1"/>
  <c r="E2247" i="1"/>
  <c r="H2247" i="1" s="1"/>
  <c r="I2247" i="1" s="1"/>
  <c r="L2246" i="1"/>
  <c r="H2246" i="1"/>
  <c r="I2246" i="1" s="1"/>
  <c r="N2246" i="1" s="1"/>
  <c r="O2246" i="1" s="1"/>
  <c r="P2246" i="1" s="1"/>
  <c r="E2246" i="1"/>
  <c r="L2245" i="1"/>
  <c r="I2245" i="1"/>
  <c r="E2245" i="1"/>
  <c r="H2245" i="1" s="1"/>
  <c r="L2244" i="1"/>
  <c r="I2244" i="1"/>
  <c r="N2244" i="1" s="1"/>
  <c r="O2244" i="1" s="1"/>
  <c r="P2244" i="1" s="1"/>
  <c r="H2244" i="1"/>
  <c r="E2244" i="1"/>
  <c r="N2243" i="1"/>
  <c r="O2243" i="1" s="1"/>
  <c r="P2243" i="1" s="1"/>
  <c r="L2243" i="1"/>
  <c r="H2243" i="1"/>
  <c r="I2243" i="1" s="1"/>
  <c r="E2243" i="1"/>
  <c r="L2242" i="1"/>
  <c r="E2242" i="1"/>
  <c r="H2242" i="1" s="1"/>
  <c r="I2242" i="1" s="1"/>
  <c r="N2242" i="1" s="1"/>
  <c r="O2242" i="1" s="1"/>
  <c r="P2242" i="1" s="1"/>
  <c r="P2241" i="1"/>
  <c r="L2241" i="1"/>
  <c r="I2241" i="1"/>
  <c r="N2241" i="1" s="1"/>
  <c r="O2241" i="1" s="1"/>
  <c r="H2241" i="1"/>
  <c r="E2241" i="1"/>
  <c r="L2240" i="1"/>
  <c r="H2240" i="1"/>
  <c r="I2240" i="1" s="1"/>
  <c r="N2240" i="1" s="1"/>
  <c r="O2240" i="1" s="1"/>
  <c r="P2240" i="1" s="1"/>
  <c r="E2240" i="1"/>
  <c r="O2239" i="1"/>
  <c r="P2239" i="1" s="1"/>
  <c r="N2239" i="1"/>
  <c r="L2239" i="1"/>
  <c r="E2239" i="1"/>
  <c r="H2239" i="1" s="1"/>
  <c r="I2239" i="1" s="1"/>
  <c r="L2238" i="1"/>
  <c r="H2238" i="1"/>
  <c r="I2238" i="1" s="1"/>
  <c r="E2238" i="1"/>
  <c r="L2237" i="1"/>
  <c r="I2237" i="1"/>
  <c r="E2237" i="1"/>
  <c r="H2237" i="1" s="1"/>
  <c r="L2236" i="1"/>
  <c r="H2236" i="1"/>
  <c r="I2236" i="1" s="1"/>
  <c r="N2236" i="1" s="1"/>
  <c r="O2236" i="1" s="1"/>
  <c r="P2236" i="1" s="1"/>
  <c r="E2236" i="1"/>
  <c r="L2235" i="1"/>
  <c r="E2235" i="1"/>
  <c r="H2235" i="1" s="1"/>
  <c r="I2235" i="1" s="1"/>
  <c r="N2235" i="1" s="1"/>
  <c r="O2235" i="1" s="1"/>
  <c r="P2235" i="1" s="1"/>
  <c r="L2234" i="1"/>
  <c r="E2234" i="1"/>
  <c r="H2234" i="1" s="1"/>
  <c r="I2234" i="1" s="1"/>
  <c r="P2233" i="1"/>
  <c r="L2233" i="1"/>
  <c r="I2233" i="1"/>
  <c r="N2233" i="1" s="1"/>
  <c r="O2233" i="1" s="1"/>
  <c r="H2233" i="1"/>
  <c r="E2233" i="1"/>
  <c r="O2232" i="1"/>
  <c r="P2232" i="1" s="1"/>
  <c r="L2232" i="1"/>
  <c r="H2232" i="1"/>
  <c r="I2232" i="1" s="1"/>
  <c r="N2232" i="1" s="1"/>
  <c r="E2232" i="1"/>
  <c r="O2231" i="1"/>
  <c r="P2231" i="1" s="1"/>
  <c r="N2231" i="1"/>
  <c r="L2231" i="1"/>
  <c r="E2231" i="1"/>
  <c r="H2231" i="1" s="1"/>
  <c r="I2231" i="1" s="1"/>
  <c r="N2230" i="1"/>
  <c r="O2230" i="1" s="1"/>
  <c r="P2230" i="1" s="1"/>
  <c r="L2230" i="1"/>
  <c r="H2230" i="1"/>
  <c r="I2230" i="1" s="1"/>
  <c r="E2230" i="1"/>
  <c r="L2229" i="1"/>
  <c r="E2229" i="1"/>
  <c r="H2229" i="1" s="1"/>
  <c r="I2229" i="1" s="1"/>
  <c r="N2229" i="1" s="1"/>
  <c r="O2229" i="1" s="1"/>
  <c r="P2229" i="1" s="1"/>
  <c r="L2228" i="1"/>
  <c r="I2228" i="1"/>
  <c r="N2228" i="1" s="1"/>
  <c r="O2228" i="1" s="1"/>
  <c r="P2228" i="1" s="1"/>
  <c r="H2228" i="1"/>
  <c r="E2228" i="1"/>
  <c r="L2227" i="1"/>
  <c r="E2227" i="1"/>
  <c r="H2227" i="1" s="1"/>
  <c r="I2227" i="1" s="1"/>
  <c r="N2227" i="1" s="1"/>
  <c r="O2227" i="1" s="1"/>
  <c r="P2227" i="1" s="1"/>
  <c r="L2226" i="1"/>
  <c r="E2226" i="1"/>
  <c r="H2226" i="1" s="1"/>
  <c r="I2226" i="1" s="1"/>
  <c r="N2226" i="1" s="1"/>
  <c r="O2226" i="1" s="1"/>
  <c r="P2226" i="1" s="1"/>
  <c r="P2225" i="1"/>
  <c r="L2225" i="1"/>
  <c r="I2225" i="1"/>
  <c r="N2225" i="1" s="1"/>
  <c r="O2225" i="1" s="1"/>
  <c r="H2225" i="1"/>
  <c r="E2225" i="1"/>
  <c r="P2224" i="1"/>
  <c r="O2224" i="1"/>
  <c r="L2224" i="1"/>
  <c r="H2224" i="1"/>
  <c r="I2224" i="1" s="1"/>
  <c r="N2224" i="1" s="1"/>
  <c r="E2224" i="1"/>
  <c r="L2223" i="1"/>
  <c r="E2223" i="1"/>
  <c r="H2223" i="1" s="1"/>
  <c r="I2223" i="1" s="1"/>
  <c r="N2223" i="1" s="1"/>
  <c r="O2223" i="1" s="1"/>
  <c r="P2223" i="1" s="1"/>
  <c r="L2222" i="1"/>
  <c r="N2222" i="1" s="1"/>
  <c r="O2222" i="1" s="1"/>
  <c r="P2222" i="1" s="1"/>
  <c r="H2222" i="1"/>
  <c r="I2222" i="1" s="1"/>
  <c r="E2222" i="1"/>
  <c r="L2221" i="1"/>
  <c r="E2221" i="1"/>
  <c r="H2221" i="1" s="1"/>
  <c r="I2221" i="1" s="1"/>
  <c r="N2221" i="1" s="1"/>
  <c r="O2221" i="1" s="1"/>
  <c r="P2221" i="1" s="1"/>
  <c r="O2220" i="1"/>
  <c r="P2220" i="1" s="1"/>
  <c r="L2220" i="1"/>
  <c r="I2220" i="1"/>
  <c r="N2220" i="1" s="1"/>
  <c r="H2220" i="1"/>
  <c r="E2220" i="1"/>
  <c r="L2219" i="1"/>
  <c r="H2219" i="1"/>
  <c r="I2219" i="1" s="1"/>
  <c r="N2219" i="1" s="1"/>
  <c r="O2219" i="1" s="1"/>
  <c r="P2219" i="1" s="1"/>
  <c r="E2219" i="1"/>
  <c r="L2218" i="1"/>
  <c r="E2218" i="1"/>
  <c r="H2218" i="1" s="1"/>
  <c r="I2218" i="1" s="1"/>
  <c r="P2217" i="1"/>
  <c r="L2217" i="1"/>
  <c r="I2217" i="1"/>
  <c r="N2217" i="1" s="1"/>
  <c r="O2217" i="1" s="1"/>
  <c r="H2217" i="1"/>
  <c r="E2217" i="1"/>
  <c r="O2216" i="1"/>
  <c r="P2216" i="1" s="1"/>
  <c r="L2216" i="1"/>
  <c r="H2216" i="1"/>
  <c r="I2216" i="1" s="1"/>
  <c r="N2216" i="1" s="1"/>
  <c r="E2216" i="1"/>
  <c r="L2215" i="1"/>
  <c r="E2215" i="1"/>
  <c r="H2215" i="1" s="1"/>
  <c r="I2215" i="1" s="1"/>
  <c r="N2215" i="1" s="1"/>
  <c r="O2215" i="1" s="1"/>
  <c r="P2215" i="1" s="1"/>
  <c r="N2214" i="1"/>
  <c r="O2214" i="1" s="1"/>
  <c r="P2214" i="1" s="1"/>
  <c r="L2214" i="1"/>
  <c r="H2214" i="1"/>
  <c r="I2214" i="1" s="1"/>
  <c r="E2214" i="1"/>
  <c r="L2213" i="1"/>
  <c r="I2213" i="1"/>
  <c r="N2213" i="1" s="1"/>
  <c r="O2213" i="1" s="1"/>
  <c r="P2213" i="1" s="1"/>
  <c r="E2213" i="1"/>
  <c r="H2213" i="1" s="1"/>
  <c r="O2212" i="1"/>
  <c r="P2212" i="1" s="1"/>
  <c r="L2212" i="1"/>
  <c r="I2212" i="1"/>
  <c r="N2212" i="1" s="1"/>
  <c r="H2212" i="1"/>
  <c r="E2212" i="1"/>
  <c r="L2211" i="1"/>
  <c r="E2211" i="1"/>
  <c r="H2211" i="1" s="1"/>
  <c r="I2211" i="1" s="1"/>
  <c r="N2211" i="1" s="1"/>
  <c r="O2211" i="1" s="1"/>
  <c r="P2211" i="1" s="1"/>
  <c r="L2210" i="1"/>
  <c r="E2210" i="1"/>
  <c r="H2210" i="1" s="1"/>
  <c r="I2210" i="1" s="1"/>
  <c r="P2209" i="1"/>
  <c r="L2209" i="1"/>
  <c r="I2209" i="1"/>
  <c r="N2209" i="1" s="1"/>
  <c r="O2209" i="1" s="1"/>
  <c r="H2209" i="1"/>
  <c r="E2209" i="1"/>
  <c r="P2208" i="1"/>
  <c r="O2208" i="1"/>
  <c r="L2208" i="1"/>
  <c r="H2208" i="1"/>
  <c r="I2208" i="1" s="1"/>
  <c r="N2208" i="1" s="1"/>
  <c r="E2208" i="1"/>
  <c r="N2207" i="1"/>
  <c r="O2207" i="1" s="1"/>
  <c r="P2207" i="1" s="1"/>
  <c r="L2207" i="1"/>
  <c r="E2207" i="1"/>
  <c r="H2207" i="1" s="1"/>
  <c r="I2207" i="1" s="1"/>
  <c r="N2206" i="1"/>
  <c r="O2206" i="1" s="1"/>
  <c r="P2206" i="1" s="1"/>
  <c r="L2206" i="1"/>
  <c r="H2206" i="1"/>
  <c r="I2206" i="1" s="1"/>
  <c r="E2206" i="1"/>
  <c r="L2205" i="1"/>
  <c r="E2205" i="1"/>
  <c r="H2205" i="1" s="1"/>
  <c r="I2205" i="1" s="1"/>
  <c r="O2204" i="1"/>
  <c r="P2204" i="1" s="1"/>
  <c r="L2204" i="1"/>
  <c r="I2204" i="1"/>
  <c r="N2204" i="1" s="1"/>
  <c r="H2204" i="1"/>
  <c r="E2204" i="1"/>
  <c r="N2203" i="1"/>
  <c r="O2203" i="1" s="1"/>
  <c r="P2203" i="1" s="1"/>
  <c r="L2203" i="1"/>
  <c r="H2203" i="1"/>
  <c r="I2203" i="1" s="1"/>
  <c r="E2203" i="1"/>
  <c r="L2202" i="1"/>
  <c r="E2202" i="1"/>
  <c r="H2202" i="1" s="1"/>
  <c r="I2202" i="1" s="1"/>
  <c r="L2201" i="1"/>
  <c r="I2201" i="1"/>
  <c r="N2201" i="1" s="1"/>
  <c r="O2201" i="1" s="1"/>
  <c r="P2201" i="1" s="1"/>
  <c r="H2201" i="1"/>
  <c r="E2201" i="1"/>
  <c r="P2200" i="1"/>
  <c r="O2200" i="1"/>
  <c r="L2200" i="1"/>
  <c r="H2200" i="1"/>
  <c r="I2200" i="1" s="1"/>
  <c r="N2200" i="1" s="1"/>
  <c r="E2200" i="1"/>
  <c r="O2199" i="1"/>
  <c r="P2199" i="1" s="1"/>
  <c r="N2199" i="1"/>
  <c r="L2199" i="1"/>
  <c r="E2199" i="1"/>
  <c r="H2199" i="1" s="1"/>
  <c r="I2199" i="1" s="1"/>
  <c r="N2198" i="1"/>
  <c r="O2198" i="1" s="1"/>
  <c r="P2198" i="1" s="1"/>
  <c r="L2198" i="1"/>
  <c r="H2198" i="1"/>
  <c r="I2198" i="1" s="1"/>
  <c r="E2198" i="1"/>
  <c r="L2197" i="1"/>
  <c r="I2197" i="1"/>
  <c r="N2197" i="1" s="1"/>
  <c r="O2197" i="1" s="1"/>
  <c r="P2197" i="1" s="1"/>
  <c r="E2197" i="1"/>
  <c r="H2197" i="1" s="1"/>
  <c r="L2196" i="1"/>
  <c r="H2196" i="1"/>
  <c r="I2196" i="1" s="1"/>
  <c r="N2196" i="1" s="1"/>
  <c r="O2196" i="1" s="1"/>
  <c r="P2196" i="1" s="1"/>
  <c r="E2196" i="1"/>
  <c r="N2195" i="1"/>
  <c r="O2195" i="1" s="1"/>
  <c r="P2195" i="1" s="1"/>
  <c r="L2195" i="1"/>
  <c r="H2195" i="1"/>
  <c r="I2195" i="1" s="1"/>
  <c r="E2195" i="1"/>
  <c r="L2194" i="1"/>
  <c r="E2194" i="1"/>
  <c r="H2194" i="1" s="1"/>
  <c r="I2194" i="1" s="1"/>
  <c r="L2193" i="1"/>
  <c r="I2193" i="1"/>
  <c r="N2193" i="1" s="1"/>
  <c r="O2193" i="1" s="1"/>
  <c r="P2193" i="1" s="1"/>
  <c r="H2193" i="1"/>
  <c r="E2193" i="1"/>
  <c r="P2192" i="1"/>
  <c r="O2192" i="1"/>
  <c r="L2192" i="1"/>
  <c r="H2192" i="1"/>
  <c r="I2192" i="1" s="1"/>
  <c r="N2192" i="1" s="1"/>
  <c r="E2192" i="1"/>
  <c r="N2191" i="1"/>
  <c r="O2191" i="1" s="1"/>
  <c r="P2191" i="1" s="1"/>
  <c r="L2191" i="1"/>
  <c r="E2191" i="1"/>
  <c r="H2191" i="1" s="1"/>
  <c r="I2191" i="1" s="1"/>
  <c r="N2190" i="1"/>
  <c r="O2190" i="1" s="1"/>
  <c r="P2190" i="1" s="1"/>
  <c r="L2190" i="1"/>
  <c r="H2190" i="1"/>
  <c r="I2190" i="1" s="1"/>
  <c r="E2190" i="1"/>
  <c r="L2189" i="1"/>
  <c r="I2189" i="1"/>
  <c r="E2189" i="1"/>
  <c r="H2189" i="1" s="1"/>
  <c r="L2188" i="1"/>
  <c r="H2188" i="1"/>
  <c r="I2188" i="1" s="1"/>
  <c r="N2188" i="1" s="1"/>
  <c r="O2188" i="1" s="1"/>
  <c r="P2188" i="1" s="1"/>
  <c r="E2188" i="1"/>
  <c r="N2187" i="1"/>
  <c r="O2187" i="1" s="1"/>
  <c r="P2187" i="1" s="1"/>
  <c r="L2187" i="1"/>
  <c r="H2187" i="1"/>
  <c r="I2187" i="1" s="1"/>
  <c r="E2187" i="1"/>
  <c r="L2186" i="1"/>
  <c r="E2186" i="1"/>
  <c r="H2186" i="1" s="1"/>
  <c r="I2186" i="1" s="1"/>
  <c r="N2186" i="1" s="1"/>
  <c r="O2186" i="1" s="1"/>
  <c r="P2186" i="1" s="1"/>
  <c r="P2185" i="1"/>
  <c r="L2185" i="1"/>
  <c r="I2185" i="1"/>
  <c r="N2185" i="1" s="1"/>
  <c r="O2185" i="1" s="1"/>
  <c r="H2185" i="1"/>
  <c r="E2185" i="1"/>
  <c r="L2184" i="1"/>
  <c r="H2184" i="1"/>
  <c r="I2184" i="1" s="1"/>
  <c r="N2184" i="1" s="1"/>
  <c r="O2184" i="1" s="1"/>
  <c r="P2184" i="1" s="1"/>
  <c r="E2184" i="1"/>
  <c r="O2183" i="1"/>
  <c r="P2183" i="1" s="1"/>
  <c r="N2183" i="1"/>
  <c r="L2183" i="1"/>
  <c r="E2183" i="1"/>
  <c r="H2183" i="1" s="1"/>
  <c r="I2183" i="1" s="1"/>
  <c r="L2182" i="1"/>
  <c r="H2182" i="1"/>
  <c r="I2182" i="1" s="1"/>
  <c r="N2182" i="1" s="1"/>
  <c r="O2182" i="1" s="1"/>
  <c r="P2182" i="1" s="1"/>
  <c r="E2182" i="1"/>
  <c r="L2181" i="1"/>
  <c r="I2181" i="1"/>
  <c r="E2181" i="1"/>
  <c r="H2181" i="1" s="1"/>
  <c r="L2180" i="1"/>
  <c r="I2180" i="1"/>
  <c r="N2180" i="1" s="1"/>
  <c r="O2180" i="1" s="1"/>
  <c r="P2180" i="1" s="1"/>
  <c r="H2180" i="1"/>
  <c r="E2180" i="1"/>
  <c r="N2179" i="1"/>
  <c r="O2179" i="1" s="1"/>
  <c r="P2179" i="1" s="1"/>
  <c r="L2179" i="1"/>
  <c r="H2179" i="1"/>
  <c r="I2179" i="1" s="1"/>
  <c r="E2179" i="1"/>
  <c r="L2178" i="1"/>
  <c r="E2178" i="1"/>
  <c r="H2178" i="1" s="1"/>
  <c r="I2178" i="1" s="1"/>
  <c r="N2178" i="1" s="1"/>
  <c r="O2178" i="1" s="1"/>
  <c r="P2178" i="1" s="1"/>
  <c r="P2177" i="1"/>
  <c r="L2177" i="1"/>
  <c r="I2177" i="1"/>
  <c r="N2177" i="1" s="1"/>
  <c r="O2177" i="1" s="1"/>
  <c r="H2177" i="1"/>
  <c r="E2177" i="1"/>
  <c r="L2176" i="1"/>
  <c r="H2176" i="1"/>
  <c r="I2176" i="1" s="1"/>
  <c r="N2176" i="1" s="1"/>
  <c r="O2176" i="1" s="1"/>
  <c r="P2176" i="1" s="1"/>
  <c r="E2176" i="1"/>
  <c r="O2175" i="1"/>
  <c r="P2175" i="1" s="1"/>
  <c r="N2175" i="1"/>
  <c r="L2175" i="1"/>
  <c r="E2175" i="1"/>
  <c r="H2175" i="1" s="1"/>
  <c r="I2175" i="1" s="1"/>
  <c r="L2174" i="1"/>
  <c r="H2174" i="1"/>
  <c r="I2174" i="1" s="1"/>
  <c r="E2174" i="1"/>
  <c r="L2173" i="1"/>
  <c r="I2173" i="1"/>
  <c r="E2173" i="1"/>
  <c r="H2173" i="1" s="1"/>
  <c r="L2172" i="1"/>
  <c r="H2172" i="1"/>
  <c r="I2172" i="1" s="1"/>
  <c r="N2172" i="1" s="1"/>
  <c r="O2172" i="1" s="1"/>
  <c r="P2172" i="1" s="1"/>
  <c r="E2172" i="1"/>
  <c r="L2171" i="1"/>
  <c r="E2171" i="1"/>
  <c r="H2171" i="1" s="1"/>
  <c r="I2171" i="1" s="1"/>
  <c r="N2171" i="1" s="1"/>
  <c r="O2171" i="1" s="1"/>
  <c r="P2171" i="1" s="1"/>
  <c r="L2170" i="1"/>
  <c r="E2170" i="1"/>
  <c r="H2170" i="1" s="1"/>
  <c r="I2170" i="1" s="1"/>
  <c r="P2169" i="1"/>
  <c r="L2169" i="1"/>
  <c r="I2169" i="1"/>
  <c r="N2169" i="1" s="1"/>
  <c r="O2169" i="1" s="1"/>
  <c r="H2169" i="1"/>
  <c r="E2169" i="1"/>
  <c r="O2168" i="1"/>
  <c r="P2168" i="1" s="1"/>
  <c r="L2168" i="1"/>
  <c r="H2168" i="1"/>
  <c r="I2168" i="1" s="1"/>
  <c r="N2168" i="1" s="1"/>
  <c r="E2168" i="1"/>
  <c r="O2167" i="1"/>
  <c r="P2167" i="1" s="1"/>
  <c r="N2167" i="1"/>
  <c r="L2167" i="1"/>
  <c r="E2167" i="1"/>
  <c r="H2167" i="1" s="1"/>
  <c r="I2167" i="1" s="1"/>
  <c r="N2166" i="1"/>
  <c r="O2166" i="1" s="1"/>
  <c r="P2166" i="1" s="1"/>
  <c r="L2166" i="1"/>
  <c r="H2166" i="1"/>
  <c r="I2166" i="1" s="1"/>
  <c r="E2166" i="1"/>
  <c r="L2165" i="1"/>
  <c r="E2165" i="1"/>
  <c r="H2165" i="1" s="1"/>
  <c r="I2165" i="1" s="1"/>
  <c r="N2165" i="1" s="1"/>
  <c r="O2165" i="1" s="1"/>
  <c r="P2165" i="1" s="1"/>
  <c r="L2164" i="1"/>
  <c r="I2164" i="1"/>
  <c r="N2164" i="1" s="1"/>
  <c r="O2164" i="1" s="1"/>
  <c r="P2164" i="1" s="1"/>
  <c r="H2164" i="1"/>
  <c r="E2164" i="1"/>
  <c r="L2163" i="1"/>
  <c r="E2163" i="1"/>
  <c r="H2163" i="1" s="1"/>
  <c r="I2163" i="1" s="1"/>
  <c r="N2163" i="1" s="1"/>
  <c r="O2163" i="1" s="1"/>
  <c r="P2163" i="1" s="1"/>
  <c r="L2162" i="1"/>
  <c r="E2162" i="1"/>
  <c r="H2162" i="1" s="1"/>
  <c r="I2162" i="1" s="1"/>
  <c r="N2162" i="1" s="1"/>
  <c r="O2162" i="1" s="1"/>
  <c r="P2162" i="1" s="1"/>
  <c r="P2161" i="1"/>
  <c r="L2161" i="1"/>
  <c r="I2161" i="1"/>
  <c r="N2161" i="1" s="1"/>
  <c r="O2161" i="1" s="1"/>
  <c r="H2161" i="1"/>
  <c r="E2161" i="1"/>
  <c r="P2160" i="1"/>
  <c r="O2160" i="1"/>
  <c r="L2160" i="1"/>
  <c r="H2160" i="1"/>
  <c r="I2160" i="1" s="1"/>
  <c r="N2160" i="1" s="1"/>
  <c r="E2160" i="1"/>
  <c r="L2159" i="1"/>
  <c r="E2159" i="1"/>
  <c r="H2159" i="1" s="1"/>
  <c r="I2159" i="1" s="1"/>
  <c r="N2159" i="1" s="1"/>
  <c r="O2159" i="1" s="1"/>
  <c r="P2159" i="1" s="1"/>
  <c r="L2158" i="1"/>
  <c r="N2158" i="1" s="1"/>
  <c r="O2158" i="1" s="1"/>
  <c r="P2158" i="1" s="1"/>
  <c r="H2158" i="1"/>
  <c r="I2158" i="1" s="1"/>
  <c r="E2158" i="1"/>
  <c r="L2157" i="1"/>
  <c r="E2157" i="1"/>
  <c r="H2157" i="1" s="1"/>
  <c r="I2157" i="1" s="1"/>
  <c r="N2157" i="1" s="1"/>
  <c r="O2157" i="1" s="1"/>
  <c r="P2157" i="1" s="1"/>
  <c r="O2156" i="1"/>
  <c r="P2156" i="1" s="1"/>
  <c r="L2156" i="1"/>
  <c r="I2156" i="1"/>
  <c r="N2156" i="1" s="1"/>
  <c r="H2156" i="1"/>
  <c r="E2156" i="1"/>
  <c r="L2155" i="1"/>
  <c r="H2155" i="1"/>
  <c r="I2155" i="1" s="1"/>
  <c r="N2155" i="1" s="1"/>
  <c r="O2155" i="1" s="1"/>
  <c r="P2155" i="1" s="1"/>
  <c r="E2155" i="1"/>
  <c r="L2154" i="1"/>
  <c r="I2154" i="1"/>
  <c r="E2154" i="1"/>
  <c r="H2154" i="1" s="1"/>
  <c r="L2153" i="1"/>
  <c r="I2153" i="1"/>
  <c r="N2153" i="1" s="1"/>
  <c r="O2153" i="1" s="1"/>
  <c r="P2153" i="1" s="1"/>
  <c r="H2153" i="1"/>
  <c r="E2153" i="1"/>
  <c r="L2152" i="1"/>
  <c r="E2152" i="1"/>
  <c r="H2152" i="1" s="1"/>
  <c r="I2152" i="1" s="1"/>
  <c r="N2152" i="1" s="1"/>
  <c r="O2152" i="1" s="1"/>
  <c r="P2152" i="1" s="1"/>
  <c r="O2151" i="1"/>
  <c r="P2151" i="1" s="1"/>
  <c r="N2151" i="1"/>
  <c r="L2151" i="1"/>
  <c r="I2151" i="1"/>
  <c r="E2151" i="1"/>
  <c r="H2151" i="1" s="1"/>
  <c r="L2150" i="1"/>
  <c r="H2150" i="1"/>
  <c r="I2150" i="1" s="1"/>
  <c r="N2150" i="1" s="1"/>
  <c r="O2150" i="1" s="1"/>
  <c r="P2150" i="1" s="1"/>
  <c r="E2150" i="1"/>
  <c r="L2149" i="1"/>
  <c r="I2149" i="1"/>
  <c r="E2149" i="1"/>
  <c r="H2149" i="1" s="1"/>
  <c r="N2148" i="1"/>
  <c r="O2148" i="1" s="1"/>
  <c r="P2148" i="1" s="1"/>
  <c r="L2148" i="1"/>
  <c r="I2148" i="1"/>
  <c r="H2148" i="1"/>
  <c r="E2148" i="1"/>
  <c r="L2147" i="1"/>
  <c r="H2147" i="1"/>
  <c r="I2147" i="1" s="1"/>
  <c r="N2147" i="1" s="1"/>
  <c r="O2147" i="1" s="1"/>
  <c r="P2147" i="1" s="1"/>
  <c r="E2147" i="1"/>
  <c r="L2146" i="1"/>
  <c r="I2146" i="1"/>
  <c r="E2146" i="1"/>
  <c r="H2146" i="1" s="1"/>
  <c r="L2145" i="1"/>
  <c r="H2145" i="1"/>
  <c r="I2145" i="1" s="1"/>
  <c r="N2145" i="1" s="1"/>
  <c r="O2145" i="1" s="1"/>
  <c r="P2145" i="1" s="1"/>
  <c r="E2145" i="1"/>
  <c r="L2144" i="1"/>
  <c r="E2144" i="1"/>
  <c r="H2144" i="1" s="1"/>
  <c r="I2144" i="1" s="1"/>
  <c r="N2144" i="1" s="1"/>
  <c r="O2144" i="1" s="1"/>
  <c r="P2144" i="1" s="1"/>
  <c r="N2143" i="1"/>
  <c r="O2143" i="1" s="1"/>
  <c r="P2143" i="1" s="1"/>
  <c r="L2143" i="1"/>
  <c r="I2143" i="1"/>
  <c r="E2143" i="1"/>
  <c r="H2143" i="1" s="1"/>
  <c r="L2142" i="1"/>
  <c r="H2142" i="1"/>
  <c r="I2142" i="1" s="1"/>
  <c r="E2142" i="1"/>
  <c r="L2141" i="1"/>
  <c r="E2141" i="1"/>
  <c r="H2141" i="1" s="1"/>
  <c r="I2141" i="1" s="1"/>
  <c r="N2141" i="1" s="1"/>
  <c r="O2141" i="1" s="1"/>
  <c r="P2141" i="1" s="1"/>
  <c r="O2140" i="1"/>
  <c r="P2140" i="1" s="1"/>
  <c r="N2140" i="1"/>
  <c r="L2140" i="1"/>
  <c r="I2140" i="1"/>
  <c r="H2140" i="1"/>
  <c r="E2140" i="1"/>
  <c r="L2139" i="1"/>
  <c r="E2139" i="1"/>
  <c r="H2139" i="1" s="1"/>
  <c r="I2139" i="1" s="1"/>
  <c r="N2139" i="1" s="1"/>
  <c r="O2139" i="1" s="1"/>
  <c r="P2139" i="1" s="1"/>
  <c r="L2138" i="1"/>
  <c r="I2138" i="1"/>
  <c r="E2138" i="1"/>
  <c r="H2138" i="1" s="1"/>
  <c r="N2137" i="1"/>
  <c r="O2137" i="1" s="1"/>
  <c r="P2137" i="1" s="1"/>
  <c r="L2137" i="1"/>
  <c r="I2137" i="1"/>
  <c r="H2137" i="1"/>
  <c r="E2137" i="1"/>
  <c r="L2136" i="1"/>
  <c r="H2136" i="1"/>
  <c r="I2136" i="1" s="1"/>
  <c r="N2136" i="1" s="1"/>
  <c r="O2136" i="1" s="1"/>
  <c r="P2136" i="1" s="1"/>
  <c r="E2136" i="1"/>
  <c r="O2135" i="1"/>
  <c r="P2135" i="1" s="1"/>
  <c r="N2135" i="1"/>
  <c r="L2135" i="1"/>
  <c r="I2135" i="1"/>
  <c r="E2135" i="1"/>
  <c r="H2135" i="1" s="1"/>
  <c r="N2134" i="1"/>
  <c r="O2134" i="1" s="1"/>
  <c r="P2134" i="1" s="1"/>
  <c r="L2134" i="1"/>
  <c r="H2134" i="1"/>
  <c r="I2134" i="1" s="1"/>
  <c r="E2134" i="1"/>
  <c r="L2133" i="1"/>
  <c r="E2133" i="1"/>
  <c r="H2133" i="1" s="1"/>
  <c r="I2133" i="1" s="1"/>
  <c r="N2133" i="1" s="1"/>
  <c r="O2133" i="1" s="1"/>
  <c r="P2133" i="1" s="1"/>
  <c r="N2132" i="1"/>
  <c r="O2132" i="1" s="1"/>
  <c r="P2132" i="1" s="1"/>
  <c r="L2132" i="1"/>
  <c r="I2132" i="1"/>
  <c r="H2132" i="1"/>
  <c r="E2132" i="1"/>
  <c r="N2131" i="1"/>
  <c r="O2131" i="1" s="1"/>
  <c r="P2131" i="1" s="1"/>
  <c r="L2131" i="1"/>
  <c r="H2131" i="1"/>
  <c r="I2131" i="1" s="1"/>
  <c r="E2131" i="1"/>
  <c r="L2130" i="1"/>
  <c r="E2130" i="1"/>
  <c r="H2130" i="1" s="1"/>
  <c r="I2130" i="1" s="1"/>
  <c r="N2130" i="1" s="1"/>
  <c r="O2130" i="1" s="1"/>
  <c r="P2130" i="1" s="1"/>
  <c r="P2129" i="1"/>
  <c r="N2129" i="1"/>
  <c r="O2129" i="1" s="1"/>
  <c r="L2129" i="1"/>
  <c r="I2129" i="1"/>
  <c r="H2129" i="1"/>
  <c r="E2129" i="1"/>
  <c r="L2128" i="1"/>
  <c r="H2128" i="1"/>
  <c r="I2128" i="1" s="1"/>
  <c r="N2128" i="1" s="1"/>
  <c r="O2128" i="1" s="1"/>
  <c r="P2128" i="1" s="1"/>
  <c r="E2128" i="1"/>
  <c r="L2127" i="1"/>
  <c r="I2127" i="1"/>
  <c r="N2127" i="1" s="1"/>
  <c r="O2127" i="1" s="1"/>
  <c r="P2127" i="1" s="1"/>
  <c r="E2127" i="1"/>
  <c r="H2127" i="1" s="1"/>
  <c r="P2126" i="1"/>
  <c r="L2126" i="1"/>
  <c r="H2126" i="1"/>
  <c r="I2126" i="1" s="1"/>
  <c r="N2126" i="1" s="1"/>
  <c r="O2126" i="1" s="1"/>
  <c r="E2126" i="1"/>
  <c r="L2125" i="1"/>
  <c r="E2125" i="1"/>
  <c r="H2125" i="1" s="1"/>
  <c r="I2125" i="1" s="1"/>
  <c r="N2125" i="1" s="1"/>
  <c r="O2125" i="1" s="1"/>
  <c r="P2125" i="1" s="1"/>
  <c r="L2124" i="1"/>
  <c r="N2124" i="1" s="1"/>
  <c r="O2124" i="1" s="1"/>
  <c r="P2124" i="1" s="1"/>
  <c r="I2124" i="1"/>
  <c r="H2124" i="1"/>
  <c r="E2124" i="1"/>
  <c r="L2123" i="1"/>
  <c r="H2123" i="1"/>
  <c r="I2123" i="1" s="1"/>
  <c r="N2123" i="1" s="1"/>
  <c r="O2123" i="1" s="1"/>
  <c r="P2123" i="1" s="1"/>
  <c r="E2123" i="1"/>
  <c r="L2122" i="1"/>
  <c r="H2122" i="1"/>
  <c r="I2122" i="1" s="1"/>
  <c r="N2122" i="1" s="1"/>
  <c r="O2122" i="1" s="1"/>
  <c r="P2122" i="1" s="1"/>
  <c r="E2122" i="1"/>
  <c r="P2121" i="1"/>
  <c r="L2121" i="1"/>
  <c r="E2121" i="1"/>
  <c r="H2121" i="1" s="1"/>
  <c r="I2121" i="1" s="1"/>
  <c r="N2121" i="1" s="1"/>
  <c r="O2121" i="1" s="1"/>
  <c r="O2120" i="1"/>
  <c r="P2120" i="1" s="1"/>
  <c r="N2120" i="1"/>
  <c r="L2120" i="1"/>
  <c r="H2120" i="1"/>
  <c r="I2120" i="1" s="1"/>
  <c r="E2120" i="1"/>
  <c r="L2119" i="1"/>
  <c r="N2119" i="1" s="1"/>
  <c r="O2119" i="1" s="1"/>
  <c r="P2119" i="1" s="1"/>
  <c r="I2119" i="1"/>
  <c r="E2119" i="1"/>
  <c r="H2119" i="1" s="1"/>
  <c r="L2118" i="1"/>
  <c r="H2118" i="1"/>
  <c r="I2118" i="1" s="1"/>
  <c r="E2118" i="1"/>
  <c r="L2117" i="1"/>
  <c r="E2117" i="1"/>
  <c r="H2117" i="1" s="1"/>
  <c r="I2117" i="1" s="1"/>
  <c r="N2117" i="1" s="1"/>
  <c r="O2117" i="1" s="1"/>
  <c r="P2117" i="1" s="1"/>
  <c r="L2116" i="1"/>
  <c r="E2116" i="1"/>
  <c r="H2116" i="1" s="1"/>
  <c r="I2116" i="1" s="1"/>
  <c r="N2116" i="1" s="1"/>
  <c r="O2116" i="1" s="1"/>
  <c r="P2116" i="1" s="1"/>
  <c r="L2115" i="1"/>
  <c r="E2115" i="1"/>
  <c r="H2115" i="1" s="1"/>
  <c r="I2115" i="1" s="1"/>
  <c r="N2115" i="1" s="1"/>
  <c r="O2115" i="1" s="1"/>
  <c r="P2115" i="1" s="1"/>
  <c r="P2114" i="1"/>
  <c r="N2114" i="1"/>
  <c r="O2114" i="1" s="1"/>
  <c r="L2114" i="1"/>
  <c r="I2114" i="1"/>
  <c r="H2114" i="1"/>
  <c r="E2114" i="1"/>
  <c r="L2113" i="1"/>
  <c r="N2113" i="1" s="1"/>
  <c r="O2113" i="1" s="1"/>
  <c r="P2113" i="1" s="1"/>
  <c r="I2113" i="1"/>
  <c r="H2113" i="1"/>
  <c r="E2113" i="1"/>
  <c r="N2112" i="1"/>
  <c r="O2112" i="1" s="1"/>
  <c r="P2112" i="1" s="1"/>
  <c r="L2112" i="1"/>
  <c r="I2112" i="1"/>
  <c r="H2112" i="1"/>
  <c r="E2112" i="1"/>
  <c r="L2111" i="1"/>
  <c r="H2111" i="1"/>
  <c r="I2111" i="1" s="1"/>
  <c r="E2111" i="1"/>
  <c r="L2110" i="1"/>
  <c r="E2110" i="1"/>
  <c r="H2110" i="1" s="1"/>
  <c r="I2110" i="1" s="1"/>
  <c r="N2110" i="1" s="1"/>
  <c r="O2110" i="1" s="1"/>
  <c r="P2110" i="1" s="1"/>
  <c r="L2109" i="1"/>
  <c r="E2109" i="1"/>
  <c r="H2109" i="1" s="1"/>
  <c r="I2109" i="1" s="1"/>
  <c r="N2109" i="1" s="1"/>
  <c r="O2109" i="1" s="1"/>
  <c r="P2109" i="1" s="1"/>
  <c r="L2108" i="1"/>
  <c r="E2108" i="1"/>
  <c r="H2108" i="1" s="1"/>
  <c r="I2108" i="1" s="1"/>
  <c r="N2108" i="1" s="1"/>
  <c r="O2108" i="1" s="1"/>
  <c r="P2108" i="1" s="1"/>
  <c r="O2107" i="1"/>
  <c r="P2107" i="1" s="1"/>
  <c r="L2107" i="1"/>
  <c r="E2107" i="1"/>
  <c r="H2107" i="1" s="1"/>
  <c r="I2107" i="1" s="1"/>
  <c r="N2107" i="1" s="1"/>
  <c r="P2106" i="1"/>
  <c r="N2106" i="1"/>
  <c r="O2106" i="1" s="1"/>
  <c r="L2106" i="1"/>
  <c r="I2106" i="1"/>
  <c r="H2106" i="1"/>
  <c r="E2106" i="1"/>
  <c r="N2105" i="1"/>
  <c r="O2105" i="1" s="1"/>
  <c r="P2105" i="1" s="1"/>
  <c r="L2105" i="1"/>
  <c r="I2105" i="1"/>
  <c r="H2105" i="1"/>
  <c r="E2105" i="1"/>
  <c r="L2104" i="1"/>
  <c r="N2104" i="1" s="1"/>
  <c r="O2104" i="1" s="1"/>
  <c r="P2104" i="1" s="1"/>
  <c r="I2104" i="1"/>
  <c r="H2104" i="1"/>
  <c r="E2104" i="1"/>
  <c r="L2103" i="1"/>
  <c r="I2103" i="1"/>
  <c r="H2103" i="1"/>
  <c r="E2103" i="1"/>
  <c r="L2102" i="1"/>
  <c r="H2102" i="1"/>
  <c r="I2102" i="1" s="1"/>
  <c r="N2102" i="1" s="1"/>
  <c r="O2102" i="1" s="1"/>
  <c r="P2102" i="1" s="1"/>
  <c r="E2102" i="1"/>
  <c r="L2101" i="1"/>
  <c r="H2101" i="1"/>
  <c r="I2101" i="1" s="1"/>
  <c r="N2101" i="1" s="1"/>
  <c r="O2101" i="1" s="1"/>
  <c r="P2101" i="1" s="1"/>
  <c r="E2101" i="1"/>
  <c r="P2100" i="1"/>
  <c r="L2100" i="1"/>
  <c r="E2100" i="1"/>
  <c r="H2100" i="1" s="1"/>
  <c r="I2100" i="1" s="1"/>
  <c r="N2100" i="1" s="1"/>
  <c r="O2100" i="1" s="1"/>
  <c r="L2099" i="1"/>
  <c r="E2099" i="1"/>
  <c r="H2099" i="1" s="1"/>
  <c r="I2099" i="1" s="1"/>
  <c r="N2099" i="1" s="1"/>
  <c r="O2099" i="1" s="1"/>
  <c r="P2099" i="1" s="1"/>
  <c r="N2098" i="1"/>
  <c r="O2098" i="1" s="1"/>
  <c r="P2098" i="1" s="1"/>
  <c r="L2098" i="1"/>
  <c r="I2098" i="1"/>
  <c r="H2098" i="1"/>
  <c r="E2098" i="1"/>
  <c r="L2097" i="1"/>
  <c r="N2097" i="1" s="1"/>
  <c r="O2097" i="1" s="1"/>
  <c r="P2097" i="1" s="1"/>
  <c r="I2097" i="1"/>
  <c r="H2097" i="1"/>
  <c r="E2097" i="1"/>
  <c r="L2096" i="1"/>
  <c r="I2096" i="1"/>
  <c r="N2096" i="1" s="1"/>
  <c r="O2096" i="1" s="1"/>
  <c r="P2096" i="1" s="1"/>
  <c r="H2096" i="1"/>
  <c r="E2096" i="1"/>
  <c r="L2095" i="1"/>
  <c r="H2095" i="1"/>
  <c r="I2095" i="1" s="1"/>
  <c r="E2095" i="1"/>
  <c r="L2094" i="1"/>
  <c r="E2094" i="1"/>
  <c r="H2094" i="1" s="1"/>
  <c r="I2094" i="1" s="1"/>
  <c r="N2094" i="1" s="1"/>
  <c r="O2094" i="1" s="1"/>
  <c r="P2094" i="1" s="1"/>
  <c r="L2093" i="1"/>
  <c r="E2093" i="1"/>
  <c r="H2093" i="1" s="1"/>
  <c r="I2093" i="1" s="1"/>
  <c r="N2093" i="1" s="1"/>
  <c r="O2093" i="1" s="1"/>
  <c r="P2093" i="1" s="1"/>
  <c r="L2092" i="1"/>
  <c r="E2092" i="1"/>
  <c r="H2092" i="1" s="1"/>
  <c r="I2092" i="1" s="1"/>
  <c r="N2092" i="1" s="1"/>
  <c r="O2092" i="1" s="1"/>
  <c r="P2092" i="1" s="1"/>
  <c r="O2091" i="1"/>
  <c r="P2091" i="1" s="1"/>
  <c r="L2091" i="1"/>
  <c r="E2091" i="1"/>
  <c r="H2091" i="1" s="1"/>
  <c r="I2091" i="1" s="1"/>
  <c r="N2091" i="1" s="1"/>
  <c r="P2090" i="1"/>
  <c r="N2090" i="1"/>
  <c r="O2090" i="1" s="1"/>
  <c r="L2090" i="1"/>
  <c r="I2090" i="1"/>
  <c r="H2090" i="1"/>
  <c r="E2090" i="1"/>
  <c r="N2089" i="1"/>
  <c r="O2089" i="1" s="1"/>
  <c r="P2089" i="1" s="1"/>
  <c r="L2089" i="1"/>
  <c r="I2089" i="1"/>
  <c r="H2089" i="1"/>
  <c r="E2089" i="1"/>
  <c r="L2088" i="1"/>
  <c r="N2088" i="1" s="1"/>
  <c r="O2088" i="1" s="1"/>
  <c r="P2088" i="1" s="1"/>
  <c r="I2088" i="1"/>
  <c r="H2088" i="1"/>
  <c r="E2088" i="1"/>
  <c r="L2087" i="1"/>
  <c r="I2087" i="1"/>
  <c r="N2087" i="1" s="1"/>
  <c r="O2087" i="1" s="1"/>
  <c r="P2087" i="1" s="1"/>
  <c r="H2087" i="1"/>
  <c r="E2087" i="1"/>
  <c r="L2086" i="1"/>
  <c r="H2086" i="1"/>
  <c r="I2086" i="1" s="1"/>
  <c r="N2086" i="1" s="1"/>
  <c r="O2086" i="1" s="1"/>
  <c r="P2086" i="1" s="1"/>
  <c r="E2086" i="1"/>
  <c r="L2085" i="1"/>
  <c r="H2085" i="1"/>
  <c r="I2085" i="1" s="1"/>
  <c r="N2085" i="1" s="1"/>
  <c r="O2085" i="1" s="1"/>
  <c r="P2085" i="1" s="1"/>
  <c r="E2085" i="1"/>
  <c r="P2084" i="1"/>
  <c r="L2084" i="1"/>
  <c r="E2084" i="1"/>
  <c r="H2084" i="1" s="1"/>
  <c r="I2084" i="1" s="1"/>
  <c r="N2084" i="1" s="1"/>
  <c r="O2084" i="1" s="1"/>
  <c r="L2083" i="1"/>
  <c r="E2083" i="1"/>
  <c r="H2083" i="1" s="1"/>
  <c r="I2083" i="1" s="1"/>
  <c r="N2083" i="1" s="1"/>
  <c r="O2083" i="1" s="1"/>
  <c r="P2083" i="1" s="1"/>
  <c r="N2082" i="1"/>
  <c r="O2082" i="1" s="1"/>
  <c r="P2082" i="1" s="1"/>
  <c r="L2082" i="1"/>
  <c r="I2082" i="1"/>
  <c r="H2082" i="1"/>
  <c r="E2082" i="1"/>
  <c r="L2081" i="1"/>
  <c r="N2081" i="1" s="1"/>
  <c r="O2081" i="1" s="1"/>
  <c r="P2081" i="1" s="1"/>
  <c r="I2081" i="1"/>
  <c r="H2081" i="1"/>
  <c r="E2081" i="1"/>
  <c r="L2080" i="1"/>
  <c r="I2080" i="1"/>
  <c r="N2080" i="1" s="1"/>
  <c r="O2080" i="1" s="1"/>
  <c r="P2080" i="1" s="1"/>
  <c r="H2080" i="1"/>
  <c r="E2080" i="1"/>
  <c r="L2079" i="1"/>
  <c r="H2079" i="1"/>
  <c r="I2079" i="1" s="1"/>
  <c r="E2079" i="1"/>
  <c r="L2078" i="1"/>
  <c r="E2078" i="1"/>
  <c r="H2078" i="1" s="1"/>
  <c r="I2078" i="1" s="1"/>
  <c r="N2078" i="1" s="1"/>
  <c r="O2078" i="1" s="1"/>
  <c r="P2078" i="1" s="1"/>
  <c r="L2077" i="1"/>
  <c r="E2077" i="1"/>
  <c r="H2077" i="1" s="1"/>
  <c r="I2077" i="1" s="1"/>
  <c r="N2077" i="1" s="1"/>
  <c r="O2077" i="1" s="1"/>
  <c r="P2077" i="1" s="1"/>
  <c r="L2076" i="1"/>
  <c r="E2076" i="1"/>
  <c r="H2076" i="1" s="1"/>
  <c r="I2076" i="1" s="1"/>
  <c r="N2076" i="1" s="1"/>
  <c r="O2076" i="1" s="1"/>
  <c r="P2076" i="1" s="1"/>
  <c r="O2075" i="1"/>
  <c r="P2075" i="1" s="1"/>
  <c r="L2075" i="1"/>
  <c r="E2075" i="1"/>
  <c r="H2075" i="1" s="1"/>
  <c r="I2075" i="1" s="1"/>
  <c r="N2075" i="1" s="1"/>
  <c r="N2074" i="1"/>
  <c r="O2074" i="1" s="1"/>
  <c r="P2074" i="1" s="1"/>
  <c r="L2074" i="1"/>
  <c r="I2074" i="1"/>
  <c r="H2074" i="1"/>
  <c r="E2074" i="1"/>
  <c r="N2073" i="1"/>
  <c r="O2073" i="1" s="1"/>
  <c r="P2073" i="1" s="1"/>
  <c r="L2073" i="1"/>
  <c r="I2073" i="1"/>
  <c r="H2073" i="1"/>
  <c r="E2073" i="1"/>
  <c r="L2072" i="1"/>
  <c r="N2072" i="1" s="1"/>
  <c r="O2072" i="1" s="1"/>
  <c r="P2072" i="1" s="1"/>
  <c r="I2072" i="1"/>
  <c r="H2072" i="1"/>
  <c r="E2072" i="1"/>
  <c r="L2071" i="1"/>
  <c r="I2071" i="1"/>
  <c r="N2071" i="1" s="1"/>
  <c r="O2071" i="1" s="1"/>
  <c r="P2071" i="1" s="1"/>
  <c r="H2071" i="1"/>
  <c r="E2071" i="1"/>
  <c r="L2070" i="1"/>
  <c r="H2070" i="1"/>
  <c r="I2070" i="1" s="1"/>
  <c r="N2070" i="1" s="1"/>
  <c r="O2070" i="1" s="1"/>
  <c r="P2070" i="1" s="1"/>
  <c r="E2070" i="1"/>
  <c r="L2069" i="1"/>
  <c r="H2069" i="1"/>
  <c r="I2069" i="1" s="1"/>
  <c r="N2069" i="1" s="1"/>
  <c r="O2069" i="1" s="1"/>
  <c r="P2069" i="1" s="1"/>
  <c r="E2069" i="1"/>
  <c r="P2068" i="1"/>
  <c r="L2068" i="1"/>
  <c r="E2068" i="1"/>
  <c r="H2068" i="1" s="1"/>
  <c r="I2068" i="1" s="1"/>
  <c r="N2068" i="1" s="1"/>
  <c r="O2068" i="1" s="1"/>
  <c r="P2067" i="1"/>
  <c r="L2067" i="1"/>
  <c r="E2067" i="1"/>
  <c r="H2067" i="1" s="1"/>
  <c r="I2067" i="1" s="1"/>
  <c r="N2067" i="1" s="1"/>
  <c r="O2067" i="1" s="1"/>
  <c r="N2066" i="1"/>
  <c r="O2066" i="1" s="1"/>
  <c r="P2066" i="1" s="1"/>
  <c r="L2066" i="1"/>
  <c r="I2066" i="1"/>
  <c r="H2066" i="1"/>
  <c r="E2066" i="1"/>
  <c r="L2065" i="1"/>
  <c r="N2065" i="1" s="1"/>
  <c r="O2065" i="1" s="1"/>
  <c r="P2065" i="1" s="1"/>
  <c r="I2065" i="1"/>
  <c r="H2065" i="1"/>
  <c r="E2065" i="1"/>
  <c r="L2064" i="1"/>
  <c r="I2064" i="1"/>
  <c r="N2064" i="1" s="1"/>
  <c r="O2064" i="1" s="1"/>
  <c r="P2064" i="1" s="1"/>
  <c r="H2064" i="1"/>
  <c r="E2064" i="1"/>
  <c r="L2063" i="1"/>
  <c r="H2063" i="1"/>
  <c r="I2063" i="1" s="1"/>
  <c r="E2063" i="1"/>
  <c r="L2062" i="1"/>
  <c r="E2062" i="1"/>
  <c r="H2062" i="1" s="1"/>
  <c r="I2062" i="1" s="1"/>
  <c r="N2062" i="1" s="1"/>
  <c r="O2062" i="1" s="1"/>
  <c r="P2062" i="1" s="1"/>
  <c r="L2061" i="1"/>
  <c r="E2061" i="1"/>
  <c r="H2061" i="1" s="1"/>
  <c r="I2061" i="1" s="1"/>
  <c r="N2061" i="1" s="1"/>
  <c r="O2061" i="1" s="1"/>
  <c r="P2061" i="1" s="1"/>
  <c r="L2060" i="1"/>
  <c r="E2060" i="1"/>
  <c r="H2060" i="1" s="1"/>
  <c r="I2060" i="1" s="1"/>
  <c r="N2060" i="1" s="1"/>
  <c r="O2060" i="1" s="1"/>
  <c r="P2060" i="1" s="1"/>
  <c r="O2059" i="1"/>
  <c r="P2059" i="1" s="1"/>
  <c r="L2059" i="1"/>
  <c r="E2059" i="1"/>
  <c r="H2059" i="1" s="1"/>
  <c r="I2059" i="1" s="1"/>
  <c r="N2059" i="1" s="1"/>
  <c r="P2058" i="1"/>
  <c r="N2058" i="1"/>
  <c r="O2058" i="1" s="1"/>
  <c r="L2058" i="1"/>
  <c r="I2058" i="1"/>
  <c r="H2058" i="1"/>
  <c r="E2058" i="1"/>
  <c r="N2057" i="1"/>
  <c r="O2057" i="1" s="1"/>
  <c r="P2057" i="1" s="1"/>
  <c r="L2057" i="1"/>
  <c r="I2057" i="1"/>
  <c r="H2057" i="1"/>
  <c r="E2057" i="1"/>
  <c r="L2056" i="1"/>
  <c r="N2056" i="1" s="1"/>
  <c r="O2056" i="1" s="1"/>
  <c r="P2056" i="1" s="1"/>
  <c r="I2056" i="1"/>
  <c r="H2056" i="1"/>
  <c r="E2056" i="1"/>
  <c r="L2055" i="1"/>
  <c r="I2055" i="1"/>
  <c r="N2055" i="1" s="1"/>
  <c r="O2055" i="1" s="1"/>
  <c r="P2055" i="1" s="1"/>
  <c r="H2055" i="1"/>
  <c r="E2055" i="1"/>
  <c r="L2054" i="1"/>
  <c r="H2054" i="1"/>
  <c r="I2054" i="1" s="1"/>
  <c r="N2054" i="1" s="1"/>
  <c r="O2054" i="1" s="1"/>
  <c r="P2054" i="1" s="1"/>
  <c r="E2054" i="1"/>
  <c r="L2053" i="1"/>
  <c r="H2053" i="1"/>
  <c r="I2053" i="1" s="1"/>
  <c r="N2053" i="1" s="1"/>
  <c r="O2053" i="1" s="1"/>
  <c r="P2053" i="1" s="1"/>
  <c r="E2053" i="1"/>
  <c r="L2052" i="1"/>
  <c r="E2052" i="1"/>
  <c r="H2052" i="1" s="1"/>
  <c r="I2052" i="1" s="1"/>
  <c r="N2052" i="1" s="1"/>
  <c r="O2052" i="1" s="1"/>
  <c r="P2052" i="1" s="1"/>
  <c r="L2051" i="1"/>
  <c r="E2051" i="1"/>
  <c r="H2051" i="1" s="1"/>
  <c r="I2051" i="1" s="1"/>
  <c r="N2051" i="1" s="1"/>
  <c r="O2051" i="1" s="1"/>
  <c r="P2051" i="1" s="1"/>
  <c r="N2050" i="1"/>
  <c r="O2050" i="1" s="1"/>
  <c r="P2050" i="1" s="1"/>
  <c r="L2050" i="1"/>
  <c r="I2050" i="1"/>
  <c r="H2050" i="1"/>
  <c r="E2050" i="1"/>
  <c r="L2049" i="1"/>
  <c r="N2049" i="1" s="1"/>
  <c r="O2049" i="1" s="1"/>
  <c r="P2049" i="1" s="1"/>
  <c r="I2049" i="1"/>
  <c r="H2049" i="1"/>
  <c r="E2049" i="1"/>
  <c r="L2048" i="1"/>
  <c r="I2048" i="1"/>
  <c r="N2048" i="1" s="1"/>
  <c r="O2048" i="1" s="1"/>
  <c r="P2048" i="1" s="1"/>
  <c r="H2048" i="1"/>
  <c r="E2048" i="1"/>
  <c r="L2047" i="1"/>
  <c r="H2047" i="1"/>
  <c r="I2047" i="1" s="1"/>
  <c r="N2047" i="1" s="1"/>
  <c r="O2047" i="1" s="1"/>
  <c r="P2047" i="1" s="1"/>
  <c r="E2047" i="1"/>
  <c r="L2046" i="1"/>
  <c r="E2046" i="1"/>
  <c r="H2046" i="1" s="1"/>
  <c r="I2046" i="1" s="1"/>
  <c r="N2046" i="1" s="1"/>
  <c r="O2046" i="1" s="1"/>
  <c r="P2046" i="1" s="1"/>
  <c r="L2045" i="1"/>
  <c r="E2045" i="1"/>
  <c r="H2045" i="1" s="1"/>
  <c r="I2045" i="1" s="1"/>
  <c r="N2045" i="1" s="1"/>
  <c r="O2045" i="1" s="1"/>
  <c r="P2045" i="1" s="1"/>
  <c r="L2044" i="1"/>
  <c r="E2044" i="1"/>
  <c r="H2044" i="1" s="1"/>
  <c r="I2044" i="1" s="1"/>
  <c r="N2044" i="1" s="1"/>
  <c r="O2044" i="1" s="1"/>
  <c r="P2044" i="1" s="1"/>
  <c r="L2043" i="1"/>
  <c r="E2043" i="1"/>
  <c r="H2043" i="1" s="1"/>
  <c r="I2043" i="1" s="1"/>
  <c r="N2043" i="1" s="1"/>
  <c r="O2043" i="1" s="1"/>
  <c r="P2043" i="1" s="1"/>
  <c r="P2042" i="1"/>
  <c r="N2042" i="1"/>
  <c r="O2042" i="1" s="1"/>
  <c r="L2042" i="1"/>
  <c r="I2042" i="1"/>
  <c r="H2042" i="1"/>
  <c r="E2042" i="1"/>
  <c r="N2041" i="1"/>
  <c r="O2041" i="1" s="1"/>
  <c r="P2041" i="1" s="1"/>
  <c r="L2041" i="1"/>
  <c r="I2041" i="1"/>
  <c r="H2041" i="1"/>
  <c r="E2041" i="1"/>
  <c r="L2040" i="1"/>
  <c r="I2040" i="1"/>
  <c r="H2040" i="1"/>
  <c r="E2040" i="1"/>
  <c r="L2039" i="1"/>
  <c r="E2039" i="1"/>
  <c r="H2039" i="1" s="1"/>
  <c r="I2039" i="1" s="1"/>
  <c r="N2039" i="1" s="1"/>
  <c r="O2039" i="1" s="1"/>
  <c r="P2039" i="1" s="1"/>
  <c r="L2038" i="1"/>
  <c r="H2038" i="1"/>
  <c r="I2038" i="1" s="1"/>
  <c r="N2038" i="1" s="1"/>
  <c r="O2038" i="1" s="1"/>
  <c r="P2038" i="1" s="1"/>
  <c r="E2038" i="1"/>
  <c r="L2037" i="1"/>
  <c r="E2037" i="1"/>
  <c r="H2037" i="1" s="1"/>
  <c r="I2037" i="1" s="1"/>
  <c r="N2037" i="1" s="1"/>
  <c r="O2037" i="1" s="1"/>
  <c r="P2037" i="1" s="1"/>
  <c r="P2036" i="1"/>
  <c r="O2036" i="1"/>
  <c r="L2036" i="1"/>
  <c r="E2036" i="1"/>
  <c r="H2036" i="1" s="1"/>
  <c r="I2036" i="1" s="1"/>
  <c r="N2036" i="1" s="1"/>
  <c r="L2035" i="1"/>
  <c r="E2035" i="1"/>
  <c r="H2035" i="1" s="1"/>
  <c r="I2035" i="1" s="1"/>
  <c r="N2035" i="1" s="1"/>
  <c r="O2035" i="1" s="1"/>
  <c r="P2035" i="1" s="1"/>
  <c r="O2034" i="1"/>
  <c r="P2034" i="1" s="1"/>
  <c r="L2034" i="1"/>
  <c r="N2034" i="1" s="1"/>
  <c r="I2034" i="1"/>
  <c r="H2034" i="1"/>
  <c r="E2034" i="1"/>
  <c r="L2033" i="1"/>
  <c r="N2033" i="1" s="1"/>
  <c r="O2033" i="1" s="1"/>
  <c r="P2033" i="1" s="1"/>
  <c r="I2033" i="1"/>
  <c r="H2033" i="1"/>
  <c r="E2033" i="1"/>
  <c r="L2032" i="1"/>
  <c r="I2032" i="1"/>
  <c r="N2032" i="1" s="1"/>
  <c r="O2032" i="1" s="1"/>
  <c r="P2032" i="1" s="1"/>
  <c r="H2032" i="1"/>
  <c r="E2032" i="1"/>
  <c r="L2031" i="1"/>
  <c r="H2031" i="1"/>
  <c r="I2031" i="1" s="1"/>
  <c r="N2031" i="1" s="1"/>
  <c r="O2031" i="1" s="1"/>
  <c r="P2031" i="1" s="1"/>
  <c r="E2031" i="1"/>
  <c r="L2030" i="1"/>
  <c r="I2030" i="1"/>
  <c r="N2030" i="1" s="1"/>
  <c r="O2030" i="1" s="1"/>
  <c r="P2030" i="1" s="1"/>
  <c r="E2030" i="1"/>
  <c r="H2030" i="1" s="1"/>
  <c r="L2029" i="1"/>
  <c r="H2029" i="1"/>
  <c r="I2029" i="1" s="1"/>
  <c r="N2029" i="1" s="1"/>
  <c r="O2029" i="1" s="1"/>
  <c r="P2029" i="1" s="1"/>
  <c r="E2029" i="1"/>
  <c r="O2028" i="1"/>
  <c r="P2028" i="1" s="1"/>
  <c r="L2028" i="1"/>
  <c r="E2028" i="1"/>
  <c r="H2028" i="1" s="1"/>
  <c r="I2028" i="1" s="1"/>
  <c r="N2028" i="1" s="1"/>
  <c r="N2027" i="1"/>
  <c r="O2027" i="1" s="1"/>
  <c r="P2027" i="1" s="1"/>
  <c r="L2027" i="1"/>
  <c r="E2027" i="1"/>
  <c r="H2027" i="1" s="1"/>
  <c r="I2027" i="1" s="1"/>
  <c r="N2026" i="1"/>
  <c r="O2026" i="1" s="1"/>
  <c r="P2026" i="1" s="1"/>
  <c r="L2026" i="1"/>
  <c r="I2026" i="1"/>
  <c r="H2026" i="1"/>
  <c r="E2026" i="1"/>
  <c r="L2025" i="1"/>
  <c r="I2025" i="1"/>
  <c r="N2025" i="1" s="1"/>
  <c r="O2025" i="1" s="1"/>
  <c r="P2025" i="1" s="1"/>
  <c r="H2025" i="1"/>
  <c r="E2025" i="1"/>
  <c r="L2024" i="1"/>
  <c r="H2024" i="1"/>
  <c r="I2024" i="1" s="1"/>
  <c r="N2024" i="1" s="1"/>
  <c r="O2024" i="1" s="1"/>
  <c r="P2024" i="1" s="1"/>
  <c r="E2024" i="1"/>
  <c r="L2023" i="1"/>
  <c r="E2023" i="1"/>
  <c r="H2023" i="1" s="1"/>
  <c r="I2023" i="1" s="1"/>
  <c r="N2023" i="1" s="1"/>
  <c r="O2023" i="1" s="1"/>
  <c r="P2023" i="1" s="1"/>
  <c r="L2022" i="1"/>
  <c r="E2022" i="1"/>
  <c r="H2022" i="1" s="1"/>
  <c r="I2022" i="1" s="1"/>
  <c r="N2022" i="1" s="1"/>
  <c r="O2022" i="1" s="1"/>
  <c r="P2022" i="1" s="1"/>
  <c r="L2021" i="1"/>
  <c r="E2021" i="1"/>
  <c r="H2021" i="1" s="1"/>
  <c r="I2021" i="1" s="1"/>
  <c r="N2021" i="1" s="1"/>
  <c r="O2021" i="1" s="1"/>
  <c r="P2021" i="1" s="1"/>
  <c r="P2020" i="1"/>
  <c r="N2020" i="1"/>
  <c r="O2020" i="1" s="1"/>
  <c r="L2020" i="1"/>
  <c r="E2020" i="1"/>
  <c r="H2020" i="1" s="1"/>
  <c r="I2020" i="1" s="1"/>
  <c r="L2019" i="1"/>
  <c r="E2019" i="1"/>
  <c r="H2019" i="1" s="1"/>
  <c r="I2019" i="1" s="1"/>
  <c r="N2019" i="1" s="1"/>
  <c r="O2019" i="1" s="1"/>
  <c r="P2019" i="1" s="1"/>
  <c r="L2018" i="1"/>
  <c r="N2018" i="1" s="1"/>
  <c r="O2018" i="1" s="1"/>
  <c r="P2018" i="1" s="1"/>
  <c r="I2018" i="1"/>
  <c r="H2018" i="1"/>
  <c r="E2018" i="1"/>
  <c r="L2017" i="1"/>
  <c r="H2017" i="1"/>
  <c r="I2017" i="1" s="1"/>
  <c r="N2017" i="1" s="1"/>
  <c r="O2017" i="1" s="1"/>
  <c r="P2017" i="1" s="1"/>
  <c r="E2017" i="1"/>
  <c r="L2016" i="1"/>
  <c r="H2016" i="1"/>
  <c r="I2016" i="1" s="1"/>
  <c r="N2016" i="1" s="1"/>
  <c r="O2016" i="1" s="1"/>
  <c r="P2016" i="1" s="1"/>
  <c r="E2016" i="1"/>
  <c r="L2015" i="1"/>
  <c r="E2015" i="1"/>
  <c r="H2015" i="1" s="1"/>
  <c r="I2015" i="1" s="1"/>
  <c r="N2015" i="1" s="1"/>
  <c r="O2015" i="1" s="1"/>
  <c r="P2015" i="1" s="1"/>
  <c r="P2014" i="1"/>
  <c r="L2014" i="1"/>
  <c r="E2014" i="1"/>
  <c r="H2014" i="1" s="1"/>
  <c r="I2014" i="1" s="1"/>
  <c r="N2014" i="1" s="1"/>
  <c r="O2014" i="1" s="1"/>
  <c r="L2013" i="1"/>
  <c r="H2013" i="1"/>
  <c r="I2013" i="1" s="1"/>
  <c r="N2013" i="1" s="1"/>
  <c r="O2013" i="1" s="1"/>
  <c r="P2013" i="1" s="1"/>
  <c r="E2013" i="1"/>
  <c r="N2012" i="1"/>
  <c r="O2012" i="1" s="1"/>
  <c r="P2012" i="1" s="1"/>
  <c r="L2012" i="1"/>
  <c r="E2012" i="1"/>
  <c r="H2012" i="1" s="1"/>
  <c r="I2012" i="1" s="1"/>
  <c r="L2011" i="1"/>
  <c r="N2011" i="1" s="1"/>
  <c r="O2011" i="1" s="1"/>
  <c r="P2011" i="1" s="1"/>
  <c r="E2011" i="1"/>
  <c r="H2011" i="1" s="1"/>
  <c r="I2011" i="1" s="1"/>
  <c r="L2010" i="1"/>
  <c r="I2010" i="1"/>
  <c r="N2010" i="1" s="1"/>
  <c r="O2010" i="1" s="1"/>
  <c r="P2010" i="1" s="1"/>
  <c r="H2010" i="1"/>
  <c r="E2010" i="1"/>
  <c r="L2009" i="1"/>
  <c r="H2009" i="1"/>
  <c r="I2009" i="1" s="1"/>
  <c r="N2009" i="1" s="1"/>
  <c r="O2009" i="1" s="1"/>
  <c r="P2009" i="1" s="1"/>
  <c r="E2009" i="1"/>
  <c r="L2008" i="1"/>
  <c r="E2008" i="1"/>
  <c r="H2008" i="1" s="1"/>
  <c r="I2008" i="1" s="1"/>
  <c r="N2008" i="1" s="1"/>
  <c r="O2008" i="1" s="1"/>
  <c r="P2008" i="1" s="1"/>
  <c r="L2007" i="1"/>
  <c r="H2007" i="1"/>
  <c r="I2007" i="1" s="1"/>
  <c r="N2007" i="1" s="1"/>
  <c r="O2007" i="1" s="1"/>
  <c r="P2007" i="1" s="1"/>
  <c r="E2007" i="1"/>
  <c r="L2006" i="1"/>
  <c r="H2006" i="1"/>
  <c r="I2006" i="1" s="1"/>
  <c r="N2006" i="1" s="1"/>
  <c r="O2006" i="1" s="1"/>
  <c r="P2006" i="1" s="1"/>
  <c r="E2006" i="1"/>
  <c r="L2005" i="1"/>
  <c r="H2005" i="1"/>
  <c r="I2005" i="1" s="1"/>
  <c r="N2005" i="1" s="1"/>
  <c r="O2005" i="1" s="1"/>
  <c r="P2005" i="1" s="1"/>
  <c r="E2005" i="1"/>
  <c r="L2004" i="1"/>
  <c r="E2004" i="1"/>
  <c r="H2004" i="1" s="1"/>
  <c r="I2004" i="1" s="1"/>
  <c r="N2004" i="1" s="1"/>
  <c r="O2004" i="1" s="1"/>
  <c r="P2004" i="1" s="1"/>
  <c r="O2003" i="1"/>
  <c r="P2003" i="1" s="1"/>
  <c r="L2003" i="1"/>
  <c r="E2003" i="1"/>
  <c r="H2003" i="1" s="1"/>
  <c r="I2003" i="1" s="1"/>
  <c r="N2003" i="1" s="1"/>
  <c r="L2002" i="1"/>
  <c r="I2002" i="1"/>
  <c r="N2002" i="1" s="1"/>
  <c r="O2002" i="1" s="1"/>
  <c r="P2002" i="1" s="1"/>
  <c r="H2002" i="1"/>
  <c r="E2002" i="1"/>
  <c r="L2001" i="1"/>
  <c r="I2001" i="1"/>
  <c r="N2001" i="1" s="1"/>
  <c r="O2001" i="1" s="1"/>
  <c r="P2001" i="1" s="1"/>
  <c r="H2001" i="1"/>
  <c r="E2001" i="1"/>
  <c r="L2000" i="1"/>
  <c r="E2000" i="1"/>
  <c r="H2000" i="1" s="1"/>
  <c r="I2000" i="1" s="1"/>
  <c r="N2000" i="1" s="1"/>
  <c r="O2000" i="1" s="1"/>
  <c r="P2000" i="1" s="1"/>
  <c r="L1999" i="1"/>
  <c r="H1999" i="1"/>
  <c r="I1999" i="1" s="1"/>
  <c r="N1999" i="1" s="1"/>
  <c r="O1999" i="1" s="1"/>
  <c r="P1999" i="1" s="1"/>
  <c r="E1999" i="1"/>
  <c r="L1998" i="1"/>
  <c r="E1998" i="1"/>
  <c r="H1998" i="1" s="1"/>
  <c r="I1998" i="1" s="1"/>
  <c r="N1998" i="1" s="1"/>
  <c r="O1998" i="1" s="1"/>
  <c r="P1998" i="1" s="1"/>
  <c r="L1997" i="1"/>
  <c r="E1997" i="1"/>
  <c r="H1997" i="1" s="1"/>
  <c r="I1997" i="1" s="1"/>
  <c r="N1997" i="1" s="1"/>
  <c r="O1997" i="1" s="1"/>
  <c r="P1997" i="1" s="1"/>
  <c r="L1996" i="1"/>
  <c r="E1996" i="1"/>
  <c r="H1996" i="1" s="1"/>
  <c r="I1996" i="1" s="1"/>
  <c r="N1996" i="1" s="1"/>
  <c r="O1996" i="1" s="1"/>
  <c r="P1996" i="1" s="1"/>
  <c r="N1995" i="1"/>
  <c r="O1995" i="1" s="1"/>
  <c r="P1995" i="1" s="1"/>
  <c r="L1995" i="1"/>
  <c r="E1995" i="1"/>
  <c r="H1995" i="1" s="1"/>
  <c r="I1995" i="1" s="1"/>
  <c r="P1994" i="1"/>
  <c r="N1994" i="1"/>
  <c r="O1994" i="1" s="1"/>
  <c r="L1994" i="1"/>
  <c r="I1994" i="1"/>
  <c r="H1994" i="1"/>
  <c r="E1994" i="1"/>
  <c r="L1993" i="1"/>
  <c r="I1993" i="1"/>
  <c r="N1993" i="1" s="1"/>
  <c r="O1993" i="1" s="1"/>
  <c r="P1993" i="1" s="1"/>
  <c r="H1993" i="1"/>
  <c r="E1993" i="1"/>
  <c r="L1992" i="1"/>
  <c r="H1992" i="1"/>
  <c r="I1992" i="1" s="1"/>
  <c r="N1992" i="1" s="1"/>
  <c r="O1992" i="1" s="1"/>
  <c r="P1992" i="1" s="1"/>
  <c r="E1992" i="1"/>
  <c r="L1991" i="1"/>
  <c r="E1991" i="1"/>
  <c r="H1991" i="1" s="1"/>
  <c r="I1991" i="1" s="1"/>
  <c r="L1990" i="1"/>
  <c r="I1990" i="1"/>
  <c r="N1990" i="1" s="1"/>
  <c r="O1990" i="1" s="1"/>
  <c r="P1990" i="1" s="1"/>
  <c r="E1990" i="1"/>
  <c r="H1990" i="1" s="1"/>
  <c r="L1989" i="1"/>
  <c r="E1989" i="1"/>
  <c r="H1989" i="1" s="1"/>
  <c r="I1989" i="1" s="1"/>
  <c r="N1989" i="1" s="1"/>
  <c r="O1989" i="1" s="1"/>
  <c r="P1989" i="1" s="1"/>
  <c r="N1988" i="1"/>
  <c r="O1988" i="1" s="1"/>
  <c r="P1988" i="1" s="1"/>
  <c r="L1988" i="1"/>
  <c r="E1988" i="1"/>
  <c r="H1988" i="1" s="1"/>
  <c r="I1988" i="1" s="1"/>
  <c r="L1987" i="1"/>
  <c r="E1987" i="1"/>
  <c r="H1987" i="1" s="1"/>
  <c r="I1987" i="1" s="1"/>
  <c r="L1986" i="1"/>
  <c r="N1986" i="1" s="1"/>
  <c r="O1986" i="1" s="1"/>
  <c r="P1986" i="1" s="1"/>
  <c r="I1986" i="1"/>
  <c r="H1986" i="1"/>
  <c r="E1986" i="1"/>
  <c r="N1985" i="1"/>
  <c r="O1985" i="1" s="1"/>
  <c r="P1985" i="1" s="1"/>
  <c r="L1985" i="1"/>
  <c r="H1985" i="1"/>
  <c r="I1985" i="1" s="1"/>
  <c r="E1985" i="1"/>
  <c r="L1984" i="1"/>
  <c r="H1984" i="1"/>
  <c r="I1984" i="1" s="1"/>
  <c r="E1984" i="1"/>
  <c r="L1983" i="1"/>
  <c r="E1983" i="1"/>
  <c r="H1983" i="1" s="1"/>
  <c r="I1983" i="1" s="1"/>
  <c r="N1983" i="1" s="1"/>
  <c r="O1983" i="1" s="1"/>
  <c r="P1983" i="1" s="1"/>
  <c r="P1982" i="1"/>
  <c r="L1982" i="1"/>
  <c r="E1982" i="1"/>
  <c r="H1982" i="1" s="1"/>
  <c r="I1982" i="1" s="1"/>
  <c r="N1982" i="1" s="1"/>
  <c r="O1982" i="1" s="1"/>
  <c r="L1981" i="1"/>
  <c r="H1981" i="1"/>
  <c r="I1981" i="1" s="1"/>
  <c r="N1981" i="1" s="1"/>
  <c r="O1981" i="1" s="1"/>
  <c r="P1981" i="1" s="1"/>
  <c r="E1981" i="1"/>
  <c r="N1980" i="1"/>
  <c r="O1980" i="1" s="1"/>
  <c r="P1980" i="1" s="1"/>
  <c r="L1980" i="1"/>
  <c r="E1980" i="1"/>
  <c r="H1980" i="1" s="1"/>
  <c r="I1980" i="1" s="1"/>
  <c r="O1979" i="1"/>
  <c r="P1979" i="1" s="1"/>
  <c r="L1979" i="1"/>
  <c r="E1979" i="1"/>
  <c r="H1979" i="1" s="1"/>
  <c r="I1979" i="1" s="1"/>
  <c r="N1979" i="1" s="1"/>
  <c r="L1978" i="1"/>
  <c r="H1978" i="1"/>
  <c r="I1978" i="1" s="1"/>
  <c r="N1978" i="1" s="1"/>
  <c r="O1978" i="1" s="1"/>
  <c r="P1978" i="1" s="1"/>
  <c r="E1978" i="1"/>
  <c r="L1977" i="1"/>
  <c r="H1977" i="1"/>
  <c r="I1977" i="1" s="1"/>
  <c r="N1977" i="1" s="1"/>
  <c r="O1977" i="1" s="1"/>
  <c r="P1977" i="1" s="1"/>
  <c r="E1977" i="1"/>
  <c r="L1976" i="1"/>
  <c r="H1976" i="1"/>
  <c r="I1976" i="1" s="1"/>
  <c r="N1976" i="1" s="1"/>
  <c r="O1976" i="1" s="1"/>
  <c r="P1976" i="1" s="1"/>
  <c r="E1976" i="1"/>
  <c r="L1975" i="1"/>
  <c r="H1975" i="1"/>
  <c r="I1975" i="1" s="1"/>
  <c r="E1975" i="1"/>
  <c r="L1974" i="1"/>
  <c r="H1974" i="1"/>
  <c r="I1974" i="1" s="1"/>
  <c r="N1974" i="1" s="1"/>
  <c r="O1974" i="1" s="1"/>
  <c r="P1974" i="1" s="1"/>
  <c r="E1974" i="1"/>
  <c r="L1973" i="1"/>
  <c r="E1973" i="1"/>
  <c r="H1973" i="1" s="1"/>
  <c r="I1973" i="1" s="1"/>
  <c r="N1973" i="1" s="1"/>
  <c r="O1973" i="1" s="1"/>
  <c r="P1973" i="1" s="1"/>
  <c r="L1972" i="1"/>
  <c r="H1972" i="1"/>
  <c r="I1972" i="1" s="1"/>
  <c r="N1972" i="1" s="1"/>
  <c r="O1972" i="1" s="1"/>
  <c r="P1972" i="1" s="1"/>
  <c r="E1972" i="1"/>
  <c r="L1971" i="1"/>
  <c r="E1971" i="1"/>
  <c r="H1971" i="1" s="1"/>
  <c r="I1971" i="1" s="1"/>
  <c r="N1971" i="1" s="1"/>
  <c r="O1971" i="1" s="1"/>
  <c r="P1971" i="1" s="1"/>
  <c r="L1970" i="1"/>
  <c r="H1970" i="1"/>
  <c r="I1970" i="1" s="1"/>
  <c r="E1970" i="1"/>
  <c r="L1969" i="1"/>
  <c r="E1969" i="1"/>
  <c r="H1969" i="1" s="1"/>
  <c r="I1969" i="1" s="1"/>
  <c r="N1969" i="1" s="1"/>
  <c r="O1969" i="1" s="1"/>
  <c r="P1969" i="1" s="1"/>
  <c r="L1968" i="1"/>
  <c r="E1968" i="1"/>
  <c r="H1968" i="1" s="1"/>
  <c r="I1968" i="1" s="1"/>
  <c r="N1968" i="1" s="1"/>
  <c r="O1968" i="1" s="1"/>
  <c r="P1968" i="1" s="1"/>
  <c r="N1967" i="1"/>
  <c r="O1967" i="1" s="1"/>
  <c r="P1967" i="1" s="1"/>
  <c r="L1967" i="1"/>
  <c r="H1967" i="1"/>
  <c r="I1967" i="1" s="1"/>
  <c r="E1967" i="1"/>
  <c r="L1966" i="1"/>
  <c r="E1966" i="1"/>
  <c r="H1966" i="1" s="1"/>
  <c r="I1966" i="1" s="1"/>
  <c r="N1966" i="1" s="1"/>
  <c r="O1966" i="1" s="1"/>
  <c r="P1966" i="1" s="1"/>
  <c r="L1965" i="1"/>
  <c r="H1965" i="1"/>
  <c r="I1965" i="1" s="1"/>
  <c r="N1965" i="1" s="1"/>
  <c r="O1965" i="1" s="1"/>
  <c r="P1965" i="1" s="1"/>
  <c r="E1965" i="1"/>
  <c r="L1964" i="1"/>
  <c r="H1964" i="1"/>
  <c r="I1964" i="1" s="1"/>
  <c r="N1964" i="1" s="1"/>
  <c r="O1964" i="1" s="1"/>
  <c r="P1964" i="1" s="1"/>
  <c r="E1964" i="1"/>
  <c r="L1963" i="1"/>
  <c r="E1963" i="1"/>
  <c r="H1963" i="1" s="1"/>
  <c r="I1963" i="1" s="1"/>
  <c r="N1963" i="1" s="1"/>
  <c r="O1963" i="1" s="1"/>
  <c r="P1963" i="1" s="1"/>
  <c r="N1962" i="1"/>
  <c r="O1962" i="1" s="1"/>
  <c r="P1962" i="1" s="1"/>
  <c r="L1962" i="1"/>
  <c r="H1962" i="1"/>
  <c r="I1962" i="1" s="1"/>
  <c r="E1962" i="1"/>
  <c r="L1961" i="1"/>
  <c r="E1961" i="1"/>
  <c r="H1961" i="1" s="1"/>
  <c r="I1961" i="1" s="1"/>
  <c r="N1961" i="1" s="1"/>
  <c r="O1961" i="1" s="1"/>
  <c r="P1961" i="1" s="1"/>
  <c r="L1960" i="1"/>
  <c r="H1960" i="1"/>
  <c r="I1960" i="1" s="1"/>
  <c r="N1960" i="1" s="1"/>
  <c r="O1960" i="1" s="1"/>
  <c r="P1960" i="1" s="1"/>
  <c r="E1960" i="1"/>
  <c r="L1959" i="1"/>
  <c r="H1959" i="1"/>
  <c r="I1959" i="1" s="1"/>
  <c r="N1959" i="1" s="1"/>
  <c r="O1959" i="1" s="1"/>
  <c r="P1959" i="1" s="1"/>
  <c r="E1959" i="1"/>
  <c r="P1958" i="1"/>
  <c r="L1958" i="1"/>
  <c r="E1958" i="1"/>
  <c r="H1958" i="1" s="1"/>
  <c r="I1958" i="1" s="1"/>
  <c r="N1958" i="1" s="1"/>
  <c r="O1958" i="1" s="1"/>
  <c r="N1957" i="1"/>
  <c r="O1957" i="1" s="1"/>
  <c r="P1957" i="1" s="1"/>
  <c r="L1957" i="1"/>
  <c r="H1957" i="1"/>
  <c r="I1957" i="1" s="1"/>
  <c r="E1957" i="1"/>
  <c r="L1956" i="1"/>
  <c r="E1956" i="1"/>
  <c r="H1956" i="1" s="1"/>
  <c r="I1956" i="1" s="1"/>
  <c r="L1955" i="1"/>
  <c r="E1955" i="1"/>
  <c r="H1955" i="1" s="1"/>
  <c r="I1955" i="1" s="1"/>
  <c r="N1955" i="1" s="1"/>
  <c r="O1955" i="1" s="1"/>
  <c r="P1955" i="1" s="1"/>
  <c r="L1954" i="1"/>
  <c r="H1954" i="1"/>
  <c r="I1954" i="1" s="1"/>
  <c r="N1954" i="1" s="1"/>
  <c r="O1954" i="1" s="1"/>
  <c r="P1954" i="1" s="1"/>
  <c r="E1954" i="1"/>
  <c r="P1953" i="1"/>
  <c r="L1953" i="1"/>
  <c r="E1953" i="1"/>
  <c r="H1953" i="1" s="1"/>
  <c r="I1953" i="1" s="1"/>
  <c r="N1953" i="1" s="1"/>
  <c r="O1953" i="1" s="1"/>
  <c r="N1952" i="1"/>
  <c r="O1952" i="1" s="1"/>
  <c r="P1952" i="1" s="1"/>
  <c r="L1952" i="1"/>
  <c r="H1952" i="1"/>
  <c r="I1952" i="1" s="1"/>
  <c r="E1952" i="1"/>
  <c r="L1951" i="1"/>
  <c r="I1951" i="1"/>
  <c r="N1951" i="1" s="1"/>
  <c r="O1951" i="1" s="1"/>
  <c r="P1951" i="1" s="1"/>
  <c r="E1951" i="1"/>
  <c r="H1951" i="1" s="1"/>
  <c r="L1950" i="1"/>
  <c r="I1950" i="1"/>
  <c r="N1950" i="1" s="1"/>
  <c r="O1950" i="1" s="1"/>
  <c r="P1950" i="1" s="1"/>
  <c r="E1950" i="1"/>
  <c r="H1950" i="1" s="1"/>
  <c r="L1949" i="1"/>
  <c r="H1949" i="1"/>
  <c r="I1949" i="1" s="1"/>
  <c r="N1949" i="1" s="1"/>
  <c r="O1949" i="1" s="1"/>
  <c r="P1949" i="1" s="1"/>
  <c r="E1949" i="1"/>
  <c r="P1948" i="1"/>
  <c r="L1948" i="1"/>
  <c r="E1948" i="1"/>
  <c r="H1948" i="1" s="1"/>
  <c r="I1948" i="1" s="1"/>
  <c r="N1948" i="1" s="1"/>
  <c r="O1948" i="1" s="1"/>
  <c r="L1947" i="1"/>
  <c r="E1947" i="1"/>
  <c r="H1947" i="1" s="1"/>
  <c r="I1947" i="1" s="1"/>
  <c r="N1947" i="1" s="1"/>
  <c r="O1947" i="1" s="1"/>
  <c r="P1947" i="1" s="1"/>
  <c r="N1946" i="1"/>
  <c r="O1946" i="1" s="1"/>
  <c r="P1946" i="1" s="1"/>
  <c r="L1946" i="1"/>
  <c r="I1946" i="1"/>
  <c r="H1946" i="1"/>
  <c r="E1946" i="1"/>
  <c r="L1945" i="1"/>
  <c r="H1945" i="1"/>
  <c r="I1945" i="1" s="1"/>
  <c r="N1945" i="1" s="1"/>
  <c r="O1945" i="1" s="1"/>
  <c r="P1945" i="1" s="1"/>
  <c r="E1945" i="1"/>
  <c r="L1944" i="1"/>
  <c r="H1944" i="1"/>
  <c r="I1944" i="1" s="1"/>
  <c r="N1944" i="1" s="1"/>
  <c r="O1944" i="1" s="1"/>
  <c r="P1944" i="1" s="1"/>
  <c r="E1944" i="1"/>
  <c r="P1943" i="1"/>
  <c r="L1943" i="1"/>
  <c r="E1943" i="1"/>
  <c r="H1943" i="1" s="1"/>
  <c r="I1943" i="1" s="1"/>
  <c r="N1943" i="1" s="1"/>
  <c r="O1943" i="1" s="1"/>
  <c r="L1942" i="1"/>
  <c r="E1942" i="1"/>
  <c r="H1942" i="1" s="1"/>
  <c r="I1942" i="1" s="1"/>
  <c r="N1942" i="1" s="1"/>
  <c r="O1942" i="1" s="1"/>
  <c r="P1942" i="1" s="1"/>
  <c r="N1941" i="1"/>
  <c r="O1941" i="1" s="1"/>
  <c r="P1941" i="1" s="1"/>
  <c r="L1941" i="1"/>
  <c r="E1941" i="1"/>
  <c r="H1941" i="1" s="1"/>
  <c r="I1941" i="1" s="1"/>
  <c r="L1940" i="1"/>
  <c r="E1940" i="1"/>
  <c r="H1940" i="1" s="1"/>
  <c r="I1940" i="1" s="1"/>
  <c r="N1940" i="1" s="1"/>
  <c r="O1940" i="1" s="1"/>
  <c r="P1940" i="1" s="1"/>
  <c r="L1939" i="1"/>
  <c r="E1939" i="1"/>
  <c r="H1939" i="1" s="1"/>
  <c r="I1939" i="1" s="1"/>
  <c r="N1939" i="1" s="1"/>
  <c r="O1939" i="1" s="1"/>
  <c r="P1939" i="1" s="1"/>
  <c r="O1938" i="1"/>
  <c r="P1938" i="1" s="1"/>
  <c r="L1938" i="1"/>
  <c r="I1938" i="1"/>
  <c r="N1938" i="1" s="1"/>
  <c r="H1938" i="1"/>
  <c r="E1938" i="1"/>
  <c r="L1937" i="1"/>
  <c r="H1937" i="1"/>
  <c r="I1937" i="1" s="1"/>
  <c r="N1937" i="1" s="1"/>
  <c r="O1937" i="1" s="1"/>
  <c r="P1937" i="1" s="1"/>
  <c r="E1937" i="1"/>
  <c r="L1936" i="1"/>
  <c r="E1936" i="1"/>
  <c r="H1936" i="1" s="1"/>
  <c r="I1936" i="1" s="1"/>
  <c r="N1936" i="1" s="1"/>
  <c r="O1936" i="1" s="1"/>
  <c r="P1936" i="1" s="1"/>
  <c r="L1935" i="1"/>
  <c r="I1935" i="1"/>
  <c r="N1935" i="1" s="1"/>
  <c r="O1935" i="1" s="1"/>
  <c r="P1935" i="1" s="1"/>
  <c r="E1935" i="1"/>
  <c r="H1935" i="1" s="1"/>
  <c r="L1934" i="1"/>
  <c r="E1934" i="1"/>
  <c r="H1934" i="1" s="1"/>
  <c r="I1934" i="1" s="1"/>
  <c r="N1934" i="1" s="1"/>
  <c r="O1934" i="1" s="1"/>
  <c r="P1934" i="1" s="1"/>
  <c r="L1933" i="1"/>
  <c r="E1933" i="1"/>
  <c r="H1933" i="1" s="1"/>
  <c r="I1933" i="1" s="1"/>
  <c r="N1933" i="1" s="1"/>
  <c r="O1933" i="1" s="1"/>
  <c r="P1933" i="1" s="1"/>
  <c r="N1932" i="1"/>
  <c r="O1932" i="1" s="1"/>
  <c r="P1932" i="1" s="1"/>
  <c r="L1932" i="1"/>
  <c r="E1932" i="1"/>
  <c r="H1932" i="1" s="1"/>
  <c r="I1932" i="1" s="1"/>
  <c r="L1931" i="1"/>
  <c r="E1931" i="1"/>
  <c r="H1931" i="1" s="1"/>
  <c r="I1931" i="1" s="1"/>
  <c r="N1931" i="1" s="1"/>
  <c r="O1931" i="1" s="1"/>
  <c r="P1931" i="1" s="1"/>
  <c r="L1930" i="1"/>
  <c r="H1930" i="1"/>
  <c r="I1930" i="1" s="1"/>
  <c r="N1930" i="1" s="1"/>
  <c r="O1930" i="1" s="1"/>
  <c r="P1930" i="1" s="1"/>
  <c r="E1930" i="1"/>
  <c r="L1929" i="1"/>
  <c r="E1929" i="1"/>
  <c r="H1929" i="1" s="1"/>
  <c r="I1929" i="1" s="1"/>
  <c r="N1929" i="1" s="1"/>
  <c r="O1929" i="1" s="1"/>
  <c r="P1929" i="1" s="1"/>
  <c r="L1928" i="1"/>
  <c r="H1928" i="1"/>
  <c r="I1928" i="1" s="1"/>
  <c r="N1928" i="1" s="1"/>
  <c r="O1928" i="1" s="1"/>
  <c r="P1928" i="1" s="1"/>
  <c r="E1928" i="1"/>
  <c r="P1927" i="1"/>
  <c r="L1927" i="1"/>
  <c r="E1927" i="1"/>
  <c r="H1927" i="1" s="1"/>
  <c r="I1927" i="1" s="1"/>
  <c r="N1927" i="1" s="1"/>
  <c r="O1927" i="1" s="1"/>
  <c r="O1926" i="1"/>
  <c r="P1926" i="1" s="1"/>
  <c r="L1926" i="1"/>
  <c r="E1926" i="1"/>
  <c r="H1926" i="1" s="1"/>
  <c r="I1926" i="1" s="1"/>
  <c r="N1926" i="1" s="1"/>
  <c r="L1925" i="1"/>
  <c r="H1925" i="1"/>
  <c r="I1925" i="1" s="1"/>
  <c r="N1925" i="1" s="1"/>
  <c r="O1925" i="1" s="1"/>
  <c r="P1925" i="1" s="1"/>
  <c r="E1925" i="1"/>
  <c r="L1924" i="1"/>
  <c r="E1924" i="1"/>
  <c r="H1924" i="1" s="1"/>
  <c r="I1924" i="1" s="1"/>
  <c r="L1923" i="1"/>
  <c r="I1923" i="1"/>
  <c r="N1923" i="1" s="1"/>
  <c r="O1923" i="1" s="1"/>
  <c r="P1923" i="1" s="1"/>
  <c r="E1923" i="1"/>
  <c r="H1923" i="1" s="1"/>
  <c r="L1922" i="1"/>
  <c r="H1922" i="1"/>
  <c r="I1922" i="1" s="1"/>
  <c r="N1922" i="1" s="1"/>
  <c r="O1922" i="1" s="1"/>
  <c r="P1922" i="1" s="1"/>
  <c r="E1922" i="1"/>
  <c r="L1921" i="1"/>
  <c r="I1921" i="1"/>
  <c r="N1921" i="1" s="1"/>
  <c r="O1921" i="1" s="1"/>
  <c r="P1921" i="1" s="1"/>
  <c r="E1921" i="1"/>
  <c r="H1921" i="1" s="1"/>
  <c r="L1920" i="1"/>
  <c r="H1920" i="1"/>
  <c r="I1920" i="1" s="1"/>
  <c r="N1920" i="1" s="1"/>
  <c r="O1920" i="1" s="1"/>
  <c r="P1920" i="1" s="1"/>
  <c r="E1920" i="1"/>
  <c r="P1919" i="1"/>
  <c r="L1919" i="1"/>
  <c r="E1919" i="1"/>
  <c r="H1919" i="1" s="1"/>
  <c r="I1919" i="1" s="1"/>
  <c r="N1919" i="1" s="1"/>
  <c r="O1919" i="1" s="1"/>
  <c r="L1918" i="1"/>
  <c r="E1918" i="1"/>
  <c r="H1918" i="1" s="1"/>
  <c r="I1918" i="1" s="1"/>
  <c r="N1918" i="1" s="1"/>
  <c r="O1918" i="1" s="1"/>
  <c r="P1918" i="1" s="1"/>
  <c r="P1917" i="1"/>
  <c r="L1917" i="1"/>
  <c r="H1917" i="1"/>
  <c r="I1917" i="1" s="1"/>
  <c r="N1917" i="1" s="1"/>
  <c r="O1917" i="1" s="1"/>
  <c r="E1917" i="1"/>
  <c r="L1916" i="1"/>
  <c r="E1916" i="1"/>
  <c r="H1916" i="1" s="1"/>
  <c r="I1916" i="1" s="1"/>
  <c r="N1916" i="1" s="1"/>
  <c r="O1916" i="1" s="1"/>
  <c r="P1916" i="1" s="1"/>
  <c r="N1915" i="1"/>
  <c r="O1915" i="1" s="1"/>
  <c r="P1915" i="1" s="1"/>
  <c r="L1915" i="1"/>
  <c r="E1915" i="1"/>
  <c r="H1915" i="1" s="1"/>
  <c r="I1915" i="1" s="1"/>
  <c r="L1914" i="1"/>
  <c r="H1914" i="1"/>
  <c r="I1914" i="1" s="1"/>
  <c r="N1914" i="1" s="1"/>
  <c r="O1914" i="1" s="1"/>
  <c r="P1914" i="1" s="1"/>
  <c r="E1914" i="1"/>
  <c r="L1913" i="1"/>
  <c r="I1913" i="1"/>
  <c r="N1913" i="1" s="1"/>
  <c r="O1913" i="1" s="1"/>
  <c r="P1913" i="1" s="1"/>
  <c r="E1913" i="1"/>
  <c r="H1913" i="1" s="1"/>
  <c r="L1912" i="1"/>
  <c r="H1912" i="1"/>
  <c r="I1912" i="1" s="1"/>
  <c r="N1912" i="1" s="1"/>
  <c r="O1912" i="1" s="1"/>
  <c r="P1912" i="1" s="1"/>
  <c r="E1912" i="1"/>
  <c r="L1911" i="1"/>
  <c r="E1911" i="1"/>
  <c r="H1911" i="1" s="1"/>
  <c r="I1911" i="1" s="1"/>
  <c r="N1911" i="1" s="1"/>
  <c r="O1911" i="1" s="1"/>
  <c r="P1911" i="1" s="1"/>
  <c r="O1910" i="1"/>
  <c r="P1910" i="1" s="1"/>
  <c r="L1910" i="1"/>
  <c r="E1910" i="1"/>
  <c r="H1910" i="1" s="1"/>
  <c r="I1910" i="1" s="1"/>
  <c r="N1910" i="1" s="1"/>
  <c r="L1909" i="1"/>
  <c r="H1909" i="1"/>
  <c r="I1909" i="1" s="1"/>
  <c r="N1909" i="1" s="1"/>
  <c r="O1909" i="1" s="1"/>
  <c r="P1909" i="1" s="1"/>
  <c r="E1909" i="1"/>
  <c r="O1908" i="1"/>
  <c r="P1908" i="1" s="1"/>
  <c r="L1908" i="1"/>
  <c r="E1908" i="1"/>
  <c r="H1908" i="1" s="1"/>
  <c r="I1908" i="1" s="1"/>
  <c r="N1908" i="1" s="1"/>
  <c r="L1907" i="1"/>
  <c r="I1907" i="1"/>
  <c r="N1907" i="1" s="1"/>
  <c r="O1907" i="1" s="1"/>
  <c r="P1907" i="1" s="1"/>
  <c r="E1907" i="1"/>
  <c r="H1907" i="1" s="1"/>
  <c r="L1906" i="1"/>
  <c r="H1906" i="1"/>
  <c r="I1906" i="1" s="1"/>
  <c r="E1906" i="1"/>
  <c r="L1905" i="1"/>
  <c r="I1905" i="1"/>
  <c r="N1905" i="1" s="1"/>
  <c r="O1905" i="1" s="1"/>
  <c r="P1905" i="1" s="1"/>
  <c r="E1905" i="1"/>
  <c r="H1905" i="1" s="1"/>
  <c r="L1904" i="1"/>
  <c r="H1904" i="1"/>
  <c r="I1904" i="1" s="1"/>
  <c r="N1904" i="1" s="1"/>
  <c r="O1904" i="1" s="1"/>
  <c r="P1904" i="1" s="1"/>
  <c r="E1904" i="1"/>
  <c r="P1903" i="1"/>
  <c r="L1903" i="1"/>
  <c r="E1903" i="1"/>
  <c r="H1903" i="1" s="1"/>
  <c r="I1903" i="1" s="1"/>
  <c r="N1903" i="1" s="1"/>
  <c r="O1903" i="1" s="1"/>
  <c r="L1902" i="1"/>
  <c r="E1902" i="1"/>
  <c r="H1902" i="1" s="1"/>
  <c r="I1902" i="1" s="1"/>
  <c r="N1902" i="1" s="1"/>
  <c r="O1902" i="1" s="1"/>
  <c r="P1902" i="1" s="1"/>
  <c r="N1901" i="1"/>
  <c r="O1901" i="1" s="1"/>
  <c r="P1901" i="1" s="1"/>
  <c r="L1901" i="1"/>
  <c r="H1901" i="1"/>
  <c r="I1901" i="1" s="1"/>
  <c r="E1901" i="1"/>
  <c r="L1900" i="1"/>
  <c r="E1900" i="1"/>
  <c r="H1900" i="1" s="1"/>
  <c r="I1900" i="1" s="1"/>
  <c r="N1900" i="1" s="1"/>
  <c r="O1900" i="1" s="1"/>
  <c r="P1900" i="1" s="1"/>
  <c r="L1899" i="1"/>
  <c r="I1899" i="1"/>
  <c r="N1899" i="1" s="1"/>
  <c r="O1899" i="1" s="1"/>
  <c r="P1899" i="1" s="1"/>
  <c r="E1899" i="1"/>
  <c r="H1899" i="1" s="1"/>
  <c r="L1898" i="1"/>
  <c r="H1898" i="1"/>
  <c r="I1898" i="1" s="1"/>
  <c r="N1898" i="1" s="1"/>
  <c r="O1898" i="1" s="1"/>
  <c r="P1898" i="1" s="1"/>
  <c r="E1898" i="1"/>
  <c r="L1897" i="1"/>
  <c r="E1897" i="1"/>
  <c r="H1897" i="1" s="1"/>
  <c r="I1897" i="1" s="1"/>
  <c r="N1897" i="1" s="1"/>
  <c r="O1897" i="1" s="1"/>
  <c r="P1897" i="1" s="1"/>
  <c r="L1896" i="1"/>
  <c r="H1896" i="1"/>
  <c r="I1896" i="1" s="1"/>
  <c r="N1896" i="1" s="1"/>
  <c r="O1896" i="1" s="1"/>
  <c r="P1896" i="1" s="1"/>
  <c r="E1896" i="1"/>
  <c r="L1895" i="1"/>
  <c r="E1895" i="1"/>
  <c r="H1895" i="1" s="1"/>
  <c r="I1895" i="1" s="1"/>
  <c r="N1895" i="1" s="1"/>
  <c r="O1895" i="1" s="1"/>
  <c r="P1895" i="1" s="1"/>
  <c r="L1894" i="1"/>
  <c r="E1894" i="1"/>
  <c r="H1894" i="1" s="1"/>
  <c r="I1894" i="1" s="1"/>
  <c r="N1894" i="1" s="1"/>
  <c r="O1894" i="1" s="1"/>
  <c r="P1894" i="1" s="1"/>
  <c r="N1893" i="1"/>
  <c r="O1893" i="1" s="1"/>
  <c r="P1893" i="1" s="1"/>
  <c r="L1893" i="1"/>
  <c r="H1893" i="1"/>
  <c r="I1893" i="1" s="1"/>
  <c r="E1893" i="1"/>
  <c r="L1892" i="1"/>
  <c r="E1892" i="1"/>
  <c r="H1892" i="1" s="1"/>
  <c r="I1892" i="1" s="1"/>
  <c r="N1892" i="1" s="1"/>
  <c r="O1892" i="1" s="1"/>
  <c r="P1892" i="1" s="1"/>
  <c r="L1891" i="1"/>
  <c r="I1891" i="1"/>
  <c r="N1891" i="1" s="1"/>
  <c r="O1891" i="1" s="1"/>
  <c r="P1891" i="1" s="1"/>
  <c r="E1891" i="1"/>
  <c r="H1891" i="1" s="1"/>
  <c r="L1890" i="1"/>
  <c r="H1890" i="1"/>
  <c r="I1890" i="1" s="1"/>
  <c r="E1890" i="1"/>
  <c r="L1889" i="1"/>
  <c r="E1889" i="1"/>
  <c r="H1889" i="1" s="1"/>
  <c r="I1889" i="1" s="1"/>
  <c r="N1889" i="1" s="1"/>
  <c r="O1889" i="1" s="1"/>
  <c r="P1889" i="1" s="1"/>
  <c r="L1888" i="1"/>
  <c r="H1888" i="1"/>
  <c r="I1888" i="1" s="1"/>
  <c r="N1888" i="1" s="1"/>
  <c r="O1888" i="1" s="1"/>
  <c r="P1888" i="1" s="1"/>
  <c r="E1888" i="1"/>
  <c r="L1887" i="1"/>
  <c r="E1887" i="1"/>
  <c r="H1887" i="1" s="1"/>
  <c r="I1887" i="1" s="1"/>
  <c r="N1887" i="1" s="1"/>
  <c r="O1887" i="1" s="1"/>
  <c r="P1887" i="1" s="1"/>
  <c r="L1886" i="1"/>
  <c r="E1886" i="1"/>
  <c r="H1886" i="1" s="1"/>
  <c r="I1886" i="1" s="1"/>
  <c r="N1886" i="1" s="1"/>
  <c r="O1886" i="1" s="1"/>
  <c r="P1886" i="1" s="1"/>
  <c r="L1885" i="1"/>
  <c r="H1885" i="1"/>
  <c r="I1885" i="1" s="1"/>
  <c r="N1885" i="1" s="1"/>
  <c r="O1885" i="1" s="1"/>
  <c r="P1885" i="1" s="1"/>
  <c r="E1885" i="1"/>
  <c r="L1884" i="1"/>
  <c r="E1884" i="1"/>
  <c r="H1884" i="1" s="1"/>
  <c r="I1884" i="1" s="1"/>
  <c r="N1884" i="1" s="1"/>
  <c r="O1884" i="1" s="1"/>
  <c r="P1884" i="1" s="1"/>
  <c r="L1883" i="1"/>
  <c r="E1883" i="1"/>
  <c r="H1883" i="1" s="1"/>
  <c r="I1883" i="1" s="1"/>
  <c r="N1883" i="1" s="1"/>
  <c r="O1883" i="1" s="1"/>
  <c r="P1883" i="1" s="1"/>
  <c r="L1882" i="1"/>
  <c r="H1882" i="1"/>
  <c r="I1882" i="1" s="1"/>
  <c r="E1882" i="1"/>
  <c r="L1881" i="1"/>
  <c r="E1881" i="1"/>
  <c r="H1881" i="1" s="1"/>
  <c r="I1881" i="1" s="1"/>
  <c r="N1881" i="1" s="1"/>
  <c r="O1881" i="1" s="1"/>
  <c r="P1881" i="1" s="1"/>
  <c r="L1880" i="1"/>
  <c r="H1880" i="1"/>
  <c r="I1880" i="1" s="1"/>
  <c r="N1880" i="1" s="1"/>
  <c r="O1880" i="1" s="1"/>
  <c r="P1880" i="1" s="1"/>
  <c r="E1880" i="1"/>
  <c r="L1879" i="1"/>
  <c r="E1879" i="1"/>
  <c r="H1879" i="1" s="1"/>
  <c r="I1879" i="1" s="1"/>
  <c r="N1879" i="1" s="1"/>
  <c r="O1879" i="1" s="1"/>
  <c r="P1879" i="1" s="1"/>
  <c r="L1878" i="1"/>
  <c r="E1878" i="1"/>
  <c r="H1878" i="1" s="1"/>
  <c r="I1878" i="1" s="1"/>
  <c r="N1878" i="1" s="1"/>
  <c r="O1878" i="1" s="1"/>
  <c r="P1878" i="1" s="1"/>
  <c r="N1877" i="1"/>
  <c r="O1877" i="1" s="1"/>
  <c r="P1877" i="1" s="1"/>
  <c r="L1877" i="1"/>
  <c r="H1877" i="1"/>
  <c r="I1877" i="1" s="1"/>
  <c r="E1877" i="1"/>
  <c r="L1876" i="1"/>
  <c r="E1876" i="1"/>
  <c r="H1876" i="1" s="1"/>
  <c r="I1876" i="1" s="1"/>
  <c r="L1875" i="1"/>
  <c r="E1875" i="1"/>
  <c r="H1875" i="1" s="1"/>
  <c r="I1875" i="1" s="1"/>
  <c r="N1875" i="1" s="1"/>
  <c r="O1875" i="1" s="1"/>
  <c r="P1875" i="1" s="1"/>
  <c r="L1874" i="1"/>
  <c r="H1874" i="1"/>
  <c r="I1874" i="1" s="1"/>
  <c r="E1874" i="1"/>
  <c r="L1873" i="1"/>
  <c r="I1873" i="1"/>
  <c r="N1873" i="1" s="1"/>
  <c r="O1873" i="1" s="1"/>
  <c r="P1873" i="1" s="1"/>
  <c r="E1873" i="1"/>
  <c r="H1873" i="1" s="1"/>
  <c r="L1872" i="1"/>
  <c r="H1872" i="1"/>
  <c r="I1872" i="1" s="1"/>
  <c r="N1872" i="1" s="1"/>
  <c r="O1872" i="1" s="1"/>
  <c r="P1872" i="1" s="1"/>
  <c r="E1872" i="1"/>
  <c r="L1871" i="1"/>
  <c r="E1871" i="1"/>
  <c r="H1871" i="1" s="1"/>
  <c r="I1871" i="1" s="1"/>
  <c r="N1871" i="1" s="1"/>
  <c r="O1871" i="1" s="1"/>
  <c r="P1871" i="1" s="1"/>
  <c r="O1870" i="1"/>
  <c r="P1870" i="1" s="1"/>
  <c r="L1870" i="1"/>
  <c r="E1870" i="1"/>
  <c r="H1870" i="1" s="1"/>
  <c r="I1870" i="1" s="1"/>
  <c r="N1870" i="1" s="1"/>
  <c r="L1869" i="1"/>
  <c r="H1869" i="1"/>
  <c r="I1869" i="1" s="1"/>
  <c r="N1869" i="1" s="1"/>
  <c r="O1869" i="1" s="1"/>
  <c r="P1869" i="1" s="1"/>
  <c r="E1869" i="1"/>
  <c r="L1868" i="1"/>
  <c r="E1868" i="1"/>
  <c r="H1868" i="1" s="1"/>
  <c r="I1868" i="1" s="1"/>
  <c r="L1867" i="1"/>
  <c r="E1867" i="1"/>
  <c r="H1867" i="1" s="1"/>
  <c r="I1867" i="1" s="1"/>
  <c r="N1867" i="1" s="1"/>
  <c r="O1867" i="1" s="1"/>
  <c r="P1867" i="1" s="1"/>
  <c r="L1866" i="1"/>
  <c r="H1866" i="1"/>
  <c r="I1866" i="1" s="1"/>
  <c r="N1866" i="1" s="1"/>
  <c r="O1866" i="1" s="1"/>
  <c r="P1866" i="1" s="1"/>
  <c r="E1866" i="1"/>
  <c r="L1865" i="1"/>
  <c r="E1865" i="1"/>
  <c r="H1865" i="1" s="1"/>
  <c r="I1865" i="1" s="1"/>
  <c r="N1865" i="1" s="1"/>
  <c r="O1865" i="1" s="1"/>
  <c r="P1865" i="1" s="1"/>
  <c r="L1864" i="1"/>
  <c r="H1864" i="1"/>
  <c r="I1864" i="1" s="1"/>
  <c r="N1864" i="1" s="1"/>
  <c r="O1864" i="1" s="1"/>
  <c r="P1864" i="1" s="1"/>
  <c r="E1864" i="1"/>
  <c r="P1863" i="1"/>
  <c r="L1863" i="1"/>
  <c r="E1863" i="1"/>
  <c r="H1863" i="1" s="1"/>
  <c r="I1863" i="1" s="1"/>
  <c r="N1863" i="1" s="1"/>
  <c r="O1863" i="1" s="1"/>
  <c r="O1862" i="1"/>
  <c r="P1862" i="1" s="1"/>
  <c r="L1862" i="1"/>
  <c r="E1862" i="1"/>
  <c r="H1862" i="1" s="1"/>
  <c r="I1862" i="1" s="1"/>
  <c r="N1862" i="1" s="1"/>
  <c r="L1861" i="1"/>
  <c r="H1861" i="1"/>
  <c r="I1861" i="1" s="1"/>
  <c r="N1861" i="1" s="1"/>
  <c r="O1861" i="1" s="1"/>
  <c r="P1861" i="1" s="1"/>
  <c r="E1861" i="1"/>
  <c r="L1860" i="1"/>
  <c r="E1860" i="1"/>
  <c r="H1860" i="1" s="1"/>
  <c r="I1860" i="1" s="1"/>
  <c r="L1859" i="1"/>
  <c r="E1859" i="1"/>
  <c r="H1859" i="1" s="1"/>
  <c r="I1859" i="1" s="1"/>
  <c r="N1859" i="1" s="1"/>
  <c r="O1859" i="1" s="1"/>
  <c r="P1859" i="1" s="1"/>
  <c r="L1858" i="1"/>
  <c r="H1858" i="1"/>
  <c r="I1858" i="1" s="1"/>
  <c r="N1858" i="1" s="1"/>
  <c r="O1858" i="1" s="1"/>
  <c r="P1858" i="1" s="1"/>
  <c r="E1858" i="1"/>
  <c r="L1857" i="1"/>
  <c r="I1857" i="1"/>
  <c r="N1857" i="1" s="1"/>
  <c r="O1857" i="1" s="1"/>
  <c r="P1857" i="1" s="1"/>
  <c r="E1857" i="1"/>
  <c r="H1857" i="1" s="1"/>
  <c r="L1856" i="1"/>
  <c r="H1856" i="1"/>
  <c r="I1856" i="1" s="1"/>
  <c r="N1856" i="1" s="1"/>
  <c r="O1856" i="1" s="1"/>
  <c r="P1856" i="1" s="1"/>
  <c r="E1856" i="1"/>
  <c r="P1855" i="1"/>
  <c r="L1855" i="1"/>
  <c r="E1855" i="1"/>
  <c r="H1855" i="1" s="1"/>
  <c r="I1855" i="1" s="1"/>
  <c r="N1855" i="1" s="1"/>
  <c r="O1855" i="1" s="1"/>
  <c r="L1854" i="1"/>
  <c r="E1854" i="1"/>
  <c r="H1854" i="1" s="1"/>
  <c r="I1854" i="1" s="1"/>
  <c r="N1854" i="1" s="1"/>
  <c r="O1854" i="1" s="1"/>
  <c r="P1854" i="1" s="1"/>
  <c r="P1853" i="1"/>
  <c r="L1853" i="1"/>
  <c r="H1853" i="1"/>
  <c r="I1853" i="1" s="1"/>
  <c r="N1853" i="1" s="1"/>
  <c r="O1853" i="1" s="1"/>
  <c r="E1853" i="1"/>
  <c r="L1852" i="1"/>
  <c r="E1852" i="1"/>
  <c r="H1852" i="1" s="1"/>
  <c r="I1852" i="1" s="1"/>
  <c r="N1852" i="1" s="1"/>
  <c r="O1852" i="1" s="1"/>
  <c r="P1852" i="1" s="1"/>
  <c r="L1851" i="1"/>
  <c r="E1851" i="1"/>
  <c r="H1851" i="1" s="1"/>
  <c r="I1851" i="1" s="1"/>
  <c r="N1851" i="1" s="1"/>
  <c r="O1851" i="1" s="1"/>
  <c r="P1851" i="1" s="1"/>
  <c r="L1850" i="1"/>
  <c r="H1850" i="1"/>
  <c r="I1850" i="1" s="1"/>
  <c r="N1850" i="1" s="1"/>
  <c r="O1850" i="1" s="1"/>
  <c r="P1850" i="1" s="1"/>
  <c r="E1850" i="1"/>
  <c r="L1849" i="1"/>
  <c r="I1849" i="1"/>
  <c r="N1849" i="1" s="1"/>
  <c r="O1849" i="1" s="1"/>
  <c r="P1849" i="1" s="1"/>
  <c r="E1849" i="1"/>
  <c r="H1849" i="1" s="1"/>
  <c r="L1848" i="1"/>
  <c r="H1848" i="1"/>
  <c r="I1848" i="1" s="1"/>
  <c r="N1848" i="1" s="1"/>
  <c r="O1848" i="1" s="1"/>
  <c r="P1848" i="1" s="1"/>
  <c r="E1848" i="1"/>
  <c r="L1847" i="1"/>
  <c r="E1847" i="1"/>
  <c r="H1847" i="1" s="1"/>
  <c r="I1847" i="1" s="1"/>
  <c r="N1847" i="1" s="1"/>
  <c r="O1847" i="1" s="1"/>
  <c r="P1847" i="1" s="1"/>
  <c r="O1846" i="1"/>
  <c r="P1846" i="1" s="1"/>
  <c r="L1846" i="1"/>
  <c r="E1846" i="1"/>
  <c r="H1846" i="1" s="1"/>
  <c r="I1846" i="1" s="1"/>
  <c r="N1846" i="1" s="1"/>
  <c r="L1845" i="1"/>
  <c r="H1845" i="1"/>
  <c r="I1845" i="1" s="1"/>
  <c r="N1845" i="1" s="1"/>
  <c r="O1845" i="1" s="1"/>
  <c r="P1845" i="1" s="1"/>
  <c r="E1845" i="1"/>
  <c r="O1844" i="1"/>
  <c r="P1844" i="1" s="1"/>
  <c r="L1844" i="1"/>
  <c r="E1844" i="1"/>
  <c r="H1844" i="1" s="1"/>
  <c r="I1844" i="1" s="1"/>
  <c r="N1844" i="1" s="1"/>
  <c r="L1843" i="1"/>
  <c r="I1843" i="1"/>
  <c r="N1843" i="1" s="1"/>
  <c r="O1843" i="1" s="1"/>
  <c r="P1843" i="1" s="1"/>
  <c r="E1843" i="1"/>
  <c r="H1843" i="1" s="1"/>
  <c r="L1842" i="1"/>
  <c r="H1842" i="1"/>
  <c r="I1842" i="1" s="1"/>
  <c r="N1842" i="1" s="1"/>
  <c r="O1842" i="1" s="1"/>
  <c r="P1842" i="1" s="1"/>
  <c r="E1842" i="1"/>
  <c r="L1841" i="1"/>
  <c r="I1841" i="1"/>
  <c r="N1841" i="1" s="1"/>
  <c r="O1841" i="1" s="1"/>
  <c r="P1841" i="1" s="1"/>
  <c r="E1841" i="1"/>
  <c r="H1841" i="1" s="1"/>
  <c r="L1840" i="1"/>
  <c r="H1840" i="1"/>
  <c r="I1840" i="1" s="1"/>
  <c r="N1840" i="1" s="1"/>
  <c r="O1840" i="1" s="1"/>
  <c r="P1840" i="1" s="1"/>
  <c r="E1840" i="1"/>
  <c r="P1839" i="1"/>
  <c r="L1839" i="1"/>
  <c r="E1839" i="1"/>
  <c r="H1839" i="1" s="1"/>
  <c r="I1839" i="1" s="1"/>
  <c r="N1839" i="1" s="1"/>
  <c r="O1839" i="1" s="1"/>
  <c r="L1838" i="1"/>
  <c r="E1838" i="1"/>
  <c r="H1838" i="1" s="1"/>
  <c r="I1838" i="1" s="1"/>
  <c r="N1838" i="1" s="1"/>
  <c r="O1838" i="1" s="1"/>
  <c r="P1838" i="1" s="1"/>
  <c r="N1837" i="1"/>
  <c r="O1837" i="1" s="1"/>
  <c r="P1837" i="1" s="1"/>
  <c r="L1837" i="1"/>
  <c r="H1837" i="1"/>
  <c r="I1837" i="1" s="1"/>
  <c r="E1837" i="1"/>
  <c r="L1836" i="1"/>
  <c r="E1836" i="1"/>
  <c r="H1836" i="1" s="1"/>
  <c r="I1836" i="1" s="1"/>
  <c r="N1836" i="1" s="1"/>
  <c r="O1836" i="1" s="1"/>
  <c r="P1836" i="1" s="1"/>
  <c r="L1835" i="1"/>
  <c r="I1835" i="1"/>
  <c r="N1835" i="1" s="1"/>
  <c r="O1835" i="1" s="1"/>
  <c r="P1835" i="1" s="1"/>
  <c r="E1835" i="1"/>
  <c r="H1835" i="1" s="1"/>
  <c r="L1834" i="1"/>
  <c r="H1834" i="1"/>
  <c r="I1834" i="1" s="1"/>
  <c r="N1834" i="1" s="1"/>
  <c r="O1834" i="1" s="1"/>
  <c r="P1834" i="1" s="1"/>
  <c r="E1834" i="1"/>
  <c r="L1833" i="1"/>
  <c r="E1833" i="1"/>
  <c r="H1833" i="1" s="1"/>
  <c r="I1833" i="1" s="1"/>
  <c r="N1833" i="1" s="1"/>
  <c r="O1833" i="1" s="1"/>
  <c r="P1833" i="1" s="1"/>
  <c r="L1832" i="1"/>
  <c r="H1832" i="1"/>
  <c r="I1832" i="1" s="1"/>
  <c r="N1832" i="1" s="1"/>
  <c r="O1832" i="1" s="1"/>
  <c r="P1832" i="1" s="1"/>
  <c r="E1832" i="1"/>
  <c r="L1831" i="1"/>
  <c r="E1831" i="1"/>
  <c r="H1831" i="1" s="1"/>
  <c r="I1831" i="1" s="1"/>
  <c r="N1831" i="1" s="1"/>
  <c r="O1831" i="1" s="1"/>
  <c r="P1831" i="1" s="1"/>
  <c r="L1830" i="1"/>
  <c r="E1830" i="1"/>
  <c r="H1830" i="1" s="1"/>
  <c r="I1830" i="1" s="1"/>
  <c r="N1830" i="1" s="1"/>
  <c r="O1830" i="1" s="1"/>
  <c r="P1830" i="1" s="1"/>
  <c r="N1829" i="1"/>
  <c r="O1829" i="1" s="1"/>
  <c r="P1829" i="1" s="1"/>
  <c r="L1829" i="1"/>
  <c r="H1829" i="1"/>
  <c r="I1829" i="1" s="1"/>
  <c r="E1829" i="1"/>
  <c r="L1828" i="1"/>
  <c r="E1828" i="1"/>
  <c r="H1828" i="1" s="1"/>
  <c r="I1828" i="1" s="1"/>
  <c r="L1827" i="1"/>
  <c r="I1827" i="1"/>
  <c r="N1827" i="1" s="1"/>
  <c r="O1827" i="1" s="1"/>
  <c r="P1827" i="1" s="1"/>
  <c r="E1827" i="1"/>
  <c r="H1827" i="1" s="1"/>
  <c r="L1826" i="1"/>
  <c r="H1826" i="1"/>
  <c r="I1826" i="1" s="1"/>
  <c r="E1826" i="1"/>
  <c r="L1825" i="1"/>
  <c r="E1825" i="1"/>
  <c r="H1825" i="1" s="1"/>
  <c r="I1825" i="1" s="1"/>
  <c r="N1825" i="1" s="1"/>
  <c r="O1825" i="1" s="1"/>
  <c r="P1825" i="1" s="1"/>
  <c r="L1824" i="1"/>
  <c r="H1824" i="1"/>
  <c r="I1824" i="1" s="1"/>
  <c r="N1824" i="1" s="1"/>
  <c r="O1824" i="1" s="1"/>
  <c r="P1824" i="1" s="1"/>
  <c r="E1824" i="1"/>
  <c r="L1823" i="1"/>
  <c r="E1823" i="1"/>
  <c r="H1823" i="1" s="1"/>
  <c r="I1823" i="1" s="1"/>
  <c r="N1823" i="1" s="1"/>
  <c r="O1823" i="1" s="1"/>
  <c r="P1823" i="1" s="1"/>
  <c r="L1822" i="1"/>
  <c r="E1822" i="1"/>
  <c r="H1822" i="1" s="1"/>
  <c r="I1822" i="1" s="1"/>
  <c r="N1822" i="1" s="1"/>
  <c r="O1822" i="1" s="1"/>
  <c r="P1822" i="1" s="1"/>
  <c r="L1821" i="1"/>
  <c r="H1821" i="1"/>
  <c r="I1821" i="1" s="1"/>
  <c r="N1821" i="1" s="1"/>
  <c r="O1821" i="1" s="1"/>
  <c r="P1821" i="1" s="1"/>
  <c r="E1821" i="1"/>
  <c r="L1820" i="1"/>
  <c r="E1820" i="1"/>
  <c r="H1820" i="1" s="1"/>
  <c r="I1820" i="1" s="1"/>
  <c r="N1820" i="1" s="1"/>
  <c r="O1820" i="1" s="1"/>
  <c r="P1820" i="1" s="1"/>
  <c r="L1819" i="1"/>
  <c r="E1819" i="1"/>
  <c r="H1819" i="1" s="1"/>
  <c r="I1819" i="1" s="1"/>
  <c r="N1819" i="1" s="1"/>
  <c r="O1819" i="1" s="1"/>
  <c r="P1819" i="1" s="1"/>
  <c r="L1818" i="1"/>
  <c r="H1818" i="1"/>
  <c r="I1818" i="1" s="1"/>
  <c r="E1818" i="1"/>
  <c r="L1817" i="1"/>
  <c r="E1817" i="1"/>
  <c r="H1817" i="1" s="1"/>
  <c r="I1817" i="1" s="1"/>
  <c r="N1817" i="1" s="1"/>
  <c r="O1817" i="1" s="1"/>
  <c r="P1817" i="1" s="1"/>
  <c r="L1816" i="1"/>
  <c r="H1816" i="1"/>
  <c r="I1816" i="1" s="1"/>
  <c r="N1816" i="1" s="1"/>
  <c r="O1816" i="1" s="1"/>
  <c r="P1816" i="1" s="1"/>
  <c r="E1816" i="1"/>
  <c r="L1815" i="1"/>
  <c r="E1815" i="1"/>
  <c r="H1815" i="1" s="1"/>
  <c r="I1815" i="1" s="1"/>
  <c r="N1815" i="1" s="1"/>
  <c r="O1815" i="1" s="1"/>
  <c r="P1815" i="1" s="1"/>
  <c r="L1814" i="1"/>
  <c r="E1814" i="1"/>
  <c r="H1814" i="1" s="1"/>
  <c r="I1814" i="1" s="1"/>
  <c r="N1814" i="1" s="1"/>
  <c r="O1814" i="1" s="1"/>
  <c r="P1814" i="1" s="1"/>
  <c r="P1813" i="1"/>
  <c r="N1813" i="1"/>
  <c r="O1813" i="1" s="1"/>
  <c r="L1813" i="1"/>
  <c r="H1813" i="1"/>
  <c r="I1813" i="1" s="1"/>
  <c r="E1813" i="1"/>
  <c r="L1812" i="1"/>
  <c r="E1812" i="1"/>
  <c r="H1812" i="1" s="1"/>
  <c r="I1812" i="1" s="1"/>
  <c r="N1811" i="1"/>
  <c r="O1811" i="1" s="1"/>
  <c r="P1811" i="1" s="1"/>
  <c r="L1811" i="1"/>
  <c r="E1811" i="1"/>
  <c r="H1811" i="1" s="1"/>
  <c r="I1811" i="1" s="1"/>
  <c r="L1810" i="1"/>
  <c r="H1810" i="1"/>
  <c r="I1810" i="1" s="1"/>
  <c r="E1810" i="1"/>
  <c r="L1809" i="1"/>
  <c r="I1809" i="1"/>
  <c r="N1809" i="1" s="1"/>
  <c r="O1809" i="1" s="1"/>
  <c r="P1809" i="1" s="1"/>
  <c r="E1809" i="1"/>
  <c r="H1809" i="1" s="1"/>
  <c r="L1808" i="1"/>
  <c r="H1808" i="1"/>
  <c r="I1808" i="1" s="1"/>
  <c r="N1808" i="1" s="1"/>
  <c r="O1808" i="1" s="1"/>
  <c r="P1808" i="1" s="1"/>
  <c r="E1808" i="1"/>
  <c r="L1807" i="1"/>
  <c r="E1807" i="1"/>
  <c r="H1807" i="1" s="1"/>
  <c r="I1807" i="1" s="1"/>
  <c r="N1807" i="1" s="1"/>
  <c r="O1807" i="1" s="1"/>
  <c r="P1807" i="1" s="1"/>
  <c r="O1806" i="1"/>
  <c r="P1806" i="1" s="1"/>
  <c r="L1806" i="1"/>
  <c r="E1806" i="1"/>
  <c r="H1806" i="1" s="1"/>
  <c r="I1806" i="1" s="1"/>
  <c r="N1806" i="1" s="1"/>
  <c r="L1805" i="1"/>
  <c r="H1805" i="1"/>
  <c r="I1805" i="1" s="1"/>
  <c r="N1805" i="1" s="1"/>
  <c r="O1805" i="1" s="1"/>
  <c r="P1805" i="1" s="1"/>
  <c r="E1805" i="1"/>
  <c r="L1804" i="1"/>
  <c r="E1804" i="1"/>
  <c r="H1804" i="1" s="1"/>
  <c r="I1804" i="1" s="1"/>
  <c r="L1803" i="1"/>
  <c r="E1803" i="1"/>
  <c r="H1803" i="1" s="1"/>
  <c r="I1803" i="1" s="1"/>
  <c r="N1803" i="1" s="1"/>
  <c r="O1803" i="1" s="1"/>
  <c r="P1803" i="1" s="1"/>
  <c r="L1802" i="1"/>
  <c r="H1802" i="1"/>
  <c r="I1802" i="1" s="1"/>
  <c r="N1802" i="1" s="1"/>
  <c r="O1802" i="1" s="1"/>
  <c r="P1802" i="1" s="1"/>
  <c r="E1802" i="1"/>
  <c r="L1801" i="1"/>
  <c r="E1801" i="1"/>
  <c r="H1801" i="1" s="1"/>
  <c r="I1801" i="1" s="1"/>
  <c r="N1801" i="1" s="1"/>
  <c r="O1801" i="1" s="1"/>
  <c r="P1801" i="1" s="1"/>
  <c r="L1800" i="1"/>
  <c r="H1800" i="1"/>
  <c r="I1800" i="1" s="1"/>
  <c r="N1800" i="1" s="1"/>
  <c r="O1800" i="1" s="1"/>
  <c r="P1800" i="1" s="1"/>
  <c r="E1800" i="1"/>
  <c r="P1799" i="1"/>
  <c r="L1799" i="1"/>
  <c r="E1799" i="1"/>
  <c r="H1799" i="1" s="1"/>
  <c r="I1799" i="1" s="1"/>
  <c r="N1799" i="1" s="1"/>
  <c r="O1799" i="1" s="1"/>
  <c r="O1798" i="1"/>
  <c r="P1798" i="1" s="1"/>
  <c r="L1798" i="1"/>
  <c r="E1798" i="1"/>
  <c r="H1798" i="1" s="1"/>
  <c r="I1798" i="1" s="1"/>
  <c r="N1798" i="1" s="1"/>
  <c r="L1797" i="1"/>
  <c r="H1797" i="1"/>
  <c r="I1797" i="1" s="1"/>
  <c r="N1797" i="1" s="1"/>
  <c r="O1797" i="1" s="1"/>
  <c r="P1797" i="1" s="1"/>
  <c r="E1797" i="1"/>
  <c r="L1796" i="1"/>
  <c r="E1796" i="1"/>
  <c r="H1796" i="1" s="1"/>
  <c r="I1796" i="1" s="1"/>
  <c r="L1795" i="1"/>
  <c r="I1795" i="1"/>
  <c r="N1795" i="1" s="1"/>
  <c r="O1795" i="1" s="1"/>
  <c r="P1795" i="1" s="1"/>
  <c r="E1795" i="1"/>
  <c r="H1795" i="1" s="1"/>
  <c r="L1794" i="1"/>
  <c r="H1794" i="1"/>
  <c r="I1794" i="1" s="1"/>
  <c r="N1794" i="1" s="1"/>
  <c r="O1794" i="1" s="1"/>
  <c r="P1794" i="1" s="1"/>
  <c r="E1794" i="1"/>
  <c r="L1793" i="1"/>
  <c r="I1793" i="1"/>
  <c r="N1793" i="1" s="1"/>
  <c r="O1793" i="1" s="1"/>
  <c r="P1793" i="1" s="1"/>
  <c r="E1793" i="1"/>
  <c r="H1793" i="1" s="1"/>
  <c r="L1792" i="1"/>
  <c r="H1792" i="1"/>
  <c r="I1792" i="1" s="1"/>
  <c r="N1792" i="1" s="1"/>
  <c r="O1792" i="1" s="1"/>
  <c r="P1792" i="1" s="1"/>
  <c r="E1792" i="1"/>
  <c r="P1791" i="1"/>
  <c r="L1791" i="1"/>
  <c r="E1791" i="1"/>
  <c r="H1791" i="1" s="1"/>
  <c r="I1791" i="1" s="1"/>
  <c r="N1791" i="1" s="1"/>
  <c r="O1791" i="1" s="1"/>
  <c r="L1790" i="1"/>
  <c r="E1790" i="1"/>
  <c r="H1790" i="1" s="1"/>
  <c r="I1790" i="1" s="1"/>
  <c r="N1790" i="1" s="1"/>
  <c r="O1790" i="1" s="1"/>
  <c r="P1790" i="1" s="1"/>
  <c r="P1789" i="1"/>
  <c r="L1789" i="1"/>
  <c r="H1789" i="1"/>
  <c r="I1789" i="1" s="1"/>
  <c r="N1789" i="1" s="1"/>
  <c r="O1789" i="1" s="1"/>
  <c r="E1789" i="1"/>
  <c r="L1788" i="1"/>
  <c r="E1788" i="1"/>
  <c r="H1788" i="1" s="1"/>
  <c r="I1788" i="1" s="1"/>
  <c r="N1788" i="1" s="1"/>
  <c r="O1788" i="1" s="1"/>
  <c r="P1788" i="1" s="1"/>
  <c r="L1787" i="1"/>
  <c r="E1787" i="1"/>
  <c r="H1787" i="1" s="1"/>
  <c r="I1787" i="1" s="1"/>
  <c r="N1787" i="1" s="1"/>
  <c r="O1787" i="1" s="1"/>
  <c r="P1787" i="1" s="1"/>
  <c r="L1786" i="1"/>
  <c r="H1786" i="1"/>
  <c r="I1786" i="1" s="1"/>
  <c r="N1786" i="1" s="1"/>
  <c r="O1786" i="1" s="1"/>
  <c r="P1786" i="1" s="1"/>
  <c r="E1786" i="1"/>
  <c r="L1785" i="1"/>
  <c r="I1785" i="1"/>
  <c r="N1785" i="1" s="1"/>
  <c r="O1785" i="1" s="1"/>
  <c r="P1785" i="1" s="1"/>
  <c r="E1785" i="1"/>
  <c r="H1785" i="1" s="1"/>
  <c r="L1784" i="1"/>
  <c r="H1784" i="1"/>
  <c r="I1784" i="1" s="1"/>
  <c r="N1784" i="1" s="1"/>
  <c r="O1784" i="1" s="1"/>
  <c r="P1784" i="1" s="1"/>
  <c r="E1784" i="1"/>
  <c r="L1783" i="1"/>
  <c r="E1783" i="1"/>
  <c r="H1783" i="1" s="1"/>
  <c r="I1783" i="1" s="1"/>
  <c r="N1783" i="1" s="1"/>
  <c r="O1783" i="1" s="1"/>
  <c r="P1783" i="1" s="1"/>
  <c r="O1782" i="1"/>
  <c r="P1782" i="1" s="1"/>
  <c r="L1782" i="1"/>
  <c r="E1782" i="1"/>
  <c r="H1782" i="1" s="1"/>
  <c r="I1782" i="1" s="1"/>
  <c r="N1782" i="1" s="1"/>
  <c r="L1781" i="1"/>
  <c r="H1781" i="1"/>
  <c r="I1781" i="1" s="1"/>
  <c r="N1781" i="1" s="1"/>
  <c r="O1781" i="1" s="1"/>
  <c r="P1781" i="1" s="1"/>
  <c r="E1781" i="1"/>
  <c r="O1780" i="1"/>
  <c r="P1780" i="1" s="1"/>
  <c r="L1780" i="1"/>
  <c r="E1780" i="1"/>
  <c r="H1780" i="1" s="1"/>
  <c r="I1780" i="1" s="1"/>
  <c r="N1780" i="1" s="1"/>
  <c r="L1779" i="1"/>
  <c r="I1779" i="1"/>
  <c r="N1779" i="1" s="1"/>
  <c r="O1779" i="1" s="1"/>
  <c r="P1779" i="1" s="1"/>
  <c r="E1779" i="1"/>
  <c r="H1779" i="1" s="1"/>
  <c r="L1778" i="1"/>
  <c r="H1778" i="1"/>
  <c r="I1778" i="1" s="1"/>
  <c r="E1778" i="1"/>
  <c r="L1777" i="1"/>
  <c r="I1777" i="1"/>
  <c r="N1777" i="1" s="1"/>
  <c r="O1777" i="1" s="1"/>
  <c r="P1777" i="1" s="1"/>
  <c r="E1777" i="1"/>
  <c r="H1777" i="1" s="1"/>
  <c r="L1776" i="1"/>
  <c r="H1776" i="1"/>
  <c r="I1776" i="1" s="1"/>
  <c r="N1776" i="1" s="1"/>
  <c r="O1776" i="1" s="1"/>
  <c r="P1776" i="1" s="1"/>
  <c r="E1776" i="1"/>
  <c r="P1775" i="1"/>
  <c r="L1775" i="1"/>
  <c r="E1775" i="1"/>
  <c r="H1775" i="1" s="1"/>
  <c r="I1775" i="1" s="1"/>
  <c r="N1775" i="1" s="1"/>
  <c r="O1775" i="1" s="1"/>
  <c r="L1774" i="1"/>
  <c r="E1774" i="1"/>
  <c r="H1774" i="1" s="1"/>
  <c r="I1774" i="1" s="1"/>
  <c r="N1774" i="1" s="1"/>
  <c r="O1774" i="1" s="1"/>
  <c r="P1774" i="1" s="1"/>
  <c r="N1773" i="1"/>
  <c r="O1773" i="1" s="1"/>
  <c r="P1773" i="1" s="1"/>
  <c r="L1773" i="1"/>
  <c r="H1773" i="1"/>
  <c r="I1773" i="1" s="1"/>
  <c r="E1773" i="1"/>
  <c r="L1772" i="1"/>
  <c r="E1772" i="1"/>
  <c r="H1772" i="1" s="1"/>
  <c r="I1772" i="1" s="1"/>
  <c r="N1772" i="1" s="1"/>
  <c r="O1772" i="1" s="1"/>
  <c r="P1772" i="1" s="1"/>
  <c r="L1771" i="1"/>
  <c r="I1771" i="1"/>
  <c r="N1771" i="1" s="1"/>
  <c r="O1771" i="1" s="1"/>
  <c r="P1771" i="1" s="1"/>
  <c r="E1771" i="1"/>
  <c r="H1771" i="1" s="1"/>
  <c r="L1770" i="1"/>
  <c r="H1770" i="1"/>
  <c r="I1770" i="1" s="1"/>
  <c r="N1770" i="1" s="1"/>
  <c r="O1770" i="1" s="1"/>
  <c r="P1770" i="1" s="1"/>
  <c r="E1770" i="1"/>
  <c r="L1769" i="1"/>
  <c r="E1769" i="1"/>
  <c r="H1769" i="1" s="1"/>
  <c r="I1769" i="1" s="1"/>
  <c r="N1769" i="1" s="1"/>
  <c r="O1769" i="1" s="1"/>
  <c r="P1769" i="1" s="1"/>
  <c r="L1768" i="1"/>
  <c r="H1768" i="1"/>
  <c r="I1768" i="1" s="1"/>
  <c r="N1768" i="1" s="1"/>
  <c r="O1768" i="1" s="1"/>
  <c r="P1768" i="1" s="1"/>
  <c r="E1768" i="1"/>
  <c r="L1767" i="1"/>
  <c r="E1767" i="1"/>
  <c r="H1767" i="1" s="1"/>
  <c r="I1767" i="1" s="1"/>
  <c r="N1767" i="1" s="1"/>
  <c r="O1767" i="1" s="1"/>
  <c r="P1767" i="1" s="1"/>
  <c r="L1766" i="1"/>
  <c r="E1766" i="1"/>
  <c r="H1766" i="1" s="1"/>
  <c r="I1766" i="1" s="1"/>
  <c r="N1766" i="1" s="1"/>
  <c r="O1766" i="1" s="1"/>
  <c r="P1766" i="1" s="1"/>
  <c r="N1765" i="1"/>
  <c r="O1765" i="1" s="1"/>
  <c r="P1765" i="1" s="1"/>
  <c r="L1765" i="1"/>
  <c r="H1765" i="1"/>
  <c r="I1765" i="1" s="1"/>
  <c r="E1765" i="1"/>
  <c r="L1764" i="1"/>
  <c r="E1764" i="1"/>
  <c r="H1764" i="1" s="1"/>
  <c r="I1764" i="1" s="1"/>
  <c r="N1764" i="1" s="1"/>
  <c r="O1764" i="1" s="1"/>
  <c r="P1764" i="1" s="1"/>
  <c r="L1763" i="1"/>
  <c r="I1763" i="1"/>
  <c r="N1763" i="1" s="1"/>
  <c r="O1763" i="1" s="1"/>
  <c r="P1763" i="1" s="1"/>
  <c r="E1763" i="1"/>
  <c r="H1763" i="1" s="1"/>
  <c r="L1762" i="1"/>
  <c r="H1762" i="1"/>
  <c r="I1762" i="1" s="1"/>
  <c r="E1762" i="1"/>
  <c r="L1761" i="1"/>
  <c r="E1761" i="1"/>
  <c r="H1761" i="1" s="1"/>
  <c r="I1761" i="1" s="1"/>
  <c r="N1761" i="1" s="1"/>
  <c r="O1761" i="1" s="1"/>
  <c r="P1761" i="1" s="1"/>
  <c r="L1760" i="1"/>
  <c r="H1760" i="1"/>
  <c r="I1760" i="1" s="1"/>
  <c r="N1760" i="1" s="1"/>
  <c r="O1760" i="1" s="1"/>
  <c r="P1760" i="1" s="1"/>
  <c r="E1760" i="1"/>
  <c r="L1759" i="1"/>
  <c r="E1759" i="1"/>
  <c r="H1759" i="1" s="1"/>
  <c r="I1759" i="1" s="1"/>
  <c r="N1759" i="1" s="1"/>
  <c r="O1759" i="1" s="1"/>
  <c r="P1759" i="1" s="1"/>
  <c r="L1758" i="1"/>
  <c r="E1758" i="1"/>
  <c r="H1758" i="1" s="1"/>
  <c r="I1758" i="1" s="1"/>
  <c r="N1758" i="1" s="1"/>
  <c r="O1758" i="1" s="1"/>
  <c r="P1758" i="1" s="1"/>
  <c r="L1757" i="1"/>
  <c r="H1757" i="1"/>
  <c r="I1757" i="1" s="1"/>
  <c r="N1757" i="1" s="1"/>
  <c r="O1757" i="1" s="1"/>
  <c r="P1757" i="1" s="1"/>
  <c r="E1757" i="1"/>
  <c r="L1756" i="1"/>
  <c r="E1756" i="1"/>
  <c r="H1756" i="1" s="1"/>
  <c r="I1756" i="1" s="1"/>
  <c r="N1756" i="1" s="1"/>
  <c r="O1756" i="1" s="1"/>
  <c r="P1756" i="1" s="1"/>
  <c r="L1755" i="1"/>
  <c r="E1755" i="1"/>
  <c r="H1755" i="1" s="1"/>
  <c r="I1755" i="1" s="1"/>
  <c r="N1755" i="1" s="1"/>
  <c r="O1755" i="1" s="1"/>
  <c r="P1755" i="1" s="1"/>
  <c r="L1754" i="1"/>
  <c r="H1754" i="1"/>
  <c r="I1754" i="1" s="1"/>
  <c r="E1754" i="1"/>
  <c r="L1753" i="1"/>
  <c r="E1753" i="1"/>
  <c r="H1753" i="1" s="1"/>
  <c r="I1753" i="1" s="1"/>
  <c r="N1753" i="1" s="1"/>
  <c r="O1753" i="1" s="1"/>
  <c r="P1753" i="1" s="1"/>
  <c r="L1752" i="1"/>
  <c r="H1752" i="1"/>
  <c r="I1752" i="1" s="1"/>
  <c r="N1752" i="1" s="1"/>
  <c r="O1752" i="1" s="1"/>
  <c r="P1752" i="1" s="1"/>
  <c r="E1752" i="1"/>
  <c r="L1751" i="1"/>
  <c r="E1751" i="1"/>
  <c r="H1751" i="1" s="1"/>
  <c r="I1751" i="1" s="1"/>
  <c r="N1751" i="1" s="1"/>
  <c r="O1751" i="1" s="1"/>
  <c r="P1751" i="1" s="1"/>
  <c r="L1750" i="1"/>
  <c r="E1750" i="1"/>
  <c r="H1750" i="1" s="1"/>
  <c r="I1750" i="1" s="1"/>
  <c r="N1750" i="1" s="1"/>
  <c r="O1750" i="1" s="1"/>
  <c r="P1750" i="1" s="1"/>
  <c r="P1749" i="1"/>
  <c r="L1749" i="1"/>
  <c r="H1749" i="1"/>
  <c r="I1749" i="1" s="1"/>
  <c r="N1749" i="1" s="1"/>
  <c r="O1749" i="1" s="1"/>
  <c r="E1749" i="1"/>
  <c r="L1748" i="1"/>
  <c r="E1748" i="1"/>
  <c r="H1748" i="1" s="1"/>
  <c r="I1748" i="1" s="1"/>
  <c r="N1748" i="1" s="1"/>
  <c r="O1748" i="1" s="1"/>
  <c r="P1748" i="1" s="1"/>
  <c r="L1747" i="1"/>
  <c r="E1747" i="1"/>
  <c r="H1747" i="1" s="1"/>
  <c r="I1747" i="1" s="1"/>
  <c r="N1747" i="1" s="1"/>
  <c r="O1747" i="1" s="1"/>
  <c r="P1747" i="1" s="1"/>
  <c r="N1746" i="1"/>
  <c r="O1746" i="1" s="1"/>
  <c r="P1746" i="1" s="1"/>
  <c r="L1746" i="1"/>
  <c r="H1746" i="1"/>
  <c r="I1746" i="1" s="1"/>
  <c r="E1746" i="1"/>
  <c r="L1745" i="1"/>
  <c r="I1745" i="1"/>
  <c r="N1745" i="1" s="1"/>
  <c r="O1745" i="1" s="1"/>
  <c r="P1745" i="1" s="1"/>
  <c r="E1745" i="1"/>
  <c r="H1745" i="1" s="1"/>
  <c r="N1744" i="1"/>
  <c r="O1744" i="1" s="1"/>
  <c r="P1744" i="1" s="1"/>
  <c r="L1744" i="1"/>
  <c r="H1744" i="1"/>
  <c r="I1744" i="1" s="1"/>
  <c r="E1744" i="1"/>
  <c r="L1743" i="1"/>
  <c r="E1743" i="1"/>
  <c r="H1743" i="1" s="1"/>
  <c r="I1743" i="1" s="1"/>
  <c r="N1743" i="1" s="1"/>
  <c r="O1743" i="1" s="1"/>
  <c r="P1743" i="1" s="1"/>
  <c r="O1742" i="1"/>
  <c r="P1742" i="1" s="1"/>
  <c r="L1742" i="1"/>
  <c r="E1742" i="1"/>
  <c r="H1742" i="1" s="1"/>
  <c r="I1742" i="1" s="1"/>
  <c r="N1742" i="1" s="1"/>
  <c r="L1741" i="1"/>
  <c r="H1741" i="1"/>
  <c r="I1741" i="1" s="1"/>
  <c r="N1741" i="1" s="1"/>
  <c r="O1741" i="1" s="1"/>
  <c r="P1741" i="1" s="1"/>
  <c r="E1741" i="1"/>
  <c r="L1740" i="1"/>
  <c r="H1740" i="1"/>
  <c r="I1740" i="1" s="1"/>
  <c r="N1740" i="1" s="1"/>
  <c r="O1740" i="1" s="1"/>
  <c r="P1740" i="1" s="1"/>
  <c r="E1740" i="1"/>
  <c r="L1739" i="1"/>
  <c r="E1739" i="1"/>
  <c r="H1739" i="1" s="1"/>
  <c r="I1739" i="1" s="1"/>
  <c r="N1739" i="1" s="1"/>
  <c r="O1739" i="1" s="1"/>
  <c r="P1739" i="1" s="1"/>
  <c r="L1738" i="1"/>
  <c r="H1738" i="1"/>
  <c r="I1738" i="1" s="1"/>
  <c r="N1738" i="1" s="1"/>
  <c r="O1738" i="1" s="1"/>
  <c r="P1738" i="1" s="1"/>
  <c r="E1738" i="1"/>
  <c r="L1737" i="1"/>
  <c r="E1737" i="1"/>
  <c r="H1737" i="1" s="1"/>
  <c r="I1737" i="1" s="1"/>
  <c r="N1737" i="1" s="1"/>
  <c r="O1737" i="1" s="1"/>
  <c r="P1737" i="1" s="1"/>
  <c r="L1736" i="1"/>
  <c r="E1736" i="1"/>
  <c r="H1736" i="1" s="1"/>
  <c r="I1736" i="1" s="1"/>
  <c r="N1736" i="1" s="1"/>
  <c r="O1736" i="1" s="1"/>
  <c r="P1736" i="1" s="1"/>
  <c r="L1735" i="1"/>
  <c r="E1735" i="1"/>
  <c r="H1735" i="1" s="1"/>
  <c r="I1735" i="1" s="1"/>
  <c r="N1735" i="1" s="1"/>
  <c r="O1735" i="1" s="1"/>
  <c r="P1735" i="1" s="1"/>
  <c r="L1734" i="1"/>
  <c r="E1734" i="1"/>
  <c r="H1734" i="1" s="1"/>
  <c r="I1734" i="1" s="1"/>
  <c r="N1734" i="1" s="1"/>
  <c r="O1734" i="1" s="1"/>
  <c r="P1734" i="1" s="1"/>
  <c r="L1733" i="1"/>
  <c r="H1733" i="1"/>
  <c r="I1733" i="1" s="1"/>
  <c r="N1733" i="1" s="1"/>
  <c r="O1733" i="1" s="1"/>
  <c r="P1733" i="1" s="1"/>
  <c r="E1733" i="1"/>
  <c r="N1732" i="1"/>
  <c r="O1732" i="1" s="1"/>
  <c r="P1732" i="1" s="1"/>
  <c r="L1732" i="1"/>
  <c r="E1732" i="1"/>
  <c r="H1732" i="1" s="1"/>
  <c r="I1732" i="1" s="1"/>
  <c r="L1731" i="1"/>
  <c r="E1731" i="1"/>
  <c r="H1731" i="1" s="1"/>
  <c r="I1731" i="1" s="1"/>
  <c r="N1731" i="1" s="1"/>
  <c r="O1731" i="1" s="1"/>
  <c r="P1731" i="1" s="1"/>
  <c r="P1730" i="1"/>
  <c r="L1730" i="1"/>
  <c r="E1730" i="1"/>
  <c r="H1730" i="1" s="1"/>
  <c r="I1730" i="1" s="1"/>
  <c r="N1730" i="1" s="1"/>
  <c r="O1730" i="1" s="1"/>
  <c r="O1729" i="1"/>
  <c r="P1729" i="1" s="1"/>
  <c r="N1729" i="1"/>
  <c r="L1729" i="1"/>
  <c r="H1729" i="1"/>
  <c r="I1729" i="1" s="1"/>
  <c r="E1729" i="1"/>
  <c r="L1728" i="1"/>
  <c r="N1728" i="1" s="1"/>
  <c r="O1728" i="1" s="1"/>
  <c r="P1728" i="1" s="1"/>
  <c r="E1728" i="1"/>
  <c r="H1728" i="1" s="1"/>
  <c r="I1728" i="1" s="1"/>
  <c r="L1727" i="1"/>
  <c r="E1727" i="1"/>
  <c r="H1727" i="1" s="1"/>
  <c r="I1727" i="1" s="1"/>
  <c r="N1727" i="1" s="1"/>
  <c r="O1727" i="1" s="1"/>
  <c r="P1727" i="1" s="1"/>
  <c r="L1726" i="1"/>
  <c r="H1726" i="1"/>
  <c r="I1726" i="1" s="1"/>
  <c r="N1726" i="1" s="1"/>
  <c r="O1726" i="1" s="1"/>
  <c r="P1726" i="1" s="1"/>
  <c r="E1726" i="1"/>
  <c r="L1725" i="1"/>
  <c r="H1725" i="1"/>
  <c r="I1725" i="1" s="1"/>
  <c r="N1725" i="1" s="1"/>
  <c r="O1725" i="1" s="1"/>
  <c r="P1725" i="1" s="1"/>
  <c r="E1725" i="1"/>
  <c r="L1724" i="1"/>
  <c r="E1724" i="1"/>
  <c r="H1724" i="1" s="1"/>
  <c r="I1724" i="1" s="1"/>
  <c r="N1724" i="1" s="1"/>
  <c r="O1724" i="1" s="1"/>
  <c r="P1724" i="1" s="1"/>
  <c r="L1723" i="1"/>
  <c r="H1723" i="1"/>
  <c r="I1723" i="1" s="1"/>
  <c r="N1723" i="1" s="1"/>
  <c r="O1723" i="1" s="1"/>
  <c r="P1723" i="1" s="1"/>
  <c r="E1723" i="1"/>
  <c r="P1722" i="1"/>
  <c r="O1722" i="1"/>
  <c r="L1722" i="1"/>
  <c r="E1722" i="1"/>
  <c r="H1722" i="1" s="1"/>
  <c r="I1722" i="1" s="1"/>
  <c r="N1722" i="1" s="1"/>
  <c r="N1721" i="1"/>
  <c r="O1721" i="1" s="1"/>
  <c r="P1721" i="1" s="1"/>
  <c r="L1721" i="1"/>
  <c r="H1721" i="1"/>
  <c r="I1721" i="1" s="1"/>
  <c r="E1721" i="1"/>
  <c r="L1720" i="1"/>
  <c r="N1720" i="1" s="1"/>
  <c r="O1720" i="1" s="1"/>
  <c r="P1720" i="1" s="1"/>
  <c r="E1720" i="1"/>
  <c r="H1720" i="1" s="1"/>
  <c r="I1720" i="1" s="1"/>
  <c r="L1719" i="1"/>
  <c r="E1719" i="1"/>
  <c r="H1719" i="1" s="1"/>
  <c r="I1719" i="1" s="1"/>
  <c r="N1719" i="1" s="1"/>
  <c r="O1719" i="1" s="1"/>
  <c r="P1719" i="1" s="1"/>
  <c r="L1718" i="1"/>
  <c r="I1718" i="1"/>
  <c r="N1718" i="1" s="1"/>
  <c r="O1718" i="1" s="1"/>
  <c r="P1718" i="1" s="1"/>
  <c r="H1718" i="1"/>
  <c r="E1718" i="1"/>
  <c r="L1717" i="1"/>
  <c r="E1717" i="1"/>
  <c r="H1717" i="1" s="1"/>
  <c r="I1717" i="1" s="1"/>
  <c r="N1717" i="1" s="1"/>
  <c r="O1717" i="1" s="1"/>
  <c r="P1717" i="1" s="1"/>
  <c r="L1716" i="1"/>
  <c r="E1716" i="1"/>
  <c r="H1716" i="1" s="1"/>
  <c r="I1716" i="1" s="1"/>
  <c r="N1716" i="1" s="1"/>
  <c r="O1716" i="1" s="1"/>
  <c r="P1716" i="1" s="1"/>
  <c r="P1715" i="1"/>
  <c r="L1715" i="1"/>
  <c r="H1715" i="1"/>
  <c r="I1715" i="1" s="1"/>
  <c r="N1715" i="1" s="1"/>
  <c r="O1715" i="1" s="1"/>
  <c r="E1715" i="1"/>
  <c r="O1714" i="1"/>
  <c r="P1714" i="1" s="1"/>
  <c r="L1714" i="1"/>
  <c r="E1714" i="1"/>
  <c r="H1714" i="1" s="1"/>
  <c r="I1714" i="1" s="1"/>
  <c r="N1714" i="1" s="1"/>
  <c r="O1713" i="1"/>
  <c r="P1713" i="1" s="1"/>
  <c r="N1713" i="1"/>
  <c r="L1713" i="1"/>
  <c r="H1713" i="1"/>
  <c r="I1713" i="1" s="1"/>
  <c r="E1713" i="1"/>
  <c r="L1712" i="1"/>
  <c r="N1712" i="1" s="1"/>
  <c r="O1712" i="1" s="1"/>
  <c r="P1712" i="1" s="1"/>
  <c r="E1712" i="1"/>
  <c r="H1712" i="1" s="1"/>
  <c r="I1712" i="1" s="1"/>
  <c r="L1711" i="1"/>
  <c r="E1711" i="1"/>
  <c r="H1711" i="1" s="1"/>
  <c r="I1711" i="1" s="1"/>
  <c r="L1710" i="1"/>
  <c r="H1710" i="1"/>
  <c r="I1710" i="1" s="1"/>
  <c r="N1710" i="1" s="1"/>
  <c r="O1710" i="1" s="1"/>
  <c r="P1710" i="1" s="1"/>
  <c r="E1710" i="1"/>
  <c r="L1709" i="1"/>
  <c r="H1709" i="1"/>
  <c r="I1709" i="1" s="1"/>
  <c r="N1709" i="1" s="1"/>
  <c r="O1709" i="1" s="1"/>
  <c r="P1709" i="1" s="1"/>
  <c r="E1709" i="1"/>
  <c r="L1708" i="1"/>
  <c r="E1708" i="1"/>
  <c r="H1708" i="1" s="1"/>
  <c r="I1708" i="1" s="1"/>
  <c r="N1708" i="1" s="1"/>
  <c r="O1708" i="1" s="1"/>
  <c r="P1708" i="1" s="1"/>
  <c r="L1707" i="1"/>
  <c r="H1707" i="1"/>
  <c r="I1707" i="1" s="1"/>
  <c r="N1707" i="1" s="1"/>
  <c r="O1707" i="1" s="1"/>
  <c r="P1707" i="1" s="1"/>
  <c r="E1707" i="1"/>
  <c r="P1706" i="1"/>
  <c r="O1706" i="1"/>
  <c r="L1706" i="1"/>
  <c r="E1706" i="1"/>
  <c r="H1706" i="1" s="1"/>
  <c r="I1706" i="1" s="1"/>
  <c r="N1706" i="1" s="1"/>
  <c r="N1705" i="1"/>
  <c r="O1705" i="1" s="1"/>
  <c r="P1705" i="1" s="1"/>
  <c r="L1705" i="1"/>
  <c r="H1705" i="1"/>
  <c r="I1705" i="1" s="1"/>
  <c r="E1705" i="1"/>
  <c r="L1704" i="1"/>
  <c r="N1704" i="1" s="1"/>
  <c r="O1704" i="1" s="1"/>
  <c r="P1704" i="1" s="1"/>
  <c r="E1704" i="1"/>
  <c r="H1704" i="1" s="1"/>
  <c r="I1704" i="1" s="1"/>
  <c r="L1703" i="1"/>
  <c r="E1703" i="1"/>
  <c r="H1703" i="1" s="1"/>
  <c r="I1703" i="1" s="1"/>
  <c r="N1703" i="1" s="1"/>
  <c r="O1703" i="1" s="1"/>
  <c r="P1703" i="1" s="1"/>
  <c r="L1702" i="1"/>
  <c r="I1702" i="1"/>
  <c r="N1702" i="1" s="1"/>
  <c r="O1702" i="1" s="1"/>
  <c r="P1702" i="1" s="1"/>
  <c r="H1702" i="1"/>
  <c r="E1702" i="1"/>
  <c r="L1701" i="1"/>
  <c r="E1701" i="1"/>
  <c r="H1701" i="1" s="1"/>
  <c r="I1701" i="1" s="1"/>
  <c r="N1701" i="1" s="1"/>
  <c r="O1701" i="1" s="1"/>
  <c r="P1701" i="1" s="1"/>
  <c r="L1700" i="1"/>
  <c r="E1700" i="1"/>
  <c r="H1700" i="1" s="1"/>
  <c r="I1700" i="1" s="1"/>
  <c r="N1700" i="1" s="1"/>
  <c r="O1700" i="1" s="1"/>
  <c r="P1700" i="1" s="1"/>
  <c r="P1699" i="1"/>
  <c r="L1699" i="1"/>
  <c r="H1699" i="1"/>
  <c r="I1699" i="1" s="1"/>
  <c r="N1699" i="1" s="1"/>
  <c r="O1699" i="1" s="1"/>
  <c r="E1699" i="1"/>
  <c r="L1698" i="1"/>
  <c r="E1698" i="1"/>
  <c r="H1698" i="1" s="1"/>
  <c r="I1698" i="1" s="1"/>
  <c r="N1698" i="1" s="1"/>
  <c r="O1698" i="1" s="1"/>
  <c r="P1698" i="1" s="1"/>
  <c r="O1697" i="1"/>
  <c r="P1697" i="1" s="1"/>
  <c r="N1697" i="1"/>
  <c r="L1697" i="1"/>
  <c r="H1697" i="1"/>
  <c r="I1697" i="1" s="1"/>
  <c r="E1697" i="1"/>
  <c r="L1696" i="1"/>
  <c r="E1696" i="1"/>
  <c r="H1696" i="1" s="1"/>
  <c r="I1696" i="1" s="1"/>
  <c r="L1695" i="1"/>
  <c r="E1695" i="1"/>
  <c r="H1695" i="1" s="1"/>
  <c r="I1695" i="1" s="1"/>
  <c r="L1694" i="1"/>
  <c r="H1694" i="1"/>
  <c r="I1694" i="1" s="1"/>
  <c r="N1694" i="1" s="1"/>
  <c r="O1694" i="1" s="1"/>
  <c r="P1694" i="1" s="1"/>
  <c r="E1694" i="1"/>
  <c r="L1693" i="1"/>
  <c r="H1693" i="1"/>
  <c r="I1693" i="1" s="1"/>
  <c r="N1693" i="1" s="1"/>
  <c r="O1693" i="1" s="1"/>
  <c r="P1693" i="1" s="1"/>
  <c r="E1693" i="1"/>
  <c r="L1692" i="1"/>
  <c r="E1692" i="1"/>
  <c r="H1692" i="1" s="1"/>
  <c r="I1692" i="1" s="1"/>
  <c r="N1692" i="1" s="1"/>
  <c r="O1692" i="1" s="1"/>
  <c r="P1692" i="1" s="1"/>
  <c r="L1691" i="1"/>
  <c r="H1691" i="1"/>
  <c r="I1691" i="1" s="1"/>
  <c r="N1691" i="1" s="1"/>
  <c r="O1691" i="1" s="1"/>
  <c r="P1691" i="1" s="1"/>
  <c r="E1691" i="1"/>
  <c r="P1690" i="1"/>
  <c r="L1690" i="1"/>
  <c r="E1690" i="1"/>
  <c r="H1690" i="1" s="1"/>
  <c r="I1690" i="1" s="1"/>
  <c r="N1690" i="1" s="1"/>
  <c r="O1690" i="1" s="1"/>
  <c r="L1689" i="1"/>
  <c r="H1689" i="1"/>
  <c r="I1689" i="1" s="1"/>
  <c r="N1689" i="1" s="1"/>
  <c r="O1689" i="1" s="1"/>
  <c r="P1689" i="1" s="1"/>
  <c r="E1689" i="1"/>
  <c r="L1688" i="1"/>
  <c r="E1688" i="1"/>
  <c r="H1688" i="1" s="1"/>
  <c r="I1688" i="1" s="1"/>
  <c r="N1688" i="1" s="1"/>
  <c r="O1688" i="1" s="1"/>
  <c r="P1688" i="1" s="1"/>
  <c r="L1687" i="1"/>
  <c r="E1687" i="1"/>
  <c r="H1687" i="1" s="1"/>
  <c r="I1687" i="1" s="1"/>
  <c r="N1687" i="1" s="1"/>
  <c r="O1687" i="1" s="1"/>
  <c r="P1687" i="1" s="1"/>
  <c r="L1686" i="1"/>
  <c r="I1686" i="1"/>
  <c r="N1686" i="1" s="1"/>
  <c r="O1686" i="1" s="1"/>
  <c r="P1686" i="1" s="1"/>
  <c r="H1686" i="1"/>
  <c r="E1686" i="1"/>
  <c r="L1685" i="1"/>
  <c r="E1685" i="1"/>
  <c r="H1685" i="1" s="1"/>
  <c r="I1685" i="1" s="1"/>
  <c r="N1685" i="1" s="1"/>
  <c r="O1685" i="1" s="1"/>
  <c r="P1685" i="1" s="1"/>
  <c r="L1684" i="1"/>
  <c r="E1684" i="1"/>
  <c r="H1684" i="1" s="1"/>
  <c r="I1684" i="1" s="1"/>
  <c r="N1684" i="1" s="1"/>
  <c r="O1684" i="1" s="1"/>
  <c r="P1684" i="1" s="1"/>
  <c r="P1683" i="1"/>
  <c r="L1683" i="1"/>
  <c r="H1683" i="1"/>
  <c r="I1683" i="1" s="1"/>
  <c r="N1683" i="1" s="1"/>
  <c r="O1683" i="1" s="1"/>
  <c r="E1683" i="1"/>
  <c r="L1682" i="1"/>
  <c r="E1682" i="1"/>
  <c r="H1682" i="1" s="1"/>
  <c r="I1682" i="1" s="1"/>
  <c r="N1682" i="1" s="1"/>
  <c r="O1682" i="1" s="1"/>
  <c r="P1682" i="1" s="1"/>
  <c r="O1681" i="1"/>
  <c r="P1681" i="1" s="1"/>
  <c r="L1681" i="1"/>
  <c r="H1681" i="1"/>
  <c r="I1681" i="1" s="1"/>
  <c r="N1681" i="1" s="1"/>
  <c r="E1681" i="1"/>
  <c r="L1680" i="1"/>
  <c r="E1680" i="1"/>
  <c r="H1680" i="1" s="1"/>
  <c r="I1680" i="1" s="1"/>
  <c r="N1680" i="1" s="1"/>
  <c r="O1680" i="1" s="1"/>
  <c r="P1680" i="1" s="1"/>
  <c r="L1679" i="1"/>
  <c r="E1679" i="1"/>
  <c r="H1679" i="1" s="1"/>
  <c r="I1679" i="1" s="1"/>
  <c r="N1679" i="1" s="1"/>
  <c r="O1679" i="1" s="1"/>
  <c r="P1679" i="1" s="1"/>
  <c r="L1678" i="1"/>
  <c r="H1678" i="1"/>
  <c r="I1678" i="1" s="1"/>
  <c r="N1678" i="1" s="1"/>
  <c r="O1678" i="1" s="1"/>
  <c r="P1678" i="1" s="1"/>
  <c r="E1678" i="1"/>
  <c r="L1677" i="1"/>
  <c r="H1677" i="1"/>
  <c r="I1677" i="1" s="1"/>
  <c r="N1677" i="1" s="1"/>
  <c r="O1677" i="1" s="1"/>
  <c r="P1677" i="1" s="1"/>
  <c r="E1677" i="1"/>
  <c r="L1676" i="1"/>
  <c r="E1676" i="1"/>
  <c r="H1676" i="1" s="1"/>
  <c r="I1676" i="1" s="1"/>
  <c r="N1676" i="1" s="1"/>
  <c r="O1676" i="1" s="1"/>
  <c r="P1676" i="1" s="1"/>
  <c r="L1675" i="1"/>
  <c r="H1675" i="1"/>
  <c r="I1675" i="1" s="1"/>
  <c r="N1675" i="1" s="1"/>
  <c r="O1675" i="1" s="1"/>
  <c r="P1675" i="1" s="1"/>
  <c r="E1675" i="1"/>
  <c r="L1674" i="1"/>
  <c r="E1674" i="1"/>
  <c r="H1674" i="1" s="1"/>
  <c r="I1674" i="1" s="1"/>
  <c r="N1674" i="1" s="1"/>
  <c r="O1674" i="1" s="1"/>
  <c r="P1674" i="1" s="1"/>
  <c r="L1673" i="1"/>
  <c r="H1673" i="1"/>
  <c r="I1673" i="1" s="1"/>
  <c r="N1673" i="1" s="1"/>
  <c r="O1673" i="1" s="1"/>
  <c r="P1673" i="1" s="1"/>
  <c r="E1673" i="1"/>
  <c r="L1672" i="1"/>
  <c r="E1672" i="1"/>
  <c r="H1672" i="1" s="1"/>
  <c r="I1672" i="1" s="1"/>
  <c r="N1672" i="1" s="1"/>
  <c r="O1672" i="1" s="1"/>
  <c r="P1672" i="1" s="1"/>
  <c r="L1671" i="1"/>
  <c r="E1671" i="1"/>
  <c r="H1671" i="1" s="1"/>
  <c r="I1671" i="1" s="1"/>
  <c r="N1671" i="1" s="1"/>
  <c r="O1671" i="1" s="1"/>
  <c r="P1671" i="1" s="1"/>
  <c r="L1670" i="1"/>
  <c r="I1670" i="1"/>
  <c r="N1670" i="1" s="1"/>
  <c r="O1670" i="1" s="1"/>
  <c r="P1670" i="1" s="1"/>
  <c r="H1670" i="1"/>
  <c r="E1670" i="1"/>
  <c r="L1669" i="1"/>
  <c r="E1669" i="1"/>
  <c r="H1669" i="1" s="1"/>
  <c r="I1669" i="1" s="1"/>
  <c r="N1669" i="1" s="1"/>
  <c r="O1669" i="1" s="1"/>
  <c r="P1669" i="1" s="1"/>
  <c r="L1668" i="1"/>
  <c r="E1668" i="1"/>
  <c r="H1668" i="1" s="1"/>
  <c r="I1668" i="1" s="1"/>
  <c r="N1668" i="1" s="1"/>
  <c r="O1668" i="1" s="1"/>
  <c r="P1668" i="1" s="1"/>
  <c r="P1667" i="1"/>
  <c r="L1667" i="1"/>
  <c r="H1667" i="1"/>
  <c r="I1667" i="1" s="1"/>
  <c r="N1667" i="1" s="1"/>
  <c r="O1667" i="1" s="1"/>
  <c r="E1667" i="1"/>
  <c r="L1666" i="1"/>
  <c r="E1666" i="1"/>
  <c r="H1666" i="1" s="1"/>
  <c r="I1666" i="1" s="1"/>
  <c r="N1666" i="1" s="1"/>
  <c r="O1666" i="1" s="1"/>
  <c r="P1666" i="1" s="1"/>
  <c r="L1665" i="1"/>
  <c r="H1665" i="1"/>
  <c r="I1665" i="1" s="1"/>
  <c r="N1665" i="1" s="1"/>
  <c r="O1665" i="1" s="1"/>
  <c r="P1665" i="1" s="1"/>
  <c r="E1665" i="1"/>
  <c r="L1664" i="1"/>
  <c r="E1664" i="1"/>
  <c r="H1664" i="1" s="1"/>
  <c r="I1664" i="1" s="1"/>
  <c r="L1663" i="1"/>
  <c r="E1663" i="1"/>
  <c r="H1663" i="1" s="1"/>
  <c r="I1663" i="1" s="1"/>
  <c r="L1662" i="1"/>
  <c r="H1662" i="1"/>
  <c r="I1662" i="1" s="1"/>
  <c r="N1662" i="1" s="1"/>
  <c r="O1662" i="1" s="1"/>
  <c r="P1662" i="1" s="1"/>
  <c r="E1662" i="1"/>
  <c r="L1661" i="1"/>
  <c r="H1661" i="1"/>
  <c r="I1661" i="1" s="1"/>
  <c r="N1661" i="1" s="1"/>
  <c r="O1661" i="1" s="1"/>
  <c r="P1661" i="1" s="1"/>
  <c r="E1661" i="1"/>
  <c r="L1660" i="1"/>
  <c r="E1660" i="1"/>
  <c r="H1660" i="1" s="1"/>
  <c r="I1660" i="1" s="1"/>
  <c r="N1660" i="1" s="1"/>
  <c r="O1660" i="1" s="1"/>
  <c r="P1660" i="1" s="1"/>
  <c r="L1659" i="1"/>
  <c r="H1659" i="1"/>
  <c r="I1659" i="1" s="1"/>
  <c r="N1659" i="1" s="1"/>
  <c r="O1659" i="1" s="1"/>
  <c r="P1659" i="1" s="1"/>
  <c r="E1659" i="1"/>
  <c r="L1658" i="1"/>
  <c r="E1658" i="1"/>
  <c r="H1658" i="1" s="1"/>
  <c r="I1658" i="1" s="1"/>
  <c r="N1658" i="1" s="1"/>
  <c r="O1658" i="1" s="1"/>
  <c r="P1658" i="1" s="1"/>
  <c r="L1657" i="1"/>
  <c r="H1657" i="1"/>
  <c r="I1657" i="1" s="1"/>
  <c r="N1657" i="1" s="1"/>
  <c r="O1657" i="1" s="1"/>
  <c r="P1657" i="1" s="1"/>
  <c r="E1657" i="1"/>
  <c r="L1656" i="1"/>
  <c r="E1656" i="1"/>
  <c r="H1656" i="1" s="1"/>
  <c r="I1656" i="1" s="1"/>
  <c r="N1656" i="1" s="1"/>
  <c r="O1656" i="1" s="1"/>
  <c r="P1656" i="1" s="1"/>
  <c r="L1655" i="1"/>
  <c r="E1655" i="1"/>
  <c r="H1655" i="1" s="1"/>
  <c r="I1655" i="1" s="1"/>
  <c r="N1655" i="1" s="1"/>
  <c r="O1655" i="1" s="1"/>
  <c r="P1655" i="1" s="1"/>
  <c r="L1654" i="1"/>
  <c r="I1654" i="1"/>
  <c r="N1654" i="1" s="1"/>
  <c r="O1654" i="1" s="1"/>
  <c r="P1654" i="1" s="1"/>
  <c r="H1654" i="1"/>
  <c r="E1654" i="1"/>
  <c r="L1653" i="1"/>
  <c r="E1653" i="1"/>
  <c r="H1653" i="1" s="1"/>
  <c r="I1653" i="1" s="1"/>
  <c r="N1653" i="1" s="1"/>
  <c r="O1653" i="1" s="1"/>
  <c r="P1653" i="1" s="1"/>
  <c r="L1652" i="1"/>
  <c r="E1652" i="1"/>
  <c r="H1652" i="1" s="1"/>
  <c r="I1652" i="1" s="1"/>
  <c r="N1652" i="1" s="1"/>
  <c r="O1652" i="1" s="1"/>
  <c r="P1652" i="1" s="1"/>
  <c r="P1651" i="1"/>
  <c r="L1651" i="1"/>
  <c r="H1651" i="1"/>
  <c r="I1651" i="1" s="1"/>
  <c r="N1651" i="1" s="1"/>
  <c r="O1651" i="1" s="1"/>
  <c r="E1651" i="1"/>
  <c r="L1650" i="1"/>
  <c r="E1650" i="1"/>
  <c r="H1650" i="1" s="1"/>
  <c r="I1650" i="1" s="1"/>
  <c r="N1650" i="1" s="1"/>
  <c r="O1650" i="1" s="1"/>
  <c r="P1650" i="1" s="1"/>
  <c r="L1649" i="1"/>
  <c r="H1649" i="1"/>
  <c r="I1649" i="1" s="1"/>
  <c r="N1649" i="1" s="1"/>
  <c r="O1649" i="1" s="1"/>
  <c r="P1649" i="1" s="1"/>
  <c r="E1649" i="1"/>
  <c r="L1648" i="1"/>
  <c r="E1648" i="1"/>
  <c r="H1648" i="1" s="1"/>
  <c r="I1648" i="1" s="1"/>
  <c r="N1648" i="1" s="1"/>
  <c r="O1648" i="1" s="1"/>
  <c r="P1648" i="1" s="1"/>
  <c r="L1647" i="1"/>
  <c r="E1647" i="1"/>
  <c r="H1647" i="1" s="1"/>
  <c r="I1647" i="1" s="1"/>
  <c r="N1647" i="1" s="1"/>
  <c r="O1647" i="1" s="1"/>
  <c r="P1647" i="1" s="1"/>
  <c r="L1646" i="1"/>
  <c r="H1646" i="1"/>
  <c r="I1646" i="1" s="1"/>
  <c r="N1646" i="1" s="1"/>
  <c r="O1646" i="1" s="1"/>
  <c r="P1646" i="1" s="1"/>
  <c r="E1646" i="1"/>
  <c r="L1645" i="1"/>
  <c r="H1645" i="1"/>
  <c r="I1645" i="1" s="1"/>
  <c r="N1645" i="1" s="1"/>
  <c r="O1645" i="1" s="1"/>
  <c r="P1645" i="1" s="1"/>
  <c r="E1645" i="1"/>
  <c r="L1644" i="1"/>
  <c r="E1644" i="1"/>
  <c r="H1644" i="1" s="1"/>
  <c r="I1644" i="1" s="1"/>
  <c r="N1644" i="1" s="1"/>
  <c r="O1644" i="1" s="1"/>
  <c r="P1644" i="1" s="1"/>
  <c r="L1643" i="1"/>
  <c r="H1643" i="1"/>
  <c r="I1643" i="1" s="1"/>
  <c r="N1643" i="1" s="1"/>
  <c r="O1643" i="1" s="1"/>
  <c r="P1643" i="1" s="1"/>
  <c r="E1643" i="1"/>
  <c r="L1642" i="1"/>
  <c r="E1642" i="1"/>
  <c r="H1642" i="1" s="1"/>
  <c r="I1642" i="1" s="1"/>
  <c r="N1642" i="1" s="1"/>
  <c r="O1642" i="1" s="1"/>
  <c r="P1642" i="1" s="1"/>
  <c r="L1641" i="1"/>
  <c r="H1641" i="1"/>
  <c r="I1641" i="1" s="1"/>
  <c r="N1641" i="1" s="1"/>
  <c r="O1641" i="1" s="1"/>
  <c r="P1641" i="1" s="1"/>
  <c r="E1641" i="1"/>
  <c r="L1640" i="1"/>
  <c r="E1640" i="1"/>
  <c r="H1640" i="1" s="1"/>
  <c r="I1640" i="1" s="1"/>
  <c r="N1640" i="1" s="1"/>
  <c r="O1640" i="1" s="1"/>
  <c r="P1640" i="1" s="1"/>
  <c r="L1639" i="1"/>
  <c r="E1639" i="1"/>
  <c r="H1639" i="1" s="1"/>
  <c r="I1639" i="1" s="1"/>
  <c r="N1639" i="1" s="1"/>
  <c r="O1639" i="1" s="1"/>
  <c r="P1639" i="1" s="1"/>
  <c r="L1638" i="1"/>
  <c r="I1638" i="1"/>
  <c r="N1638" i="1" s="1"/>
  <c r="O1638" i="1" s="1"/>
  <c r="P1638" i="1" s="1"/>
  <c r="H1638" i="1"/>
  <c r="E1638" i="1"/>
  <c r="L1637" i="1"/>
  <c r="E1637" i="1"/>
  <c r="H1637" i="1" s="1"/>
  <c r="I1637" i="1" s="1"/>
  <c r="N1637" i="1" s="1"/>
  <c r="O1637" i="1" s="1"/>
  <c r="P1637" i="1" s="1"/>
  <c r="L1636" i="1"/>
  <c r="E1636" i="1"/>
  <c r="H1636" i="1" s="1"/>
  <c r="I1636" i="1" s="1"/>
  <c r="N1636" i="1" s="1"/>
  <c r="O1636" i="1" s="1"/>
  <c r="P1636" i="1" s="1"/>
  <c r="P1635" i="1"/>
  <c r="L1635" i="1"/>
  <c r="H1635" i="1"/>
  <c r="I1635" i="1" s="1"/>
  <c r="N1635" i="1" s="1"/>
  <c r="O1635" i="1" s="1"/>
  <c r="E1635" i="1"/>
  <c r="L1634" i="1"/>
  <c r="E1634" i="1"/>
  <c r="H1634" i="1" s="1"/>
  <c r="I1634" i="1" s="1"/>
  <c r="N1634" i="1" s="1"/>
  <c r="O1634" i="1" s="1"/>
  <c r="P1634" i="1" s="1"/>
  <c r="L1633" i="1"/>
  <c r="H1633" i="1"/>
  <c r="I1633" i="1" s="1"/>
  <c r="N1633" i="1" s="1"/>
  <c r="O1633" i="1" s="1"/>
  <c r="P1633" i="1" s="1"/>
  <c r="E1633" i="1"/>
  <c r="L1632" i="1"/>
  <c r="E1632" i="1"/>
  <c r="H1632" i="1" s="1"/>
  <c r="I1632" i="1" s="1"/>
  <c r="L1631" i="1"/>
  <c r="E1631" i="1"/>
  <c r="H1631" i="1" s="1"/>
  <c r="I1631" i="1" s="1"/>
  <c r="N1631" i="1" s="1"/>
  <c r="O1631" i="1" s="1"/>
  <c r="P1631" i="1" s="1"/>
  <c r="L1630" i="1"/>
  <c r="H1630" i="1"/>
  <c r="I1630" i="1" s="1"/>
  <c r="N1630" i="1" s="1"/>
  <c r="O1630" i="1" s="1"/>
  <c r="P1630" i="1" s="1"/>
  <c r="E1630" i="1"/>
  <c r="L1629" i="1"/>
  <c r="H1629" i="1"/>
  <c r="I1629" i="1" s="1"/>
  <c r="N1629" i="1" s="1"/>
  <c r="O1629" i="1" s="1"/>
  <c r="P1629" i="1" s="1"/>
  <c r="E1629" i="1"/>
  <c r="L1628" i="1"/>
  <c r="E1628" i="1"/>
  <c r="H1628" i="1" s="1"/>
  <c r="I1628" i="1" s="1"/>
  <c r="N1628" i="1" s="1"/>
  <c r="O1628" i="1" s="1"/>
  <c r="P1628" i="1" s="1"/>
  <c r="L1627" i="1"/>
  <c r="H1627" i="1"/>
  <c r="I1627" i="1" s="1"/>
  <c r="N1627" i="1" s="1"/>
  <c r="O1627" i="1" s="1"/>
  <c r="P1627" i="1" s="1"/>
  <c r="E1627" i="1"/>
  <c r="L1626" i="1"/>
  <c r="E1626" i="1"/>
  <c r="H1626" i="1" s="1"/>
  <c r="I1626" i="1" s="1"/>
  <c r="N1626" i="1" s="1"/>
  <c r="O1626" i="1" s="1"/>
  <c r="P1626" i="1" s="1"/>
  <c r="L1625" i="1"/>
  <c r="H1625" i="1"/>
  <c r="I1625" i="1" s="1"/>
  <c r="N1625" i="1" s="1"/>
  <c r="O1625" i="1" s="1"/>
  <c r="P1625" i="1" s="1"/>
  <c r="E1625" i="1"/>
  <c r="L1624" i="1"/>
  <c r="E1624" i="1"/>
  <c r="H1624" i="1" s="1"/>
  <c r="I1624" i="1" s="1"/>
  <c r="N1624" i="1" s="1"/>
  <c r="O1624" i="1" s="1"/>
  <c r="P1624" i="1" s="1"/>
  <c r="L1623" i="1"/>
  <c r="E1623" i="1"/>
  <c r="H1623" i="1" s="1"/>
  <c r="I1623" i="1" s="1"/>
  <c r="N1623" i="1" s="1"/>
  <c r="O1623" i="1" s="1"/>
  <c r="P1623" i="1" s="1"/>
  <c r="L1622" i="1"/>
  <c r="I1622" i="1"/>
  <c r="N1622" i="1" s="1"/>
  <c r="O1622" i="1" s="1"/>
  <c r="P1622" i="1" s="1"/>
  <c r="H1622" i="1"/>
  <c r="E1622" i="1"/>
  <c r="L1621" i="1"/>
  <c r="E1621" i="1"/>
  <c r="H1621" i="1" s="1"/>
  <c r="I1621" i="1" s="1"/>
  <c r="N1621" i="1" s="1"/>
  <c r="O1621" i="1" s="1"/>
  <c r="P1621" i="1" s="1"/>
  <c r="L1620" i="1"/>
  <c r="E1620" i="1"/>
  <c r="H1620" i="1" s="1"/>
  <c r="I1620" i="1" s="1"/>
  <c r="N1620" i="1" s="1"/>
  <c r="O1620" i="1" s="1"/>
  <c r="P1620" i="1" s="1"/>
  <c r="P1619" i="1"/>
  <c r="L1619" i="1"/>
  <c r="H1619" i="1"/>
  <c r="I1619" i="1" s="1"/>
  <c r="N1619" i="1" s="1"/>
  <c r="O1619" i="1" s="1"/>
  <c r="E1619" i="1"/>
  <c r="L1618" i="1"/>
  <c r="E1618" i="1"/>
  <c r="H1618" i="1" s="1"/>
  <c r="I1618" i="1" s="1"/>
  <c r="N1618" i="1" s="1"/>
  <c r="O1618" i="1" s="1"/>
  <c r="P1618" i="1" s="1"/>
  <c r="L1617" i="1"/>
  <c r="H1617" i="1"/>
  <c r="I1617" i="1" s="1"/>
  <c r="N1617" i="1" s="1"/>
  <c r="O1617" i="1" s="1"/>
  <c r="P1617" i="1" s="1"/>
  <c r="E1617" i="1"/>
  <c r="L1616" i="1"/>
  <c r="E1616" i="1"/>
  <c r="H1616" i="1" s="1"/>
  <c r="I1616" i="1" s="1"/>
  <c r="L1615" i="1"/>
  <c r="E1615" i="1"/>
  <c r="H1615" i="1" s="1"/>
  <c r="I1615" i="1" s="1"/>
  <c r="N1615" i="1" s="1"/>
  <c r="O1615" i="1" s="1"/>
  <c r="P1615" i="1" s="1"/>
  <c r="L1614" i="1"/>
  <c r="H1614" i="1"/>
  <c r="I1614" i="1" s="1"/>
  <c r="N1614" i="1" s="1"/>
  <c r="O1614" i="1" s="1"/>
  <c r="P1614" i="1" s="1"/>
  <c r="E1614" i="1"/>
  <c r="L1613" i="1"/>
  <c r="H1613" i="1"/>
  <c r="I1613" i="1" s="1"/>
  <c r="N1613" i="1" s="1"/>
  <c r="O1613" i="1" s="1"/>
  <c r="P1613" i="1" s="1"/>
  <c r="E1613" i="1"/>
  <c r="L1612" i="1"/>
  <c r="E1612" i="1"/>
  <c r="H1612" i="1" s="1"/>
  <c r="I1612" i="1" s="1"/>
  <c r="N1612" i="1" s="1"/>
  <c r="O1612" i="1" s="1"/>
  <c r="P1612" i="1" s="1"/>
  <c r="L1611" i="1"/>
  <c r="H1611" i="1"/>
  <c r="I1611" i="1" s="1"/>
  <c r="N1611" i="1" s="1"/>
  <c r="O1611" i="1" s="1"/>
  <c r="P1611" i="1" s="1"/>
  <c r="E1611" i="1"/>
  <c r="P1610" i="1"/>
  <c r="L1610" i="1"/>
  <c r="E1610" i="1"/>
  <c r="H1610" i="1" s="1"/>
  <c r="I1610" i="1" s="1"/>
  <c r="N1610" i="1" s="1"/>
  <c r="O1610" i="1" s="1"/>
  <c r="L1609" i="1"/>
  <c r="H1609" i="1"/>
  <c r="I1609" i="1" s="1"/>
  <c r="N1609" i="1" s="1"/>
  <c r="O1609" i="1" s="1"/>
  <c r="P1609" i="1" s="1"/>
  <c r="E1609" i="1"/>
  <c r="L1608" i="1"/>
  <c r="E1608" i="1"/>
  <c r="H1608" i="1" s="1"/>
  <c r="I1608" i="1" s="1"/>
  <c r="N1608" i="1" s="1"/>
  <c r="O1608" i="1" s="1"/>
  <c r="P1608" i="1" s="1"/>
  <c r="L1607" i="1"/>
  <c r="E1607" i="1"/>
  <c r="H1607" i="1" s="1"/>
  <c r="I1607" i="1" s="1"/>
  <c r="N1607" i="1" s="1"/>
  <c r="O1607" i="1" s="1"/>
  <c r="P1607" i="1" s="1"/>
  <c r="L1606" i="1"/>
  <c r="H1606" i="1"/>
  <c r="I1606" i="1" s="1"/>
  <c r="N1606" i="1" s="1"/>
  <c r="O1606" i="1" s="1"/>
  <c r="P1606" i="1" s="1"/>
  <c r="E1606" i="1"/>
  <c r="L1605" i="1"/>
  <c r="E1605" i="1"/>
  <c r="H1605" i="1" s="1"/>
  <c r="I1605" i="1" s="1"/>
  <c r="N1605" i="1" s="1"/>
  <c r="O1605" i="1" s="1"/>
  <c r="P1605" i="1" s="1"/>
  <c r="L1604" i="1"/>
  <c r="I1604" i="1"/>
  <c r="N1604" i="1" s="1"/>
  <c r="O1604" i="1" s="1"/>
  <c r="P1604" i="1" s="1"/>
  <c r="E1604" i="1"/>
  <c r="H1604" i="1" s="1"/>
  <c r="P1603" i="1"/>
  <c r="L1603" i="1"/>
  <c r="H1603" i="1"/>
  <c r="I1603" i="1" s="1"/>
  <c r="N1603" i="1" s="1"/>
  <c r="O1603" i="1" s="1"/>
  <c r="E1603" i="1"/>
  <c r="P1602" i="1"/>
  <c r="O1602" i="1"/>
  <c r="L1602" i="1"/>
  <c r="E1602" i="1"/>
  <c r="H1602" i="1" s="1"/>
  <c r="I1602" i="1" s="1"/>
  <c r="N1602" i="1" s="1"/>
  <c r="N1601" i="1"/>
  <c r="O1601" i="1" s="1"/>
  <c r="P1601" i="1" s="1"/>
  <c r="L1601" i="1"/>
  <c r="H1601" i="1"/>
  <c r="I1601" i="1" s="1"/>
  <c r="E1601" i="1"/>
  <c r="N1600" i="1"/>
  <c r="O1600" i="1" s="1"/>
  <c r="P1600" i="1" s="1"/>
  <c r="L1600" i="1"/>
  <c r="E1600" i="1"/>
  <c r="H1600" i="1" s="1"/>
  <c r="I1600" i="1" s="1"/>
  <c r="L1599" i="1"/>
  <c r="E1599" i="1"/>
  <c r="H1599" i="1" s="1"/>
  <c r="I1599" i="1" s="1"/>
  <c r="N1599" i="1" s="1"/>
  <c r="O1599" i="1" s="1"/>
  <c r="P1599" i="1" s="1"/>
  <c r="L1598" i="1"/>
  <c r="H1598" i="1"/>
  <c r="I1598" i="1" s="1"/>
  <c r="N1598" i="1" s="1"/>
  <c r="O1598" i="1" s="1"/>
  <c r="P1598" i="1" s="1"/>
  <c r="E1598" i="1"/>
  <c r="L1597" i="1"/>
  <c r="E1597" i="1"/>
  <c r="H1597" i="1" s="1"/>
  <c r="I1597" i="1" s="1"/>
  <c r="N1597" i="1" s="1"/>
  <c r="O1597" i="1" s="1"/>
  <c r="P1597" i="1" s="1"/>
  <c r="L1596" i="1"/>
  <c r="I1596" i="1"/>
  <c r="N1596" i="1" s="1"/>
  <c r="O1596" i="1" s="1"/>
  <c r="P1596" i="1" s="1"/>
  <c r="E1596" i="1"/>
  <c r="H1596" i="1" s="1"/>
  <c r="P1595" i="1"/>
  <c r="L1595" i="1"/>
  <c r="H1595" i="1"/>
  <c r="I1595" i="1" s="1"/>
  <c r="N1595" i="1" s="1"/>
  <c r="O1595" i="1" s="1"/>
  <c r="E1595" i="1"/>
  <c r="P1594" i="1"/>
  <c r="O1594" i="1"/>
  <c r="L1594" i="1"/>
  <c r="E1594" i="1"/>
  <c r="H1594" i="1" s="1"/>
  <c r="I1594" i="1" s="1"/>
  <c r="N1594" i="1" s="1"/>
  <c r="N1593" i="1"/>
  <c r="O1593" i="1" s="1"/>
  <c r="P1593" i="1" s="1"/>
  <c r="L1593" i="1"/>
  <c r="H1593" i="1"/>
  <c r="I1593" i="1" s="1"/>
  <c r="E1593" i="1"/>
  <c r="N1592" i="1"/>
  <c r="O1592" i="1" s="1"/>
  <c r="P1592" i="1" s="1"/>
  <c r="L1592" i="1"/>
  <c r="E1592" i="1"/>
  <c r="H1592" i="1" s="1"/>
  <c r="I1592" i="1" s="1"/>
  <c r="L1591" i="1"/>
  <c r="E1591" i="1"/>
  <c r="H1591" i="1" s="1"/>
  <c r="I1591" i="1" s="1"/>
  <c r="N1591" i="1" s="1"/>
  <c r="O1591" i="1" s="1"/>
  <c r="P1591" i="1" s="1"/>
  <c r="L1590" i="1"/>
  <c r="H1590" i="1"/>
  <c r="I1590" i="1" s="1"/>
  <c r="N1590" i="1" s="1"/>
  <c r="O1590" i="1" s="1"/>
  <c r="P1590" i="1" s="1"/>
  <c r="E1590" i="1"/>
  <c r="L1589" i="1"/>
  <c r="E1589" i="1"/>
  <c r="H1589" i="1" s="1"/>
  <c r="I1589" i="1" s="1"/>
  <c r="N1589" i="1" s="1"/>
  <c r="O1589" i="1" s="1"/>
  <c r="P1589" i="1" s="1"/>
  <c r="L1588" i="1"/>
  <c r="I1588" i="1"/>
  <c r="N1588" i="1" s="1"/>
  <c r="O1588" i="1" s="1"/>
  <c r="P1588" i="1" s="1"/>
  <c r="E1588" i="1"/>
  <c r="H1588" i="1" s="1"/>
  <c r="P1587" i="1"/>
  <c r="L1587" i="1"/>
  <c r="H1587" i="1"/>
  <c r="I1587" i="1" s="1"/>
  <c r="N1587" i="1" s="1"/>
  <c r="O1587" i="1" s="1"/>
  <c r="E1587" i="1"/>
  <c r="P1586" i="1"/>
  <c r="O1586" i="1"/>
  <c r="L1586" i="1"/>
  <c r="E1586" i="1"/>
  <c r="H1586" i="1" s="1"/>
  <c r="I1586" i="1" s="1"/>
  <c r="N1586" i="1" s="1"/>
  <c r="O1585" i="1"/>
  <c r="P1585" i="1" s="1"/>
  <c r="N1585" i="1"/>
  <c r="L1585" i="1"/>
  <c r="H1585" i="1"/>
  <c r="I1585" i="1" s="1"/>
  <c r="E1585" i="1"/>
  <c r="N1584" i="1"/>
  <c r="O1584" i="1" s="1"/>
  <c r="P1584" i="1" s="1"/>
  <c r="L1584" i="1"/>
  <c r="E1584" i="1"/>
  <c r="H1584" i="1" s="1"/>
  <c r="I1584" i="1" s="1"/>
  <c r="L1583" i="1"/>
  <c r="E1583" i="1"/>
  <c r="H1583" i="1" s="1"/>
  <c r="I1583" i="1" s="1"/>
  <c r="N1583" i="1" s="1"/>
  <c r="O1583" i="1" s="1"/>
  <c r="P1583" i="1" s="1"/>
  <c r="N1582" i="1"/>
  <c r="O1582" i="1" s="1"/>
  <c r="P1582" i="1" s="1"/>
  <c r="L1582" i="1"/>
  <c r="I1582" i="1"/>
  <c r="H1582" i="1"/>
  <c r="E1582" i="1"/>
  <c r="L1581" i="1"/>
  <c r="E1581" i="1"/>
  <c r="H1581" i="1" s="1"/>
  <c r="I1581" i="1" s="1"/>
  <c r="N1581" i="1" s="1"/>
  <c r="O1581" i="1" s="1"/>
  <c r="P1581" i="1" s="1"/>
  <c r="L1580" i="1"/>
  <c r="I1580" i="1"/>
  <c r="N1580" i="1" s="1"/>
  <c r="O1580" i="1" s="1"/>
  <c r="P1580" i="1" s="1"/>
  <c r="E1580" i="1"/>
  <c r="H1580" i="1" s="1"/>
  <c r="L1579" i="1"/>
  <c r="H1579" i="1"/>
  <c r="I1579" i="1" s="1"/>
  <c r="E1579" i="1"/>
  <c r="O1578" i="1"/>
  <c r="P1578" i="1" s="1"/>
  <c r="L1578" i="1"/>
  <c r="I1578" i="1"/>
  <c r="N1578" i="1" s="1"/>
  <c r="E1578" i="1"/>
  <c r="H1578" i="1" s="1"/>
  <c r="O1577" i="1"/>
  <c r="P1577" i="1" s="1"/>
  <c r="N1577" i="1"/>
  <c r="L1577" i="1"/>
  <c r="H1577" i="1"/>
  <c r="I1577" i="1" s="1"/>
  <c r="E1577" i="1"/>
  <c r="L1576" i="1"/>
  <c r="E1576" i="1"/>
  <c r="H1576" i="1" s="1"/>
  <c r="I1576" i="1" s="1"/>
  <c r="N1576" i="1" s="1"/>
  <c r="O1576" i="1" s="1"/>
  <c r="P1576" i="1" s="1"/>
  <c r="L1575" i="1"/>
  <c r="E1575" i="1"/>
  <c r="H1575" i="1" s="1"/>
  <c r="I1575" i="1" s="1"/>
  <c r="L1574" i="1"/>
  <c r="I1574" i="1"/>
  <c r="N1574" i="1" s="1"/>
  <c r="O1574" i="1" s="1"/>
  <c r="P1574" i="1" s="1"/>
  <c r="H1574" i="1"/>
  <c r="E1574" i="1"/>
  <c r="L1573" i="1"/>
  <c r="H1573" i="1"/>
  <c r="I1573" i="1" s="1"/>
  <c r="E1573" i="1"/>
  <c r="L1572" i="1"/>
  <c r="E1572" i="1"/>
  <c r="H1572" i="1" s="1"/>
  <c r="I1572" i="1" s="1"/>
  <c r="N1572" i="1" s="1"/>
  <c r="O1572" i="1" s="1"/>
  <c r="P1572" i="1" s="1"/>
  <c r="L1571" i="1"/>
  <c r="H1571" i="1"/>
  <c r="I1571" i="1" s="1"/>
  <c r="E1571" i="1"/>
  <c r="L1570" i="1"/>
  <c r="I1570" i="1"/>
  <c r="N1570" i="1" s="1"/>
  <c r="O1570" i="1" s="1"/>
  <c r="P1570" i="1" s="1"/>
  <c r="E1570" i="1"/>
  <c r="H1570" i="1" s="1"/>
  <c r="O1569" i="1"/>
  <c r="P1569" i="1" s="1"/>
  <c r="N1569" i="1"/>
  <c r="L1569" i="1"/>
  <c r="H1569" i="1"/>
  <c r="I1569" i="1" s="1"/>
  <c r="E1569" i="1"/>
  <c r="N1568" i="1"/>
  <c r="O1568" i="1" s="1"/>
  <c r="P1568" i="1" s="1"/>
  <c r="L1568" i="1"/>
  <c r="E1568" i="1"/>
  <c r="H1568" i="1" s="1"/>
  <c r="I1568" i="1" s="1"/>
  <c r="L1567" i="1"/>
  <c r="E1567" i="1"/>
  <c r="H1567" i="1" s="1"/>
  <c r="I1567" i="1" s="1"/>
  <c r="N1567" i="1" s="1"/>
  <c r="O1567" i="1" s="1"/>
  <c r="P1567" i="1" s="1"/>
  <c r="N1566" i="1"/>
  <c r="O1566" i="1" s="1"/>
  <c r="P1566" i="1" s="1"/>
  <c r="L1566" i="1"/>
  <c r="I1566" i="1"/>
  <c r="H1566" i="1"/>
  <c r="E1566" i="1"/>
  <c r="L1565" i="1"/>
  <c r="E1565" i="1"/>
  <c r="H1565" i="1" s="1"/>
  <c r="I1565" i="1" s="1"/>
  <c r="N1565" i="1" s="1"/>
  <c r="O1565" i="1" s="1"/>
  <c r="P1565" i="1" s="1"/>
  <c r="L1564" i="1"/>
  <c r="I1564" i="1"/>
  <c r="N1564" i="1" s="1"/>
  <c r="O1564" i="1" s="1"/>
  <c r="P1564" i="1" s="1"/>
  <c r="E1564" i="1"/>
  <c r="H1564" i="1" s="1"/>
  <c r="L1563" i="1"/>
  <c r="H1563" i="1"/>
  <c r="I1563" i="1" s="1"/>
  <c r="E1563" i="1"/>
  <c r="O1562" i="1"/>
  <c r="P1562" i="1" s="1"/>
  <c r="L1562" i="1"/>
  <c r="I1562" i="1"/>
  <c r="N1562" i="1" s="1"/>
  <c r="E1562" i="1"/>
  <c r="H1562" i="1" s="1"/>
  <c r="O1561" i="1"/>
  <c r="P1561" i="1" s="1"/>
  <c r="N1561" i="1"/>
  <c r="L1561" i="1"/>
  <c r="H1561" i="1"/>
  <c r="I1561" i="1" s="1"/>
  <c r="E1561" i="1"/>
  <c r="L1560" i="1"/>
  <c r="E1560" i="1"/>
  <c r="H1560" i="1" s="1"/>
  <c r="I1560" i="1" s="1"/>
  <c r="N1560" i="1" s="1"/>
  <c r="O1560" i="1" s="1"/>
  <c r="P1560" i="1" s="1"/>
  <c r="L1559" i="1"/>
  <c r="E1559" i="1"/>
  <c r="H1559" i="1" s="1"/>
  <c r="I1559" i="1" s="1"/>
  <c r="N1559" i="1" s="1"/>
  <c r="O1559" i="1" s="1"/>
  <c r="P1559" i="1" s="1"/>
  <c r="L1558" i="1"/>
  <c r="I1558" i="1"/>
  <c r="N1558" i="1" s="1"/>
  <c r="O1558" i="1" s="1"/>
  <c r="P1558" i="1" s="1"/>
  <c r="H1558" i="1"/>
  <c r="E1558" i="1"/>
  <c r="L1557" i="1"/>
  <c r="H1557" i="1"/>
  <c r="I1557" i="1" s="1"/>
  <c r="E1557" i="1"/>
  <c r="L1556" i="1"/>
  <c r="I1556" i="1"/>
  <c r="N1556" i="1" s="1"/>
  <c r="O1556" i="1" s="1"/>
  <c r="P1556" i="1" s="1"/>
  <c r="E1556" i="1"/>
  <c r="H1556" i="1" s="1"/>
  <c r="P1555" i="1"/>
  <c r="N1555" i="1"/>
  <c r="O1555" i="1" s="1"/>
  <c r="L1555" i="1"/>
  <c r="H1555" i="1"/>
  <c r="I1555" i="1" s="1"/>
  <c r="E1555" i="1"/>
  <c r="O1554" i="1"/>
  <c r="P1554" i="1" s="1"/>
  <c r="L1554" i="1"/>
  <c r="I1554" i="1"/>
  <c r="N1554" i="1" s="1"/>
  <c r="E1554" i="1"/>
  <c r="H1554" i="1" s="1"/>
  <c r="L1553" i="1"/>
  <c r="H1553" i="1"/>
  <c r="I1553" i="1" s="1"/>
  <c r="N1553" i="1" s="1"/>
  <c r="O1553" i="1" s="1"/>
  <c r="P1553" i="1" s="1"/>
  <c r="E1553" i="1"/>
  <c r="L1552" i="1"/>
  <c r="E1552" i="1"/>
  <c r="H1552" i="1" s="1"/>
  <c r="I1552" i="1" s="1"/>
  <c r="N1552" i="1" s="1"/>
  <c r="O1552" i="1" s="1"/>
  <c r="P1552" i="1" s="1"/>
  <c r="L1551" i="1"/>
  <c r="E1551" i="1"/>
  <c r="H1551" i="1" s="1"/>
  <c r="I1551" i="1" s="1"/>
  <c r="N1551" i="1" s="1"/>
  <c r="O1551" i="1" s="1"/>
  <c r="P1551" i="1" s="1"/>
  <c r="L1550" i="1"/>
  <c r="I1550" i="1"/>
  <c r="N1550" i="1" s="1"/>
  <c r="O1550" i="1" s="1"/>
  <c r="P1550" i="1" s="1"/>
  <c r="H1550" i="1"/>
  <c r="E1550" i="1"/>
  <c r="L1549" i="1"/>
  <c r="H1549" i="1"/>
  <c r="I1549" i="1" s="1"/>
  <c r="E1549" i="1"/>
  <c r="L1548" i="1"/>
  <c r="E1548" i="1"/>
  <c r="H1548" i="1" s="1"/>
  <c r="I1548" i="1" s="1"/>
  <c r="N1548" i="1" s="1"/>
  <c r="O1548" i="1" s="1"/>
  <c r="P1548" i="1" s="1"/>
  <c r="L1547" i="1"/>
  <c r="H1547" i="1"/>
  <c r="I1547" i="1" s="1"/>
  <c r="N1547" i="1" s="1"/>
  <c r="O1547" i="1" s="1"/>
  <c r="P1547" i="1" s="1"/>
  <c r="E1547" i="1"/>
  <c r="L1546" i="1"/>
  <c r="I1546" i="1"/>
  <c r="E1546" i="1"/>
  <c r="H1546" i="1" s="1"/>
  <c r="N1545" i="1"/>
  <c r="O1545" i="1" s="1"/>
  <c r="P1545" i="1" s="1"/>
  <c r="L1545" i="1"/>
  <c r="I1545" i="1"/>
  <c r="H1545" i="1"/>
  <c r="E1545" i="1"/>
  <c r="L1544" i="1"/>
  <c r="H1544" i="1"/>
  <c r="I1544" i="1" s="1"/>
  <c r="N1544" i="1" s="1"/>
  <c r="O1544" i="1" s="1"/>
  <c r="P1544" i="1" s="1"/>
  <c r="E1544" i="1"/>
  <c r="O1543" i="1"/>
  <c r="P1543" i="1" s="1"/>
  <c r="L1543" i="1"/>
  <c r="I1543" i="1"/>
  <c r="N1543" i="1" s="1"/>
  <c r="E1543" i="1"/>
  <c r="H1543" i="1" s="1"/>
  <c r="L1542" i="1"/>
  <c r="H1542" i="1"/>
  <c r="I1542" i="1" s="1"/>
  <c r="N1542" i="1" s="1"/>
  <c r="O1542" i="1" s="1"/>
  <c r="P1542" i="1" s="1"/>
  <c r="E1542" i="1"/>
  <c r="L1541" i="1"/>
  <c r="E1541" i="1"/>
  <c r="H1541" i="1" s="1"/>
  <c r="I1541" i="1" s="1"/>
  <c r="N1541" i="1" s="1"/>
  <c r="O1541" i="1" s="1"/>
  <c r="P1541" i="1" s="1"/>
  <c r="N1540" i="1"/>
  <c r="O1540" i="1" s="1"/>
  <c r="P1540" i="1" s="1"/>
  <c r="L1540" i="1"/>
  <c r="I1540" i="1"/>
  <c r="H1540" i="1"/>
  <c r="E1540" i="1"/>
  <c r="L1539" i="1"/>
  <c r="H1539" i="1"/>
  <c r="I1539" i="1" s="1"/>
  <c r="N1539" i="1" s="1"/>
  <c r="O1539" i="1" s="1"/>
  <c r="P1539" i="1" s="1"/>
  <c r="E1539" i="1"/>
  <c r="L1538" i="1"/>
  <c r="I1538" i="1"/>
  <c r="N1538" i="1" s="1"/>
  <c r="O1538" i="1" s="1"/>
  <c r="P1538" i="1" s="1"/>
  <c r="E1538" i="1"/>
  <c r="H1538" i="1" s="1"/>
  <c r="N1537" i="1"/>
  <c r="O1537" i="1" s="1"/>
  <c r="P1537" i="1" s="1"/>
  <c r="L1537" i="1"/>
  <c r="I1537" i="1"/>
  <c r="H1537" i="1"/>
  <c r="E1537" i="1"/>
  <c r="L1536" i="1"/>
  <c r="I1536" i="1"/>
  <c r="N1536" i="1" s="1"/>
  <c r="O1536" i="1" s="1"/>
  <c r="P1536" i="1" s="1"/>
  <c r="H1536" i="1"/>
  <c r="E1536" i="1"/>
  <c r="L1535" i="1"/>
  <c r="H1535" i="1"/>
  <c r="I1535" i="1" s="1"/>
  <c r="E1535" i="1"/>
  <c r="L1534" i="1"/>
  <c r="H1534" i="1"/>
  <c r="I1534" i="1" s="1"/>
  <c r="N1534" i="1" s="1"/>
  <c r="O1534" i="1" s="1"/>
  <c r="P1534" i="1" s="1"/>
  <c r="E1534" i="1"/>
  <c r="L1533" i="1"/>
  <c r="H1533" i="1"/>
  <c r="I1533" i="1" s="1"/>
  <c r="N1533" i="1" s="1"/>
  <c r="O1533" i="1" s="1"/>
  <c r="P1533" i="1" s="1"/>
  <c r="E1533" i="1"/>
  <c r="L1532" i="1"/>
  <c r="E1532" i="1"/>
  <c r="H1532" i="1" s="1"/>
  <c r="I1532" i="1" s="1"/>
  <c r="N1532" i="1" s="1"/>
  <c r="O1532" i="1" s="1"/>
  <c r="P1532" i="1" s="1"/>
  <c r="O1531" i="1"/>
  <c r="P1531" i="1" s="1"/>
  <c r="L1531" i="1"/>
  <c r="H1531" i="1"/>
  <c r="I1531" i="1" s="1"/>
  <c r="N1531" i="1" s="1"/>
  <c r="E1531" i="1"/>
  <c r="O1530" i="1"/>
  <c r="P1530" i="1" s="1"/>
  <c r="L1530" i="1"/>
  <c r="E1530" i="1"/>
  <c r="H1530" i="1" s="1"/>
  <c r="I1530" i="1" s="1"/>
  <c r="N1530" i="1" s="1"/>
  <c r="L1529" i="1"/>
  <c r="H1529" i="1"/>
  <c r="I1529" i="1" s="1"/>
  <c r="N1529" i="1" s="1"/>
  <c r="O1529" i="1" s="1"/>
  <c r="P1529" i="1" s="1"/>
  <c r="E1529" i="1"/>
  <c r="L1528" i="1"/>
  <c r="E1528" i="1"/>
  <c r="H1528" i="1" s="1"/>
  <c r="I1528" i="1" s="1"/>
  <c r="N1528" i="1" s="1"/>
  <c r="O1528" i="1" s="1"/>
  <c r="P1528" i="1" s="1"/>
  <c r="L1527" i="1"/>
  <c r="E1527" i="1"/>
  <c r="H1527" i="1" s="1"/>
  <c r="I1527" i="1" s="1"/>
  <c r="N1527" i="1" s="1"/>
  <c r="O1527" i="1" s="1"/>
  <c r="P1527" i="1" s="1"/>
  <c r="L1526" i="1"/>
  <c r="I1526" i="1"/>
  <c r="N1526" i="1" s="1"/>
  <c r="O1526" i="1" s="1"/>
  <c r="P1526" i="1" s="1"/>
  <c r="H1526" i="1"/>
  <c r="E1526" i="1"/>
  <c r="P1525" i="1"/>
  <c r="N1525" i="1"/>
  <c r="O1525" i="1" s="1"/>
  <c r="L1525" i="1"/>
  <c r="I1525" i="1"/>
  <c r="H1525" i="1"/>
  <c r="E1525" i="1"/>
  <c r="L1524" i="1"/>
  <c r="H1524" i="1"/>
  <c r="I1524" i="1" s="1"/>
  <c r="E1524" i="1"/>
  <c r="L1523" i="1"/>
  <c r="E1523" i="1"/>
  <c r="H1523" i="1" s="1"/>
  <c r="I1523" i="1" s="1"/>
  <c r="N1523" i="1" s="1"/>
  <c r="O1523" i="1" s="1"/>
  <c r="P1523" i="1" s="1"/>
  <c r="L1522" i="1"/>
  <c r="H1522" i="1"/>
  <c r="I1522" i="1" s="1"/>
  <c r="N1522" i="1" s="1"/>
  <c r="O1522" i="1" s="1"/>
  <c r="P1522" i="1" s="1"/>
  <c r="E1522" i="1"/>
  <c r="L1521" i="1"/>
  <c r="E1521" i="1"/>
  <c r="H1521" i="1" s="1"/>
  <c r="I1521" i="1" s="1"/>
  <c r="N1521" i="1" s="1"/>
  <c r="O1521" i="1" s="1"/>
  <c r="P1521" i="1" s="1"/>
  <c r="L1520" i="1"/>
  <c r="H1520" i="1"/>
  <c r="I1520" i="1" s="1"/>
  <c r="N1520" i="1" s="1"/>
  <c r="O1520" i="1" s="1"/>
  <c r="P1520" i="1" s="1"/>
  <c r="E1520" i="1"/>
  <c r="P1519" i="1"/>
  <c r="L1519" i="1"/>
  <c r="E1519" i="1"/>
  <c r="H1519" i="1" s="1"/>
  <c r="I1519" i="1" s="1"/>
  <c r="N1519" i="1" s="1"/>
  <c r="O1519" i="1" s="1"/>
  <c r="L1518" i="1"/>
  <c r="I1518" i="1"/>
  <c r="N1518" i="1" s="1"/>
  <c r="O1518" i="1" s="1"/>
  <c r="P1518" i="1" s="1"/>
  <c r="H1518" i="1"/>
  <c r="E1518" i="1"/>
  <c r="N1517" i="1"/>
  <c r="O1517" i="1" s="1"/>
  <c r="P1517" i="1" s="1"/>
  <c r="L1517" i="1"/>
  <c r="I1517" i="1"/>
  <c r="H1517" i="1"/>
  <c r="E1517" i="1"/>
  <c r="L1516" i="1"/>
  <c r="H1516" i="1"/>
  <c r="I1516" i="1" s="1"/>
  <c r="N1516" i="1" s="1"/>
  <c r="O1516" i="1" s="1"/>
  <c r="P1516" i="1" s="1"/>
  <c r="E1516" i="1"/>
  <c r="L1515" i="1"/>
  <c r="E1515" i="1"/>
  <c r="H1515" i="1" s="1"/>
  <c r="I1515" i="1" s="1"/>
  <c r="N1515" i="1" s="1"/>
  <c r="O1515" i="1" s="1"/>
  <c r="P1515" i="1" s="1"/>
  <c r="L1514" i="1"/>
  <c r="H1514" i="1"/>
  <c r="I1514" i="1" s="1"/>
  <c r="E1514" i="1"/>
  <c r="L1513" i="1"/>
  <c r="E1513" i="1"/>
  <c r="H1513" i="1" s="1"/>
  <c r="I1513" i="1" s="1"/>
  <c r="N1513" i="1" s="1"/>
  <c r="O1513" i="1" s="1"/>
  <c r="P1513" i="1" s="1"/>
  <c r="L1512" i="1"/>
  <c r="H1512" i="1"/>
  <c r="I1512" i="1" s="1"/>
  <c r="N1512" i="1" s="1"/>
  <c r="O1512" i="1" s="1"/>
  <c r="P1512" i="1" s="1"/>
  <c r="E1512" i="1"/>
  <c r="L1511" i="1"/>
  <c r="E1511" i="1"/>
  <c r="H1511" i="1" s="1"/>
  <c r="I1511" i="1" s="1"/>
  <c r="N1511" i="1" s="1"/>
  <c r="O1511" i="1" s="1"/>
  <c r="P1511" i="1" s="1"/>
  <c r="L1510" i="1"/>
  <c r="I1510" i="1"/>
  <c r="N1510" i="1" s="1"/>
  <c r="O1510" i="1" s="1"/>
  <c r="P1510" i="1" s="1"/>
  <c r="H1510" i="1"/>
  <c r="E1510" i="1"/>
  <c r="N1509" i="1"/>
  <c r="O1509" i="1" s="1"/>
  <c r="P1509" i="1" s="1"/>
  <c r="L1509" i="1"/>
  <c r="I1509" i="1"/>
  <c r="H1509" i="1"/>
  <c r="E1509" i="1"/>
  <c r="L1508" i="1"/>
  <c r="H1508" i="1"/>
  <c r="I1508" i="1" s="1"/>
  <c r="E1508" i="1"/>
  <c r="N1507" i="1"/>
  <c r="O1507" i="1" s="1"/>
  <c r="P1507" i="1" s="1"/>
  <c r="L1507" i="1"/>
  <c r="E1507" i="1"/>
  <c r="H1507" i="1" s="1"/>
  <c r="I1507" i="1" s="1"/>
  <c r="L1506" i="1"/>
  <c r="H1506" i="1"/>
  <c r="I1506" i="1" s="1"/>
  <c r="N1506" i="1" s="1"/>
  <c r="O1506" i="1" s="1"/>
  <c r="P1506" i="1" s="1"/>
  <c r="E1506" i="1"/>
  <c r="L1505" i="1"/>
  <c r="I1505" i="1"/>
  <c r="N1505" i="1" s="1"/>
  <c r="O1505" i="1" s="1"/>
  <c r="P1505" i="1" s="1"/>
  <c r="E1505" i="1"/>
  <c r="H1505" i="1" s="1"/>
  <c r="L1504" i="1"/>
  <c r="H1504" i="1"/>
  <c r="I1504" i="1" s="1"/>
  <c r="N1504" i="1" s="1"/>
  <c r="O1504" i="1" s="1"/>
  <c r="P1504" i="1" s="1"/>
  <c r="E1504" i="1"/>
  <c r="L1503" i="1"/>
  <c r="E1503" i="1"/>
  <c r="H1503" i="1" s="1"/>
  <c r="I1503" i="1" s="1"/>
  <c r="N1503" i="1" s="1"/>
  <c r="O1503" i="1" s="1"/>
  <c r="P1503" i="1" s="1"/>
  <c r="O1502" i="1"/>
  <c r="P1502" i="1" s="1"/>
  <c r="L1502" i="1"/>
  <c r="I1502" i="1"/>
  <c r="N1502" i="1" s="1"/>
  <c r="H1502" i="1"/>
  <c r="E1502" i="1"/>
  <c r="P1501" i="1"/>
  <c r="N1501" i="1"/>
  <c r="O1501" i="1" s="1"/>
  <c r="L1501" i="1"/>
  <c r="I1501" i="1"/>
  <c r="H1501" i="1"/>
  <c r="E1501" i="1"/>
  <c r="L1500" i="1"/>
  <c r="H1500" i="1"/>
  <c r="I1500" i="1" s="1"/>
  <c r="N1500" i="1" s="1"/>
  <c r="O1500" i="1" s="1"/>
  <c r="P1500" i="1" s="1"/>
  <c r="E1500" i="1"/>
  <c r="N1499" i="1"/>
  <c r="O1499" i="1" s="1"/>
  <c r="P1499" i="1" s="1"/>
  <c r="L1499" i="1"/>
  <c r="E1499" i="1"/>
  <c r="H1499" i="1" s="1"/>
  <c r="I1499" i="1" s="1"/>
  <c r="L1498" i="1"/>
  <c r="H1498" i="1"/>
  <c r="I1498" i="1" s="1"/>
  <c r="N1498" i="1" s="1"/>
  <c r="O1498" i="1" s="1"/>
  <c r="P1498" i="1" s="1"/>
  <c r="E1498" i="1"/>
  <c r="L1497" i="1"/>
  <c r="I1497" i="1"/>
  <c r="N1497" i="1" s="1"/>
  <c r="O1497" i="1" s="1"/>
  <c r="P1497" i="1" s="1"/>
  <c r="E1497" i="1"/>
  <c r="H1497" i="1" s="1"/>
  <c r="L1496" i="1"/>
  <c r="H1496" i="1"/>
  <c r="I1496" i="1" s="1"/>
  <c r="N1496" i="1" s="1"/>
  <c r="O1496" i="1" s="1"/>
  <c r="P1496" i="1" s="1"/>
  <c r="E1496" i="1"/>
  <c r="P1495" i="1"/>
  <c r="L1495" i="1"/>
  <c r="E1495" i="1"/>
  <c r="H1495" i="1" s="1"/>
  <c r="I1495" i="1" s="1"/>
  <c r="N1495" i="1" s="1"/>
  <c r="O1495" i="1" s="1"/>
  <c r="O1494" i="1"/>
  <c r="P1494" i="1" s="1"/>
  <c r="L1494" i="1"/>
  <c r="I1494" i="1"/>
  <c r="N1494" i="1" s="1"/>
  <c r="H1494" i="1"/>
  <c r="E1494" i="1"/>
  <c r="N1493" i="1"/>
  <c r="O1493" i="1" s="1"/>
  <c r="P1493" i="1" s="1"/>
  <c r="L1493" i="1"/>
  <c r="I1493" i="1"/>
  <c r="H1493" i="1"/>
  <c r="E1493" i="1"/>
  <c r="L1492" i="1"/>
  <c r="H1492" i="1"/>
  <c r="I1492" i="1" s="1"/>
  <c r="N1492" i="1" s="1"/>
  <c r="O1492" i="1" s="1"/>
  <c r="P1492" i="1" s="1"/>
  <c r="E1492" i="1"/>
  <c r="L1491" i="1"/>
  <c r="I1491" i="1"/>
  <c r="N1491" i="1" s="1"/>
  <c r="O1491" i="1" s="1"/>
  <c r="P1491" i="1" s="1"/>
  <c r="E1491" i="1"/>
  <c r="H1491" i="1" s="1"/>
  <c r="L1490" i="1"/>
  <c r="H1490" i="1"/>
  <c r="I1490" i="1" s="1"/>
  <c r="N1490" i="1" s="1"/>
  <c r="O1490" i="1" s="1"/>
  <c r="P1490" i="1" s="1"/>
  <c r="E1490" i="1"/>
  <c r="L1489" i="1"/>
  <c r="E1489" i="1"/>
  <c r="H1489" i="1" s="1"/>
  <c r="I1489" i="1" s="1"/>
  <c r="N1489" i="1" s="1"/>
  <c r="O1489" i="1" s="1"/>
  <c r="P1489" i="1" s="1"/>
  <c r="L1488" i="1"/>
  <c r="H1488" i="1"/>
  <c r="I1488" i="1" s="1"/>
  <c r="N1488" i="1" s="1"/>
  <c r="O1488" i="1" s="1"/>
  <c r="P1488" i="1" s="1"/>
  <c r="E1488" i="1"/>
  <c r="L1487" i="1"/>
  <c r="E1487" i="1"/>
  <c r="H1487" i="1" s="1"/>
  <c r="I1487" i="1" s="1"/>
  <c r="N1487" i="1" s="1"/>
  <c r="O1487" i="1" s="1"/>
  <c r="P1487" i="1" s="1"/>
  <c r="L1486" i="1"/>
  <c r="E1486" i="1"/>
  <c r="H1486" i="1" s="1"/>
  <c r="I1486" i="1" s="1"/>
  <c r="N1486" i="1" s="1"/>
  <c r="O1486" i="1" s="1"/>
  <c r="P1486" i="1" s="1"/>
  <c r="N1485" i="1"/>
  <c r="O1485" i="1" s="1"/>
  <c r="P1485" i="1" s="1"/>
  <c r="L1485" i="1"/>
  <c r="I1485" i="1"/>
  <c r="H1485" i="1"/>
  <c r="E1485" i="1"/>
  <c r="L1484" i="1"/>
  <c r="H1484" i="1"/>
  <c r="I1484" i="1" s="1"/>
  <c r="E1484" i="1"/>
  <c r="L1483" i="1"/>
  <c r="I1483" i="1"/>
  <c r="N1483" i="1" s="1"/>
  <c r="O1483" i="1" s="1"/>
  <c r="P1483" i="1" s="1"/>
  <c r="E1483" i="1"/>
  <c r="H1483" i="1" s="1"/>
  <c r="L1482" i="1"/>
  <c r="H1482" i="1"/>
  <c r="I1482" i="1" s="1"/>
  <c r="E1482" i="1"/>
  <c r="L1481" i="1"/>
  <c r="E1481" i="1"/>
  <c r="H1481" i="1" s="1"/>
  <c r="I1481" i="1" s="1"/>
  <c r="N1481" i="1" s="1"/>
  <c r="O1481" i="1" s="1"/>
  <c r="P1481" i="1" s="1"/>
  <c r="L1480" i="1"/>
  <c r="H1480" i="1"/>
  <c r="I1480" i="1" s="1"/>
  <c r="N1480" i="1" s="1"/>
  <c r="O1480" i="1" s="1"/>
  <c r="P1480" i="1" s="1"/>
  <c r="E1480" i="1"/>
  <c r="P1479" i="1"/>
  <c r="L1479" i="1"/>
  <c r="E1479" i="1"/>
  <c r="H1479" i="1" s="1"/>
  <c r="I1479" i="1" s="1"/>
  <c r="N1479" i="1" s="1"/>
  <c r="O1479" i="1" s="1"/>
  <c r="L1478" i="1"/>
  <c r="E1478" i="1"/>
  <c r="H1478" i="1" s="1"/>
  <c r="I1478" i="1" s="1"/>
  <c r="N1478" i="1" s="1"/>
  <c r="O1478" i="1" s="1"/>
  <c r="P1478" i="1" s="1"/>
  <c r="N1477" i="1"/>
  <c r="O1477" i="1" s="1"/>
  <c r="P1477" i="1" s="1"/>
  <c r="L1477" i="1"/>
  <c r="I1477" i="1"/>
  <c r="H1477" i="1"/>
  <c r="E1477" i="1"/>
  <c r="L1476" i="1"/>
  <c r="H1476" i="1"/>
  <c r="I1476" i="1" s="1"/>
  <c r="E1476" i="1"/>
  <c r="N1475" i="1"/>
  <c r="O1475" i="1" s="1"/>
  <c r="P1475" i="1" s="1"/>
  <c r="L1475" i="1"/>
  <c r="E1475" i="1"/>
  <c r="H1475" i="1" s="1"/>
  <c r="I1475" i="1" s="1"/>
  <c r="L1474" i="1"/>
  <c r="H1474" i="1"/>
  <c r="I1474" i="1" s="1"/>
  <c r="N1474" i="1" s="1"/>
  <c r="O1474" i="1" s="1"/>
  <c r="P1474" i="1" s="1"/>
  <c r="E1474" i="1"/>
  <c r="L1473" i="1"/>
  <c r="I1473" i="1"/>
  <c r="N1473" i="1" s="1"/>
  <c r="O1473" i="1" s="1"/>
  <c r="P1473" i="1" s="1"/>
  <c r="E1473" i="1"/>
  <c r="H1473" i="1" s="1"/>
  <c r="L1472" i="1"/>
  <c r="H1472" i="1"/>
  <c r="I1472" i="1" s="1"/>
  <c r="N1472" i="1" s="1"/>
  <c r="O1472" i="1" s="1"/>
  <c r="P1472" i="1" s="1"/>
  <c r="E1472" i="1"/>
  <c r="L1471" i="1"/>
  <c r="E1471" i="1"/>
  <c r="H1471" i="1" s="1"/>
  <c r="I1471" i="1" s="1"/>
  <c r="N1471" i="1" s="1"/>
  <c r="O1471" i="1" s="1"/>
  <c r="P1471" i="1" s="1"/>
  <c r="O1470" i="1"/>
  <c r="P1470" i="1" s="1"/>
  <c r="L1470" i="1"/>
  <c r="E1470" i="1"/>
  <c r="H1470" i="1" s="1"/>
  <c r="I1470" i="1" s="1"/>
  <c r="N1470" i="1" s="1"/>
  <c r="N1469" i="1"/>
  <c r="O1469" i="1" s="1"/>
  <c r="P1469" i="1" s="1"/>
  <c r="L1469" i="1"/>
  <c r="I1469" i="1"/>
  <c r="H1469" i="1"/>
  <c r="E1469" i="1"/>
  <c r="L1468" i="1"/>
  <c r="H1468" i="1"/>
  <c r="I1468" i="1" s="1"/>
  <c r="N1468" i="1" s="1"/>
  <c r="O1468" i="1" s="1"/>
  <c r="P1468" i="1" s="1"/>
  <c r="E1468" i="1"/>
  <c r="L1467" i="1"/>
  <c r="E1467" i="1"/>
  <c r="H1467" i="1" s="1"/>
  <c r="I1467" i="1" s="1"/>
  <c r="N1467" i="1" s="1"/>
  <c r="O1467" i="1" s="1"/>
  <c r="P1467" i="1" s="1"/>
  <c r="L1466" i="1"/>
  <c r="H1466" i="1"/>
  <c r="I1466" i="1" s="1"/>
  <c r="N1466" i="1" s="1"/>
  <c r="O1466" i="1" s="1"/>
  <c r="P1466" i="1" s="1"/>
  <c r="E1466" i="1"/>
  <c r="L1465" i="1"/>
  <c r="I1465" i="1"/>
  <c r="N1465" i="1" s="1"/>
  <c r="O1465" i="1" s="1"/>
  <c r="P1465" i="1" s="1"/>
  <c r="E1465" i="1"/>
  <c r="H1465" i="1" s="1"/>
  <c r="L1464" i="1"/>
  <c r="H1464" i="1"/>
  <c r="I1464" i="1" s="1"/>
  <c r="N1464" i="1" s="1"/>
  <c r="O1464" i="1" s="1"/>
  <c r="P1464" i="1" s="1"/>
  <c r="E1464" i="1"/>
  <c r="L1463" i="1"/>
  <c r="E1463" i="1"/>
  <c r="H1463" i="1" s="1"/>
  <c r="I1463" i="1" s="1"/>
  <c r="N1463" i="1" s="1"/>
  <c r="O1463" i="1" s="1"/>
  <c r="P1463" i="1" s="1"/>
  <c r="L1462" i="1"/>
  <c r="E1462" i="1"/>
  <c r="H1462" i="1" s="1"/>
  <c r="I1462" i="1" s="1"/>
  <c r="N1462" i="1" s="1"/>
  <c r="O1462" i="1" s="1"/>
  <c r="P1462" i="1" s="1"/>
  <c r="P1461" i="1"/>
  <c r="N1461" i="1"/>
  <c r="O1461" i="1" s="1"/>
  <c r="L1461" i="1"/>
  <c r="I1461" i="1"/>
  <c r="H1461" i="1"/>
  <c r="E1461" i="1"/>
  <c r="L1460" i="1"/>
  <c r="H1460" i="1"/>
  <c r="I1460" i="1" s="1"/>
  <c r="N1460" i="1" s="1"/>
  <c r="O1460" i="1" s="1"/>
  <c r="P1460" i="1" s="1"/>
  <c r="E1460" i="1"/>
  <c r="L1459" i="1"/>
  <c r="E1459" i="1"/>
  <c r="H1459" i="1" s="1"/>
  <c r="I1459" i="1" s="1"/>
  <c r="N1459" i="1" s="1"/>
  <c r="O1459" i="1" s="1"/>
  <c r="P1459" i="1" s="1"/>
  <c r="L1458" i="1"/>
  <c r="H1458" i="1"/>
  <c r="I1458" i="1" s="1"/>
  <c r="N1458" i="1" s="1"/>
  <c r="O1458" i="1" s="1"/>
  <c r="P1458" i="1" s="1"/>
  <c r="E1458" i="1"/>
  <c r="L1457" i="1"/>
  <c r="E1457" i="1"/>
  <c r="H1457" i="1" s="1"/>
  <c r="I1457" i="1" s="1"/>
  <c r="N1457" i="1" s="1"/>
  <c r="O1457" i="1" s="1"/>
  <c r="P1457" i="1" s="1"/>
  <c r="L1456" i="1"/>
  <c r="H1456" i="1"/>
  <c r="I1456" i="1" s="1"/>
  <c r="N1456" i="1" s="1"/>
  <c r="O1456" i="1" s="1"/>
  <c r="P1456" i="1" s="1"/>
  <c r="E1456" i="1"/>
  <c r="P1455" i="1"/>
  <c r="L1455" i="1"/>
  <c r="E1455" i="1"/>
  <c r="H1455" i="1" s="1"/>
  <c r="I1455" i="1" s="1"/>
  <c r="N1455" i="1" s="1"/>
  <c r="O1455" i="1" s="1"/>
  <c r="L1454" i="1"/>
  <c r="E1454" i="1"/>
  <c r="H1454" i="1" s="1"/>
  <c r="I1454" i="1" s="1"/>
  <c r="N1454" i="1" s="1"/>
  <c r="O1454" i="1" s="1"/>
  <c r="P1454" i="1" s="1"/>
  <c r="P1453" i="1"/>
  <c r="N1453" i="1"/>
  <c r="O1453" i="1" s="1"/>
  <c r="L1453" i="1"/>
  <c r="I1453" i="1"/>
  <c r="H1453" i="1"/>
  <c r="E1453" i="1"/>
  <c r="L1452" i="1"/>
  <c r="H1452" i="1"/>
  <c r="I1452" i="1" s="1"/>
  <c r="N1452" i="1" s="1"/>
  <c r="O1452" i="1" s="1"/>
  <c r="P1452" i="1" s="1"/>
  <c r="E1452" i="1"/>
  <c r="L1451" i="1"/>
  <c r="E1451" i="1"/>
  <c r="H1451" i="1" s="1"/>
  <c r="I1451" i="1" s="1"/>
  <c r="N1451" i="1" s="1"/>
  <c r="O1451" i="1" s="1"/>
  <c r="P1451" i="1" s="1"/>
  <c r="L1450" i="1"/>
  <c r="H1450" i="1"/>
  <c r="I1450" i="1" s="1"/>
  <c r="N1450" i="1" s="1"/>
  <c r="O1450" i="1" s="1"/>
  <c r="P1450" i="1" s="1"/>
  <c r="E1450" i="1"/>
  <c r="L1449" i="1"/>
  <c r="I1449" i="1"/>
  <c r="N1449" i="1" s="1"/>
  <c r="O1449" i="1" s="1"/>
  <c r="P1449" i="1" s="1"/>
  <c r="E1449" i="1"/>
  <c r="H1449" i="1" s="1"/>
  <c r="L1448" i="1"/>
  <c r="H1448" i="1"/>
  <c r="I1448" i="1" s="1"/>
  <c r="N1448" i="1" s="1"/>
  <c r="O1448" i="1" s="1"/>
  <c r="P1448" i="1" s="1"/>
  <c r="E1448" i="1"/>
  <c r="P1447" i="1"/>
  <c r="L1447" i="1"/>
  <c r="E1447" i="1"/>
  <c r="H1447" i="1" s="1"/>
  <c r="I1447" i="1" s="1"/>
  <c r="N1447" i="1" s="1"/>
  <c r="O1447" i="1" s="1"/>
  <c r="O1446" i="1"/>
  <c r="P1446" i="1" s="1"/>
  <c r="L1446" i="1"/>
  <c r="E1446" i="1"/>
  <c r="H1446" i="1" s="1"/>
  <c r="I1446" i="1" s="1"/>
  <c r="N1446" i="1" s="1"/>
  <c r="N1445" i="1"/>
  <c r="O1445" i="1" s="1"/>
  <c r="P1445" i="1" s="1"/>
  <c r="L1445" i="1"/>
  <c r="I1445" i="1"/>
  <c r="H1445" i="1"/>
  <c r="E1445" i="1"/>
  <c r="O1444" i="1"/>
  <c r="P1444" i="1" s="1"/>
  <c r="L1444" i="1"/>
  <c r="H1444" i="1"/>
  <c r="I1444" i="1" s="1"/>
  <c r="N1444" i="1" s="1"/>
  <c r="E1444" i="1"/>
  <c r="L1443" i="1"/>
  <c r="E1443" i="1"/>
  <c r="H1443" i="1" s="1"/>
  <c r="I1443" i="1" s="1"/>
  <c r="N1443" i="1" s="1"/>
  <c r="O1443" i="1" s="1"/>
  <c r="P1443" i="1" s="1"/>
  <c r="L1442" i="1"/>
  <c r="H1442" i="1"/>
  <c r="I1442" i="1" s="1"/>
  <c r="E1442" i="1"/>
  <c r="L1441" i="1"/>
  <c r="E1441" i="1"/>
  <c r="H1441" i="1" s="1"/>
  <c r="I1441" i="1" s="1"/>
  <c r="N1441" i="1" s="1"/>
  <c r="O1441" i="1" s="1"/>
  <c r="P1441" i="1" s="1"/>
  <c r="L1440" i="1"/>
  <c r="H1440" i="1"/>
  <c r="I1440" i="1" s="1"/>
  <c r="N1440" i="1" s="1"/>
  <c r="O1440" i="1" s="1"/>
  <c r="P1440" i="1" s="1"/>
  <c r="E1440" i="1"/>
  <c r="L1439" i="1"/>
  <c r="E1439" i="1"/>
  <c r="H1439" i="1" s="1"/>
  <c r="I1439" i="1" s="1"/>
  <c r="N1439" i="1" s="1"/>
  <c r="O1439" i="1" s="1"/>
  <c r="P1439" i="1" s="1"/>
  <c r="O1438" i="1"/>
  <c r="P1438" i="1" s="1"/>
  <c r="L1438" i="1"/>
  <c r="E1438" i="1"/>
  <c r="H1438" i="1" s="1"/>
  <c r="I1438" i="1" s="1"/>
  <c r="N1438" i="1" s="1"/>
  <c r="P1437" i="1"/>
  <c r="N1437" i="1"/>
  <c r="O1437" i="1" s="1"/>
  <c r="L1437" i="1"/>
  <c r="I1437" i="1"/>
  <c r="H1437" i="1"/>
  <c r="E1437" i="1"/>
  <c r="L1436" i="1"/>
  <c r="H1436" i="1"/>
  <c r="I1436" i="1" s="1"/>
  <c r="N1436" i="1" s="1"/>
  <c r="O1436" i="1" s="1"/>
  <c r="P1436" i="1" s="1"/>
  <c r="E1436" i="1"/>
  <c r="L1435" i="1"/>
  <c r="E1435" i="1"/>
  <c r="H1435" i="1" s="1"/>
  <c r="I1435" i="1" s="1"/>
  <c r="N1435" i="1" s="1"/>
  <c r="O1435" i="1" s="1"/>
  <c r="P1435" i="1" s="1"/>
  <c r="L1434" i="1"/>
  <c r="H1434" i="1"/>
  <c r="I1434" i="1" s="1"/>
  <c r="E1434" i="1"/>
  <c r="L1433" i="1"/>
  <c r="E1433" i="1"/>
  <c r="H1433" i="1" s="1"/>
  <c r="I1433" i="1" s="1"/>
  <c r="N1433" i="1" s="1"/>
  <c r="O1433" i="1" s="1"/>
  <c r="P1433" i="1" s="1"/>
  <c r="L1432" i="1"/>
  <c r="H1432" i="1"/>
  <c r="I1432" i="1" s="1"/>
  <c r="N1432" i="1" s="1"/>
  <c r="O1432" i="1" s="1"/>
  <c r="P1432" i="1" s="1"/>
  <c r="E1432" i="1"/>
  <c r="L1431" i="1"/>
  <c r="E1431" i="1"/>
  <c r="H1431" i="1" s="1"/>
  <c r="I1431" i="1" s="1"/>
  <c r="N1431" i="1" s="1"/>
  <c r="O1431" i="1" s="1"/>
  <c r="P1431" i="1" s="1"/>
  <c r="L1430" i="1"/>
  <c r="E1430" i="1"/>
  <c r="H1430" i="1" s="1"/>
  <c r="I1430" i="1" s="1"/>
  <c r="N1430" i="1" s="1"/>
  <c r="O1430" i="1" s="1"/>
  <c r="P1430" i="1" s="1"/>
  <c r="N1429" i="1"/>
  <c r="O1429" i="1" s="1"/>
  <c r="P1429" i="1" s="1"/>
  <c r="L1429" i="1"/>
  <c r="I1429" i="1"/>
  <c r="H1429" i="1"/>
  <c r="E1429" i="1"/>
  <c r="L1428" i="1"/>
  <c r="H1428" i="1"/>
  <c r="I1428" i="1" s="1"/>
  <c r="N1428" i="1" s="1"/>
  <c r="O1428" i="1" s="1"/>
  <c r="P1428" i="1" s="1"/>
  <c r="E1428" i="1"/>
  <c r="L1427" i="1"/>
  <c r="I1427" i="1"/>
  <c r="N1427" i="1" s="1"/>
  <c r="O1427" i="1" s="1"/>
  <c r="P1427" i="1" s="1"/>
  <c r="E1427" i="1"/>
  <c r="H1427" i="1" s="1"/>
  <c r="L1426" i="1"/>
  <c r="H1426" i="1"/>
  <c r="I1426" i="1" s="1"/>
  <c r="N1426" i="1" s="1"/>
  <c r="O1426" i="1" s="1"/>
  <c r="P1426" i="1" s="1"/>
  <c r="E1426" i="1"/>
  <c r="L1425" i="1"/>
  <c r="E1425" i="1"/>
  <c r="H1425" i="1" s="1"/>
  <c r="I1425" i="1" s="1"/>
  <c r="N1425" i="1" s="1"/>
  <c r="O1425" i="1" s="1"/>
  <c r="P1425" i="1" s="1"/>
  <c r="L1424" i="1"/>
  <c r="H1424" i="1"/>
  <c r="I1424" i="1" s="1"/>
  <c r="N1424" i="1" s="1"/>
  <c r="O1424" i="1" s="1"/>
  <c r="P1424" i="1" s="1"/>
  <c r="E1424" i="1"/>
  <c r="L1423" i="1"/>
  <c r="E1423" i="1"/>
  <c r="H1423" i="1" s="1"/>
  <c r="I1423" i="1" s="1"/>
  <c r="N1423" i="1" s="1"/>
  <c r="O1423" i="1" s="1"/>
  <c r="P1423" i="1" s="1"/>
  <c r="L1422" i="1"/>
  <c r="E1422" i="1"/>
  <c r="H1422" i="1" s="1"/>
  <c r="I1422" i="1" s="1"/>
  <c r="N1422" i="1" s="1"/>
  <c r="O1422" i="1" s="1"/>
  <c r="P1422" i="1" s="1"/>
  <c r="N1421" i="1"/>
  <c r="O1421" i="1" s="1"/>
  <c r="P1421" i="1" s="1"/>
  <c r="L1421" i="1"/>
  <c r="I1421" i="1"/>
  <c r="H1421" i="1"/>
  <c r="E1421" i="1"/>
  <c r="L1420" i="1"/>
  <c r="H1420" i="1"/>
  <c r="I1420" i="1" s="1"/>
  <c r="E1420" i="1"/>
  <c r="L1419" i="1"/>
  <c r="I1419" i="1"/>
  <c r="N1419" i="1" s="1"/>
  <c r="O1419" i="1" s="1"/>
  <c r="P1419" i="1" s="1"/>
  <c r="E1419" i="1"/>
  <c r="H1419" i="1" s="1"/>
  <c r="L1418" i="1"/>
  <c r="H1418" i="1"/>
  <c r="I1418" i="1" s="1"/>
  <c r="N1418" i="1" s="1"/>
  <c r="O1418" i="1" s="1"/>
  <c r="P1418" i="1" s="1"/>
  <c r="E1418" i="1"/>
  <c r="L1417" i="1"/>
  <c r="E1417" i="1"/>
  <c r="H1417" i="1" s="1"/>
  <c r="I1417" i="1" s="1"/>
  <c r="N1417" i="1" s="1"/>
  <c r="O1417" i="1" s="1"/>
  <c r="P1417" i="1" s="1"/>
  <c r="L1416" i="1"/>
  <c r="H1416" i="1"/>
  <c r="I1416" i="1" s="1"/>
  <c r="N1416" i="1" s="1"/>
  <c r="O1416" i="1" s="1"/>
  <c r="P1416" i="1" s="1"/>
  <c r="E1416" i="1"/>
  <c r="P1415" i="1"/>
  <c r="L1415" i="1"/>
  <c r="E1415" i="1"/>
  <c r="H1415" i="1" s="1"/>
  <c r="I1415" i="1" s="1"/>
  <c r="N1415" i="1" s="1"/>
  <c r="O1415" i="1" s="1"/>
  <c r="L1414" i="1"/>
  <c r="E1414" i="1"/>
  <c r="H1414" i="1" s="1"/>
  <c r="I1414" i="1" s="1"/>
  <c r="N1414" i="1" s="1"/>
  <c r="O1414" i="1" s="1"/>
  <c r="P1414" i="1" s="1"/>
  <c r="N1413" i="1"/>
  <c r="O1413" i="1" s="1"/>
  <c r="P1413" i="1" s="1"/>
  <c r="L1413" i="1"/>
  <c r="I1413" i="1"/>
  <c r="H1413" i="1"/>
  <c r="E1413" i="1"/>
  <c r="L1412" i="1"/>
  <c r="H1412" i="1"/>
  <c r="I1412" i="1" s="1"/>
  <c r="E1412" i="1"/>
  <c r="N1411" i="1"/>
  <c r="O1411" i="1" s="1"/>
  <c r="P1411" i="1" s="1"/>
  <c r="L1411" i="1"/>
  <c r="E1411" i="1"/>
  <c r="H1411" i="1" s="1"/>
  <c r="I1411" i="1" s="1"/>
  <c r="L1410" i="1"/>
  <c r="H1410" i="1"/>
  <c r="I1410" i="1" s="1"/>
  <c r="N1410" i="1" s="1"/>
  <c r="O1410" i="1" s="1"/>
  <c r="P1410" i="1" s="1"/>
  <c r="E1410" i="1"/>
  <c r="L1409" i="1"/>
  <c r="I1409" i="1"/>
  <c r="N1409" i="1" s="1"/>
  <c r="O1409" i="1" s="1"/>
  <c r="P1409" i="1" s="1"/>
  <c r="E1409" i="1"/>
  <c r="H1409" i="1" s="1"/>
  <c r="L1408" i="1"/>
  <c r="H1408" i="1"/>
  <c r="I1408" i="1" s="1"/>
  <c r="N1408" i="1" s="1"/>
  <c r="O1408" i="1" s="1"/>
  <c r="P1408" i="1" s="1"/>
  <c r="E1408" i="1"/>
  <c r="L1407" i="1"/>
  <c r="E1407" i="1"/>
  <c r="H1407" i="1" s="1"/>
  <c r="I1407" i="1" s="1"/>
  <c r="N1407" i="1" s="1"/>
  <c r="O1407" i="1" s="1"/>
  <c r="P1407" i="1" s="1"/>
  <c r="O1406" i="1"/>
  <c r="P1406" i="1" s="1"/>
  <c r="L1406" i="1"/>
  <c r="E1406" i="1"/>
  <c r="H1406" i="1" s="1"/>
  <c r="I1406" i="1" s="1"/>
  <c r="N1406" i="1" s="1"/>
  <c r="N1405" i="1"/>
  <c r="O1405" i="1" s="1"/>
  <c r="P1405" i="1" s="1"/>
  <c r="L1405" i="1"/>
  <c r="I1405" i="1"/>
  <c r="H1405" i="1"/>
  <c r="E1405" i="1"/>
  <c r="L1404" i="1"/>
  <c r="H1404" i="1"/>
  <c r="I1404" i="1" s="1"/>
  <c r="N1404" i="1" s="1"/>
  <c r="O1404" i="1" s="1"/>
  <c r="P1404" i="1" s="1"/>
  <c r="E1404" i="1"/>
  <c r="L1403" i="1"/>
  <c r="E1403" i="1"/>
  <c r="H1403" i="1" s="1"/>
  <c r="I1403" i="1" s="1"/>
  <c r="N1403" i="1" s="1"/>
  <c r="O1403" i="1" s="1"/>
  <c r="P1403" i="1" s="1"/>
  <c r="L1402" i="1"/>
  <c r="H1402" i="1"/>
  <c r="I1402" i="1" s="1"/>
  <c r="N1402" i="1" s="1"/>
  <c r="O1402" i="1" s="1"/>
  <c r="P1402" i="1" s="1"/>
  <c r="E1402" i="1"/>
  <c r="L1401" i="1"/>
  <c r="I1401" i="1"/>
  <c r="N1401" i="1" s="1"/>
  <c r="O1401" i="1" s="1"/>
  <c r="P1401" i="1" s="1"/>
  <c r="E1401" i="1"/>
  <c r="H1401" i="1" s="1"/>
  <c r="L1400" i="1"/>
  <c r="H1400" i="1"/>
  <c r="I1400" i="1" s="1"/>
  <c r="N1400" i="1" s="1"/>
  <c r="O1400" i="1" s="1"/>
  <c r="P1400" i="1" s="1"/>
  <c r="E1400" i="1"/>
  <c r="L1399" i="1"/>
  <c r="E1399" i="1"/>
  <c r="H1399" i="1" s="1"/>
  <c r="I1399" i="1" s="1"/>
  <c r="N1399" i="1" s="1"/>
  <c r="O1399" i="1" s="1"/>
  <c r="P1399" i="1" s="1"/>
  <c r="L1398" i="1"/>
  <c r="E1398" i="1"/>
  <c r="H1398" i="1" s="1"/>
  <c r="I1398" i="1" s="1"/>
  <c r="N1398" i="1" s="1"/>
  <c r="O1398" i="1" s="1"/>
  <c r="P1398" i="1" s="1"/>
  <c r="P1397" i="1"/>
  <c r="N1397" i="1"/>
  <c r="O1397" i="1" s="1"/>
  <c r="L1397" i="1"/>
  <c r="I1397" i="1"/>
  <c r="H1397" i="1"/>
  <c r="E1397" i="1"/>
  <c r="L1396" i="1"/>
  <c r="H1396" i="1"/>
  <c r="I1396" i="1" s="1"/>
  <c r="N1396" i="1" s="1"/>
  <c r="O1396" i="1" s="1"/>
  <c r="P1396" i="1" s="1"/>
  <c r="E1396" i="1"/>
  <c r="L1395" i="1"/>
  <c r="E1395" i="1"/>
  <c r="H1395" i="1" s="1"/>
  <c r="I1395" i="1" s="1"/>
  <c r="N1395" i="1" s="1"/>
  <c r="O1395" i="1" s="1"/>
  <c r="P1395" i="1" s="1"/>
  <c r="L1394" i="1"/>
  <c r="H1394" i="1"/>
  <c r="I1394" i="1" s="1"/>
  <c r="N1394" i="1" s="1"/>
  <c r="O1394" i="1" s="1"/>
  <c r="P1394" i="1" s="1"/>
  <c r="E1394" i="1"/>
  <c r="L1393" i="1"/>
  <c r="E1393" i="1"/>
  <c r="H1393" i="1" s="1"/>
  <c r="I1393" i="1" s="1"/>
  <c r="N1393" i="1" s="1"/>
  <c r="O1393" i="1" s="1"/>
  <c r="P1393" i="1" s="1"/>
  <c r="L1392" i="1"/>
  <c r="H1392" i="1"/>
  <c r="I1392" i="1" s="1"/>
  <c r="N1392" i="1" s="1"/>
  <c r="O1392" i="1" s="1"/>
  <c r="P1392" i="1" s="1"/>
  <c r="E1392" i="1"/>
  <c r="P1391" i="1"/>
  <c r="L1391" i="1"/>
  <c r="E1391" i="1"/>
  <c r="H1391" i="1" s="1"/>
  <c r="I1391" i="1" s="1"/>
  <c r="N1391" i="1" s="1"/>
  <c r="O1391" i="1" s="1"/>
  <c r="L1390" i="1"/>
  <c r="E1390" i="1"/>
  <c r="H1390" i="1" s="1"/>
  <c r="I1390" i="1" s="1"/>
  <c r="N1390" i="1" s="1"/>
  <c r="O1390" i="1" s="1"/>
  <c r="P1390" i="1" s="1"/>
  <c r="P1389" i="1"/>
  <c r="N1389" i="1"/>
  <c r="O1389" i="1" s="1"/>
  <c r="L1389" i="1"/>
  <c r="I1389" i="1"/>
  <c r="H1389" i="1"/>
  <c r="E1389" i="1"/>
  <c r="L1388" i="1"/>
  <c r="H1388" i="1"/>
  <c r="I1388" i="1" s="1"/>
  <c r="N1388" i="1" s="1"/>
  <c r="O1388" i="1" s="1"/>
  <c r="P1388" i="1" s="1"/>
  <c r="E1388" i="1"/>
  <c r="L1387" i="1"/>
  <c r="E1387" i="1"/>
  <c r="H1387" i="1" s="1"/>
  <c r="I1387" i="1" s="1"/>
  <c r="N1387" i="1" s="1"/>
  <c r="O1387" i="1" s="1"/>
  <c r="P1387" i="1" s="1"/>
  <c r="L1386" i="1"/>
  <c r="H1386" i="1"/>
  <c r="I1386" i="1" s="1"/>
  <c r="N1386" i="1" s="1"/>
  <c r="O1386" i="1" s="1"/>
  <c r="P1386" i="1" s="1"/>
  <c r="E1386" i="1"/>
  <c r="L1385" i="1"/>
  <c r="I1385" i="1"/>
  <c r="N1385" i="1" s="1"/>
  <c r="O1385" i="1" s="1"/>
  <c r="P1385" i="1" s="1"/>
  <c r="E1385" i="1"/>
  <c r="H1385" i="1" s="1"/>
  <c r="L1384" i="1"/>
  <c r="H1384" i="1"/>
  <c r="I1384" i="1" s="1"/>
  <c r="N1384" i="1" s="1"/>
  <c r="O1384" i="1" s="1"/>
  <c r="P1384" i="1" s="1"/>
  <c r="E1384" i="1"/>
  <c r="P1383" i="1"/>
  <c r="L1383" i="1"/>
  <c r="E1383" i="1"/>
  <c r="H1383" i="1" s="1"/>
  <c r="I1383" i="1" s="1"/>
  <c r="N1383" i="1" s="1"/>
  <c r="O1383" i="1" s="1"/>
  <c r="O1382" i="1"/>
  <c r="P1382" i="1" s="1"/>
  <c r="L1382" i="1"/>
  <c r="E1382" i="1"/>
  <c r="H1382" i="1" s="1"/>
  <c r="I1382" i="1" s="1"/>
  <c r="N1382" i="1" s="1"/>
  <c r="N1381" i="1"/>
  <c r="O1381" i="1" s="1"/>
  <c r="P1381" i="1" s="1"/>
  <c r="L1381" i="1"/>
  <c r="I1381" i="1"/>
  <c r="H1381" i="1"/>
  <c r="E1381" i="1"/>
  <c r="O1380" i="1"/>
  <c r="P1380" i="1" s="1"/>
  <c r="L1380" i="1"/>
  <c r="H1380" i="1"/>
  <c r="I1380" i="1" s="1"/>
  <c r="N1380" i="1" s="1"/>
  <c r="E1380" i="1"/>
  <c r="L1379" i="1"/>
  <c r="E1379" i="1"/>
  <c r="H1379" i="1" s="1"/>
  <c r="I1379" i="1" s="1"/>
  <c r="N1379" i="1" s="1"/>
  <c r="O1379" i="1" s="1"/>
  <c r="P1379" i="1" s="1"/>
  <c r="L1378" i="1"/>
  <c r="H1378" i="1"/>
  <c r="I1378" i="1" s="1"/>
  <c r="E1378" i="1"/>
  <c r="L1377" i="1"/>
  <c r="E1377" i="1"/>
  <c r="H1377" i="1" s="1"/>
  <c r="I1377" i="1" s="1"/>
  <c r="N1377" i="1" s="1"/>
  <c r="O1377" i="1" s="1"/>
  <c r="P1377" i="1" s="1"/>
  <c r="L1376" i="1"/>
  <c r="H1376" i="1"/>
  <c r="I1376" i="1" s="1"/>
  <c r="N1376" i="1" s="1"/>
  <c r="O1376" i="1" s="1"/>
  <c r="P1376" i="1" s="1"/>
  <c r="E1376" i="1"/>
  <c r="L1375" i="1"/>
  <c r="E1375" i="1"/>
  <c r="H1375" i="1" s="1"/>
  <c r="I1375" i="1" s="1"/>
  <c r="N1375" i="1" s="1"/>
  <c r="O1375" i="1" s="1"/>
  <c r="P1375" i="1" s="1"/>
  <c r="O1374" i="1"/>
  <c r="P1374" i="1" s="1"/>
  <c r="L1374" i="1"/>
  <c r="E1374" i="1"/>
  <c r="H1374" i="1" s="1"/>
  <c r="I1374" i="1" s="1"/>
  <c r="N1374" i="1" s="1"/>
  <c r="P1373" i="1"/>
  <c r="N1373" i="1"/>
  <c r="O1373" i="1" s="1"/>
  <c r="L1373" i="1"/>
  <c r="I1373" i="1"/>
  <c r="H1373" i="1"/>
  <c r="E1373" i="1"/>
  <c r="L1372" i="1"/>
  <c r="H1372" i="1"/>
  <c r="I1372" i="1" s="1"/>
  <c r="N1372" i="1" s="1"/>
  <c r="O1372" i="1" s="1"/>
  <c r="P1372" i="1" s="1"/>
  <c r="E1372" i="1"/>
  <c r="L1371" i="1"/>
  <c r="E1371" i="1"/>
  <c r="H1371" i="1" s="1"/>
  <c r="I1371" i="1" s="1"/>
  <c r="N1371" i="1" s="1"/>
  <c r="O1371" i="1" s="1"/>
  <c r="P1371" i="1" s="1"/>
  <c r="L1370" i="1"/>
  <c r="H1370" i="1"/>
  <c r="I1370" i="1" s="1"/>
  <c r="E1370" i="1"/>
  <c r="L1369" i="1"/>
  <c r="E1369" i="1"/>
  <c r="H1369" i="1" s="1"/>
  <c r="I1369" i="1" s="1"/>
  <c r="N1369" i="1" s="1"/>
  <c r="O1369" i="1" s="1"/>
  <c r="P1369" i="1" s="1"/>
  <c r="L1368" i="1"/>
  <c r="H1368" i="1"/>
  <c r="I1368" i="1" s="1"/>
  <c r="N1368" i="1" s="1"/>
  <c r="O1368" i="1" s="1"/>
  <c r="P1368" i="1" s="1"/>
  <c r="E1368" i="1"/>
  <c r="L1367" i="1"/>
  <c r="E1367" i="1"/>
  <c r="H1367" i="1" s="1"/>
  <c r="I1367" i="1" s="1"/>
  <c r="N1367" i="1" s="1"/>
  <c r="O1367" i="1" s="1"/>
  <c r="P1367" i="1" s="1"/>
  <c r="L1366" i="1"/>
  <c r="E1366" i="1"/>
  <c r="H1366" i="1" s="1"/>
  <c r="I1366" i="1" s="1"/>
  <c r="N1366" i="1" s="1"/>
  <c r="O1366" i="1" s="1"/>
  <c r="P1366" i="1" s="1"/>
  <c r="N1365" i="1"/>
  <c r="O1365" i="1" s="1"/>
  <c r="P1365" i="1" s="1"/>
  <c r="L1365" i="1"/>
  <c r="I1365" i="1"/>
  <c r="H1365" i="1"/>
  <c r="E1365" i="1"/>
  <c r="L1364" i="1"/>
  <c r="H1364" i="1"/>
  <c r="I1364" i="1" s="1"/>
  <c r="N1364" i="1" s="1"/>
  <c r="O1364" i="1" s="1"/>
  <c r="P1364" i="1" s="1"/>
  <c r="E1364" i="1"/>
  <c r="L1363" i="1"/>
  <c r="I1363" i="1"/>
  <c r="N1363" i="1" s="1"/>
  <c r="O1363" i="1" s="1"/>
  <c r="P1363" i="1" s="1"/>
  <c r="E1363" i="1"/>
  <c r="H1363" i="1" s="1"/>
  <c r="L1362" i="1"/>
  <c r="H1362" i="1"/>
  <c r="I1362" i="1" s="1"/>
  <c r="N1362" i="1" s="1"/>
  <c r="O1362" i="1" s="1"/>
  <c r="P1362" i="1" s="1"/>
  <c r="E1362" i="1"/>
  <c r="L1361" i="1"/>
  <c r="E1361" i="1"/>
  <c r="H1361" i="1" s="1"/>
  <c r="I1361" i="1" s="1"/>
  <c r="N1361" i="1" s="1"/>
  <c r="O1361" i="1" s="1"/>
  <c r="P1361" i="1" s="1"/>
  <c r="L1360" i="1"/>
  <c r="H1360" i="1"/>
  <c r="I1360" i="1" s="1"/>
  <c r="N1360" i="1" s="1"/>
  <c r="O1360" i="1" s="1"/>
  <c r="P1360" i="1" s="1"/>
  <c r="E1360" i="1"/>
  <c r="L1359" i="1"/>
  <c r="E1359" i="1"/>
  <c r="H1359" i="1" s="1"/>
  <c r="I1359" i="1" s="1"/>
  <c r="N1359" i="1" s="1"/>
  <c r="O1359" i="1" s="1"/>
  <c r="P1359" i="1" s="1"/>
  <c r="L1358" i="1"/>
  <c r="E1358" i="1"/>
  <c r="H1358" i="1" s="1"/>
  <c r="I1358" i="1" s="1"/>
  <c r="N1358" i="1" s="1"/>
  <c r="O1358" i="1" s="1"/>
  <c r="P1358" i="1" s="1"/>
  <c r="N1357" i="1"/>
  <c r="O1357" i="1" s="1"/>
  <c r="P1357" i="1" s="1"/>
  <c r="L1357" i="1"/>
  <c r="I1357" i="1"/>
  <c r="H1357" i="1"/>
  <c r="E1357" i="1"/>
  <c r="L1356" i="1"/>
  <c r="H1356" i="1"/>
  <c r="I1356" i="1" s="1"/>
  <c r="E1356" i="1"/>
  <c r="L1355" i="1"/>
  <c r="I1355" i="1"/>
  <c r="N1355" i="1" s="1"/>
  <c r="O1355" i="1" s="1"/>
  <c r="P1355" i="1" s="1"/>
  <c r="E1355" i="1"/>
  <c r="H1355" i="1" s="1"/>
  <c r="L1354" i="1"/>
  <c r="H1354" i="1"/>
  <c r="I1354" i="1" s="1"/>
  <c r="E1354" i="1"/>
  <c r="L1353" i="1"/>
  <c r="E1353" i="1"/>
  <c r="H1353" i="1" s="1"/>
  <c r="I1353" i="1" s="1"/>
  <c r="N1353" i="1" s="1"/>
  <c r="O1353" i="1" s="1"/>
  <c r="P1353" i="1" s="1"/>
  <c r="L1352" i="1"/>
  <c r="H1352" i="1"/>
  <c r="I1352" i="1" s="1"/>
  <c r="N1352" i="1" s="1"/>
  <c r="O1352" i="1" s="1"/>
  <c r="P1352" i="1" s="1"/>
  <c r="E1352" i="1"/>
  <c r="P1351" i="1"/>
  <c r="L1351" i="1"/>
  <c r="E1351" i="1"/>
  <c r="H1351" i="1" s="1"/>
  <c r="I1351" i="1" s="1"/>
  <c r="N1351" i="1" s="1"/>
  <c r="O1351" i="1" s="1"/>
  <c r="L1350" i="1"/>
  <c r="E1350" i="1"/>
  <c r="H1350" i="1" s="1"/>
  <c r="I1350" i="1" s="1"/>
  <c r="N1350" i="1" s="1"/>
  <c r="O1350" i="1" s="1"/>
  <c r="P1350" i="1" s="1"/>
  <c r="N1349" i="1"/>
  <c r="O1349" i="1" s="1"/>
  <c r="P1349" i="1" s="1"/>
  <c r="L1349" i="1"/>
  <c r="I1349" i="1"/>
  <c r="H1349" i="1"/>
  <c r="E1349" i="1"/>
  <c r="L1348" i="1"/>
  <c r="H1348" i="1"/>
  <c r="I1348" i="1" s="1"/>
  <c r="E1348" i="1"/>
  <c r="L1347" i="1"/>
  <c r="E1347" i="1"/>
  <c r="H1347" i="1" s="1"/>
  <c r="I1347" i="1" s="1"/>
  <c r="N1347" i="1" s="1"/>
  <c r="O1347" i="1" s="1"/>
  <c r="P1347" i="1" s="1"/>
  <c r="L1346" i="1"/>
  <c r="H1346" i="1"/>
  <c r="I1346" i="1" s="1"/>
  <c r="N1346" i="1" s="1"/>
  <c r="O1346" i="1" s="1"/>
  <c r="P1346" i="1" s="1"/>
  <c r="E1346" i="1"/>
  <c r="L1345" i="1"/>
  <c r="I1345" i="1"/>
  <c r="N1345" i="1" s="1"/>
  <c r="O1345" i="1" s="1"/>
  <c r="P1345" i="1" s="1"/>
  <c r="E1345" i="1"/>
  <c r="H1345" i="1" s="1"/>
  <c r="L1344" i="1"/>
  <c r="H1344" i="1"/>
  <c r="I1344" i="1" s="1"/>
  <c r="N1344" i="1" s="1"/>
  <c r="O1344" i="1" s="1"/>
  <c r="P1344" i="1" s="1"/>
  <c r="E1344" i="1"/>
  <c r="L1343" i="1"/>
  <c r="E1343" i="1"/>
  <c r="H1343" i="1" s="1"/>
  <c r="I1343" i="1" s="1"/>
  <c r="N1343" i="1" s="1"/>
  <c r="O1343" i="1" s="1"/>
  <c r="P1343" i="1" s="1"/>
  <c r="O1342" i="1"/>
  <c r="P1342" i="1" s="1"/>
  <c r="L1342" i="1"/>
  <c r="E1342" i="1"/>
  <c r="H1342" i="1" s="1"/>
  <c r="I1342" i="1" s="1"/>
  <c r="N1342" i="1" s="1"/>
  <c r="N1341" i="1"/>
  <c r="O1341" i="1" s="1"/>
  <c r="P1341" i="1" s="1"/>
  <c r="L1341" i="1"/>
  <c r="I1341" i="1"/>
  <c r="H1341" i="1"/>
  <c r="E1341" i="1"/>
  <c r="L1340" i="1"/>
  <c r="H1340" i="1"/>
  <c r="I1340" i="1" s="1"/>
  <c r="N1340" i="1" s="1"/>
  <c r="O1340" i="1" s="1"/>
  <c r="P1340" i="1" s="1"/>
  <c r="E1340" i="1"/>
  <c r="L1339" i="1"/>
  <c r="I1339" i="1"/>
  <c r="N1339" i="1" s="1"/>
  <c r="O1339" i="1" s="1"/>
  <c r="P1339" i="1" s="1"/>
  <c r="E1339" i="1"/>
  <c r="H1339" i="1" s="1"/>
  <c r="L1338" i="1"/>
  <c r="H1338" i="1"/>
  <c r="I1338" i="1" s="1"/>
  <c r="N1338" i="1" s="1"/>
  <c r="O1338" i="1" s="1"/>
  <c r="P1338" i="1" s="1"/>
  <c r="E1338" i="1"/>
  <c r="L1337" i="1"/>
  <c r="I1337" i="1"/>
  <c r="N1337" i="1" s="1"/>
  <c r="O1337" i="1" s="1"/>
  <c r="P1337" i="1" s="1"/>
  <c r="E1337" i="1"/>
  <c r="H1337" i="1" s="1"/>
  <c r="L1336" i="1"/>
  <c r="H1336" i="1"/>
  <c r="I1336" i="1" s="1"/>
  <c r="N1336" i="1" s="1"/>
  <c r="O1336" i="1" s="1"/>
  <c r="P1336" i="1" s="1"/>
  <c r="E1336" i="1"/>
  <c r="L1335" i="1"/>
  <c r="E1335" i="1"/>
  <c r="H1335" i="1" s="1"/>
  <c r="I1335" i="1" s="1"/>
  <c r="N1335" i="1" s="1"/>
  <c r="O1335" i="1" s="1"/>
  <c r="P1335" i="1" s="1"/>
  <c r="L1334" i="1"/>
  <c r="E1334" i="1"/>
  <c r="H1334" i="1" s="1"/>
  <c r="I1334" i="1" s="1"/>
  <c r="N1334" i="1" s="1"/>
  <c r="O1334" i="1" s="1"/>
  <c r="P1334" i="1" s="1"/>
  <c r="P1333" i="1"/>
  <c r="N1333" i="1"/>
  <c r="O1333" i="1" s="1"/>
  <c r="L1333" i="1"/>
  <c r="I1333" i="1"/>
  <c r="H1333" i="1"/>
  <c r="E1333" i="1"/>
  <c r="L1332" i="1"/>
  <c r="H1332" i="1"/>
  <c r="I1332" i="1" s="1"/>
  <c r="N1332" i="1" s="1"/>
  <c r="O1332" i="1" s="1"/>
  <c r="P1332" i="1" s="1"/>
  <c r="E1332" i="1"/>
  <c r="L1331" i="1"/>
  <c r="E1331" i="1"/>
  <c r="H1331" i="1" s="1"/>
  <c r="I1331" i="1" s="1"/>
  <c r="N1331" i="1" s="1"/>
  <c r="O1331" i="1" s="1"/>
  <c r="P1331" i="1" s="1"/>
  <c r="L1330" i="1"/>
  <c r="H1330" i="1"/>
  <c r="I1330" i="1" s="1"/>
  <c r="N1330" i="1" s="1"/>
  <c r="O1330" i="1" s="1"/>
  <c r="P1330" i="1" s="1"/>
  <c r="E1330" i="1"/>
  <c r="L1329" i="1"/>
  <c r="E1329" i="1"/>
  <c r="H1329" i="1" s="1"/>
  <c r="I1329" i="1" s="1"/>
  <c r="N1329" i="1" s="1"/>
  <c r="O1329" i="1" s="1"/>
  <c r="P1329" i="1" s="1"/>
  <c r="L1328" i="1"/>
  <c r="H1328" i="1"/>
  <c r="I1328" i="1" s="1"/>
  <c r="N1328" i="1" s="1"/>
  <c r="O1328" i="1" s="1"/>
  <c r="P1328" i="1" s="1"/>
  <c r="E1328" i="1"/>
  <c r="P1327" i="1"/>
  <c r="L1327" i="1"/>
  <c r="E1327" i="1"/>
  <c r="H1327" i="1" s="1"/>
  <c r="I1327" i="1" s="1"/>
  <c r="N1327" i="1" s="1"/>
  <c r="O1327" i="1" s="1"/>
  <c r="L1326" i="1"/>
  <c r="E1326" i="1"/>
  <c r="H1326" i="1" s="1"/>
  <c r="I1326" i="1" s="1"/>
  <c r="N1326" i="1" s="1"/>
  <c r="O1326" i="1" s="1"/>
  <c r="P1326" i="1" s="1"/>
  <c r="P1325" i="1"/>
  <c r="N1325" i="1"/>
  <c r="O1325" i="1" s="1"/>
  <c r="L1325" i="1"/>
  <c r="I1325" i="1"/>
  <c r="H1325" i="1"/>
  <c r="E1325" i="1"/>
  <c r="L1324" i="1"/>
  <c r="H1324" i="1"/>
  <c r="I1324" i="1" s="1"/>
  <c r="N1324" i="1" s="1"/>
  <c r="O1324" i="1" s="1"/>
  <c r="P1324" i="1" s="1"/>
  <c r="E1324" i="1"/>
  <c r="N1323" i="1"/>
  <c r="O1323" i="1" s="1"/>
  <c r="P1323" i="1" s="1"/>
  <c r="L1323" i="1"/>
  <c r="E1323" i="1"/>
  <c r="H1323" i="1" s="1"/>
  <c r="I1323" i="1" s="1"/>
  <c r="L1322" i="1"/>
  <c r="H1322" i="1"/>
  <c r="I1322" i="1" s="1"/>
  <c r="N1322" i="1" s="1"/>
  <c r="O1322" i="1" s="1"/>
  <c r="P1322" i="1" s="1"/>
  <c r="E1322" i="1"/>
  <c r="L1321" i="1"/>
  <c r="E1321" i="1"/>
  <c r="H1321" i="1" s="1"/>
  <c r="I1321" i="1" s="1"/>
  <c r="N1321" i="1" s="1"/>
  <c r="O1321" i="1" s="1"/>
  <c r="P1321" i="1" s="1"/>
  <c r="L1320" i="1"/>
  <c r="H1320" i="1"/>
  <c r="I1320" i="1" s="1"/>
  <c r="N1320" i="1" s="1"/>
  <c r="O1320" i="1" s="1"/>
  <c r="P1320" i="1" s="1"/>
  <c r="E1320" i="1"/>
  <c r="P1319" i="1"/>
  <c r="L1319" i="1"/>
  <c r="E1319" i="1"/>
  <c r="H1319" i="1" s="1"/>
  <c r="I1319" i="1" s="1"/>
  <c r="N1319" i="1" s="1"/>
  <c r="O1319" i="1" s="1"/>
  <c r="O1318" i="1"/>
  <c r="P1318" i="1" s="1"/>
  <c r="L1318" i="1"/>
  <c r="E1318" i="1"/>
  <c r="H1318" i="1" s="1"/>
  <c r="I1318" i="1" s="1"/>
  <c r="N1318" i="1" s="1"/>
  <c r="N1317" i="1"/>
  <c r="O1317" i="1" s="1"/>
  <c r="P1317" i="1" s="1"/>
  <c r="L1317" i="1"/>
  <c r="I1317" i="1"/>
  <c r="H1317" i="1"/>
  <c r="E1317" i="1"/>
  <c r="O1316" i="1"/>
  <c r="P1316" i="1" s="1"/>
  <c r="L1316" i="1"/>
  <c r="H1316" i="1"/>
  <c r="I1316" i="1" s="1"/>
  <c r="N1316" i="1" s="1"/>
  <c r="E1316" i="1"/>
  <c r="L1315" i="1"/>
  <c r="E1315" i="1"/>
  <c r="H1315" i="1" s="1"/>
  <c r="I1315" i="1" s="1"/>
  <c r="N1315" i="1" s="1"/>
  <c r="O1315" i="1" s="1"/>
  <c r="P1315" i="1" s="1"/>
  <c r="L1314" i="1"/>
  <c r="H1314" i="1"/>
  <c r="I1314" i="1" s="1"/>
  <c r="E1314" i="1"/>
  <c r="L1313" i="1"/>
  <c r="E1313" i="1"/>
  <c r="H1313" i="1" s="1"/>
  <c r="I1313" i="1" s="1"/>
  <c r="N1313" i="1" s="1"/>
  <c r="O1313" i="1" s="1"/>
  <c r="P1313" i="1" s="1"/>
  <c r="L1312" i="1"/>
  <c r="H1312" i="1"/>
  <c r="I1312" i="1" s="1"/>
  <c r="N1312" i="1" s="1"/>
  <c r="O1312" i="1" s="1"/>
  <c r="P1312" i="1" s="1"/>
  <c r="E1312" i="1"/>
  <c r="L1311" i="1"/>
  <c r="E1311" i="1"/>
  <c r="H1311" i="1" s="1"/>
  <c r="I1311" i="1" s="1"/>
  <c r="N1311" i="1" s="1"/>
  <c r="O1311" i="1" s="1"/>
  <c r="P1311" i="1" s="1"/>
  <c r="L1310" i="1"/>
  <c r="N1310" i="1" s="1"/>
  <c r="O1310" i="1" s="1"/>
  <c r="P1310" i="1" s="1"/>
  <c r="I1310" i="1"/>
  <c r="H1310" i="1"/>
  <c r="E1310" i="1"/>
  <c r="N1309" i="1"/>
  <c r="O1309" i="1" s="1"/>
  <c r="P1309" i="1" s="1"/>
  <c r="L1309" i="1"/>
  <c r="I1309" i="1"/>
  <c r="H1309" i="1"/>
  <c r="E1309" i="1"/>
  <c r="L1308" i="1"/>
  <c r="H1308" i="1"/>
  <c r="I1308" i="1" s="1"/>
  <c r="E1308" i="1"/>
  <c r="L1307" i="1"/>
  <c r="I1307" i="1"/>
  <c r="N1307" i="1" s="1"/>
  <c r="O1307" i="1" s="1"/>
  <c r="P1307" i="1" s="1"/>
  <c r="E1307" i="1"/>
  <c r="H1307" i="1" s="1"/>
  <c r="L1306" i="1"/>
  <c r="H1306" i="1"/>
  <c r="I1306" i="1" s="1"/>
  <c r="N1306" i="1" s="1"/>
  <c r="O1306" i="1" s="1"/>
  <c r="P1306" i="1" s="1"/>
  <c r="E1306" i="1"/>
  <c r="L1305" i="1"/>
  <c r="E1305" i="1"/>
  <c r="H1305" i="1" s="1"/>
  <c r="I1305" i="1" s="1"/>
  <c r="N1305" i="1" s="1"/>
  <c r="O1305" i="1" s="1"/>
  <c r="P1305" i="1" s="1"/>
  <c r="L1304" i="1"/>
  <c r="H1304" i="1"/>
  <c r="I1304" i="1" s="1"/>
  <c r="N1304" i="1" s="1"/>
  <c r="O1304" i="1" s="1"/>
  <c r="P1304" i="1" s="1"/>
  <c r="E1304" i="1"/>
  <c r="P1303" i="1"/>
  <c r="L1303" i="1"/>
  <c r="E1303" i="1"/>
  <c r="H1303" i="1" s="1"/>
  <c r="I1303" i="1" s="1"/>
  <c r="N1303" i="1" s="1"/>
  <c r="O1303" i="1" s="1"/>
  <c r="L1302" i="1"/>
  <c r="E1302" i="1"/>
  <c r="H1302" i="1" s="1"/>
  <c r="I1302" i="1" s="1"/>
  <c r="N1302" i="1" s="1"/>
  <c r="O1302" i="1" s="1"/>
  <c r="P1302" i="1" s="1"/>
  <c r="N1301" i="1"/>
  <c r="O1301" i="1" s="1"/>
  <c r="P1301" i="1" s="1"/>
  <c r="L1301" i="1"/>
  <c r="I1301" i="1"/>
  <c r="H1301" i="1"/>
  <c r="E1301" i="1"/>
  <c r="L1300" i="1"/>
  <c r="H1300" i="1"/>
  <c r="I1300" i="1" s="1"/>
  <c r="E1300" i="1"/>
  <c r="N1299" i="1"/>
  <c r="O1299" i="1" s="1"/>
  <c r="P1299" i="1" s="1"/>
  <c r="L1299" i="1"/>
  <c r="I1299" i="1"/>
  <c r="E1299" i="1"/>
  <c r="H1299" i="1" s="1"/>
  <c r="L1298" i="1"/>
  <c r="H1298" i="1"/>
  <c r="I1298" i="1" s="1"/>
  <c r="N1298" i="1" s="1"/>
  <c r="O1298" i="1" s="1"/>
  <c r="P1298" i="1" s="1"/>
  <c r="E1298" i="1"/>
  <c r="L1297" i="1"/>
  <c r="I1297" i="1"/>
  <c r="N1297" i="1" s="1"/>
  <c r="O1297" i="1" s="1"/>
  <c r="P1297" i="1" s="1"/>
  <c r="E1297" i="1"/>
  <c r="H1297" i="1" s="1"/>
  <c r="L1296" i="1"/>
  <c r="H1296" i="1"/>
  <c r="I1296" i="1" s="1"/>
  <c r="N1296" i="1" s="1"/>
  <c r="O1296" i="1" s="1"/>
  <c r="P1296" i="1" s="1"/>
  <c r="E1296" i="1"/>
  <c r="L1295" i="1"/>
  <c r="E1295" i="1"/>
  <c r="H1295" i="1" s="1"/>
  <c r="I1295" i="1" s="1"/>
  <c r="N1295" i="1" s="1"/>
  <c r="O1295" i="1" s="1"/>
  <c r="P1295" i="1" s="1"/>
  <c r="O1294" i="1"/>
  <c r="P1294" i="1" s="1"/>
  <c r="L1294" i="1"/>
  <c r="E1294" i="1"/>
  <c r="H1294" i="1" s="1"/>
  <c r="I1294" i="1" s="1"/>
  <c r="N1294" i="1" s="1"/>
  <c r="N1293" i="1"/>
  <c r="O1293" i="1" s="1"/>
  <c r="P1293" i="1" s="1"/>
  <c r="L1293" i="1"/>
  <c r="I1293" i="1"/>
  <c r="H1293" i="1"/>
  <c r="E1293" i="1"/>
  <c r="L1292" i="1"/>
  <c r="H1292" i="1"/>
  <c r="I1292" i="1" s="1"/>
  <c r="E1292" i="1"/>
  <c r="L1291" i="1"/>
  <c r="E1291" i="1"/>
  <c r="H1291" i="1" s="1"/>
  <c r="I1291" i="1" s="1"/>
  <c r="N1291" i="1" s="1"/>
  <c r="O1291" i="1" s="1"/>
  <c r="P1291" i="1" s="1"/>
  <c r="L1290" i="1"/>
  <c r="H1290" i="1"/>
  <c r="I1290" i="1" s="1"/>
  <c r="N1290" i="1" s="1"/>
  <c r="O1290" i="1" s="1"/>
  <c r="P1290" i="1" s="1"/>
  <c r="E1290" i="1"/>
  <c r="L1289" i="1"/>
  <c r="I1289" i="1"/>
  <c r="N1289" i="1" s="1"/>
  <c r="O1289" i="1" s="1"/>
  <c r="P1289" i="1" s="1"/>
  <c r="E1289" i="1"/>
  <c r="H1289" i="1" s="1"/>
  <c r="L1288" i="1"/>
  <c r="H1288" i="1"/>
  <c r="I1288" i="1" s="1"/>
  <c r="N1288" i="1" s="1"/>
  <c r="O1288" i="1" s="1"/>
  <c r="P1288" i="1" s="1"/>
  <c r="E1288" i="1"/>
  <c r="P1287" i="1"/>
  <c r="L1287" i="1"/>
  <c r="E1287" i="1"/>
  <c r="H1287" i="1" s="1"/>
  <c r="I1287" i="1" s="1"/>
  <c r="N1287" i="1" s="1"/>
  <c r="O1287" i="1" s="1"/>
  <c r="L1286" i="1"/>
  <c r="E1286" i="1"/>
  <c r="H1286" i="1" s="1"/>
  <c r="I1286" i="1" s="1"/>
  <c r="N1286" i="1" s="1"/>
  <c r="O1286" i="1" s="1"/>
  <c r="P1286" i="1" s="1"/>
  <c r="P1285" i="1"/>
  <c r="N1285" i="1"/>
  <c r="O1285" i="1" s="1"/>
  <c r="L1285" i="1"/>
  <c r="I1285" i="1"/>
  <c r="H1285" i="1"/>
  <c r="E1285" i="1"/>
  <c r="L1284" i="1"/>
  <c r="H1284" i="1"/>
  <c r="I1284" i="1" s="1"/>
  <c r="N1284" i="1" s="1"/>
  <c r="O1284" i="1" s="1"/>
  <c r="P1284" i="1" s="1"/>
  <c r="E1284" i="1"/>
  <c r="L1283" i="1"/>
  <c r="E1283" i="1"/>
  <c r="H1283" i="1" s="1"/>
  <c r="I1283" i="1" s="1"/>
  <c r="N1283" i="1" s="1"/>
  <c r="O1283" i="1" s="1"/>
  <c r="P1283" i="1" s="1"/>
  <c r="L1282" i="1"/>
  <c r="H1282" i="1"/>
  <c r="I1282" i="1" s="1"/>
  <c r="N1282" i="1" s="1"/>
  <c r="O1282" i="1" s="1"/>
  <c r="P1282" i="1" s="1"/>
  <c r="E1282" i="1"/>
  <c r="L1281" i="1"/>
  <c r="I1281" i="1"/>
  <c r="N1281" i="1" s="1"/>
  <c r="O1281" i="1" s="1"/>
  <c r="P1281" i="1" s="1"/>
  <c r="E1281" i="1"/>
  <c r="H1281" i="1" s="1"/>
  <c r="L1280" i="1"/>
  <c r="H1280" i="1"/>
  <c r="I1280" i="1" s="1"/>
  <c r="N1280" i="1" s="1"/>
  <c r="O1280" i="1" s="1"/>
  <c r="P1280" i="1" s="1"/>
  <c r="E1280" i="1"/>
  <c r="P1279" i="1"/>
  <c r="L1279" i="1"/>
  <c r="E1279" i="1"/>
  <c r="H1279" i="1" s="1"/>
  <c r="I1279" i="1" s="1"/>
  <c r="N1279" i="1" s="1"/>
  <c r="O1279" i="1" s="1"/>
  <c r="O1278" i="1"/>
  <c r="P1278" i="1" s="1"/>
  <c r="L1278" i="1"/>
  <c r="N1278" i="1" s="1"/>
  <c r="I1278" i="1"/>
  <c r="H1278" i="1"/>
  <c r="E1278" i="1"/>
  <c r="P1277" i="1"/>
  <c r="N1277" i="1"/>
  <c r="O1277" i="1" s="1"/>
  <c r="L1277" i="1"/>
  <c r="I1277" i="1"/>
  <c r="H1277" i="1"/>
  <c r="E1277" i="1"/>
  <c r="L1276" i="1"/>
  <c r="H1276" i="1"/>
  <c r="I1276" i="1" s="1"/>
  <c r="N1276" i="1" s="1"/>
  <c r="O1276" i="1" s="1"/>
  <c r="P1276" i="1" s="1"/>
  <c r="E1276" i="1"/>
  <c r="L1275" i="1"/>
  <c r="E1275" i="1"/>
  <c r="H1275" i="1" s="1"/>
  <c r="I1275" i="1" s="1"/>
  <c r="N1275" i="1" s="1"/>
  <c r="O1275" i="1" s="1"/>
  <c r="P1275" i="1" s="1"/>
  <c r="L1274" i="1"/>
  <c r="H1274" i="1"/>
  <c r="I1274" i="1" s="1"/>
  <c r="E1274" i="1"/>
  <c r="L1273" i="1"/>
  <c r="E1273" i="1"/>
  <c r="H1273" i="1" s="1"/>
  <c r="I1273" i="1" s="1"/>
  <c r="N1273" i="1" s="1"/>
  <c r="O1273" i="1" s="1"/>
  <c r="P1273" i="1" s="1"/>
  <c r="L1272" i="1"/>
  <c r="H1272" i="1"/>
  <c r="I1272" i="1" s="1"/>
  <c r="N1272" i="1" s="1"/>
  <c r="O1272" i="1" s="1"/>
  <c r="P1272" i="1" s="1"/>
  <c r="E1272" i="1"/>
  <c r="L1271" i="1"/>
  <c r="E1271" i="1"/>
  <c r="H1271" i="1" s="1"/>
  <c r="I1271" i="1" s="1"/>
  <c r="N1271" i="1" s="1"/>
  <c r="O1271" i="1" s="1"/>
  <c r="P1271" i="1" s="1"/>
  <c r="L1270" i="1"/>
  <c r="N1270" i="1" s="1"/>
  <c r="O1270" i="1" s="1"/>
  <c r="P1270" i="1" s="1"/>
  <c r="I1270" i="1"/>
  <c r="H1270" i="1"/>
  <c r="E1270" i="1"/>
  <c r="N1269" i="1"/>
  <c r="O1269" i="1" s="1"/>
  <c r="P1269" i="1" s="1"/>
  <c r="L1269" i="1"/>
  <c r="I1269" i="1"/>
  <c r="H1269" i="1"/>
  <c r="E1269" i="1"/>
  <c r="L1268" i="1"/>
  <c r="H1268" i="1"/>
  <c r="I1268" i="1" s="1"/>
  <c r="E1268" i="1"/>
  <c r="N1267" i="1"/>
  <c r="O1267" i="1" s="1"/>
  <c r="P1267" i="1" s="1"/>
  <c r="L1267" i="1"/>
  <c r="I1267" i="1"/>
  <c r="E1267" i="1"/>
  <c r="H1267" i="1" s="1"/>
  <c r="L1266" i="1"/>
  <c r="H1266" i="1"/>
  <c r="I1266" i="1" s="1"/>
  <c r="N1266" i="1" s="1"/>
  <c r="O1266" i="1" s="1"/>
  <c r="P1266" i="1" s="1"/>
  <c r="E1266" i="1"/>
  <c r="L1265" i="1"/>
  <c r="I1265" i="1"/>
  <c r="N1265" i="1" s="1"/>
  <c r="O1265" i="1" s="1"/>
  <c r="P1265" i="1" s="1"/>
  <c r="E1265" i="1"/>
  <c r="H1265" i="1" s="1"/>
  <c r="L1264" i="1"/>
  <c r="H1264" i="1"/>
  <c r="I1264" i="1" s="1"/>
  <c r="N1264" i="1" s="1"/>
  <c r="O1264" i="1" s="1"/>
  <c r="P1264" i="1" s="1"/>
  <c r="E1264" i="1"/>
  <c r="L1263" i="1"/>
  <c r="E1263" i="1"/>
  <c r="H1263" i="1" s="1"/>
  <c r="I1263" i="1" s="1"/>
  <c r="N1263" i="1" s="1"/>
  <c r="O1263" i="1" s="1"/>
  <c r="P1263" i="1" s="1"/>
  <c r="O1262" i="1"/>
  <c r="P1262" i="1" s="1"/>
  <c r="L1262" i="1"/>
  <c r="N1262" i="1" s="1"/>
  <c r="I1262" i="1"/>
  <c r="H1262" i="1"/>
  <c r="E1262" i="1"/>
  <c r="P1261" i="1"/>
  <c r="N1261" i="1"/>
  <c r="O1261" i="1" s="1"/>
  <c r="L1261" i="1"/>
  <c r="I1261" i="1"/>
  <c r="H1261" i="1"/>
  <c r="E1261" i="1"/>
  <c r="L1260" i="1"/>
  <c r="H1260" i="1"/>
  <c r="I1260" i="1" s="1"/>
  <c r="N1260" i="1" s="1"/>
  <c r="O1260" i="1" s="1"/>
  <c r="P1260" i="1" s="1"/>
  <c r="E1260" i="1"/>
  <c r="L1259" i="1"/>
  <c r="E1259" i="1"/>
  <c r="H1259" i="1" s="1"/>
  <c r="I1259" i="1" s="1"/>
  <c r="N1259" i="1" s="1"/>
  <c r="O1259" i="1" s="1"/>
  <c r="P1259" i="1" s="1"/>
  <c r="L1258" i="1"/>
  <c r="H1258" i="1"/>
  <c r="I1258" i="1" s="1"/>
  <c r="N1258" i="1" s="1"/>
  <c r="O1258" i="1" s="1"/>
  <c r="P1258" i="1" s="1"/>
  <c r="E1258" i="1"/>
  <c r="L1257" i="1"/>
  <c r="I1257" i="1"/>
  <c r="N1257" i="1" s="1"/>
  <c r="O1257" i="1" s="1"/>
  <c r="P1257" i="1" s="1"/>
  <c r="E1257" i="1"/>
  <c r="H1257" i="1" s="1"/>
  <c r="L1256" i="1"/>
  <c r="H1256" i="1"/>
  <c r="I1256" i="1" s="1"/>
  <c r="N1256" i="1" s="1"/>
  <c r="O1256" i="1" s="1"/>
  <c r="P1256" i="1" s="1"/>
  <c r="E1256" i="1"/>
  <c r="P1255" i="1"/>
  <c r="L1255" i="1"/>
  <c r="E1255" i="1"/>
  <c r="H1255" i="1" s="1"/>
  <c r="I1255" i="1" s="1"/>
  <c r="N1255" i="1" s="1"/>
  <c r="O1255" i="1" s="1"/>
  <c r="O1254" i="1"/>
  <c r="P1254" i="1" s="1"/>
  <c r="L1254" i="1"/>
  <c r="E1254" i="1"/>
  <c r="H1254" i="1" s="1"/>
  <c r="I1254" i="1" s="1"/>
  <c r="N1254" i="1" s="1"/>
  <c r="P1253" i="1"/>
  <c r="N1253" i="1"/>
  <c r="O1253" i="1" s="1"/>
  <c r="L1253" i="1"/>
  <c r="I1253" i="1"/>
  <c r="H1253" i="1"/>
  <c r="E1253" i="1"/>
  <c r="O1252" i="1"/>
  <c r="P1252" i="1" s="1"/>
  <c r="L1252" i="1"/>
  <c r="H1252" i="1"/>
  <c r="I1252" i="1" s="1"/>
  <c r="N1252" i="1" s="1"/>
  <c r="E1252" i="1"/>
  <c r="L1251" i="1"/>
  <c r="E1251" i="1"/>
  <c r="H1251" i="1" s="1"/>
  <c r="I1251" i="1" s="1"/>
  <c r="N1251" i="1" s="1"/>
  <c r="O1251" i="1" s="1"/>
  <c r="P1251" i="1" s="1"/>
  <c r="L1250" i="1"/>
  <c r="H1250" i="1"/>
  <c r="I1250" i="1" s="1"/>
  <c r="E1250" i="1"/>
  <c r="L1249" i="1"/>
  <c r="E1249" i="1"/>
  <c r="H1249" i="1" s="1"/>
  <c r="I1249" i="1" s="1"/>
  <c r="N1249" i="1" s="1"/>
  <c r="O1249" i="1" s="1"/>
  <c r="P1249" i="1" s="1"/>
  <c r="L1248" i="1"/>
  <c r="H1248" i="1"/>
  <c r="I1248" i="1" s="1"/>
  <c r="N1248" i="1" s="1"/>
  <c r="O1248" i="1" s="1"/>
  <c r="P1248" i="1" s="1"/>
  <c r="E1248" i="1"/>
  <c r="L1247" i="1"/>
  <c r="E1247" i="1"/>
  <c r="H1247" i="1" s="1"/>
  <c r="I1247" i="1" s="1"/>
  <c r="N1247" i="1" s="1"/>
  <c r="O1247" i="1" s="1"/>
  <c r="P1247" i="1" s="1"/>
  <c r="O1246" i="1"/>
  <c r="P1246" i="1" s="1"/>
  <c r="L1246" i="1"/>
  <c r="E1246" i="1"/>
  <c r="H1246" i="1" s="1"/>
  <c r="I1246" i="1" s="1"/>
  <c r="N1246" i="1" s="1"/>
  <c r="N1245" i="1"/>
  <c r="O1245" i="1" s="1"/>
  <c r="P1245" i="1" s="1"/>
  <c r="L1245" i="1"/>
  <c r="I1245" i="1"/>
  <c r="H1245" i="1"/>
  <c r="E1245" i="1"/>
  <c r="L1244" i="1"/>
  <c r="H1244" i="1"/>
  <c r="I1244" i="1" s="1"/>
  <c r="N1244" i="1" s="1"/>
  <c r="O1244" i="1" s="1"/>
  <c r="P1244" i="1" s="1"/>
  <c r="E1244" i="1"/>
  <c r="L1243" i="1"/>
  <c r="E1243" i="1"/>
  <c r="H1243" i="1" s="1"/>
  <c r="I1243" i="1" s="1"/>
  <c r="N1243" i="1" s="1"/>
  <c r="O1243" i="1" s="1"/>
  <c r="P1243" i="1" s="1"/>
  <c r="L1242" i="1"/>
  <c r="H1242" i="1"/>
  <c r="I1242" i="1" s="1"/>
  <c r="E1242" i="1"/>
  <c r="L1241" i="1"/>
  <c r="E1241" i="1"/>
  <c r="H1241" i="1" s="1"/>
  <c r="I1241" i="1" s="1"/>
  <c r="N1241" i="1" s="1"/>
  <c r="O1241" i="1" s="1"/>
  <c r="P1241" i="1" s="1"/>
  <c r="L1240" i="1"/>
  <c r="H1240" i="1"/>
  <c r="I1240" i="1" s="1"/>
  <c r="N1240" i="1" s="1"/>
  <c r="O1240" i="1" s="1"/>
  <c r="P1240" i="1" s="1"/>
  <c r="E1240" i="1"/>
  <c r="L1239" i="1"/>
  <c r="E1239" i="1"/>
  <c r="H1239" i="1" s="1"/>
  <c r="I1239" i="1" s="1"/>
  <c r="N1239" i="1" s="1"/>
  <c r="O1239" i="1" s="1"/>
  <c r="P1239" i="1" s="1"/>
  <c r="L1238" i="1"/>
  <c r="E1238" i="1"/>
  <c r="H1238" i="1" s="1"/>
  <c r="I1238" i="1" s="1"/>
  <c r="N1238" i="1" s="1"/>
  <c r="O1238" i="1" s="1"/>
  <c r="P1238" i="1" s="1"/>
  <c r="N1237" i="1"/>
  <c r="O1237" i="1" s="1"/>
  <c r="P1237" i="1" s="1"/>
  <c r="L1237" i="1"/>
  <c r="I1237" i="1"/>
  <c r="H1237" i="1"/>
  <c r="E1237" i="1"/>
  <c r="L1236" i="1"/>
  <c r="H1236" i="1"/>
  <c r="I1236" i="1" s="1"/>
  <c r="N1236" i="1" s="1"/>
  <c r="O1236" i="1" s="1"/>
  <c r="P1236" i="1" s="1"/>
  <c r="E1236" i="1"/>
  <c r="L1235" i="1"/>
  <c r="I1235" i="1"/>
  <c r="N1235" i="1" s="1"/>
  <c r="O1235" i="1" s="1"/>
  <c r="P1235" i="1" s="1"/>
  <c r="E1235" i="1"/>
  <c r="H1235" i="1" s="1"/>
  <c r="L1234" i="1"/>
  <c r="H1234" i="1"/>
  <c r="I1234" i="1" s="1"/>
  <c r="E1234" i="1"/>
  <c r="L1233" i="1"/>
  <c r="E1233" i="1"/>
  <c r="H1233" i="1" s="1"/>
  <c r="I1233" i="1" s="1"/>
  <c r="N1233" i="1" s="1"/>
  <c r="O1233" i="1" s="1"/>
  <c r="P1233" i="1" s="1"/>
  <c r="L1232" i="1"/>
  <c r="H1232" i="1"/>
  <c r="I1232" i="1" s="1"/>
  <c r="N1232" i="1" s="1"/>
  <c r="O1232" i="1" s="1"/>
  <c r="P1232" i="1" s="1"/>
  <c r="E1232" i="1"/>
  <c r="L1231" i="1"/>
  <c r="E1231" i="1"/>
  <c r="H1231" i="1" s="1"/>
  <c r="I1231" i="1" s="1"/>
  <c r="N1231" i="1" s="1"/>
  <c r="O1231" i="1" s="1"/>
  <c r="P1231" i="1" s="1"/>
  <c r="L1230" i="1"/>
  <c r="E1230" i="1"/>
  <c r="H1230" i="1" s="1"/>
  <c r="I1230" i="1" s="1"/>
  <c r="N1230" i="1" s="1"/>
  <c r="O1230" i="1" s="1"/>
  <c r="P1230" i="1" s="1"/>
  <c r="N1229" i="1"/>
  <c r="O1229" i="1" s="1"/>
  <c r="P1229" i="1" s="1"/>
  <c r="L1229" i="1"/>
  <c r="I1229" i="1"/>
  <c r="H1229" i="1"/>
  <c r="E1229" i="1"/>
  <c r="L1228" i="1"/>
  <c r="H1228" i="1"/>
  <c r="I1228" i="1" s="1"/>
  <c r="E1228" i="1"/>
  <c r="L1227" i="1"/>
  <c r="I1227" i="1"/>
  <c r="N1227" i="1" s="1"/>
  <c r="O1227" i="1" s="1"/>
  <c r="P1227" i="1" s="1"/>
  <c r="E1227" i="1"/>
  <c r="H1227" i="1" s="1"/>
  <c r="L1226" i="1"/>
  <c r="H1226" i="1"/>
  <c r="I1226" i="1" s="1"/>
  <c r="N1226" i="1" s="1"/>
  <c r="O1226" i="1" s="1"/>
  <c r="P1226" i="1" s="1"/>
  <c r="E1226" i="1"/>
  <c r="L1225" i="1"/>
  <c r="E1225" i="1"/>
  <c r="H1225" i="1" s="1"/>
  <c r="I1225" i="1" s="1"/>
  <c r="N1225" i="1" s="1"/>
  <c r="O1225" i="1" s="1"/>
  <c r="P1225" i="1" s="1"/>
  <c r="L1224" i="1"/>
  <c r="H1224" i="1"/>
  <c r="I1224" i="1" s="1"/>
  <c r="N1224" i="1" s="1"/>
  <c r="O1224" i="1" s="1"/>
  <c r="P1224" i="1" s="1"/>
  <c r="E1224" i="1"/>
  <c r="P1223" i="1"/>
  <c r="L1223" i="1"/>
  <c r="E1223" i="1"/>
  <c r="H1223" i="1" s="1"/>
  <c r="I1223" i="1" s="1"/>
  <c r="N1223" i="1" s="1"/>
  <c r="O1223" i="1" s="1"/>
  <c r="L1222" i="1"/>
  <c r="E1222" i="1"/>
  <c r="H1222" i="1" s="1"/>
  <c r="I1222" i="1" s="1"/>
  <c r="N1222" i="1" s="1"/>
  <c r="O1222" i="1" s="1"/>
  <c r="P1222" i="1" s="1"/>
  <c r="N1221" i="1"/>
  <c r="O1221" i="1" s="1"/>
  <c r="P1221" i="1" s="1"/>
  <c r="L1221" i="1"/>
  <c r="I1221" i="1"/>
  <c r="H1221" i="1"/>
  <c r="E1221" i="1"/>
  <c r="L1220" i="1"/>
  <c r="H1220" i="1"/>
  <c r="I1220" i="1" s="1"/>
  <c r="E1220" i="1"/>
  <c r="N1219" i="1"/>
  <c r="O1219" i="1" s="1"/>
  <c r="P1219" i="1" s="1"/>
  <c r="L1219" i="1"/>
  <c r="I1219" i="1"/>
  <c r="E1219" i="1"/>
  <c r="H1219" i="1" s="1"/>
  <c r="L1218" i="1"/>
  <c r="H1218" i="1"/>
  <c r="I1218" i="1" s="1"/>
  <c r="N1218" i="1" s="1"/>
  <c r="O1218" i="1" s="1"/>
  <c r="P1218" i="1" s="1"/>
  <c r="E1218" i="1"/>
  <c r="L1217" i="1"/>
  <c r="I1217" i="1"/>
  <c r="N1217" i="1" s="1"/>
  <c r="O1217" i="1" s="1"/>
  <c r="P1217" i="1" s="1"/>
  <c r="E1217" i="1"/>
  <c r="H1217" i="1" s="1"/>
  <c r="L1216" i="1"/>
  <c r="H1216" i="1"/>
  <c r="I1216" i="1" s="1"/>
  <c r="N1216" i="1" s="1"/>
  <c r="O1216" i="1" s="1"/>
  <c r="P1216" i="1" s="1"/>
  <c r="E1216" i="1"/>
  <c r="L1215" i="1"/>
  <c r="E1215" i="1"/>
  <c r="H1215" i="1" s="1"/>
  <c r="I1215" i="1" s="1"/>
  <c r="N1215" i="1" s="1"/>
  <c r="O1215" i="1" s="1"/>
  <c r="P1215" i="1" s="1"/>
  <c r="O1214" i="1"/>
  <c r="P1214" i="1" s="1"/>
  <c r="L1214" i="1"/>
  <c r="N1214" i="1" s="1"/>
  <c r="I1214" i="1"/>
  <c r="H1214" i="1"/>
  <c r="E1214" i="1"/>
  <c r="P1213" i="1"/>
  <c r="N1213" i="1"/>
  <c r="O1213" i="1" s="1"/>
  <c r="L1213" i="1"/>
  <c r="I1213" i="1"/>
  <c r="H1213" i="1"/>
  <c r="E1213" i="1"/>
  <c r="L1212" i="1"/>
  <c r="H1212" i="1"/>
  <c r="I1212" i="1" s="1"/>
  <c r="N1212" i="1" s="1"/>
  <c r="O1212" i="1" s="1"/>
  <c r="P1212" i="1" s="1"/>
  <c r="E1212" i="1"/>
  <c r="N1211" i="1"/>
  <c r="O1211" i="1" s="1"/>
  <c r="P1211" i="1" s="1"/>
  <c r="L1211" i="1"/>
  <c r="E1211" i="1"/>
  <c r="H1211" i="1" s="1"/>
  <c r="I1211" i="1" s="1"/>
  <c r="L1210" i="1"/>
  <c r="H1210" i="1"/>
  <c r="I1210" i="1" s="1"/>
  <c r="N1210" i="1" s="1"/>
  <c r="O1210" i="1" s="1"/>
  <c r="P1210" i="1" s="1"/>
  <c r="E1210" i="1"/>
  <c r="L1209" i="1"/>
  <c r="E1209" i="1"/>
  <c r="H1209" i="1" s="1"/>
  <c r="I1209" i="1" s="1"/>
  <c r="N1209" i="1" s="1"/>
  <c r="O1209" i="1" s="1"/>
  <c r="P1209" i="1" s="1"/>
  <c r="L1208" i="1"/>
  <c r="H1208" i="1"/>
  <c r="I1208" i="1" s="1"/>
  <c r="N1208" i="1" s="1"/>
  <c r="O1208" i="1" s="1"/>
  <c r="P1208" i="1" s="1"/>
  <c r="E1208" i="1"/>
  <c r="P1207" i="1"/>
  <c r="L1207" i="1"/>
  <c r="E1207" i="1"/>
  <c r="H1207" i="1" s="1"/>
  <c r="I1207" i="1" s="1"/>
  <c r="N1207" i="1" s="1"/>
  <c r="O1207" i="1" s="1"/>
  <c r="O1206" i="1"/>
  <c r="P1206" i="1" s="1"/>
  <c r="L1206" i="1"/>
  <c r="E1206" i="1"/>
  <c r="H1206" i="1" s="1"/>
  <c r="I1206" i="1" s="1"/>
  <c r="N1206" i="1" s="1"/>
  <c r="P1205" i="1"/>
  <c r="N1205" i="1"/>
  <c r="O1205" i="1" s="1"/>
  <c r="L1205" i="1"/>
  <c r="I1205" i="1"/>
  <c r="H1205" i="1"/>
  <c r="E1205" i="1"/>
  <c r="O1204" i="1"/>
  <c r="P1204" i="1" s="1"/>
  <c r="L1204" i="1"/>
  <c r="H1204" i="1"/>
  <c r="I1204" i="1" s="1"/>
  <c r="N1204" i="1" s="1"/>
  <c r="E1204" i="1"/>
  <c r="L1203" i="1"/>
  <c r="E1203" i="1"/>
  <c r="H1203" i="1" s="1"/>
  <c r="I1203" i="1" s="1"/>
  <c r="N1203" i="1" s="1"/>
  <c r="O1203" i="1" s="1"/>
  <c r="P1203" i="1" s="1"/>
  <c r="L1202" i="1"/>
  <c r="H1202" i="1"/>
  <c r="I1202" i="1" s="1"/>
  <c r="E1202" i="1"/>
  <c r="L1201" i="1"/>
  <c r="E1201" i="1"/>
  <c r="H1201" i="1" s="1"/>
  <c r="I1201" i="1" s="1"/>
  <c r="N1201" i="1" s="1"/>
  <c r="O1201" i="1" s="1"/>
  <c r="P1201" i="1" s="1"/>
  <c r="L1200" i="1"/>
  <c r="H1200" i="1"/>
  <c r="I1200" i="1" s="1"/>
  <c r="N1200" i="1" s="1"/>
  <c r="O1200" i="1" s="1"/>
  <c r="P1200" i="1" s="1"/>
  <c r="E1200" i="1"/>
  <c r="L1199" i="1"/>
  <c r="E1199" i="1"/>
  <c r="H1199" i="1" s="1"/>
  <c r="I1199" i="1" s="1"/>
  <c r="N1199" i="1" s="1"/>
  <c r="O1199" i="1" s="1"/>
  <c r="P1199" i="1" s="1"/>
  <c r="L1198" i="1"/>
  <c r="E1198" i="1"/>
  <c r="H1198" i="1" s="1"/>
  <c r="I1198" i="1" s="1"/>
  <c r="N1197" i="1"/>
  <c r="O1197" i="1" s="1"/>
  <c r="P1197" i="1" s="1"/>
  <c r="L1197" i="1"/>
  <c r="I1197" i="1"/>
  <c r="H1197" i="1"/>
  <c r="E1197" i="1"/>
  <c r="L1196" i="1"/>
  <c r="H1196" i="1"/>
  <c r="I1196" i="1" s="1"/>
  <c r="E1196" i="1"/>
  <c r="L1195" i="1"/>
  <c r="I1195" i="1"/>
  <c r="N1195" i="1" s="1"/>
  <c r="O1195" i="1" s="1"/>
  <c r="P1195" i="1" s="1"/>
  <c r="E1195" i="1"/>
  <c r="H1195" i="1" s="1"/>
  <c r="L1194" i="1"/>
  <c r="H1194" i="1"/>
  <c r="I1194" i="1" s="1"/>
  <c r="N1194" i="1" s="1"/>
  <c r="O1194" i="1" s="1"/>
  <c r="P1194" i="1" s="1"/>
  <c r="E1194" i="1"/>
  <c r="L1193" i="1"/>
  <c r="E1193" i="1"/>
  <c r="H1193" i="1" s="1"/>
  <c r="I1193" i="1" s="1"/>
  <c r="N1193" i="1" s="1"/>
  <c r="O1193" i="1" s="1"/>
  <c r="P1193" i="1" s="1"/>
  <c r="L1192" i="1"/>
  <c r="H1192" i="1"/>
  <c r="I1192" i="1" s="1"/>
  <c r="N1192" i="1" s="1"/>
  <c r="O1192" i="1" s="1"/>
  <c r="P1192" i="1" s="1"/>
  <c r="E1192" i="1"/>
  <c r="L1191" i="1"/>
  <c r="E1191" i="1"/>
  <c r="H1191" i="1" s="1"/>
  <c r="I1191" i="1" s="1"/>
  <c r="N1191" i="1" s="1"/>
  <c r="O1191" i="1" s="1"/>
  <c r="P1191" i="1" s="1"/>
  <c r="L1190" i="1"/>
  <c r="E1190" i="1"/>
  <c r="H1190" i="1" s="1"/>
  <c r="I1190" i="1" s="1"/>
  <c r="N1189" i="1"/>
  <c r="O1189" i="1" s="1"/>
  <c r="P1189" i="1" s="1"/>
  <c r="L1189" i="1"/>
  <c r="I1189" i="1"/>
  <c r="H1189" i="1"/>
  <c r="E1189" i="1"/>
  <c r="L1188" i="1"/>
  <c r="H1188" i="1"/>
  <c r="I1188" i="1" s="1"/>
  <c r="E1188" i="1"/>
  <c r="L1187" i="1"/>
  <c r="I1187" i="1"/>
  <c r="N1187" i="1" s="1"/>
  <c r="O1187" i="1" s="1"/>
  <c r="P1187" i="1" s="1"/>
  <c r="E1187" i="1"/>
  <c r="H1187" i="1" s="1"/>
  <c r="L1186" i="1"/>
  <c r="H1186" i="1"/>
  <c r="I1186" i="1" s="1"/>
  <c r="N1186" i="1" s="1"/>
  <c r="O1186" i="1" s="1"/>
  <c r="P1186" i="1" s="1"/>
  <c r="E1186" i="1"/>
  <c r="L1185" i="1"/>
  <c r="E1185" i="1"/>
  <c r="H1185" i="1" s="1"/>
  <c r="I1185" i="1" s="1"/>
  <c r="N1185" i="1" s="1"/>
  <c r="O1185" i="1" s="1"/>
  <c r="P1185" i="1" s="1"/>
  <c r="L1184" i="1"/>
  <c r="H1184" i="1"/>
  <c r="I1184" i="1" s="1"/>
  <c r="N1184" i="1" s="1"/>
  <c r="O1184" i="1" s="1"/>
  <c r="P1184" i="1" s="1"/>
  <c r="E1184" i="1"/>
  <c r="L1183" i="1"/>
  <c r="E1183" i="1"/>
  <c r="H1183" i="1" s="1"/>
  <c r="I1183" i="1" s="1"/>
  <c r="N1183" i="1" s="1"/>
  <c r="O1183" i="1" s="1"/>
  <c r="P1183" i="1" s="1"/>
  <c r="L1182" i="1"/>
  <c r="E1182" i="1"/>
  <c r="H1182" i="1" s="1"/>
  <c r="I1182" i="1" s="1"/>
  <c r="N1181" i="1"/>
  <c r="O1181" i="1" s="1"/>
  <c r="P1181" i="1" s="1"/>
  <c r="L1181" i="1"/>
  <c r="I1181" i="1"/>
  <c r="H1181" i="1"/>
  <c r="E1181" i="1"/>
  <c r="L1180" i="1"/>
  <c r="H1180" i="1"/>
  <c r="I1180" i="1" s="1"/>
  <c r="E1180" i="1"/>
  <c r="L1179" i="1"/>
  <c r="I1179" i="1"/>
  <c r="N1179" i="1" s="1"/>
  <c r="O1179" i="1" s="1"/>
  <c r="P1179" i="1" s="1"/>
  <c r="E1179" i="1"/>
  <c r="H1179" i="1" s="1"/>
  <c r="L1178" i="1"/>
  <c r="H1178" i="1"/>
  <c r="I1178" i="1" s="1"/>
  <c r="N1178" i="1" s="1"/>
  <c r="O1178" i="1" s="1"/>
  <c r="P1178" i="1" s="1"/>
  <c r="E1178" i="1"/>
  <c r="L1177" i="1"/>
  <c r="E1177" i="1"/>
  <c r="H1177" i="1" s="1"/>
  <c r="I1177" i="1" s="1"/>
  <c r="N1177" i="1" s="1"/>
  <c r="O1177" i="1" s="1"/>
  <c r="P1177" i="1" s="1"/>
  <c r="L1176" i="1"/>
  <c r="H1176" i="1"/>
  <c r="I1176" i="1" s="1"/>
  <c r="N1176" i="1" s="1"/>
  <c r="O1176" i="1" s="1"/>
  <c r="P1176" i="1" s="1"/>
  <c r="E1176" i="1"/>
  <c r="L1175" i="1"/>
  <c r="E1175" i="1"/>
  <c r="H1175" i="1" s="1"/>
  <c r="I1175" i="1" s="1"/>
  <c r="N1175" i="1" s="1"/>
  <c r="O1175" i="1" s="1"/>
  <c r="P1175" i="1" s="1"/>
  <c r="L1174" i="1"/>
  <c r="E1174" i="1"/>
  <c r="H1174" i="1" s="1"/>
  <c r="I1174" i="1" s="1"/>
  <c r="N1173" i="1"/>
  <c r="O1173" i="1" s="1"/>
  <c r="P1173" i="1" s="1"/>
  <c r="L1173" i="1"/>
  <c r="I1173" i="1"/>
  <c r="H1173" i="1"/>
  <c r="E1173" i="1"/>
  <c r="L1172" i="1"/>
  <c r="H1172" i="1"/>
  <c r="I1172" i="1" s="1"/>
  <c r="E1172" i="1"/>
  <c r="L1171" i="1"/>
  <c r="I1171" i="1"/>
  <c r="N1171" i="1" s="1"/>
  <c r="O1171" i="1" s="1"/>
  <c r="P1171" i="1" s="1"/>
  <c r="E1171" i="1"/>
  <c r="H1171" i="1" s="1"/>
  <c r="L1170" i="1"/>
  <c r="H1170" i="1"/>
  <c r="I1170" i="1" s="1"/>
  <c r="N1170" i="1" s="1"/>
  <c r="O1170" i="1" s="1"/>
  <c r="P1170" i="1" s="1"/>
  <c r="E1170" i="1"/>
  <c r="L1169" i="1"/>
  <c r="E1169" i="1"/>
  <c r="H1169" i="1" s="1"/>
  <c r="I1169" i="1" s="1"/>
  <c r="N1169" i="1" s="1"/>
  <c r="O1169" i="1" s="1"/>
  <c r="P1169" i="1" s="1"/>
  <c r="L1168" i="1"/>
  <c r="H1168" i="1"/>
  <c r="I1168" i="1" s="1"/>
  <c r="N1168" i="1" s="1"/>
  <c r="O1168" i="1" s="1"/>
  <c r="P1168" i="1" s="1"/>
  <c r="E1168" i="1"/>
  <c r="L1167" i="1"/>
  <c r="E1167" i="1"/>
  <c r="H1167" i="1" s="1"/>
  <c r="I1167" i="1" s="1"/>
  <c r="N1167" i="1" s="1"/>
  <c r="O1167" i="1" s="1"/>
  <c r="P1167" i="1" s="1"/>
  <c r="L1166" i="1"/>
  <c r="E1166" i="1"/>
  <c r="H1166" i="1" s="1"/>
  <c r="I1166" i="1" s="1"/>
  <c r="L1165" i="1"/>
  <c r="E1165" i="1"/>
  <c r="H1165" i="1" s="1"/>
  <c r="I1165" i="1" s="1"/>
  <c r="N1165" i="1" s="1"/>
  <c r="O1165" i="1" s="1"/>
  <c r="P1165" i="1" s="1"/>
  <c r="L1164" i="1"/>
  <c r="H1164" i="1"/>
  <c r="I1164" i="1" s="1"/>
  <c r="E1164" i="1"/>
  <c r="L1163" i="1"/>
  <c r="E1163" i="1"/>
  <c r="H1163" i="1" s="1"/>
  <c r="I1163" i="1" s="1"/>
  <c r="N1163" i="1" s="1"/>
  <c r="O1163" i="1" s="1"/>
  <c r="P1163" i="1" s="1"/>
  <c r="L1162" i="1"/>
  <c r="H1162" i="1"/>
  <c r="I1162" i="1" s="1"/>
  <c r="N1162" i="1" s="1"/>
  <c r="O1162" i="1" s="1"/>
  <c r="P1162" i="1" s="1"/>
  <c r="E1162" i="1"/>
  <c r="L1161" i="1"/>
  <c r="E1161" i="1"/>
  <c r="H1161" i="1" s="1"/>
  <c r="I1161" i="1" s="1"/>
  <c r="N1161" i="1" s="1"/>
  <c r="O1161" i="1" s="1"/>
  <c r="P1161" i="1" s="1"/>
  <c r="L1160" i="1"/>
  <c r="H1160" i="1"/>
  <c r="I1160" i="1" s="1"/>
  <c r="N1160" i="1" s="1"/>
  <c r="O1160" i="1" s="1"/>
  <c r="P1160" i="1" s="1"/>
  <c r="E1160" i="1"/>
  <c r="N1159" i="1"/>
  <c r="O1159" i="1" s="1"/>
  <c r="P1159" i="1" s="1"/>
  <c r="L1159" i="1"/>
  <c r="E1159" i="1"/>
  <c r="H1159" i="1" s="1"/>
  <c r="I1159" i="1" s="1"/>
  <c r="L1158" i="1"/>
  <c r="E1158" i="1"/>
  <c r="H1158" i="1" s="1"/>
  <c r="I1158" i="1" s="1"/>
  <c r="N1158" i="1" s="1"/>
  <c r="O1158" i="1" s="1"/>
  <c r="P1158" i="1" s="1"/>
  <c r="L1157" i="1"/>
  <c r="E1157" i="1"/>
  <c r="H1157" i="1" s="1"/>
  <c r="I1157" i="1" s="1"/>
  <c r="N1157" i="1" s="1"/>
  <c r="O1157" i="1" s="1"/>
  <c r="P1157" i="1" s="1"/>
  <c r="L1156" i="1"/>
  <c r="H1156" i="1"/>
  <c r="I1156" i="1" s="1"/>
  <c r="N1156" i="1" s="1"/>
  <c r="O1156" i="1" s="1"/>
  <c r="P1156" i="1" s="1"/>
  <c r="E1156" i="1"/>
  <c r="L1155" i="1"/>
  <c r="E1155" i="1"/>
  <c r="H1155" i="1" s="1"/>
  <c r="I1155" i="1" s="1"/>
  <c r="N1155" i="1" s="1"/>
  <c r="O1155" i="1" s="1"/>
  <c r="P1155" i="1" s="1"/>
  <c r="L1154" i="1"/>
  <c r="H1154" i="1"/>
  <c r="I1154" i="1" s="1"/>
  <c r="E1154" i="1"/>
  <c r="P1153" i="1"/>
  <c r="L1153" i="1"/>
  <c r="I1153" i="1"/>
  <c r="N1153" i="1" s="1"/>
  <c r="O1153" i="1" s="1"/>
  <c r="E1153" i="1"/>
  <c r="H1153" i="1" s="1"/>
  <c r="L1152" i="1"/>
  <c r="H1152" i="1"/>
  <c r="I1152" i="1" s="1"/>
  <c r="N1152" i="1" s="1"/>
  <c r="O1152" i="1" s="1"/>
  <c r="P1152" i="1" s="1"/>
  <c r="E1152" i="1"/>
  <c r="P1151" i="1"/>
  <c r="L1151" i="1"/>
  <c r="E1151" i="1"/>
  <c r="H1151" i="1" s="1"/>
  <c r="I1151" i="1" s="1"/>
  <c r="N1151" i="1" s="1"/>
  <c r="O1151" i="1" s="1"/>
  <c r="L1150" i="1"/>
  <c r="E1150" i="1"/>
  <c r="H1150" i="1" s="1"/>
  <c r="I1150" i="1" s="1"/>
  <c r="N1149" i="1"/>
  <c r="O1149" i="1" s="1"/>
  <c r="P1149" i="1" s="1"/>
  <c r="L1149" i="1"/>
  <c r="I1149" i="1"/>
  <c r="E1149" i="1"/>
  <c r="H1149" i="1" s="1"/>
  <c r="L1148" i="1"/>
  <c r="H1148" i="1"/>
  <c r="I1148" i="1" s="1"/>
  <c r="E1148" i="1"/>
  <c r="N1147" i="1"/>
  <c r="O1147" i="1" s="1"/>
  <c r="P1147" i="1" s="1"/>
  <c r="L1147" i="1"/>
  <c r="I1147" i="1"/>
  <c r="E1147" i="1"/>
  <c r="H1147" i="1" s="1"/>
  <c r="L1146" i="1"/>
  <c r="H1146" i="1"/>
  <c r="I1146" i="1" s="1"/>
  <c r="N1146" i="1" s="1"/>
  <c r="O1146" i="1" s="1"/>
  <c r="P1146" i="1" s="1"/>
  <c r="E1146" i="1"/>
  <c r="L1145" i="1"/>
  <c r="E1145" i="1"/>
  <c r="H1145" i="1" s="1"/>
  <c r="I1145" i="1" s="1"/>
  <c r="N1145" i="1" s="1"/>
  <c r="O1145" i="1" s="1"/>
  <c r="P1145" i="1" s="1"/>
  <c r="L1144" i="1"/>
  <c r="H1144" i="1"/>
  <c r="I1144" i="1" s="1"/>
  <c r="N1144" i="1" s="1"/>
  <c r="O1144" i="1" s="1"/>
  <c r="P1144" i="1" s="1"/>
  <c r="E1144" i="1"/>
  <c r="N1143" i="1"/>
  <c r="O1143" i="1" s="1"/>
  <c r="P1143" i="1" s="1"/>
  <c r="L1143" i="1"/>
  <c r="E1143" i="1"/>
  <c r="H1143" i="1" s="1"/>
  <c r="I1143" i="1" s="1"/>
  <c r="L1142" i="1"/>
  <c r="E1142" i="1"/>
  <c r="H1142" i="1" s="1"/>
  <c r="I1142" i="1" s="1"/>
  <c r="N1142" i="1" s="1"/>
  <c r="O1142" i="1" s="1"/>
  <c r="P1142" i="1" s="1"/>
  <c r="N1141" i="1"/>
  <c r="O1141" i="1" s="1"/>
  <c r="P1141" i="1" s="1"/>
  <c r="L1141" i="1"/>
  <c r="E1141" i="1"/>
  <c r="H1141" i="1" s="1"/>
  <c r="I1141" i="1" s="1"/>
  <c r="L1140" i="1"/>
  <c r="H1140" i="1"/>
  <c r="I1140" i="1" s="1"/>
  <c r="N1140" i="1" s="1"/>
  <c r="O1140" i="1" s="1"/>
  <c r="P1140" i="1" s="1"/>
  <c r="E1140" i="1"/>
  <c r="L1139" i="1"/>
  <c r="E1139" i="1"/>
  <c r="H1139" i="1" s="1"/>
  <c r="I1139" i="1" s="1"/>
  <c r="N1139" i="1" s="1"/>
  <c r="O1139" i="1" s="1"/>
  <c r="P1139" i="1" s="1"/>
  <c r="L1138" i="1"/>
  <c r="H1138" i="1"/>
  <c r="I1138" i="1" s="1"/>
  <c r="N1138" i="1" s="1"/>
  <c r="O1138" i="1" s="1"/>
  <c r="P1138" i="1" s="1"/>
  <c r="E1138" i="1"/>
  <c r="L1137" i="1"/>
  <c r="I1137" i="1"/>
  <c r="N1137" i="1" s="1"/>
  <c r="O1137" i="1" s="1"/>
  <c r="P1137" i="1" s="1"/>
  <c r="E1137" i="1"/>
  <c r="H1137" i="1" s="1"/>
  <c r="O1136" i="1"/>
  <c r="P1136" i="1" s="1"/>
  <c r="L1136" i="1"/>
  <c r="H1136" i="1"/>
  <c r="I1136" i="1" s="1"/>
  <c r="N1136" i="1" s="1"/>
  <c r="E1136" i="1"/>
  <c r="N1135" i="1"/>
  <c r="O1135" i="1" s="1"/>
  <c r="P1135" i="1" s="1"/>
  <c r="L1135" i="1"/>
  <c r="E1135" i="1"/>
  <c r="H1135" i="1" s="1"/>
  <c r="I1135" i="1" s="1"/>
  <c r="O1134" i="1"/>
  <c r="P1134" i="1" s="1"/>
  <c r="L1134" i="1"/>
  <c r="E1134" i="1"/>
  <c r="H1134" i="1" s="1"/>
  <c r="I1134" i="1" s="1"/>
  <c r="N1134" i="1" s="1"/>
  <c r="L1133" i="1"/>
  <c r="I1133" i="1"/>
  <c r="N1133" i="1" s="1"/>
  <c r="O1133" i="1" s="1"/>
  <c r="P1133" i="1" s="1"/>
  <c r="E1133" i="1"/>
  <c r="H1133" i="1" s="1"/>
  <c r="O1132" i="1"/>
  <c r="P1132" i="1" s="1"/>
  <c r="L1132" i="1"/>
  <c r="H1132" i="1"/>
  <c r="I1132" i="1" s="1"/>
  <c r="N1132" i="1" s="1"/>
  <c r="E1132" i="1"/>
  <c r="L1131" i="1"/>
  <c r="I1131" i="1"/>
  <c r="N1131" i="1" s="1"/>
  <c r="O1131" i="1" s="1"/>
  <c r="P1131" i="1" s="1"/>
  <c r="E1131" i="1"/>
  <c r="H1131" i="1" s="1"/>
  <c r="L1130" i="1"/>
  <c r="H1130" i="1"/>
  <c r="I1130" i="1" s="1"/>
  <c r="E1130" i="1"/>
  <c r="L1129" i="1"/>
  <c r="E1129" i="1"/>
  <c r="H1129" i="1" s="1"/>
  <c r="I1129" i="1" s="1"/>
  <c r="N1129" i="1" s="1"/>
  <c r="O1129" i="1" s="1"/>
  <c r="P1129" i="1" s="1"/>
  <c r="L1128" i="1"/>
  <c r="H1128" i="1"/>
  <c r="I1128" i="1" s="1"/>
  <c r="N1128" i="1" s="1"/>
  <c r="O1128" i="1" s="1"/>
  <c r="P1128" i="1" s="1"/>
  <c r="E1128" i="1"/>
  <c r="L1127" i="1"/>
  <c r="E1127" i="1"/>
  <c r="H1127" i="1" s="1"/>
  <c r="I1127" i="1" s="1"/>
  <c r="N1127" i="1" s="1"/>
  <c r="O1127" i="1" s="1"/>
  <c r="P1127" i="1" s="1"/>
  <c r="L1126" i="1"/>
  <c r="E1126" i="1"/>
  <c r="H1126" i="1" s="1"/>
  <c r="I1126" i="1" s="1"/>
  <c r="L1125" i="1"/>
  <c r="I1125" i="1"/>
  <c r="N1125" i="1" s="1"/>
  <c r="O1125" i="1" s="1"/>
  <c r="P1125" i="1" s="1"/>
  <c r="H1125" i="1"/>
  <c r="E1125" i="1"/>
  <c r="O1124" i="1"/>
  <c r="P1124" i="1" s="1"/>
  <c r="L1124" i="1"/>
  <c r="H1124" i="1"/>
  <c r="I1124" i="1" s="1"/>
  <c r="N1124" i="1" s="1"/>
  <c r="E1124" i="1"/>
  <c r="L1123" i="1"/>
  <c r="I1123" i="1"/>
  <c r="N1123" i="1" s="1"/>
  <c r="O1123" i="1" s="1"/>
  <c r="P1123" i="1" s="1"/>
  <c r="E1123" i="1"/>
  <c r="H1123" i="1" s="1"/>
  <c r="L1122" i="1"/>
  <c r="H1122" i="1"/>
  <c r="I1122" i="1" s="1"/>
  <c r="E1122" i="1"/>
  <c r="L1121" i="1"/>
  <c r="E1121" i="1"/>
  <c r="H1121" i="1" s="1"/>
  <c r="I1121" i="1" s="1"/>
  <c r="N1121" i="1" s="1"/>
  <c r="O1121" i="1" s="1"/>
  <c r="P1121" i="1" s="1"/>
  <c r="L1120" i="1"/>
  <c r="H1120" i="1"/>
  <c r="I1120" i="1" s="1"/>
  <c r="N1120" i="1" s="1"/>
  <c r="O1120" i="1" s="1"/>
  <c r="P1120" i="1" s="1"/>
  <c r="E1120" i="1"/>
  <c r="L1119" i="1"/>
  <c r="E1119" i="1"/>
  <c r="H1119" i="1" s="1"/>
  <c r="I1119" i="1" s="1"/>
  <c r="N1119" i="1" s="1"/>
  <c r="O1119" i="1" s="1"/>
  <c r="P1119" i="1" s="1"/>
  <c r="L1118" i="1"/>
  <c r="E1118" i="1"/>
  <c r="H1118" i="1" s="1"/>
  <c r="I1118" i="1" s="1"/>
  <c r="L1117" i="1"/>
  <c r="I1117" i="1"/>
  <c r="N1117" i="1" s="1"/>
  <c r="O1117" i="1" s="1"/>
  <c r="P1117" i="1" s="1"/>
  <c r="E1117" i="1"/>
  <c r="H1117" i="1" s="1"/>
  <c r="L1116" i="1"/>
  <c r="H1116" i="1"/>
  <c r="I1116" i="1" s="1"/>
  <c r="E1116" i="1"/>
  <c r="L1115" i="1"/>
  <c r="E1115" i="1"/>
  <c r="H1115" i="1" s="1"/>
  <c r="I1115" i="1" s="1"/>
  <c r="N1115" i="1" s="1"/>
  <c r="O1115" i="1" s="1"/>
  <c r="P1115" i="1" s="1"/>
  <c r="L1114" i="1"/>
  <c r="H1114" i="1"/>
  <c r="I1114" i="1" s="1"/>
  <c r="N1114" i="1" s="1"/>
  <c r="O1114" i="1" s="1"/>
  <c r="P1114" i="1" s="1"/>
  <c r="E1114" i="1"/>
  <c r="L1113" i="1"/>
  <c r="E1113" i="1"/>
  <c r="H1113" i="1" s="1"/>
  <c r="I1113" i="1" s="1"/>
  <c r="N1113" i="1" s="1"/>
  <c r="O1113" i="1" s="1"/>
  <c r="P1113" i="1" s="1"/>
  <c r="O1112" i="1"/>
  <c r="P1112" i="1" s="1"/>
  <c r="L1112" i="1"/>
  <c r="H1112" i="1"/>
  <c r="I1112" i="1" s="1"/>
  <c r="N1112" i="1" s="1"/>
  <c r="E1112" i="1"/>
  <c r="L1111" i="1"/>
  <c r="E1111" i="1"/>
  <c r="H1111" i="1" s="1"/>
  <c r="I1111" i="1" s="1"/>
  <c r="N1111" i="1" s="1"/>
  <c r="O1111" i="1" s="1"/>
  <c r="P1111" i="1" s="1"/>
  <c r="O1110" i="1"/>
  <c r="P1110" i="1" s="1"/>
  <c r="L1110" i="1"/>
  <c r="E1110" i="1"/>
  <c r="H1110" i="1" s="1"/>
  <c r="I1110" i="1" s="1"/>
  <c r="N1110" i="1" s="1"/>
  <c r="L1109" i="1"/>
  <c r="E1109" i="1"/>
  <c r="H1109" i="1" s="1"/>
  <c r="I1109" i="1" s="1"/>
  <c r="N1109" i="1" s="1"/>
  <c r="O1109" i="1" s="1"/>
  <c r="P1109" i="1" s="1"/>
  <c r="O1108" i="1"/>
  <c r="P1108" i="1" s="1"/>
  <c r="L1108" i="1"/>
  <c r="H1108" i="1"/>
  <c r="I1108" i="1" s="1"/>
  <c r="N1108" i="1" s="1"/>
  <c r="E1108" i="1"/>
  <c r="L1107" i="1"/>
  <c r="E1107" i="1"/>
  <c r="H1107" i="1" s="1"/>
  <c r="I1107" i="1" s="1"/>
  <c r="N1107" i="1" s="1"/>
  <c r="O1107" i="1" s="1"/>
  <c r="P1107" i="1" s="1"/>
  <c r="L1106" i="1"/>
  <c r="H1106" i="1"/>
  <c r="I1106" i="1" s="1"/>
  <c r="E1106" i="1"/>
  <c r="L1105" i="1"/>
  <c r="I1105" i="1"/>
  <c r="N1105" i="1" s="1"/>
  <c r="O1105" i="1" s="1"/>
  <c r="P1105" i="1" s="1"/>
  <c r="E1105" i="1"/>
  <c r="H1105" i="1" s="1"/>
  <c r="O1104" i="1"/>
  <c r="P1104" i="1" s="1"/>
  <c r="L1104" i="1"/>
  <c r="H1104" i="1"/>
  <c r="I1104" i="1" s="1"/>
  <c r="N1104" i="1" s="1"/>
  <c r="E1104" i="1"/>
  <c r="N1103" i="1"/>
  <c r="O1103" i="1" s="1"/>
  <c r="P1103" i="1" s="1"/>
  <c r="L1103" i="1"/>
  <c r="E1103" i="1"/>
  <c r="H1103" i="1" s="1"/>
  <c r="I1103" i="1" s="1"/>
  <c r="L1102" i="1"/>
  <c r="E1102" i="1"/>
  <c r="H1102" i="1" s="1"/>
  <c r="I1102" i="1" s="1"/>
  <c r="L1101" i="1"/>
  <c r="I1101" i="1"/>
  <c r="N1101" i="1" s="1"/>
  <c r="O1101" i="1" s="1"/>
  <c r="P1101" i="1" s="1"/>
  <c r="E1101" i="1"/>
  <c r="H1101" i="1" s="1"/>
  <c r="L1100" i="1"/>
  <c r="H1100" i="1"/>
  <c r="I1100" i="1" s="1"/>
  <c r="E1100" i="1"/>
  <c r="L1099" i="1"/>
  <c r="I1099" i="1"/>
  <c r="N1099" i="1" s="1"/>
  <c r="O1099" i="1" s="1"/>
  <c r="P1099" i="1" s="1"/>
  <c r="E1099" i="1"/>
  <c r="H1099" i="1" s="1"/>
  <c r="L1098" i="1"/>
  <c r="H1098" i="1"/>
  <c r="I1098" i="1" s="1"/>
  <c r="E1098" i="1"/>
  <c r="L1097" i="1"/>
  <c r="E1097" i="1"/>
  <c r="H1097" i="1" s="1"/>
  <c r="I1097" i="1" s="1"/>
  <c r="N1097" i="1" s="1"/>
  <c r="O1097" i="1" s="1"/>
  <c r="P1097" i="1" s="1"/>
  <c r="L1096" i="1"/>
  <c r="H1096" i="1"/>
  <c r="I1096" i="1" s="1"/>
  <c r="N1096" i="1" s="1"/>
  <c r="O1096" i="1" s="1"/>
  <c r="P1096" i="1" s="1"/>
  <c r="E1096" i="1"/>
  <c r="L1095" i="1"/>
  <c r="E1095" i="1"/>
  <c r="H1095" i="1" s="1"/>
  <c r="I1095" i="1" s="1"/>
  <c r="N1095" i="1" s="1"/>
  <c r="O1095" i="1" s="1"/>
  <c r="P1095" i="1" s="1"/>
  <c r="L1094" i="1"/>
  <c r="E1094" i="1"/>
  <c r="H1094" i="1" s="1"/>
  <c r="I1094" i="1" s="1"/>
  <c r="L1093" i="1"/>
  <c r="E1093" i="1"/>
  <c r="H1093" i="1" s="1"/>
  <c r="I1093" i="1" s="1"/>
  <c r="N1093" i="1" s="1"/>
  <c r="O1093" i="1" s="1"/>
  <c r="P1093" i="1" s="1"/>
  <c r="L1092" i="1"/>
  <c r="H1092" i="1"/>
  <c r="I1092" i="1" s="1"/>
  <c r="E1092" i="1"/>
  <c r="L1091" i="1"/>
  <c r="E1091" i="1"/>
  <c r="H1091" i="1" s="1"/>
  <c r="I1091" i="1" s="1"/>
  <c r="N1091" i="1" s="1"/>
  <c r="O1091" i="1" s="1"/>
  <c r="P1091" i="1" s="1"/>
  <c r="L1090" i="1"/>
  <c r="H1090" i="1"/>
  <c r="I1090" i="1" s="1"/>
  <c r="N1090" i="1" s="1"/>
  <c r="O1090" i="1" s="1"/>
  <c r="P1090" i="1" s="1"/>
  <c r="E1090" i="1"/>
  <c r="L1089" i="1"/>
  <c r="E1089" i="1"/>
  <c r="H1089" i="1" s="1"/>
  <c r="I1089" i="1" s="1"/>
  <c r="N1089" i="1" s="1"/>
  <c r="O1089" i="1" s="1"/>
  <c r="P1089" i="1" s="1"/>
  <c r="L1088" i="1"/>
  <c r="H1088" i="1"/>
  <c r="I1088" i="1" s="1"/>
  <c r="N1088" i="1" s="1"/>
  <c r="O1088" i="1" s="1"/>
  <c r="P1088" i="1" s="1"/>
  <c r="E1088" i="1"/>
  <c r="N1087" i="1"/>
  <c r="O1087" i="1" s="1"/>
  <c r="P1087" i="1" s="1"/>
  <c r="L1087" i="1"/>
  <c r="E1087" i="1"/>
  <c r="H1087" i="1" s="1"/>
  <c r="I1087" i="1" s="1"/>
  <c r="L1086" i="1"/>
  <c r="E1086" i="1"/>
  <c r="H1086" i="1" s="1"/>
  <c r="I1086" i="1" s="1"/>
  <c r="N1086" i="1" s="1"/>
  <c r="O1086" i="1" s="1"/>
  <c r="P1086" i="1" s="1"/>
  <c r="L1085" i="1"/>
  <c r="E1085" i="1"/>
  <c r="H1085" i="1" s="1"/>
  <c r="I1085" i="1" s="1"/>
  <c r="N1085" i="1" s="1"/>
  <c r="O1085" i="1" s="1"/>
  <c r="P1085" i="1" s="1"/>
  <c r="L1084" i="1"/>
  <c r="I1084" i="1"/>
  <c r="N1084" i="1" s="1"/>
  <c r="O1084" i="1" s="1"/>
  <c r="P1084" i="1" s="1"/>
  <c r="H1084" i="1"/>
  <c r="E1084" i="1"/>
  <c r="L1083" i="1"/>
  <c r="H1083" i="1"/>
  <c r="I1083" i="1" s="1"/>
  <c r="N1083" i="1" s="1"/>
  <c r="O1083" i="1" s="1"/>
  <c r="P1083" i="1" s="1"/>
  <c r="E1083" i="1"/>
  <c r="L1082" i="1"/>
  <c r="H1082" i="1"/>
  <c r="I1082" i="1" s="1"/>
  <c r="E1082" i="1"/>
  <c r="L1081" i="1"/>
  <c r="E1081" i="1"/>
  <c r="H1081" i="1" s="1"/>
  <c r="I1081" i="1" s="1"/>
  <c r="N1081" i="1" s="1"/>
  <c r="O1081" i="1" s="1"/>
  <c r="P1081" i="1" s="1"/>
  <c r="O1080" i="1"/>
  <c r="P1080" i="1" s="1"/>
  <c r="L1080" i="1"/>
  <c r="H1080" i="1"/>
  <c r="I1080" i="1" s="1"/>
  <c r="N1080" i="1" s="1"/>
  <c r="E1080" i="1"/>
  <c r="L1079" i="1"/>
  <c r="E1079" i="1"/>
  <c r="H1079" i="1" s="1"/>
  <c r="I1079" i="1" s="1"/>
  <c r="N1079" i="1" s="1"/>
  <c r="O1079" i="1" s="1"/>
  <c r="P1079" i="1" s="1"/>
  <c r="L1078" i="1"/>
  <c r="E1078" i="1"/>
  <c r="H1078" i="1" s="1"/>
  <c r="I1078" i="1" s="1"/>
  <c r="N1078" i="1" s="1"/>
  <c r="O1078" i="1" s="1"/>
  <c r="P1078" i="1" s="1"/>
  <c r="L1077" i="1"/>
  <c r="E1077" i="1"/>
  <c r="H1077" i="1" s="1"/>
  <c r="I1077" i="1" s="1"/>
  <c r="N1077" i="1" s="1"/>
  <c r="O1077" i="1" s="1"/>
  <c r="P1077" i="1" s="1"/>
  <c r="L1076" i="1"/>
  <c r="H1076" i="1"/>
  <c r="I1076" i="1" s="1"/>
  <c r="N1076" i="1" s="1"/>
  <c r="O1076" i="1" s="1"/>
  <c r="P1076" i="1" s="1"/>
  <c r="E1076" i="1"/>
  <c r="L1075" i="1"/>
  <c r="I1075" i="1"/>
  <c r="N1075" i="1" s="1"/>
  <c r="O1075" i="1" s="1"/>
  <c r="P1075" i="1" s="1"/>
  <c r="E1075" i="1"/>
  <c r="H1075" i="1" s="1"/>
  <c r="L1074" i="1"/>
  <c r="E1074" i="1"/>
  <c r="H1074" i="1" s="1"/>
  <c r="I1074" i="1" s="1"/>
  <c r="N1074" i="1" s="1"/>
  <c r="O1074" i="1" s="1"/>
  <c r="P1074" i="1" s="1"/>
  <c r="L1073" i="1"/>
  <c r="I1073" i="1"/>
  <c r="N1073" i="1" s="1"/>
  <c r="O1073" i="1" s="1"/>
  <c r="P1073" i="1" s="1"/>
  <c r="E1073" i="1"/>
  <c r="H1073" i="1" s="1"/>
  <c r="L1072" i="1"/>
  <c r="H1072" i="1"/>
  <c r="I1072" i="1" s="1"/>
  <c r="N1072" i="1" s="1"/>
  <c r="O1072" i="1" s="1"/>
  <c r="P1072" i="1" s="1"/>
  <c r="E1072" i="1"/>
  <c r="O1071" i="1"/>
  <c r="P1071" i="1" s="1"/>
  <c r="L1071" i="1"/>
  <c r="E1071" i="1"/>
  <c r="H1071" i="1" s="1"/>
  <c r="I1071" i="1" s="1"/>
  <c r="N1071" i="1" s="1"/>
  <c r="L1070" i="1"/>
  <c r="E1070" i="1"/>
  <c r="H1070" i="1" s="1"/>
  <c r="I1070" i="1" s="1"/>
  <c r="N1070" i="1" s="1"/>
  <c r="O1070" i="1" s="1"/>
  <c r="P1070" i="1" s="1"/>
  <c r="L1069" i="1"/>
  <c r="E1069" i="1"/>
  <c r="H1069" i="1" s="1"/>
  <c r="I1069" i="1" s="1"/>
  <c r="N1069" i="1" s="1"/>
  <c r="O1069" i="1" s="1"/>
  <c r="P1069" i="1" s="1"/>
  <c r="L1068" i="1"/>
  <c r="E1068" i="1"/>
  <c r="H1068" i="1" s="1"/>
  <c r="I1068" i="1" s="1"/>
  <c r="N1068" i="1" s="1"/>
  <c r="O1068" i="1" s="1"/>
  <c r="P1068" i="1" s="1"/>
  <c r="L1067" i="1"/>
  <c r="H1067" i="1"/>
  <c r="I1067" i="1" s="1"/>
  <c r="N1067" i="1" s="1"/>
  <c r="O1067" i="1" s="1"/>
  <c r="P1067" i="1" s="1"/>
  <c r="E1067" i="1"/>
  <c r="O1066" i="1"/>
  <c r="P1066" i="1" s="1"/>
  <c r="L1066" i="1"/>
  <c r="E1066" i="1"/>
  <c r="H1066" i="1" s="1"/>
  <c r="I1066" i="1" s="1"/>
  <c r="N1066" i="1" s="1"/>
  <c r="N1065" i="1"/>
  <c r="O1065" i="1" s="1"/>
  <c r="P1065" i="1" s="1"/>
  <c r="L1065" i="1"/>
  <c r="E1065" i="1"/>
  <c r="H1065" i="1" s="1"/>
  <c r="I1065" i="1" s="1"/>
  <c r="L1064" i="1"/>
  <c r="H1064" i="1"/>
  <c r="I1064" i="1" s="1"/>
  <c r="N1064" i="1" s="1"/>
  <c r="O1064" i="1" s="1"/>
  <c r="P1064" i="1" s="1"/>
  <c r="E1064" i="1"/>
  <c r="L1063" i="1"/>
  <c r="I1063" i="1"/>
  <c r="N1063" i="1" s="1"/>
  <c r="O1063" i="1" s="1"/>
  <c r="P1063" i="1" s="1"/>
  <c r="E1063" i="1"/>
  <c r="H1063" i="1" s="1"/>
  <c r="L1062" i="1"/>
  <c r="H1062" i="1"/>
  <c r="I1062" i="1" s="1"/>
  <c r="N1062" i="1" s="1"/>
  <c r="O1062" i="1" s="1"/>
  <c r="P1062" i="1" s="1"/>
  <c r="E1062" i="1"/>
  <c r="L1061" i="1"/>
  <c r="E1061" i="1"/>
  <c r="H1061" i="1" s="1"/>
  <c r="I1061" i="1" s="1"/>
  <c r="N1061" i="1" s="1"/>
  <c r="O1061" i="1" s="1"/>
  <c r="P1061" i="1" s="1"/>
  <c r="L1060" i="1"/>
  <c r="E1060" i="1"/>
  <c r="H1060" i="1" s="1"/>
  <c r="I1060" i="1" s="1"/>
  <c r="N1060" i="1" s="1"/>
  <c r="O1060" i="1" s="1"/>
  <c r="P1060" i="1" s="1"/>
  <c r="L1059" i="1"/>
  <c r="H1059" i="1"/>
  <c r="I1059" i="1" s="1"/>
  <c r="N1059" i="1" s="1"/>
  <c r="O1059" i="1" s="1"/>
  <c r="P1059" i="1" s="1"/>
  <c r="E1059" i="1"/>
  <c r="O1058" i="1"/>
  <c r="P1058" i="1" s="1"/>
  <c r="L1058" i="1"/>
  <c r="I1058" i="1"/>
  <c r="N1058" i="1" s="1"/>
  <c r="E1058" i="1"/>
  <c r="H1058" i="1" s="1"/>
  <c r="L1057" i="1"/>
  <c r="H1057" i="1"/>
  <c r="I1057" i="1" s="1"/>
  <c r="N1057" i="1" s="1"/>
  <c r="O1057" i="1" s="1"/>
  <c r="P1057" i="1" s="1"/>
  <c r="E1057" i="1"/>
  <c r="N1056" i="1"/>
  <c r="O1056" i="1" s="1"/>
  <c r="P1056" i="1" s="1"/>
  <c r="L1056" i="1"/>
  <c r="E1056" i="1"/>
  <c r="H1056" i="1" s="1"/>
  <c r="I1056" i="1" s="1"/>
  <c r="L1055" i="1"/>
  <c r="I1055" i="1"/>
  <c r="H1055" i="1"/>
  <c r="E1055" i="1"/>
  <c r="P1054" i="1"/>
  <c r="L1054" i="1"/>
  <c r="I1054" i="1"/>
  <c r="N1054" i="1" s="1"/>
  <c r="O1054" i="1" s="1"/>
  <c r="H1054" i="1"/>
  <c r="E1054" i="1"/>
  <c r="L1053" i="1"/>
  <c r="E1053" i="1"/>
  <c r="H1053" i="1" s="1"/>
  <c r="I1053" i="1" s="1"/>
  <c r="N1053" i="1" s="1"/>
  <c r="O1053" i="1" s="1"/>
  <c r="P1053" i="1" s="1"/>
  <c r="N1052" i="1"/>
  <c r="O1052" i="1" s="1"/>
  <c r="P1052" i="1" s="1"/>
  <c r="L1052" i="1"/>
  <c r="E1052" i="1"/>
  <c r="H1052" i="1" s="1"/>
  <c r="I1052" i="1" s="1"/>
  <c r="P1051" i="1"/>
  <c r="L1051" i="1"/>
  <c r="H1051" i="1"/>
  <c r="I1051" i="1" s="1"/>
  <c r="N1051" i="1" s="1"/>
  <c r="O1051" i="1" s="1"/>
  <c r="E1051" i="1"/>
  <c r="L1050" i="1"/>
  <c r="E1050" i="1"/>
  <c r="H1050" i="1" s="1"/>
  <c r="I1050" i="1" s="1"/>
  <c r="N1050" i="1" s="1"/>
  <c r="O1050" i="1" s="1"/>
  <c r="P1050" i="1" s="1"/>
  <c r="L1049" i="1"/>
  <c r="H1049" i="1"/>
  <c r="I1049" i="1" s="1"/>
  <c r="N1049" i="1" s="1"/>
  <c r="O1049" i="1" s="1"/>
  <c r="P1049" i="1" s="1"/>
  <c r="E1049" i="1"/>
  <c r="L1048" i="1"/>
  <c r="E1048" i="1"/>
  <c r="H1048" i="1" s="1"/>
  <c r="I1048" i="1" s="1"/>
  <c r="N1048" i="1" s="1"/>
  <c r="O1048" i="1" s="1"/>
  <c r="P1048" i="1" s="1"/>
  <c r="L1047" i="1"/>
  <c r="I1047" i="1"/>
  <c r="N1047" i="1" s="1"/>
  <c r="O1047" i="1" s="1"/>
  <c r="P1047" i="1" s="1"/>
  <c r="H1047" i="1"/>
  <c r="E1047" i="1"/>
  <c r="P1046" i="1"/>
  <c r="L1046" i="1"/>
  <c r="H1046" i="1"/>
  <c r="I1046" i="1" s="1"/>
  <c r="N1046" i="1" s="1"/>
  <c r="O1046" i="1" s="1"/>
  <c r="E1046" i="1"/>
  <c r="L1045" i="1"/>
  <c r="E1045" i="1"/>
  <c r="H1045" i="1" s="1"/>
  <c r="I1045" i="1" s="1"/>
  <c r="N1045" i="1" s="1"/>
  <c r="O1045" i="1" s="1"/>
  <c r="P1045" i="1" s="1"/>
  <c r="L1044" i="1"/>
  <c r="E1044" i="1"/>
  <c r="H1044" i="1" s="1"/>
  <c r="I1044" i="1" s="1"/>
  <c r="N1044" i="1" s="1"/>
  <c r="O1044" i="1" s="1"/>
  <c r="P1044" i="1" s="1"/>
  <c r="L1043" i="1"/>
  <c r="H1043" i="1"/>
  <c r="I1043" i="1" s="1"/>
  <c r="E1043" i="1"/>
  <c r="L1042" i="1"/>
  <c r="I1042" i="1"/>
  <c r="N1042" i="1" s="1"/>
  <c r="O1042" i="1" s="1"/>
  <c r="P1042" i="1" s="1"/>
  <c r="E1042" i="1"/>
  <c r="H1042" i="1" s="1"/>
  <c r="L1041" i="1"/>
  <c r="H1041" i="1"/>
  <c r="I1041" i="1" s="1"/>
  <c r="N1041" i="1" s="1"/>
  <c r="O1041" i="1" s="1"/>
  <c r="P1041" i="1" s="1"/>
  <c r="E1041" i="1"/>
  <c r="L1040" i="1"/>
  <c r="E1040" i="1"/>
  <c r="H1040" i="1" s="1"/>
  <c r="I1040" i="1" s="1"/>
  <c r="N1040" i="1" s="1"/>
  <c r="O1040" i="1" s="1"/>
  <c r="P1040" i="1" s="1"/>
  <c r="L1039" i="1"/>
  <c r="I1039" i="1"/>
  <c r="H1039" i="1"/>
  <c r="E1039" i="1"/>
  <c r="L1038" i="1"/>
  <c r="I1038" i="1"/>
  <c r="N1038" i="1" s="1"/>
  <c r="O1038" i="1" s="1"/>
  <c r="P1038" i="1" s="1"/>
  <c r="H1038" i="1"/>
  <c r="E1038" i="1"/>
  <c r="L1037" i="1"/>
  <c r="H1037" i="1"/>
  <c r="I1037" i="1" s="1"/>
  <c r="N1037" i="1" s="1"/>
  <c r="O1037" i="1" s="1"/>
  <c r="P1037" i="1" s="1"/>
  <c r="E1037" i="1"/>
  <c r="L1036" i="1"/>
  <c r="E1036" i="1"/>
  <c r="H1036" i="1" s="1"/>
  <c r="I1036" i="1" s="1"/>
  <c r="N1036" i="1" s="1"/>
  <c r="O1036" i="1" s="1"/>
  <c r="P1036" i="1" s="1"/>
  <c r="L1035" i="1"/>
  <c r="H1035" i="1"/>
  <c r="I1035" i="1" s="1"/>
  <c r="N1035" i="1" s="1"/>
  <c r="O1035" i="1" s="1"/>
  <c r="P1035" i="1" s="1"/>
  <c r="E1035" i="1"/>
  <c r="L1034" i="1"/>
  <c r="E1034" i="1"/>
  <c r="H1034" i="1" s="1"/>
  <c r="I1034" i="1" s="1"/>
  <c r="N1034" i="1" s="1"/>
  <c r="O1034" i="1" s="1"/>
  <c r="P1034" i="1" s="1"/>
  <c r="N1033" i="1"/>
  <c r="O1033" i="1" s="1"/>
  <c r="P1033" i="1" s="1"/>
  <c r="L1033" i="1"/>
  <c r="H1033" i="1"/>
  <c r="I1033" i="1" s="1"/>
  <c r="E1033" i="1"/>
  <c r="N1032" i="1"/>
  <c r="O1032" i="1" s="1"/>
  <c r="P1032" i="1" s="1"/>
  <c r="L1032" i="1"/>
  <c r="E1032" i="1"/>
  <c r="H1032" i="1" s="1"/>
  <c r="I1032" i="1" s="1"/>
  <c r="L1031" i="1"/>
  <c r="I1031" i="1"/>
  <c r="N1031" i="1" s="1"/>
  <c r="O1031" i="1" s="1"/>
  <c r="P1031" i="1" s="1"/>
  <c r="H1031" i="1"/>
  <c r="E1031" i="1"/>
  <c r="L1030" i="1"/>
  <c r="H1030" i="1"/>
  <c r="I1030" i="1" s="1"/>
  <c r="N1030" i="1" s="1"/>
  <c r="O1030" i="1" s="1"/>
  <c r="P1030" i="1" s="1"/>
  <c r="E1030" i="1"/>
  <c r="O1029" i="1"/>
  <c r="P1029" i="1" s="1"/>
  <c r="L1029" i="1"/>
  <c r="H1029" i="1"/>
  <c r="I1029" i="1" s="1"/>
  <c r="N1029" i="1" s="1"/>
  <c r="E1029" i="1"/>
  <c r="N1028" i="1"/>
  <c r="O1028" i="1" s="1"/>
  <c r="P1028" i="1" s="1"/>
  <c r="L1028" i="1"/>
  <c r="E1028" i="1"/>
  <c r="H1028" i="1" s="1"/>
  <c r="I1028" i="1" s="1"/>
  <c r="L1027" i="1"/>
  <c r="I1027" i="1"/>
  <c r="H1027" i="1"/>
  <c r="E1027" i="1"/>
  <c r="L1026" i="1"/>
  <c r="I1026" i="1"/>
  <c r="N1026" i="1" s="1"/>
  <c r="O1026" i="1" s="1"/>
  <c r="P1026" i="1" s="1"/>
  <c r="H1026" i="1"/>
  <c r="E1026" i="1"/>
  <c r="L1025" i="1"/>
  <c r="H1025" i="1"/>
  <c r="I1025" i="1" s="1"/>
  <c r="N1025" i="1" s="1"/>
  <c r="O1025" i="1" s="1"/>
  <c r="P1025" i="1" s="1"/>
  <c r="E1025" i="1"/>
  <c r="L1024" i="1"/>
  <c r="E1024" i="1"/>
  <c r="H1024" i="1" s="1"/>
  <c r="I1024" i="1" s="1"/>
  <c r="L1023" i="1"/>
  <c r="I1023" i="1"/>
  <c r="H1023" i="1"/>
  <c r="E1023" i="1"/>
  <c r="L1022" i="1"/>
  <c r="H1022" i="1"/>
  <c r="I1022" i="1" s="1"/>
  <c r="N1022" i="1" s="1"/>
  <c r="O1022" i="1" s="1"/>
  <c r="P1022" i="1" s="1"/>
  <c r="E1022" i="1"/>
  <c r="L1021" i="1"/>
  <c r="E1021" i="1"/>
  <c r="H1021" i="1" s="1"/>
  <c r="I1021" i="1" s="1"/>
  <c r="N1021" i="1" s="1"/>
  <c r="O1021" i="1" s="1"/>
  <c r="P1021" i="1" s="1"/>
  <c r="L1020" i="1"/>
  <c r="E1020" i="1"/>
  <c r="H1020" i="1" s="1"/>
  <c r="I1020" i="1" s="1"/>
  <c r="N1020" i="1" s="1"/>
  <c r="O1020" i="1" s="1"/>
  <c r="P1020" i="1" s="1"/>
  <c r="L1019" i="1"/>
  <c r="I1019" i="1"/>
  <c r="N1019" i="1" s="1"/>
  <c r="O1019" i="1" s="1"/>
  <c r="P1019" i="1" s="1"/>
  <c r="H1019" i="1"/>
  <c r="E1019" i="1"/>
  <c r="O1018" i="1"/>
  <c r="P1018" i="1" s="1"/>
  <c r="L1018" i="1"/>
  <c r="I1018" i="1"/>
  <c r="N1018" i="1" s="1"/>
  <c r="H1018" i="1"/>
  <c r="E1018" i="1"/>
  <c r="L1017" i="1"/>
  <c r="H1017" i="1"/>
  <c r="I1017" i="1" s="1"/>
  <c r="N1017" i="1" s="1"/>
  <c r="O1017" i="1" s="1"/>
  <c r="P1017" i="1" s="1"/>
  <c r="E1017" i="1"/>
  <c r="L1016" i="1"/>
  <c r="E1016" i="1"/>
  <c r="H1016" i="1" s="1"/>
  <c r="I1016" i="1" s="1"/>
  <c r="N1016" i="1" s="1"/>
  <c r="O1016" i="1" s="1"/>
  <c r="P1016" i="1" s="1"/>
  <c r="L1015" i="1"/>
  <c r="I1015" i="1"/>
  <c r="N1015" i="1" s="1"/>
  <c r="O1015" i="1" s="1"/>
  <c r="P1015" i="1" s="1"/>
  <c r="H1015" i="1"/>
  <c r="E1015" i="1"/>
  <c r="P1014" i="1"/>
  <c r="L1014" i="1"/>
  <c r="H1014" i="1"/>
  <c r="I1014" i="1" s="1"/>
  <c r="N1014" i="1" s="1"/>
  <c r="O1014" i="1" s="1"/>
  <c r="E1014" i="1"/>
  <c r="L1013" i="1"/>
  <c r="H1013" i="1"/>
  <c r="I1013" i="1" s="1"/>
  <c r="N1013" i="1" s="1"/>
  <c r="O1013" i="1" s="1"/>
  <c r="P1013" i="1" s="1"/>
  <c r="E1013" i="1"/>
  <c r="L1012" i="1"/>
  <c r="E1012" i="1"/>
  <c r="H1012" i="1" s="1"/>
  <c r="I1012" i="1" s="1"/>
  <c r="N1012" i="1" s="1"/>
  <c r="O1012" i="1" s="1"/>
  <c r="P1012" i="1" s="1"/>
  <c r="L1011" i="1"/>
  <c r="I1011" i="1"/>
  <c r="H1011" i="1"/>
  <c r="E1011" i="1"/>
  <c r="L1010" i="1"/>
  <c r="I1010" i="1"/>
  <c r="N1010" i="1" s="1"/>
  <c r="O1010" i="1" s="1"/>
  <c r="P1010" i="1" s="1"/>
  <c r="H1010" i="1"/>
  <c r="E1010" i="1"/>
  <c r="N1009" i="1"/>
  <c r="O1009" i="1" s="1"/>
  <c r="P1009" i="1" s="1"/>
  <c r="L1009" i="1"/>
  <c r="H1009" i="1"/>
  <c r="I1009" i="1" s="1"/>
  <c r="E1009" i="1"/>
  <c r="L1008" i="1"/>
  <c r="E1008" i="1"/>
  <c r="H1008" i="1" s="1"/>
  <c r="I1008" i="1" s="1"/>
  <c r="N1008" i="1" s="1"/>
  <c r="O1008" i="1" s="1"/>
  <c r="P1008" i="1" s="1"/>
  <c r="L1007" i="1"/>
  <c r="I1007" i="1"/>
  <c r="H1007" i="1"/>
  <c r="E1007" i="1"/>
  <c r="P1006" i="1"/>
  <c r="L1006" i="1"/>
  <c r="I1006" i="1"/>
  <c r="N1006" i="1" s="1"/>
  <c r="O1006" i="1" s="1"/>
  <c r="H1006" i="1"/>
  <c r="E1006" i="1"/>
  <c r="O1005" i="1"/>
  <c r="P1005" i="1" s="1"/>
  <c r="L1005" i="1"/>
  <c r="E1005" i="1"/>
  <c r="H1005" i="1" s="1"/>
  <c r="I1005" i="1" s="1"/>
  <c r="N1005" i="1" s="1"/>
  <c r="L1004" i="1"/>
  <c r="E1004" i="1"/>
  <c r="H1004" i="1" s="1"/>
  <c r="I1004" i="1" s="1"/>
  <c r="N1004" i="1" s="1"/>
  <c r="O1004" i="1" s="1"/>
  <c r="P1004" i="1" s="1"/>
  <c r="L1003" i="1"/>
  <c r="I1003" i="1"/>
  <c r="H1003" i="1"/>
  <c r="E1003" i="1"/>
  <c r="L1002" i="1"/>
  <c r="I1002" i="1"/>
  <c r="N1002" i="1" s="1"/>
  <c r="O1002" i="1" s="1"/>
  <c r="P1002" i="1" s="1"/>
  <c r="H1002" i="1"/>
  <c r="E1002" i="1"/>
  <c r="N1001" i="1"/>
  <c r="O1001" i="1" s="1"/>
  <c r="P1001" i="1" s="1"/>
  <c r="L1001" i="1"/>
  <c r="H1001" i="1"/>
  <c r="I1001" i="1" s="1"/>
  <c r="E1001" i="1"/>
  <c r="L1000" i="1"/>
  <c r="N1000" i="1" s="1"/>
  <c r="O1000" i="1" s="1"/>
  <c r="P1000" i="1" s="1"/>
  <c r="E1000" i="1"/>
  <c r="H1000" i="1" s="1"/>
  <c r="I1000" i="1" s="1"/>
  <c r="L999" i="1"/>
  <c r="I999" i="1"/>
  <c r="N999" i="1" s="1"/>
  <c r="O999" i="1" s="1"/>
  <c r="P999" i="1" s="1"/>
  <c r="H999" i="1"/>
  <c r="E999" i="1"/>
  <c r="L998" i="1"/>
  <c r="I998" i="1"/>
  <c r="N998" i="1" s="1"/>
  <c r="O998" i="1" s="1"/>
  <c r="P998" i="1" s="1"/>
  <c r="H998" i="1"/>
  <c r="E998" i="1"/>
  <c r="O997" i="1"/>
  <c r="P997" i="1" s="1"/>
  <c r="L997" i="1"/>
  <c r="H997" i="1"/>
  <c r="I997" i="1" s="1"/>
  <c r="N997" i="1" s="1"/>
  <c r="E997" i="1"/>
  <c r="N996" i="1"/>
  <c r="O996" i="1" s="1"/>
  <c r="P996" i="1" s="1"/>
  <c r="L996" i="1"/>
  <c r="E996" i="1"/>
  <c r="H996" i="1" s="1"/>
  <c r="I996" i="1" s="1"/>
  <c r="L995" i="1"/>
  <c r="I995" i="1"/>
  <c r="H995" i="1"/>
  <c r="E995" i="1"/>
  <c r="O994" i="1"/>
  <c r="P994" i="1" s="1"/>
  <c r="L994" i="1"/>
  <c r="I994" i="1"/>
  <c r="N994" i="1" s="1"/>
  <c r="H994" i="1"/>
  <c r="E994" i="1"/>
  <c r="L993" i="1"/>
  <c r="H993" i="1"/>
  <c r="I993" i="1" s="1"/>
  <c r="N993" i="1" s="1"/>
  <c r="O993" i="1" s="1"/>
  <c r="P993" i="1" s="1"/>
  <c r="E993" i="1"/>
  <c r="L992" i="1"/>
  <c r="E992" i="1"/>
  <c r="H992" i="1" s="1"/>
  <c r="I992" i="1" s="1"/>
  <c r="N992" i="1" s="1"/>
  <c r="O992" i="1" s="1"/>
  <c r="P992" i="1" s="1"/>
  <c r="L991" i="1"/>
  <c r="I991" i="1"/>
  <c r="H991" i="1"/>
  <c r="E991" i="1"/>
  <c r="L990" i="1"/>
  <c r="I990" i="1"/>
  <c r="N990" i="1" s="1"/>
  <c r="O990" i="1" s="1"/>
  <c r="P990" i="1" s="1"/>
  <c r="H990" i="1"/>
  <c r="E990" i="1"/>
  <c r="L989" i="1"/>
  <c r="H989" i="1"/>
  <c r="I989" i="1" s="1"/>
  <c r="N989" i="1" s="1"/>
  <c r="O989" i="1" s="1"/>
  <c r="P989" i="1" s="1"/>
  <c r="E989" i="1"/>
  <c r="L988" i="1"/>
  <c r="E988" i="1"/>
  <c r="H988" i="1" s="1"/>
  <c r="I988" i="1" s="1"/>
  <c r="N988" i="1" s="1"/>
  <c r="O988" i="1" s="1"/>
  <c r="P988" i="1" s="1"/>
  <c r="L987" i="1"/>
  <c r="I987" i="1"/>
  <c r="N987" i="1" s="1"/>
  <c r="O987" i="1" s="1"/>
  <c r="P987" i="1" s="1"/>
  <c r="H987" i="1"/>
  <c r="E987" i="1"/>
  <c r="O986" i="1"/>
  <c r="P986" i="1" s="1"/>
  <c r="L986" i="1"/>
  <c r="I986" i="1"/>
  <c r="N986" i="1" s="1"/>
  <c r="H986" i="1"/>
  <c r="E986" i="1"/>
  <c r="L985" i="1"/>
  <c r="H985" i="1"/>
  <c r="I985" i="1" s="1"/>
  <c r="N985" i="1" s="1"/>
  <c r="O985" i="1" s="1"/>
  <c r="P985" i="1" s="1"/>
  <c r="E985" i="1"/>
  <c r="L984" i="1"/>
  <c r="E984" i="1"/>
  <c r="H984" i="1" s="1"/>
  <c r="I984" i="1" s="1"/>
  <c r="N984" i="1" s="1"/>
  <c r="O984" i="1" s="1"/>
  <c r="P984" i="1" s="1"/>
  <c r="L983" i="1"/>
  <c r="I983" i="1"/>
  <c r="H983" i="1"/>
  <c r="E983" i="1"/>
  <c r="L982" i="1"/>
  <c r="H982" i="1"/>
  <c r="I982" i="1" s="1"/>
  <c r="N982" i="1" s="1"/>
  <c r="O982" i="1" s="1"/>
  <c r="P982" i="1" s="1"/>
  <c r="E982" i="1"/>
  <c r="L981" i="1"/>
  <c r="H981" i="1"/>
  <c r="I981" i="1" s="1"/>
  <c r="N981" i="1" s="1"/>
  <c r="O981" i="1" s="1"/>
  <c r="P981" i="1" s="1"/>
  <c r="E981" i="1"/>
  <c r="L980" i="1"/>
  <c r="E980" i="1"/>
  <c r="H980" i="1" s="1"/>
  <c r="I980" i="1" s="1"/>
  <c r="N980" i="1" s="1"/>
  <c r="O980" i="1" s="1"/>
  <c r="P980" i="1" s="1"/>
  <c r="L979" i="1"/>
  <c r="I979" i="1"/>
  <c r="H979" i="1"/>
  <c r="E979" i="1"/>
  <c r="L978" i="1"/>
  <c r="I978" i="1"/>
  <c r="N978" i="1" s="1"/>
  <c r="O978" i="1" s="1"/>
  <c r="P978" i="1" s="1"/>
  <c r="H978" i="1"/>
  <c r="E978" i="1"/>
  <c r="L977" i="1"/>
  <c r="H977" i="1"/>
  <c r="I977" i="1" s="1"/>
  <c r="N977" i="1" s="1"/>
  <c r="O977" i="1" s="1"/>
  <c r="P977" i="1" s="1"/>
  <c r="E977" i="1"/>
  <c r="N976" i="1"/>
  <c r="O976" i="1" s="1"/>
  <c r="P976" i="1" s="1"/>
  <c r="L976" i="1"/>
  <c r="E976" i="1"/>
  <c r="H976" i="1" s="1"/>
  <c r="I976" i="1" s="1"/>
  <c r="L975" i="1"/>
  <c r="I975" i="1"/>
  <c r="H975" i="1"/>
  <c r="E975" i="1"/>
  <c r="P974" i="1"/>
  <c r="L974" i="1"/>
  <c r="I974" i="1"/>
  <c r="N974" i="1" s="1"/>
  <c r="O974" i="1" s="1"/>
  <c r="H974" i="1"/>
  <c r="E974" i="1"/>
  <c r="L973" i="1"/>
  <c r="E973" i="1"/>
  <c r="H973" i="1" s="1"/>
  <c r="I973" i="1" s="1"/>
  <c r="N973" i="1" s="1"/>
  <c r="O973" i="1" s="1"/>
  <c r="P973" i="1" s="1"/>
  <c r="N972" i="1"/>
  <c r="O972" i="1" s="1"/>
  <c r="P972" i="1" s="1"/>
  <c r="L972" i="1"/>
  <c r="E972" i="1"/>
  <c r="H972" i="1" s="1"/>
  <c r="I972" i="1" s="1"/>
  <c r="P971" i="1"/>
  <c r="L971" i="1"/>
  <c r="I971" i="1"/>
  <c r="N971" i="1" s="1"/>
  <c r="O971" i="1" s="1"/>
  <c r="H971" i="1"/>
  <c r="E971" i="1"/>
  <c r="L970" i="1"/>
  <c r="I970" i="1"/>
  <c r="N970" i="1" s="1"/>
  <c r="O970" i="1" s="1"/>
  <c r="P970" i="1" s="1"/>
  <c r="H970" i="1"/>
  <c r="E970" i="1"/>
  <c r="N969" i="1"/>
  <c r="O969" i="1" s="1"/>
  <c r="P969" i="1" s="1"/>
  <c r="L969" i="1"/>
  <c r="H969" i="1"/>
  <c r="I969" i="1" s="1"/>
  <c r="E969" i="1"/>
  <c r="N968" i="1"/>
  <c r="O968" i="1" s="1"/>
  <c r="P968" i="1" s="1"/>
  <c r="L968" i="1"/>
  <c r="E968" i="1"/>
  <c r="H968" i="1" s="1"/>
  <c r="I968" i="1" s="1"/>
  <c r="L967" i="1"/>
  <c r="I967" i="1"/>
  <c r="N967" i="1" s="1"/>
  <c r="O967" i="1" s="1"/>
  <c r="P967" i="1" s="1"/>
  <c r="H967" i="1"/>
  <c r="E967" i="1"/>
  <c r="L966" i="1"/>
  <c r="H966" i="1"/>
  <c r="I966" i="1" s="1"/>
  <c r="N966" i="1" s="1"/>
  <c r="O966" i="1" s="1"/>
  <c r="P966" i="1" s="1"/>
  <c r="E966" i="1"/>
  <c r="O965" i="1"/>
  <c r="P965" i="1" s="1"/>
  <c r="L965" i="1"/>
  <c r="H965" i="1"/>
  <c r="I965" i="1" s="1"/>
  <c r="N965" i="1" s="1"/>
  <c r="E965" i="1"/>
  <c r="N964" i="1"/>
  <c r="O964" i="1" s="1"/>
  <c r="P964" i="1" s="1"/>
  <c r="L964" i="1"/>
  <c r="E964" i="1"/>
  <c r="H964" i="1" s="1"/>
  <c r="I964" i="1" s="1"/>
  <c r="L963" i="1"/>
  <c r="I963" i="1"/>
  <c r="H963" i="1"/>
  <c r="E963" i="1"/>
  <c r="L962" i="1"/>
  <c r="I962" i="1"/>
  <c r="N962" i="1" s="1"/>
  <c r="O962" i="1" s="1"/>
  <c r="P962" i="1" s="1"/>
  <c r="H962" i="1"/>
  <c r="E962" i="1"/>
  <c r="L961" i="1"/>
  <c r="H961" i="1"/>
  <c r="I961" i="1" s="1"/>
  <c r="N961" i="1" s="1"/>
  <c r="O961" i="1" s="1"/>
  <c r="P961" i="1" s="1"/>
  <c r="E961" i="1"/>
  <c r="L960" i="1"/>
  <c r="E960" i="1"/>
  <c r="H960" i="1" s="1"/>
  <c r="I960" i="1" s="1"/>
  <c r="N960" i="1" s="1"/>
  <c r="O960" i="1" s="1"/>
  <c r="P960" i="1" s="1"/>
  <c r="L959" i="1"/>
  <c r="I959" i="1"/>
  <c r="H959" i="1"/>
  <c r="E959" i="1"/>
  <c r="L958" i="1"/>
  <c r="H958" i="1"/>
  <c r="I958" i="1" s="1"/>
  <c r="N958" i="1" s="1"/>
  <c r="O958" i="1" s="1"/>
  <c r="P958" i="1" s="1"/>
  <c r="E958" i="1"/>
  <c r="L957" i="1"/>
  <c r="E957" i="1"/>
  <c r="H957" i="1" s="1"/>
  <c r="I957" i="1" s="1"/>
  <c r="N957" i="1" s="1"/>
  <c r="O957" i="1" s="1"/>
  <c r="P957" i="1" s="1"/>
  <c r="L956" i="1"/>
  <c r="E956" i="1"/>
  <c r="H956" i="1" s="1"/>
  <c r="I956" i="1" s="1"/>
  <c r="N956" i="1" s="1"/>
  <c r="O956" i="1" s="1"/>
  <c r="P956" i="1" s="1"/>
  <c r="L955" i="1"/>
  <c r="I955" i="1"/>
  <c r="N955" i="1" s="1"/>
  <c r="O955" i="1" s="1"/>
  <c r="P955" i="1" s="1"/>
  <c r="H955" i="1"/>
  <c r="E955" i="1"/>
  <c r="O954" i="1"/>
  <c r="P954" i="1" s="1"/>
  <c r="L954" i="1"/>
  <c r="I954" i="1"/>
  <c r="N954" i="1" s="1"/>
  <c r="H954" i="1"/>
  <c r="E954" i="1"/>
  <c r="L953" i="1"/>
  <c r="H953" i="1"/>
  <c r="I953" i="1" s="1"/>
  <c r="N953" i="1" s="1"/>
  <c r="O953" i="1" s="1"/>
  <c r="P953" i="1" s="1"/>
  <c r="E953" i="1"/>
  <c r="L952" i="1"/>
  <c r="E952" i="1"/>
  <c r="H952" i="1" s="1"/>
  <c r="I952" i="1" s="1"/>
  <c r="N952" i="1" s="1"/>
  <c r="O952" i="1" s="1"/>
  <c r="P952" i="1" s="1"/>
  <c r="L951" i="1"/>
  <c r="I951" i="1"/>
  <c r="N951" i="1" s="1"/>
  <c r="O951" i="1" s="1"/>
  <c r="P951" i="1" s="1"/>
  <c r="E951" i="1"/>
  <c r="H951" i="1" s="1"/>
  <c r="L950" i="1"/>
  <c r="H950" i="1"/>
  <c r="I950" i="1" s="1"/>
  <c r="N950" i="1" s="1"/>
  <c r="O950" i="1" s="1"/>
  <c r="P950" i="1" s="1"/>
  <c r="E950" i="1"/>
  <c r="L949" i="1"/>
  <c r="H949" i="1"/>
  <c r="I949" i="1" s="1"/>
  <c r="N949" i="1" s="1"/>
  <c r="O949" i="1" s="1"/>
  <c r="P949" i="1" s="1"/>
  <c r="E949" i="1"/>
  <c r="L948" i="1"/>
  <c r="E948" i="1"/>
  <c r="H948" i="1" s="1"/>
  <c r="I948" i="1" s="1"/>
  <c r="N948" i="1" s="1"/>
  <c r="O948" i="1" s="1"/>
  <c r="P948" i="1" s="1"/>
  <c r="L947" i="1"/>
  <c r="I947" i="1"/>
  <c r="N947" i="1" s="1"/>
  <c r="O947" i="1" s="1"/>
  <c r="P947" i="1" s="1"/>
  <c r="H947" i="1"/>
  <c r="E947" i="1"/>
  <c r="O946" i="1"/>
  <c r="P946" i="1" s="1"/>
  <c r="L946" i="1"/>
  <c r="I946" i="1"/>
  <c r="N946" i="1" s="1"/>
  <c r="H946" i="1"/>
  <c r="E946" i="1"/>
  <c r="L945" i="1"/>
  <c r="H945" i="1"/>
  <c r="I945" i="1" s="1"/>
  <c r="N945" i="1" s="1"/>
  <c r="O945" i="1" s="1"/>
  <c r="P945" i="1" s="1"/>
  <c r="E945" i="1"/>
  <c r="L944" i="1"/>
  <c r="E944" i="1"/>
  <c r="H944" i="1" s="1"/>
  <c r="I944" i="1" s="1"/>
  <c r="N944" i="1" s="1"/>
  <c r="O944" i="1" s="1"/>
  <c r="P944" i="1" s="1"/>
  <c r="L943" i="1"/>
  <c r="E943" i="1"/>
  <c r="H943" i="1" s="1"/>
  <c r="I943" i="1" s="1"/>
  <c r="N943" i="1" s="1"/>
  <c r="O943" i="1" s="1"/>
  <c r="P943" i="1" s="1"/>
  <c r="L942" i="1"/>
  <c r="H942" i="1"/>
  <c r="I942" i="1" s="1"/>
  <c r="N942" i="1" s="1"/>
  <c r="O942" i="1" s="1"/>
  <c r="P942" i="1" s="1"/>
  <c r="E942" i="1"/>
  <c r="N941" i="1"/>
  <c r="O941" i="1" s="1"/>
  <c r="P941" i="1" s="1"/>
  <c r="L941" i="1"/>
  <c r="H941" i="1"/>
  <c r="I941" i="1" s="1"/>
  <c r="E941" i="1"/>
  <c r="L940" i="1"/>
  <c r="N940" i="1" s="1"/>
  <c r="O940" i="1" s="1"/>
  <c r="P940" i="1" s="1"/>
  <c r="E940" i="1"/>
  <c r="H940" i="1" s="1"/>
  <c r="I940" i="1" s="1"/>
  <c r="L939" i="1"/>
  <c r="I939" i="1"/>
  <c r="H939" i="1"/>
  <c r="E939" i="1"/>
  <c r="L938" i="1"/>
  <c r="H938" i="1"/>
  <c r="I938" i="1" s="1"/>
  <c r="N938" i="1" s="1"/>
  <c r="O938" i="1" s="1"/>
  <c r="P938" i="1" s="1"/>
  <c r="E938" i="1"/>
  <c r="L937" i="1"/>
  <c r="H937" i="1"/>
  <c r="I937" i="1" s="1"/>
  <c r="N937" i="1" s="1"/>
  <c r="O937" i="1" s="1"/>
  <c r="P937" i="1" s="1"/>
  <c r="E937" i="1"/>
  <c r="L936" i="1"/>
  <c r="E936" i="1"/>
  <c r="H936" i="1" s="1"/>
  <c r="I936" i="1" s="1"/>
  <c r="N936" i="1" s="1"/>
  <c r="O936" i="1" s="1"/>
  <c r="P936" i="1" s="1"/>
  <c r="L935" i="1"/>
  <c r="I935" i="1"/>
  <c r="N935" i="1" s="1"/>
  <c r="O935" i="1" s="1"/>
  <c r="P935" i="1" s="1"/>
  <c r="E935" i="1"/>
  <c r="H935" i="1" s="1"/>
  <c r="L934" i="1"/>
  <c r="H934" i="1"/>
  <c r="I934" i="1" s="1"/>
  <c r="N934" i="1" s="1"/>
  <c r="O934" i="1" s="1"/>
  <c r="P934" i="1" s="1"/>
  <c r="E934" i="1"/>
  <c r="L933" i="1"/>
  <c r="E933" i="1"/>
  <c r="H933" i="1" s="1"/>
  <c r="I933" i="1" s="1"/>
  <c r="N933" i="1" s="1"/>
  <c r="O933" i="1" s="1"/>
  <c r="P933" i="1" s="1"/>
  <c r="L932" i="1"/>
  <c r="E932" i="1"/>
  <c r="H932" i="1" s="1"/>
  <c r="I932" i="1" s="1"/>
  <c r="N932" i="1" s="1"/>
  <c r="O932" i="1" s="1"/>
  <c r="P932" i="1" s="1"/>
  <c r="L931" i="1"/>
  <c r="I931" i="1"/>
  <c r="H931" i="1"/>
  <c r="E931" i="1"/>
  <c r="L930" i="1"/>
  <c r="H930" i="1"/>
  <c r="I930" i="1" s="1"/>
  <c r="N930" i="1" s="1"/>
  <c r="O930" i="1" s="1"/>
  <c r="P930" i="1" s="1"/>
  <c r="E930" i="1"/>
  <c r="N929" i="1"/>
  <c r="O929" i="1" s="1"/>
  <c r="P929" i="1" s="1"/>
  <c r="L929" i="1"/>
  <c r="H929" i="1"/>
  <c r="I929" i="1" s="1"/>
  <c r="E929" i="1"/>
  <c r="N928" i="1"/>
  <c r="O928" i="1" s="1"/>
  <c r="P928" i="1" s="1"/>
  <c r="L928" i="1"/>
  <c r="E928" i="1"/>
  <c r="H928" i="1" s="1"/>
  <c r="I928" i="1" s="1"/>
  <c r="L927" i="1"/>
  <c r="E927" i="1"/>
  <c r="H927" i="1" s="1"/>
  <c r="I927" i="1" s="1"/>
  <c r="N927" i="1" s="1"/>
  <c r="O927" i="1" s="1"/>
  <c r="P927" i="1" s="1"/>
  <c r="O926" i="1"/>
  <c r="P926" i="1" s="1"/>
  <c r="L926" i="1"/>
  <c r="I926" i="1"/>
  <c r="N926" i="1" s="1"/>
  <c r="H926" i="1"/>
  <c r="E926" i="1"/>
  <c r="L925" i="1"/>
  <c r="E925" i="1"/>
  <c r="H925" i="1" s="1"/>
  <c r="I925" i="1" s="1"/>
  <c r="N925" i="1" s="1"/>
  <c r="O925" i="1" s="1"/>
  <c r="P925" i="1" s="1"/>
  <c r="L924" i="1"/>
  <c r="E924" i="1"/>
  <c r="H924" i="1" s="1"/>
  <c r="I924" i="1" s="1"/>
  <c r="N924" i="1" s="1"/>
  <c r="O924" i="1" s="1"/>
  <c r="P924" i="1" s="1"/>
  <c r="L923" i="1"/>
  <c r="I923" i="1"/>
  <c r="H923" i="1"/>
  <c r="E923" i="1"/>
  <c r="L922" i="1"/>
  <c r="H922" i="1"/>
  <c r="I922" i="1" s="1"/>
  <c r="N922" i="1" s="1"/>
  <c r="O922" i="1" s="1"/>
  <c r="P922" i="1" s="1"/>
  <c r="E922" i="1"/>
  <c r="N921" i="1"/>
  <c r="O921" i="1" s="1"/>
  <c r="P921" i="1" s="1"/>
  <c r="L921" i="1"/>
  <c r="E921" i="1"/>
  <c r="H921" i="1" s="1"/>
  <c r="I921" i="1" s="1"/>
  <c r="L920" i="1"/>
  <c r="E920" i="1"/>
  <c r="H920" i="1" s="1"/>
  <c r="I920" i="1" s="1"/>
  <c r="N920" i="1" s="1"/>
  <c r="O920" i="1" s="1"/>
  <c r="P920" i="1" s="1"/>
  <c r="L919" i="1"/>
  <c r="I919" i="1"/>
  <c r="E919" i="1"/>
  <c r="H919" i="1" s="1"/>
  <c r="L918" i="1"/>
  <c r="H918" i="1"/>
  <c r="I918" i="1" s="1"/>
  <c r="N918" i="1" s="1"/>
  <c r="O918" i="1" s="1"/>
  <c r="P918" i="1" s="1"/>
  <c r="E918" i="1"/>
  <c r="L917" i="1"/>
  <c r="E917" i="1"/>
  <c r="H917" i="1" s="1"/>
  <c r="I917" i="1" s="1"/>
  <c r="N917" i="1" s="1"/>
  <c r="O917" i="1" s="1"/>
  <c r="P917" i="1" s="1"/>
  <c r="L916" i="1"/>
  <c r="E916" i="1"/>
  <c r="H916" i="1" s="1"/>
  <c r="I916" i="1" s="1"/>
  <c r="L915" i="1"/>
  <c r="I915" i="1"/>
  <c r="N915" i="1" s="1"/>
  <c r="O915" i="1" s="1"/>
  <c r="P915" i="1" s="1"/>
  <c r="H915" i="1"/>
  <c r="E915" i="1"/>
  <c r="O914" i="1"/>
  <c r="P914" i="1" s="1"/>
  <c r="L914" i="1"/>
  <c r="I914" i="1"/>
  <c r="N914" i="1" s="1"/>
  <c r="H914" i="1"/>
  <c r="E914" i="1"/>
  <c r="L913" i="1"/>
  <c r="E913" i="1"/>
  <c r="H913" i="1" s="1"/>
  <c r="I913" i="1" s="1"/>
  <c r="N913" i="1" s="1"/>
  <c r="O913" i="1" s="1"/>
  <c r="P913" i="1" s="1"/>
  <c r="L912" i="1"/>
  <c r="E912" i="1"/>
  <c r="H912" i="1" s="1"/>
  <c r="I912" i="1" s="1"/>
  <c r="N912" i="1" s="1"/>
  <c r="O912" i="1" s="1"/>
  <c r="P912" i="1" s="1"/>
  <c r="L911" i="1"/>
  <c r="I911" i="1"/>
  <c r="E911" i="1"/>
  <c r="H911" i="1" s="1"/>
  <c r="L910" i="1"/>
  <c r="H910" i="1"/>
  <c r="I910" i="1" s="1"/>
  <c r="N910" i="1" s="1"/>
  <c r="O910" i="1" s="1"/>
  <c r="P910" i="1" s="1"/>
  <c r="E910" i="1"/>
  <c r="L909" i="1"/>
  <c r="E909" i="1"/>
  <c r="H909" i="1" s="1"/>
  <c r="I909" i="1" s="1"/>
  <c r="N909" i="1" s="1"/>
  <c r="O909" i="1" s="1"/>
  <c r="P909" i="1" s="1"/>
  <c r="L908" i="1"/>
  <c r="I908" i="1"/>
  <c r="E908" i="1"/>
  <c r="H908" i="1" s="1"/>
  <c r="L907" i="1"/>
  <c r="H907" i="1"/>
  <c r="I907" i="1" s="1"/>
  <c r="N907" i="1" s="1"/>
  <c r="O907" i="1" s="1"/>
  <c r="P907" i="1" s="1"/>
  <c r="E907" i="1"/>
  <c r="O906" i="1"/>
  <c r="P906" i="1" s="1"/>
  <c r="L906" i="1"/>
  <c r="H906" i="1"/>
  <c r="I906" i="1" s="1"/>
  <c r="N906" i="1" s="1"/>
  <c r="E906" i="1"/>
  <c r="L905" i="1"/>
  <c r="H905" i="1"/>
  <c r="I905" i="1" s="1"/>
  <c r="N905" i="1" s="1"/>
  <c r="O905" i="1" s="1"/>
  <c r="P905" i="1" s="1"/>
  <c r="E905" i="1"/>
  <c r="N904" i="1"/>
  <c r="O904" i="1" s="1"/>
  <c r="P904" i="1" s="1"/>
  <c r="L904" i="1"/>
  <c r="E904" i="1"/>
  <c r="H904" i="1" s="1"/>
  <c r="I904" i="1" s="1"/>
  <c r="L903" i="1"/>
  <c r="I903" i="1"/>
  <c r="E903" i="1"/>
  <c r="H903" i="1" s="1"/>
  <c r="L902" i="1"/>
  <c r="H902" i="1"/>
  <c r="I902" i="1" s="1"/>
  <c r="N902" i="1" s="1"/>
  <c r="O902" i="1" s="1"/>
  <c r="P902" i="1" s="1"/>
  <c r="E902" i="1"/>
  <c r="N901" i="1"/>
  <c r="O901" i="1" s="1"/>
  <c r="P901" i="1" s="1"/>
  <c r="L901" i="1"/>
  <c r="H901" i="1"/>
  <c r="I901" i="1" s="1"/>
  <c r="E901" i="1"/>
  <c r="L900" i="1"/>
  <c r="N900" i="1" s="1"/>
  <c r="O900" i="1" s="1"/>
  <c r="P900" i="1" s="1"/>
  <c r="I900" i="1"/>
  <c r="E900" i="1"/>
  <c r="H900" i="1" s="1"/>
  <c r="P899" i="1"/>
  <c r="L899" i="1"/>
  <c r="I899" i="1"/>
  <c r="N899" i="1" s="1"/>
  <c r="O899" i="1" s="1"/>
  <c r="H899" i="1"/>
  <c r="E899" i="1"/>
  <c r="L898" i="1"/>
  <c r="E898" i="1"/>
  <c r="H898" i="1" s="1"/>
  <c r="I898" i="1" s="1"/>
  <c r="N898" i="1" s="1"/>
  <c r="O898" i="1" s="1"/>
  <c r="P898" i="1" s="1"/>
  <c r="N897" i="1"/>
  <c r="O897" i="1" s="1"/>
  <c r="P897" i="1" s="1"/>
  <c r="L897" i="1"/>
  <c r="H897" i="1"/>
  <c r="I897" i="1" s="1"/>
  <c r="E897" i="1"/>
  <c r="L896" i="1"/>
  <c r="E896" i="1"/>
  <c r="H896" i="1" s="1"/>
  <c r="I896" i="1" s="1"/>
  <c r="N896" i="1" s="1"/>
  <c r="O896" i="1" s="1"/>
  <c r="P896" i="1" s="1"/>
  <c r="L895" i="1"/>
  <c r="E895" i="1"/>
  <c r="H895" i="1" s="1"/>
  <c r="I895" i="1" s="1"/>
  <c r="N895" i="1" s="1"/>
  <c r="O895" i="1" s="1"/>
  <c r="P895" i="1" s="1"/>
  <c r="L894" i="1"/>
  <c r="I894" i="1"/>
  <c r="N894" i="1" s="1"/>
  <c r="O894" i="1" s="1"/>
  <c r="P894" i="1" s="1"/>
  <c r="H894" i="1"/>
  <c r="E894" i="1"/>
  <c r="L893" i="1"/>
  <c r="E893" i="1"/>
  <c r="H893" i="1" s="1"/>
  <c r="I893" i="1" s="1"/>
  <c r="N893" i="1" s="1"/>
  <c r="O893" i="1" s="1"/>
  <c r="P893" i="1" s="1"/>
  <c r="L892" i="1"/>
  <c r="E892" i="1"/>
  <c r="H892" i="1" s="1"/>
  <c r="I892" i="1" s="1"/>
  <c r="N892" i="1" s="1"/>
  <c r="O892" i="1" s="1"/>
  <c r="P892" i="1" s="1"/>
  <c r="L891" i="1"/>
  <c r="H891" i="1"/>
  <c r="I891" i="1" s="1"/>
  <c r="N891" i="1" s="1"/>
  <c r="O891" i="1" s="1"/>
  <c r="P891" i="1" s="1"/>
  <c r="E891" i="1"/>
  <c r="L890" i="1"/>
  <c r="H890" i="1"/>
  <c r="I890" i="1" s="1"/>
  <c r="N890" i="1" s="1"/>
  <c r="O890" i="1" s="1"/>
  <c r="P890" i="1" s="1"/>
  <c r="E890" i="1"/>
  <c r="N889" i="1"/>
  <c r="O889" i="1" s="1"/>
  <c r="P889" i="1" s="1"/>
  <c r="L889" i="1"/>
  <c r="E889" i="1"/>
  <c r="H889" i="1" s="1"/>
  <c r="I889" i="1" s="1"/>
  <c r="L888" i="1"/>
  <c r="E888" i="1"/>
  <c r="H888" i="1" s="1"/>
  <c r="I888" i="1" s="1"/>
  <c r="N888" i="1" s="1"/>
  <c r="O888" i="1" s="1"/>
  <c r="P888" i="1" s="1"/>
  <c r="L887" i="1"/>
  <c r="I887" i="1"/>
  <c r="N887" i="1" s="1"/>
  <c r="O887" i="1" s="1"/>
  <c r="P887" i="1" s="1"/>
  <c r="E887" i="1"/>
  <c r="H887" i="1" s="1"/>
  <c r="N886" i="1"/>
  <c r="O886" i="1" s="1"/>
  <c r="P886" i="1" s="1"/>
  <c r="L886" i="1"/>
  <c r="I886" i="1"/>
  <c r="H886" i="1"/>
  <c r="E886" i="1"/>
  <c r="L885" i="1"/>
  <c r="E885" i="1"/>
  <c r="H885" i="1" s="1"/>
  <c r="I885" i="1" s="1"/>
  <c r="N885" i="1" s="1"/>
  <c r="O885" i="1" s="1"/>
  <c r="P885" i="1" s="1"/>
  <c r="L884" i="1"/>
  <c r="I884" i="1"/>
  <c r="N884" i="1" s="1"/>
  <c r="O884" i="1" s="1"/>
  <c r="P884" i="1" s="1"/>
  <c r="E884" i="1"/>
  <c r="H884" i="1" s="1"/>
  <c r="L883" i="1"/>
  <c r="I883" i="1"/>
  <c r="N883" i="1" s="1"/>
  <c r="O883" i="1" s="1"/>
  <c r="P883" i="1" s="1"/>
  <c r="H883" i="1"/>
  <c r="E883" i="1"/>
  <c r="L882" i="1"/>
  <c r="E882" i="1"/>
  <c r="H882" i="1" s="1"/>
  <c r="I882" i="1" s="1"/>
  <c r="N882" i="1" s="1"/>
  <c r="O882" i="1" s="1"/>
  <c r="P882" i="1" s="1"/>
  <c r="L881" i="1"/>
  <c r="H881" i="1"/>
  <c r="I881" i="1" s="1"/>
  <c r="N881" i="1" s="1"/>
  <c r="O881" i="1" s="1"/>
  <c r="P881" i="1" s="1"/>
  <c r="E881" i="1"/>
  <c r="L880" i="1"/>
  <c r="E880" i="1"/>
  <c r="H880" i="1" s="1"/>
  <c r="I880" i="1" s="1"/>
  <c r="N880" i="1" s="1"/>
  <c r="O880" i="1" s="1"/>
  <c r="P880" i="1" s="1"/>
  <c r="L879" i="1"/>
  <c r="E879" i="1"/>
  <c r="H879" i="1" s="1"/>
  <c r="I879" i="1" s="1"/>
  <c r="N879" i="1" s="1"/>
  <c r="O879" i="1" s="1"/>
  <c r="P879" i="1" s="1"/>
  <c r="L878" i="1"/>
  <c r="H878" i="1"/>
  <c r="I878" i="1" s="1"/>
  <c r="N878" i="1" s="1"/>
  <c r="O878" i="1" s="1"/>
  <c r="P878" i="1" s="1"/>
  <c r="E878" i="1"/>
  <c r="L877" i="1"/>
  <c r="H877" i="1"/>
  <c r="I877" i="1" s="1"/>
  <c r="N877" i="1" s="1"/>
  <c r="O877" i="1" s="1"/>
  <c r="P877" i="1" s="1"/>
  <c r="E877" i="1"/>
  <c r="L876" i="1"/>
  <c r="E876" i="1"/>
  <c r="H876" i="1" s="1"/>
  <c r="I876" i="1" s="1"/>
  <c r="N876" i="1" s="1"/>
  <c r="O876" i="1" s="1"/>
  <c r="P876" i="1" s="1"/>
  <c r="N875" i="1"/>
  <c r="O875" i="1" s="1"/>
  <c r="P875" i="1" s="1"/>
  <c r="L875" i="1"/>
  <c r="I875" i="1"/>
  <c r="H875" i="1"/>
  <c r="E875" i="1"/>
  <c r="L874" i="1"/>
  <c r="H874" i="1"/>
  <c r="I874" i="1" s="1"/>
  <c r="N874" i="1" s="1"/>
  <c r="O874" i="1" s="1"/>
  <c r="P874" i="1" s="1"/>
  <c r="E874" i="1"/>
  <c r="L873" i="1"/>
  <c r="E873" i="1"/>
  <c r="H873" i="1" s="1"/>
  <c r="I873" i="1" s="1"/>
  <c r="N873" i="1" s="1"/>
  <c r="O873" i="1" s="1"/>
  <c r="P873" i="1" s="1"/>
  <c r="L872" i="1"/>
  <c r="E872" i="1"/>
  <c r="H872" i="1" s="1"/>
  <c r="I872" i="1" s="1"/>
  <c r="N872" i="1" s="1"/>
  <c r="O872" i="1" s="1"/>
  <c r="P872" i="1" s="1"/>
  <c r="L871" i="1"/>
  <c r="H871" i="1"/>
  <c r="I871" i="1" s="1"/>
  <c r="N871" i="1" s="1"/>
  <c r="O871" i="1" s="1"/>
  <c r="P871" i="1" s="1"/>
  <c r="E871" i="1"/>
  <c r="O870" i="1"/>
  <c r="P870" i="1" s="1"/>
  <c r="L870" i="1"/>
  <c r="E870" i="1"/>
  <c r="H870" i="1" s="1"/>
  <c r="I870" i="1" s="1"/>
  <c r="N870" i="1" s="1"/>
  <c r="L869" i="1"/>
  <c r="H869" i="1"/>
  <c r="I869" i="1" s="1"/>
  <c r="N869" i="1" s="1"/>
  <c r="O869" i="1" s="1"/>
  <c r="P869" i="1" s="1"/>
  <c r="E869" i="1"/>
  <c r="L868" i="1"/>
  <c r="N868" i="1" s="1"/>
  <c r="O868" i="1" s="1"/>
  <c r="P868" i="1" s="1"/>
  <c r="E868" i="1"/>
  <c r="H868" i="1" s="1"/>
  <c r="I868" i="1" s="1"/>
  <c r="L867" i="1"/>
  <c r="I867" i="1"/>
  <c r="N867" i="1" s="1"/>
  <c r="O867" i="1" s="1"/>
  <c r="P867" i="1" s="1"/>
  <c r="H867" i="1"/>
  <c r="E867" i="1"/>
  <c r="L866" i="1"/>
  <c r="H866" i="1"/>
  <c r="I866" i="1" s="1"/>
  <c r="N866" i="1" s="1"/>
  <c r="O866" i="1" s="1"/>
  <c r="P866" i="1" s="1"/>
  <c r="E866" i="1"/>
  <c r="L865" i="1"/>
  <c r="E865" i="1"/>
  <c r="H865" i="1" s="1"/>
  <c r="I865" i="1" s="1"/>
  <c r="N865" i="1" s="1"/>
  <c r="O865" i="1" s="1"/>
  <c r="P865" i="1" s="1"/>
  <c r="L864" i="1"/>
  <c r="E864" i="1"/>
  <c r="H864" i="1" s="1"/>
  <c r="I864" i="1" s="1"/>
  <c r="N864" i="1" s="1"/>
  <c r="O864" i="1" s="1"/>
  <c r="P864" i="1" s="1"/>
  <c r="P863" i="1"/>
  <c r="L863" i="1"/>
  <c r="H863" i="1"/>
  <c r="I863" i="1" s="1"/>
  <c r="N863" i="1" s="1"/>
  <c r="O863" i="1" s="1"/>
  <c r="E863" i="1"/>
  <c r="O862" i="1"/>
  <c r="P862" i="1" s="1"/>
  <c r="L862" i="1"/>
  <c r="E862" i="1"/>
  <c r="H862" i="1" s="1"/>
  <c r="I862" i="1" s="1"/>
  <c r="N862" i="1" s="1"/>
  <c r="N861" i="1"/>
  <c r="O861" i="1" s="1"/>
  <c r="P861" i="1" s="1"/>
  <c r="L861" i="1"/>
  <c r="H861" i="1"/>
  <c r="I861" i="1" s="1"/>
  <c r="E861" i="1"/>
  <c r="N860" i="1"/>
  <c r="O860" i="1" s="1"/>
  <c r="P860" i="1" s="1"/>
  <c r="L860" i="1"/>
  <c r="E860" i="1"/>
  <c r="H860" i="1" s="1"/>
  <c r="I860" i="1" s="1"/>
  <c r="L859" i="1"/>
  <c r="I859" i="1"/>
  <c r="N859" i="1" s="1"/>
  <c r="O859" i="1" s="1"/>
  <c r="P859" i="1" s="1"/>
  <c r="H859" i="1"/>
  <c r="E859" i="1"/>
  <c r="L858" i="1"/>
  <c r="I858" i="1"/>
  <c r="N858" i="1" s="1"/>
  <c r="O858" i="1" s="1"/>
  <c r="P858" i="1" s="1"/>
  <c r="H858" i="1"/>
  <c r="E858" i="1"/>
  <c r="L857" i="1"/>
  <c r="H857" i="1"/>
  <c r="I857" i="1" s="1"/>
  <c r="N857" i="1" s="1"/>
  <c r="O857" i="1" s="1"/>
  <c r="P857" i="1" s="1"/>
  <c r="E857" i="1"/>
  <c r="L856" i="1"/>
  <c r="E856" i="1"/>
  <c r="H856" i="1" s="1"/>
  <c r="I856" i="1" s="1"/>
  <c r="N856" i="1" s="1"/>
  <c r="O856" i="1" s="1"/>
  <c r="P856" i="1" s="1"/>
  <c r="P855" i="1"/>
  <c r="L855" i="1"/>
  <c r="H855" i="1"/>
  <c r="I855" i="1" s="1"/>
  <c r="N855" i="1" s="1"/>
  <c r="O855" i="1" s="1"/>
  <c r="E855" i="1"/>
  <c r="P854" i="1"/>
  <c r="O854" i="1"/>
  <c r="L854" i="1"/>
  <c r="E854" i="1"/>
  <c r="H854" i="1" s="1"/>
  <c r="I854" i="1" s="1"/>
  <c r="N854" i="1" s="1"/>
  <c r="L853" i="1"/>
  <c r="H853" i="1"/>
  <c r="I853" i="1" s="1"/>
  <c r="N853" i="1" s="1"/>
  <c r="O853" i="1" s="1"/>
  <c r="P853" i="1" s="1"/>
  <c r="E853" i="1"/>
  <c r="N852" i="1"/>
  <c r="O852" i="1" s="1"/>
  <c r="P852" i="1" s="1"/>
  <c r="L852" i="1"/>
  <c r="E852" i="1"/>
  <c r="H852" i="1" s="1"/>
  <c r="I852" i="1" s="1"/>
  <c r="L851" i="1"/>
  <c r="I851" i="1"/>
  <c r="H851" i="1"/>
  <c r="E851" i="1"/>
  <c r="L850" i="1"/>
  <c r="I850" i="1"/>
  <c r="N850" i="1" s="1"/>
  <c r="O850" i="1" s="1"/>
  <c r="P850" i="1" s="1"/>
  <c r="H850" i="1"/>
  <c r="E850" i="1"/>
  <c r="L849" i="1"/>
  <c r="H849" i="1"/>
  <c r="I849" i="1" s="1"/>
  <c r="N849" i="1" s="1"/>
  <c r="O849" i="1" s="1"/>
  <c r="P849" i="1" s="1"/>
  <c r="E849" i="1"/>
  <c r="L848" i="1"/>
  <c r="E848" i="1"/>
  <c r="H848" i="1" s="1"/>
  <c r="I848" i="1" s="1"/>
  <c r="N848" i="1" s="1"/>
  <c r="O848" i="1" s="1"/>
  <c r="P848" i="1" s="1"/>
  <c r="P847" i="1"/>
  <c r="L847" i="1"/>
  <c r="H847" i="1"/>
  <c r="I847" i="1" s="1"/>
  <c r="N847" i="1" s="1"/>
  <c r="O847" i="1" s="1"/>
  <c r="E847" i="1"/>
  <c r="L846" i="1"/>
  <c r="E846" i="1"/>
  <c r="H846" i="1" s="1"/>
  <c r="I846" i="1" s="1"/>
  <c r="N846" i="1" s="1"/>
  <c r="O846" i="1" s="1"/>
  <c r="P846" i="1" s="1"/>
  <c r="L845" i="1"/>
  <c r="H845" i="1"/>
  <c r="I845" i="1" s="1"/>
  <c r="N845" i="1" s="1"/>
  <c r="O845" i="1" s="1"/>
  <c r="P845" i="1" s="1"/>
  <c r="E845" i="1"/>
  <c r="L844" i="1"/>
  <c r="E844" i="1"/>
  <c r="H844" i="1" s="1"/>
  <c r="I844" i="1" s="1"/>
  <c r="N844" i="1" s="1"/>
  <c r="O844" i="1" s="1"/>
  <c r="P844" i="1" s="1"/>
  <c r="L843" i="1"/>
  <c r="I843" i="1"/>
  <c r="H843" i="1"/>
  <c r="E843" i="1"/>
  <c r="L842" i="1"/>
  <c r="H842" i="1"/>
  <c r="I842" i="1" s="1"/>
  <c r="N842" i="1" s="1"/>
  <c r="O842" i="1" s="1"/>
  <c r="P842" i="1" s="1"/>
  <c r="E842" i="1"/>
  <c r="L841" i="1"/>
  <c r="E841" i="1"/>
  <c r="H841" i="1" s="1"/>
  <c r="I841" i="1" s="1"/>
  <c r="N841" i="1" s="1"/>
  <c r="O841" i="1" s="1"/>
  <c r="P841" i="1" s="1"/>
  <c r="L840" i="1"/>
  <c r="E840" i="1"/>
  <c r="H840" i="1" s="1"/>
  <c r="I840" i="1" s="1"/>
  <c r="N840" i="1" s="1"/>
  <c r="O840" i="1" s="1"/>
  <c r="P840" i="1" s="1"/>
  <c r="L839" i="1"/>
  <c r="H839" i="1"/>
  <c r="I839" i="1" s="1"/>
  <c r="N839" i="1" s="1"/>
  <c r="O839" i="1" s="1"/>
  <c r="P839" i="1" s="1"/>
  <c r="E839" i="1"/>
  <c r="O838" i="1"/>
  <c r="P838" i="1" s="1"/>
  <c r="L838" i="1"/>
  <c r="E838" i="1"/>
  <c r="H838" i="1" s="1"/>
  <c r="I838" i="1" s="1"/>
  <c r="N838" i="1" s="1"/>
  <c r="N837" i="1"/>
  <c r="O837" i="1" s="1"/>
  <c r="P837" i="1" s="1"/>
  <c r="L837" i="1"/>
  <c r="H837" i="1"/>
  <c r="I837" i="1" s="1"/>
  <c r="E837" i="1"/>
  <c r="N836" i="1"/>
  <c r="O836" i="1" s="1"/>
  <c r="P836" i="1" s="1"/>
  <c r="L836" i="1"/>
  <c r="E836" i="1"/>
  <c r="H836" i="1" s="1"/>
  <c r="I836" i="1" s="1"/>
  <c r="L835" i="1"/>
  <c r="I835" i="1"/>
  <c r="N835" i="1" s="1"/>
  <c r="O835" i="1" s="1"/>
  <c r="P835" i="1" s="1"/>
  <c r="H835" i="1"/>
  <c r="E835" i="1"/>
  <c r="L834" i="1"/>
  <c r="I834" i="1"/>
  <c r="N834" i="1" s="1"/>
  <c r="O834" i="1" s="1"/>
  <c r="P834" i="1" s="1"/>
  <c r="H834" i="1"/>
  <c r="E834" i="1"/>
  <c r="L833" i="1"/>
  <c r="E833" i="1"/>
  <c r="H833" i="1" s="1"/>
  <c r="I833" i="1" s="1"/>
  <c r="N833" i="1" s="1"/>
  <c r="O833" i="1" s="1"/>
  <c r="P833" i="1" s="1"/>
  <c r="L832" i="1"/>
  <c r="E832" i="1"/>
  <c r="H832" i="1" s="1"/>
  <c r="I832" i="1" s="1"/>
  <c r="N832" i="1" s="1"/>
  <c r="O832" i="1" s="1"/>
  <c r="P832" i="1" s="1"/>
  <c r="P831" i="1"/>
  <c r="L831" i="1"/>
  <c r="H831" i="1"/>
  <c r="I831" i="1" s="1"/>
  <c r="N831" i="1" s="1"/>
  <c r="O831" i="1" s="1"/>
  <c r="E831" i="1"/>
  <c r="O830" i="1"/>
  <c r="P830" i="1" s="1"/>
  <c r="L830" i="1"/>
  <c r="E830" i="1"/>
  <c r="H830" i="1" s="1"/>
  <c r="I830" i="1" s="1"/>
  <c r="N830" i="1" s="1"/>
  <c r="O829" i="1"/>
  <c r="P829" i="1" s="1"/>
  <c r="N829" i="1"/>
  <c r="L829" i="1"/>
  <c r="H829" i="1"/>
  <c r="I829" i="1" s="1"/>
  <c r="E829" i="1"/>
  <c r="N828" i="1"/>
  <c r="O828" i="1" s="1"/>
  <c r="P828" i="1" s="1"/>
  <c r="L828" i="1"/>
  <c r="E828" i="1"/>
  <c r="H828" i="1" s="1"/>
  <c r="I828" i="1" s="1"/>
  <c r="L827" i="1"/>
  <c r="I827" i="1"/>
  <c r="N827" i="1" s="1"/>
  <c r="O827" i="1" s="1"/>
  <c r="P827" i="1" s="1"/>
  <c r="H827" i="1"/>
  <c r="E827" i="1"/>
  <c r="L826" i="1"/>
  <c r="I826" i="1"/>
  <c r="N826" i="1" s="1"/>
  <c r="O826" i="1" s="1"/>
  <c r="P826" i="1" s="1"/>
  <c r="H826" i="1"/>
  <c r="E826" i="1"/>
  <c r="L825" i="1"/>
  <c r="H825" i="1"/>
  <c r="I825" i="1" s="1"/>
  <c r="N825" i="1" s="1"/>
  <c r="O825" i="1" s="1"/>
  <c r="P825" i="1" s="1"/>
  <c r="E825" i="1"/>
  <c r="L824" i="1"/>
  <c r="E824" i="1"/>
  <c r="H824" i="1" s="1"/>
  <c r="I824" i="1" s="1"/>
  <c r="N824" i="1" s="1"/>
  <c r="O824" i="1" s="1"/>
  <c r="P824" i="1" s="1"/>
  <c r="P823" i="1"/>
  <c r="L823" i="1"/>
  <c r="H823" i="1"/>
  <c r="I823" i="1" s="1"/>
  <c r="N823" i="1" s="1"/>
  <c r="O823" i="1" s="1"/>
  <c r="E823" i="1"/>
  <c r="L822" i="1"/>
  <c r="E822" i="1"/>
  <c r="H822" i="1" s="1"/>
  <c r="I822" i="1" s="1"/>
  <c r="N822" i="1" s="1"/>
  <c r="O822" i="1" s="1"/>
  <c r="P822" i="1" s="1"/>
  <c r="L821" i="1"/>
  <c r="H821" i="1"/>
  <c r="I821" i="1" s="1"/>
  <c r="N821" i="1" s="1"/>
  <c r="O821" i="1" s="1"/>
  <c r="P821" i="1" s="1"/>
  <c r="E821" i="1"/>
  <c r="L820" i="1"/>
  <c r="E820" i="1"/>
  <c r="H820" i="1" s="1"/>
  <c r="I820" i="1" s="1"/>
  <c r="N820" i="1" s="1"/>
  <c r="O820" i="1" s="1"/>
  <c r="P820" i="1" s="1"/>
  <c r="L819" i="1"/>
  <c r="I819" i="1"/>
  <c r="H819" i="1"/>
  <c r="E819" i="1"/>
  <c r="L818" i="1"/>
  <c r="I818" i="1"/>
  <c r="N818" i="1" s="1"/>
  <c r="O818" i="1" s="1"/>
  <c r="P818" i="1" s="1"/>
  <c r="H818" i="1"/>
  <c r="E818" i="1"/>
  <c r="L817" i="1"/>
  <c r="H817" i="1"/>
  <c r="I817" i="1" s="1"/>
  <c r="N817" i="1" s="1"/>
  <c r="O817" i="1" s="1"/>
  <c r="P817" i="1" s="1"/>
  <c r="E817" i="1"/>
  <c r="L816" i="1"/>
  <c r="E816" i="1"/>
  <c r="H816" i="1" s="1"/>
  <c r="I816" i="1" s="1"/>
  <c r="N816" i="1" s="1"/>
  <c r="O816" i="1" s="1"/>
  <c r="P816" i="1" s="1"/>
  <c r="L815" i="1"/>
  <c r="H815" i="1"/>
  <c r="I815" i="1" s="1"/>
  <c r="N815" i="1" s="1"/>
  <c r="O815" i="1" s="1"/>
  <c r="P815" i="1" s="1"/>
  <c r="E815" i="1"/>
  <c r="L814" i="1"/>
  <c r="E814" i="1"/>
  <c r="H814" i="1" s="1"/>
  <c r="I814" i="1" s="1"/>
  <c r="N814" i="1" s="1"/>
  <c r="O814" i="1" s="1"/>
  <c r="P814" i="1" s="1"/>
  <c r="L813" i="1"/>
  <c r="H813" i="1"/>
  <c r="I813" i="1" s="1"/>
  <c r="N813" i="1" s="1"/>
  <c r="O813" i="1" s="1"/>
  <c r="P813" i="1" s="1"/>
  <c r="E813" i="1"/>
  <c r="L812" i="1"/>
  <c r="E812" i="1"/>
  <c r="H812" i="1" s="1"/>
  <c r="I812" i="1" s="1"/>
  <c r="N812" i="1" s="1"/>
  <c r="O812" i="1" s="1"/>
  <c r="P812" i="1" s="1"/>
  <c r="L811" i="1"/>
  <c r="I811" i="1"/>
  <c r="H811" i="1"/>
  <c r="E811" i="1"/>
  <c r="L810" i="1"/>
  <c r="H810" i="1"/>
  <c r="I810" i="1" s="1"/>
  <c r="N810" i="1" s="1"/>
  <c r="O810" i="1" s="1"/>
  <c r="P810" i="1" s="1"/>
  <c r="E810" i="1"/>
  <c r="L809" i="1"/>
  <c r="E809" i="1"/>
  <c r="H809" i="1" s="1"/>
  <c r="I809" i="1" s="1"/>
  <c r="N809" i="1" s="1"/>
  <c r="O809" i="1" s="1"/>
  <c r="P809" i="1" s="1"/>
  <c r="L808" i="1"/>
  <c r="E808" i="1"/>
  <c r="H808" i="1" s="1"/>
  <c r="I808" i="1" s="1"/>
  <c r="N808" i="1" s="1"/>
  <c r="O808" i="1" s="1"/>
  <c r="P808" i="1" s="1"/>
  <c r="L807" i="1"/>
  <c r="H807" i="1"/>
  <c r="I807" i="1" s="1"/>
  <c r="N807" i="1" s="1"/>
  <c r="O807" i="1" s="1"/>
  <c r="P807" i="1" s="1"/>
  <c r="E807" i="1"/>
  <c r="O806" i="1"/>
  <c r="P806" i="1" s="1"/>
  <c r="L806" i="1"/>
  <c r="E806" i="1"/>
  <c r="H806" i="1" s="1"/>
  <c r="I806" i="1" s="1"/>
  <c r="N806" i="1" s="1"/>
  <c r="N805" i="1"/>
  <c r="O805" i="1" s="1"/>
  <c r="P805" i="1" s="1"/>
  <c r="L805" i="1"/>
  <c r="H805" i="1"/>
  <c r="I805" i="1" s="1"/>
  <c r="E805" i="1"/>
  <c r="L804" i="1"/>
  <c r="N804" i="1" s="1"/>
  <c r="O804" i="1" s="1"/>
  <c r="P804" i="1" s="1"/>
  <c r="E804" i="1"/>
  <c r="H804" i="1" s="1"/>
  <c r="I804" i="1" s="1"/>
  <c r="L803" i="1"/>
  <c r="I803" i="1"/>
  <c r="N803" i="1" s="1"/>
  <c r="O803" i="1" s="1"/>
  <c r="P803" i="1" s="1"/>
  <c r="H803" i="1"/>
  <c r="E803" i="1"/>
  <c r="L802" i="1"/>
  <c r="H802" i="1"/>
  <c r="I802" i="1" s="1"/>
  <c r="N802" i="1" s="1"/>
  <c r="O802" i="1" s="1"/>
  <c r="P802" i="1" s="1"/>
  <c r="E802" i="1"/>
  <c r="L801" i="1"/>
  <c r="E801" i="1"/>
  <c r="H801" i="1" s="1"/>
  <c r="I801" i="1" s="1"/>
  <c r="N801" i="1" s="1"/>
  <c r="O801" i="1" s="1"/>
  <c r="P801" i="1" s="1"/>
  <c r="L800" i="1"/>
  <c r="E800" i="1"/>
  <c r="H800" i="1" s="1"/>
  <c r="I800" i="1" s="1"/>
  <c r="N800" i="1" s="1"/>
  <c r="O800" i="1" s="1"/>
  <c r="P800" i="1" s="1"/>
  <c r="P799" i="1"/>
  <c r="L799" i="1"/>
  <c r="H799" i="1"/>
  <c r="I799" i="1" s="1"/>
  <c r="N799" i="1" s="1"/>
  <c r="O799" i="1" s="1"/>
  <c r="E799" i="1"/>
  <c r="O798" i="1"/>
  <c r="P798" i="1" s="1"/>
  <c r="L798" i="1"/>
  <c r="E798" i="1"/>
  <c r="H798" i="1" s="1"/>
  <c r="I798" i="1" s="1"/>
  <c r="N798" i="1" s="1"/>
  <c r="N797" i="1"/>
  <c r="O797" i="1" s="1"/>
  <c r="P797" i="1" s="1"/>
  <c r="L797" i="1"/>
  <c r="H797" i="1"/>
  <c r="I797" i="1" s="1"/>
  <c r="E797" i="1"/>
  <c r="N796" i="1"/>
  <c r="O796" i="1" s="1"/>
  <c r="P796" i="1" s="1"/>
  <c r="L796" i="1"/>
  <c r="E796" i="1"/>
  <c r="H796" i="1" s="1"/>
  <c r="I796" i="1" s="1"/>
  <c r="L795" i="1"/>
  <c r="I795" i="1"/>
  <c r="N795" i="1" s="1"/>
  <c r="O795" i="1" s="1"/>
  <c r="P795" i="1" s="1"/>
  <c r="H795" i="1"/>
  <c r="E795" i="1"/>
  <c r="L794" i="1"/>
  <c r="I794" i="1"/>
  <c r="N794" i="1" s="1"/>
  <c r="O794" i="1" s="1"/>
  <c r="P794" i="1" s="1"/>
  <c r="H794" i="1"/>
  <c r="E794" i="1"/>
  <c r="L793" i="1"/>
  <c r="H793" i="1"/>
  <c r="I793" i="1" s="1"/>
  <c r="N793" i="1" s="1"/>
  <c r="O793" i="1" s="1"/>
  <c r="P793" i="1" s="1"/>
  <c r="E793" i="1"/>
  <c r="L792" i="1"/>
  <c r="E792" i="1"/>
  <c r="H792" i="1" s="1"/>
  <c r="I792" i="1" s="1"/>
  <c r="N792" i="1" s="1"/>
  <c r="O792" i="1" s="1"/>
  <c r="P792" i="1" s="1"/>
  <c r="P791" i="1"/>
  <c r="L791" i="1"/>
  <c r="H791" i="1"/>
  <c r="I791" i="1" s="1"/>
  <c r="N791" i="1" s="1"/>
  <c r="O791" i="1" s="1"/>
  <c r="E791" i="1"/>
  <c r="L790" i="1"/>
  <c r="E790" i="1"/>
  <c r="H790" i="1" s="1"/>
  <c r="I790" i="1" s="1"/>
  <c r="N790" i="1" s="1"/>
  <c r="O790" i="1" s="1"/>
  <c r="P790" i="1" s="1"/>
  <c r="L789" i="1"/>
  <c r="H789" i="1"/>
  <c r="I789" i="1" s="1"/>
  <c r="N789" i="1" s="1"/>
  <c r="O789" i="1" s="1"/>
  <c r="P789" i="1" s="1"/>
  <c r="E789" i="1"/>
  <c r="L788" i="1"/>
  <c r="E788" i="1"/>
  <c r="H788" i="1" s="1"/>
  <c r="I788" i="1" s="1"/>
  <c r="N788" i="1" s="1"/>
  <c r="O788" i="1" s="1"/>
  <c r="P788" i="1" s="1"/>
  <c r="L787" i="1"/>
  <c r="I787" i="1"/>
  <c r="H787" i="1"/>
  <c r="E787" i="1"/>
  <c r="L786" i="1"/>
  <c r="I786" i="1"/>
  <c r="N786" i="1" s="1"/>
  <c r="O786" i="1" s="1"/>
  <c r="P786" i="1" s="1"/>
  <c r="H786" i="1"/>
  <c r="E786" i="1"/>
  <c r="L785" i="1"/>
  <c r="H785" i="1"/>
  <c r="I785" i="1" s="1"/>
  <c r="N785" i="1" s="1"/>
  <c r="O785" i="1" s="1"/>
  <c r="P785" i="1" s="1"/>
  <c r="E785" i="1"/>
  <c r="L784" i="1"/>
  <c r="E784" i="1"/>
  <c r="H784" i="1" s="1"/>
  <c r="I784" i="1" s="1"/>
  <c r="N784" i="1" s="1"/>
  <c r="O784" i="1" s="1"/>
  <c r="P784" i="1" s="1"/>
  <c r="L783" i="1"/>
  <c r="H783" i="1"/>
  <c r="I783" i="1" s="1"/>
  <c r="N783" i="1" s="1"/>
  <c r="O783" i="1" s="1"/>
  <c r="P783" i="1" s="1"/>
  <c r="E783" i="1"/>
  <c r="L782" i="1"/>
  <c r="E782" i="1"/>
  <c r="H782" i="1" s="1"/>
  <c r="I782" i="1" s="1"/>
  <c r="N782" i="1" s="1"/>
  <c r="O782" i="1" s="1"/>
  <c r="P782" i="1" s="1"/>
  <c r="L781" i="1"/>
  <c r="H781" i="1"/>
  <c r="I781" i="1" s="1"/>
  <c r="N781" i="1" s="1"/>
  <c r="O781" i="1" s="1"/>
  <c r="P781" i="1" s="1"/>
  <c r="E781" i="1"/>
  <c r="L780" i="1"/>
  <c r="E780" i="1"/>
  <c r="H780" i="1" s="1"/>
  <c r="I780" i="1" s="1"/>
  <c r="N780" i="1" s="1"/>
  <c r="O780" i="1" s="1"/>
  <c r="P780" i="1" s="1"/>
  <c r="L779" i="1"/>
  <c r="I779" i="1"/>
  <c r="H779" i="1"/>
  <c r="E779" i="1"/>
  <c r="L778" i="1"/>
  <c r="H778" i="1"/>
  <c r="I778" i="1" s="1"/>
  <c r="N778" i="1" s="1"/>
  <c r="O778" i="1" s="1"/>
  <c r="P778" i="1" s="1"/>
  <c r="E778" i="1"/>
  <c r="L777" i="1"/>
  <c r="E777" i="1"/>
  <c r="H777" i="1" s="1"/>
  <c r="I777" i="1" s="1"/>
  <c r="N777" i="1" s="1"/>
  <c r="O777" i="1" s="1"/>
  <c r="P777" i="1" s="1"/>
  <c r="L776" i="1"/>
  <c r="E776" i="1"/>
  <c r="H776" i="1" s="1"/>
  <c r="I776" i="1" s="1"/>
  <c r="N776" i="1" s="1"/>
  <c r="O776" i="1" s="1"/>
  <c r="P776" i="1" s="1"/>
  <c r="L775" i="1"/>
  <c r="H775" i="1"/>
  <c r="I775" i="1" s="1"/>
  <c r="N775" i="1" s="1"/>
  <c r="O775" i="1" s="1"/>
  <c r="P775" i="1" s="1"/>
  <c r="E775" i="1"/>
  <c r="O774" i="1"/>
  <c r="P774" i="1" s="1"/>
  <c r="L774" i="1"/>
  <c r="E774" i="1"/>
  <c r="H774" i="1" s="1"/>
  <c r="I774" i="1" s="1"/>
  <c r="N774" i="1" s="1"/>
  <c r="N773" i="1"/>
  <c r="O773" i="1" s="1"/>
  <c r="P773" i="1" s="1"/>
  <c r="L773" i="1"/>
  <c r="H773" i="1"/>
  <c r="I773" i="1" s="1"/>
  <c r="E773" i="1"/>
  <c r="N772" i="1"/>
  <c r="O772" i="1" s="1"/>
  <c r="P772" i="1" s="1"/>
  <c r="L772" i="1"/>
  <c r="E772" i="1"/>
  <c r="H772" i="1" s="1"/>
  <c r="I772" i="1" s="1"/>
  <c r="L771" i="1"/>
  <c r="I771" i="1"/>
  <c r="N771" i="1" s="1"/>
  <c r="O771" i="1" s="1"/>
  <c r="P771" i="1" s="1"/>
  <c r="H771" i="1"/>
  <c r="E771" i="1"/>
  <c r="L770" i="1"/>
  <c r="I770" i="1"/>
  <c r="N770" i="1" s="1"/>
  <c r="O770" i="1" s="1"/>
  <c r="P770" i="1" s="1"/>
  <c r="H770" i="1"/>
  <c r="E770" i="1"/>
  <c r="L769" i="1"/>
  <c r="E769" i="1"/>
  <c r="H769" i="1" s="1"/>
  <c r="I769" i="1" s="1"/>
  <c r="N769" i="1" s="1"/>
  <c r="O769" i="1" s="1"/>
  <c r="P769" i="1" s="1"/>
  <c r="L768" i="1"/>
  <c r="E768" i="1"/>
  <c r="H768" i="1" s="1"/>
  <c r="I768" i="1" s="1"/>
  <c r="N768" i="1" s="1"/>
  <c r="O768" i="1" s="1"/>
  <c r="P768" i="1" s="1"/>
  <c r="P767" i="1"/>
  <c r="L767" i="1"/>
  <c r="H767" i="1"/>
  <c r="I767" i="1" s="1"/>
  <c r="N767" i="1" s="1"/>
  <c r="O767" i="1" s="1"/>
  <c r="E767" i="1"/>
  <c r="O766" i="1"/>
  <c r="P766" i="1" s="1"/>
  <c r="L766" i="1"/>
  <c r="E766" i="1"/>
  <c r="H766" i="1" s="1"/>
  <c r="I766" i="1" s="1"/>
  <c r="N766" i="1" s="1"/>
  <c r="O765" i="1"/>
  <c r="P765" i="1" s="1"/>
  <c r="N765" i="1"/>
  <c r="L765" i="1"/>
  <c r="H765" i="1"/>
  <c r="I765" i="1" s="1"/>
  <c r="E765" i="1"/>
  <c r="N764" i="1"/>
  <c r="O764" i="1" s="1"/>
  <c r="P764" i="1" s="1"/>
  <c r="L764" i="1"/>
  <c r="E764" i="1"/>
  <c r="H764" i="1" s="1"/>
  <c r="I764" i="1" s="1"/>
  <c r="L763" i="1"/>
  <c r="I763" i="1"/>
  <c r="H763" i="1"/>
  <c r="E763" i="1"/>
  <c r="L762" i="1"/>
  <c r="I762" i="1"/>
  <c r="N762" i="1" s="1"/>
  <c r="O762" i="1" s="1"/>
  <c r="P762" i="1" s="1"/>
  <c r="H762" i="1"/>
  <c r="E762" i="1"/>
  <c r="L761" i="1"/>
  <c r="H761" i="1"/>
  <c r="I761" i="1" s="1"/>
  <c r="N761" i="1" s="1"/>
  <c r="O761" i="1" s="1"/>
  <c r="P761" i="1" s="1"/>
  <c r="E761" i="1"/>
  <c r="L760" i="1"/>
  <c r="E760" i="1"/>
  <c r="H760" i="1" s="1"/>
  <c r="I760" i="1" s="1"/>
  <c r="N760" i="1" s="1"/>
  <c r="O760" i="1" s="1"/>
  <c r="P760" i="1" s="1"/>
  <c r="P759" i="1"/>
  <c r="L759" i="1"/>
  <c r="H759" i="1"/>
  <c r="I759" i="1" s="1"/>
  <c r="N759" i="1" s="1"/>
  <c r="O759" i="1" s="1"/>
  <c r="E759" i="1"/>
  <c r="L758" i="1"/>
  <c r="E758" i="1"/>
  <c r="H758" i="1" s="1"/>
  <c r="I758" i="1" s="1"/>
  <c r="N758" i="1" s="1"/>
  <c r="O758" i="1" s="1"/>
  <c r="P758" i="1" s="1"/>
  <c r="L757" i="1"/>
  <c r="H757" i="1"/>
  <c r="I757" i="1" s="1"/>
  <c r="N757" i="1" s="1"/>
  <c r="O757" i="1" s="1"/>
  <c r="P757" i="1" s="1"/>
  <c r="E757" i="1"/>
  <c r="L756" i="1"/>
  <c r="E756" i="1"/>
  <c r="H756" i="1" s="1"/>
  <c r="I756" i="1" s="1"/>
  <c r="N756" i="1" s="1"/>
  <c r="O756" i="1" s="1"/>
  <c r="P756" i="1" s="1"/>
  <c r="L755" i="1"/>
  <c r="I755" i="1"/>
  <c r="H755" i="1"/>
  <c r="E755" i="1"/>
  <c r="L754" i="1"/>
  <c r="I754" i="1"/>
  <c r="N754" i="1" s="1"/>
  <c r="O754" i="1" s="1"/>
  <c r="P754" i="1" s="1"/>
  <c r="H754" i="1"/>
  <c r="E754" i="1"/>
  <c r="L753" i="1"/>
  <c r="H753" i="1"/>
  <c r="I753" i="1" s="1"/>
  <c r="N753" i="1" s="1"/>
  <c r="O753" i="1" s="1"/>
  <c r="P753" i="1" s="1"/>
  <c r="E753" i="1"/>
  <c r="L752" i="1"/>
  <c r="E752" i="1"/>
  <c r="H752" i="1" s="1"/>
  <c r="I752" i="1" s="1"/>
  <c r="N752" i="1" s="1"/>
  <c r="O752" i="1" s="1"/>
  <c r="P752" i="1" s="1"/>
  <c r="L751" i="1"/>
  <c r="H751" i="1"/>
  <c r="I751" i="1" s="1"/>
  <c r="N751" i="1" s="1"/>
  <c r="O751" i="1" s="1"/>
  <c r="P751" i="1" s="1"/>
  <c r="E751" i="1"/>
  <c r="L750" i="1"/>
  <c r="E750" i="1"/>
  <c r="H750" i="1" s="1"/>
  <c r="I750" i="1" s="1"/>
  <c r="N750" i="1" s="1"/>
  <c r="O750" i="1" s="1"/>
  <c r="P750" i="1" s="1"/>
  <c r="L749" i="1"/>
  <c r="H749" i="1"/>
  <c r="I749" i="1" s="1"/>
  <c r="N749" i="1" s="1"/>
  <c r="O749" i="1" s="1"/>
  <c r="P749" i="1" s="1"/>
  <c r="E749" i="1"/>
  <c r="L748" i="1"/>
  <c r="E748" i="1"/>
  <c r="H748" i="1" s="1"/>
  <c r="I748" i="1" s="1"/>
  <c r="N748" i="1" s="1"/>
  <c r="O748" i="1" s="1"/>
  <c r="P748" i="1" s="1"/>
  <c r="L747" i="1"/>
  <c r="I747" i="1"/>
  <c r="H747" i="1"/>
  <c r="E747" i="1"/>
  <c r="L746" i="1"/>
  <c r="H746" i="1"/>
  <c r="I746" i="1" s="1"/>
  <c r="N746" i="1" s="1"/>
  <c r="O746" i="1" s="1"/>
  <c r="P746" i="1" s="1"/>
  <c r="E746" i="1"/>
  <c r="L745" i="1"/>
  <c r="E745" i="1"/>
  <c r="H745" i="1" s="1"/>
  <c r="I745" i="1" s="1"/>
  <c r="N745" i="1" s="1"/>
  <c r="O745" i="1" s="1"/>
  <c r="P745" i="1" s="1"/>
  <c r="L744" i="1"/>
  <c r="E744" i="1"/>
  <c r="H744" i="1" s="1"/>
  <c r="I744" i="1" s="1"/>
  <c r="N744" i="1" s="1"/>
  <c r="O744" i="1" s="1"/>
  <c r="P744" i="1" s="1"/>
  <c r="L743" i="1"/>
  <c r="H743" i="1"/>
  <c r="I743" i="1" s="1"/>
  <c r="N743" i="1" s="1"/>
  <c r="O743" i="1" s="1"/>
  <c r="P743" i="1" s="1"/>
  <c r="E743" i="1"/>
  <c r="O742" i="1"/>
  <c r="P742" i="1" s="1"/>
  <c r="L742" i="1"/>
  <c r="E742" i="1"/>
  <c r="H742" i="1" s="1"/>
  <c r="I742" i="1" s="1"/>
  <c r="N742" i="1" s="1"/>
  <c r="N741" i="1"/>
  <c r="O741" i="1" s="1"/>
  <c r="P741" i="1" s="1"/>
  <c r="L741" i="1"/>
  <c r="H741" i="1"/>
  <c r="I741" i="1" s="1"/>
  <c r="E741" i="1"/>
  <c r="L740" i="1"/>
  <c r="N740" i="1" s="1"/>
  <c r="O740" i="1" s="1"/>
  <c r="P740" i="1" s="1"/>
  <c r="E740" i="1"/>
  <c r="H740" i="1" s="1"/>
  <c r="I740" i="1" s="1"/>
  <c r="L739" i="1"/>
  <c r="I739" i="1"/>
  <c r="N739" i="1" s="1"/>
  <c r="O739" i="1" s="1"/>
  <c r="P739" i="1" s="1"/>
  <c r="H739" i="1"/>
  <c r="E739" i="1"/>
  <c r="L738" i="1"/>
  <c r="H738" i="1"/>
  <c r="I738" i="1" s="1"/>
  <c r="N738" i="1" s="1"/>
  <c r="O738" i="1" s="1"/>
  <c r="P738" i="1" s="1"/>
  <c r="E738" i="1"/>
  <c r="L737" i="1"/>
  <c r="H737" i="1"/>
  <c r="I737" i="1" s="1"/>
  <c r="N737" i="1" s="1"/>
  <c r="O737" i="1" s="1"/>
  <c r="P737" i="1" s="1"/>
  <c r="E737" i="1"/>
  <c r="L736" i="1"/>
  <c r="E736" i="1"/>
  <c r="H736" i="1" s="1"/>
  <c r="I736" i="1" s="1"/>
  <c r="N736" i="1" s="1"/>
  <c r="O736" i="1" s="1"/>
  <c r="P736" i="1" s="1"/>
  <c r="P735" i="1"/>
  <c r="L735" i="1"/>
  <c r="H735" i="1"/>
  <c r="I735" i="1" s="1"/>
  <c r="N735" i="1" s="1"/>
  <c r="O735" i="1" s="1"/>
  <c r="E735" i="1"/>
  <c r="P734" i="1"/>
  <c r="O734" i="1"/>
  <c r="L734" i="1"/>
  <c r="E734" i="1"/>
  <c r="H734" i="1" s="1"/>
  <c r="I734" i="1" s="1"/>
  <c r="N734" i="1" s="1"/>
  <c r="N733" i="1"/>
  <c r="O733" i="1" s="1"/>
  <c r="P733" i="1" s="1"/>
  <c r="L733" i="1"/>
  <c r="H733" i="1"/>
  <c r="I733" i="1" s="1"/>
  <c r="E733" i="1"/>
  <c r="N732" i="1"/>
  <c r="O732" i="1" s="1"/>
  <c r="P732" i="1" s="1"/>
  <c r="L732" i="1"/>
  <c r="E732" i="1"/>
  <c r="H732" i="1" s="1"/>
  <c r="I732" i="1" s="1"/>
  <c r="L731" i="1"/>
  <c r="I731" i="1"/>
  <c r="N731" i="1" s="1"/>
  <c r="O731" i="1" s="1"/>
  <c r="P731" i="1" s="1"/>
  <c r="H731" i="1"/>
  <c r="E731" i="1"/>
  <c r="L730" i="1"/>
  <c r="I730" i="1"/>
  <c r="N730" i="1" s="1"/>
  <c r="O730" i="1" s="1"/>
  <c r="P730" i="1" s="1"/>
  <c r="H730" i="1"/>
  <c r="E730" i="1"/>
  <c r="L729" i="1"/>
  <c r="H729" i="1"/>
  <c r="I729" i="1" s="1"/>
  <c r="N729" i="1" s="1"/>
  <c r="O729" i="1" s="1"/>
  <c r="P729" i="1" s="1"/>
  <c r="E729" i="1"/>
  <c r="L728" i="1"/>
  <c r="E728" i="1"/>
  <c r="H728" i="1" s="1"/>
  <c r="I728" i="1" s="1"/>
  <c r="N728" i="1" s="1"/>
  <c r="O728" i="1" s="1"/>
  <c r="P728" i="1" s="1"/>
  <c r="P727" i="1"/>
  <c r="L727" i="1"/>
  <c r="H727" i="1"/>
  <c r="I727" i="1" s="1"/>
  <c r="N727" i="1" s="1"/>
  <c r="O727" i="1" s="1"/>
  <c r="E727" i="1"/>
  <c r="L726" i="1"/>
  <c r="E726" i="1"/>
  <c r="H726" i="1" s="1"/>
  <c r="I726" i="1" s="1"/>
  <c r="N726" i="1" s="1"/>
  <c r="O726" i="1" s="1"/>
  <c r="P726" i="1" s="1"/>
  <c r="L725" i="1"/>
  <c r="H725" i="1"/>
  <c r="I725" i="1" s="1"/>
  <c r="N725" i="1" s="1"/>
  <c r="O725" i="1" s="1"/>
  <c r="P725" i="1" s="1"/>
  <c r="E725" i="1"/>
  <c r="L724" i="1"/>
  <c r="E724" i="1"/>
  <c r="H724" i="1" s="1"/>
  <c r="I724" i="1" s="1"/>
  <c r="N724" i="1" s="1"/>
  <c r="O724" i="1" s="1"/>
  <c r="P724" i="1" s="1"/>
  <c r="L723" i="1"/>
  <c r="I723" i="1"/>
  <c r="H723" i="1"/>
  <c r="E723" i="1"/>
  <c r="L722" i="1"/>
  <c r="I722" i="1"/>
  <c r="N722" i="1" s="1"/>
  <c r="O722" i="1" s="1"/>
  <c r="P722" i="1" s="1"/>
  <c r="H722" i="1"/>
  <c r="E722" i="1"/>
  <c r="L721" i="1"/>
  <c r="H721" i="1"/>
  <c r="I721" i="1" s="1"/>
  <c r="N721" i="1" s="1"/>
  <c r="O721" i="1" s="1"/>
  <c r="P721" i="1" s="1"/>
  <c r="E721" i="1"/>
  <c r="L720" i="1"/>
  <c r="E720" i="1"/>
  <c r="H720" i="1" s="1"/>
  <c r="I720" i="1" s="1"/>
  <c r="N720" i="1" s="1"/>
  <c r="O720" i="1" s="1"/>
  <c r="P720" i="1" s="1"/>
  <c r="L719" i="1"/>
  <c r="H719" i="1"/>
  <c r="I719" i="1" s="1"/>
  <c r="N719" i="1" s="1"/>
  <c r="O719" i="1" s="1"/>
  <c r="P719" i="1" s="1"/>
  <c r="E719" i="1"/>
  <c r="L718" i="1"/>
  <c r="E718" i="1"/>
  <c r="H718" i="1" s="1"/>
  <c r="I718" i="1" s="1"/>
  <c r="N718" i="1" s="1"/>
  <c r="O718" i="1" s="1"/>
  <c r="P718" i="1" s="1"/>
  <c r="L717" i="1"/>
  <c r="H717" i="1"/>
  <c r="I717" i="1" s="1"/>
  <c r="N717" i="1" s="1"/>
  <c r="O717" i="1" s="1"/>
  <c r="P717" i="1" s="1"/>
  <c r="E717" i="1"/>
  <c r="L716" i="1"/>
  <c r="E716" i="1"/>
  <c r="H716" i="1" s="1"/>
  <c r="I716" i="1" s="1"/>
  <c r="N716" i="1" s="1"/>
  <c r="O716" i="1" s="1"/>
  <c r="P716" i="1" s="1"/>
  <c r="L715" i="1"/>
  <c r="I715" i="1"/>
  <c r="H715" i="1"/>
  <c r="E715" i="1"/>
  <c r="L714" i="1"/>
  <c r="H714" i="1"/>
  <c r="I714" i="1" s="1"/>
  <c r="N714" i="1" s="1"/>
  <c r="O714" i="1" s="1"/>
  <c r="P714" i="1" s="1"/>
  <c r="E714" i="1"/>
  <c r="L713" i="1"/>
  <c r="E713" i="1"/>
  <c r="H713" i="1" s="1"/>
  <c r="I713" i="1" s="1"/>
  <c r="N713" i="1" s="1"/>
  <c r="O713" i="1" s="1"/>
  <c r="P713" i="1" s="1"/>
  <c r="L712" i="1"/>
  <c r="E712" i="1"/>
  <c r="H712" i="1" s="1"/>
  <c r="I712" i="1" s="1"/>
  <c r="N712" i="1" s="1"/>
  <c r="O712" i="1" s="1"/>
  <c r="P712" i="1" s="1"/>
  <c r="L711" i="1"/>
  <c r="H711" i="1"/>
  <c r="I711" i="1" s="1"/>
  <c r="N711" i="1" s="1"/>
  <c r="O711" i="1" s="1"/>
  <c r="P711" i="1" s="1"/>
  <c r="E711" i="1"/>
  <c r="O710" i="1"/>
  <c r="P710" i="1" s="1"/>
  <c r="L710" i="1"/>
  <c r="E710" i="1"/>
  <c r="H710" i="1" s="1"/>
  <c r="I710" i="1" s="1"/>
  <c r="N710" i="1" s="1"/>
  <c r="N709" i="1"/>
  <c r="O709" i="1" s="1"/>
  <c r="P709" i="1" s="1"/>
  <c r="L709" i="1"/>
  <c r="H709" i="1"/>
  <c r="I709" i="1" s="1"/>
  <c r="E709" i="1"/>
  <c r="N708" i="1"/>
  <c r="O708" i="1" s="1"/>
  <c r="P708" i="1" s="1"/>
  <c r="L708" i="1"/>
  <c r="E708" i="1"/>
  <c r="H708" i="1" s="1"/>
  <c r="I708" i="1" s="1"/>
  <c r="L707" i="1"/>
  <c r="I707" i="1"/>
  <c r="N707" i="1" s="1"/>
  <c r="O707" i="1" s="1"/>
  <c r="P707" i="1" s="1"/>
  <c r="H707" i="1"/>
  <c r="E707" i="1"/>
  <c r="L706" i="1"/>
  <c r="I706" i="1"/>
  <c r="N706" i="1" s="1"/>
  <c r="O706" i="1" s="1"/>
  <c r="P706" i="1" s="1"/>
  <c r="H706" i="1"/>
  <c r="E706" i="1"/>
  <c r="L705" i="1"/>
  <c r="E705" i="1"/>
  <c r="H705" i="1" s="1"/>
  <c r="I705" i="1" s="1"/>
  <c r="N705" i="1" s="1"/>
  <c r="O705" i="1" s="1"/>
  <c r="P705" i="1" s="1"/>
  <c r="L704" i="1"/>
  <c r="E704" i="1"/>
  <c r="H704" i="1" s="1"/>
  <c r="I704" i="1" s="1"/>
  <c r="N704" i="1" s="1"/>
  <c r="O704" i="1" s="1"/>
  <c r="P704" i="1" s="1"/>
  <c r="P703" i="1"/>
  <c r="L703" i="1"/>
  <c r="H703" i="1"/>
  <c r="I703" i="1" s="1"/>
  <c r="N703" i="1" s="1"/>
  <c r="O703" i="1" s="1"/>
  <c r="E703" i="1"/>
  <c r="O702" i="1"/>
  <c r="P702" i="1" s="1"/>
  <c r="L702" i="1"/>
  <c r="E702" i="1"/>
  <c r="H702" i="1" s="1"/>
  <c r="I702" i="1" s="1"/>
  <c r="N702" i="1" s="1"/>
  <c r="O701" i="1"/>
  <c r="P701" i="1" s="1"/>
  <c r="N701" i="1"/>
  <c r="L701" i="1"/>
  <c r="H701" i="1"/>
  <c r="I701" i="1" s="1"/>
  <c r="E701" i="1"/>
  <c r="N700" i="1"/>
  <c r="O700" i="1" s="1"/>
  <c r="P700" i="1" s="1"/>
  <c r="L700" i="1"/>
  <c r="E700" i="1"/>
  <c r="H700" i="1" s="1"/>
  <c r="I700" i="1" s="1"/>
  <c r="L699" i="1"/>
  <c r="I699" i="1"/>
  <c r="H699" i="1"/>
  <c r="E699" i="1"/>
  <c r="L698" i="1"/>
  <c r="I698" i="1"/>
  <c r="N698" i="1" s="1"/>
  <c r="O698" i="1" s="1"/>
  <c r="P698" i="1" s="1"/>
  <c r="H698" i="1"/>
  <c r="E698" i="1"/>
  <c r="L697" i="1"/>
  <c r="H697" i="1"/>
  <c r="I697" i="1" s="1"/>
  <c r="N697" i="1" s="1"/>
  <c r="O697" i="1" s="1"/>
  <c r="P697" i="1" s="1"/>
  <c r="E697" i="1"/>
  <c r="L696" i="1"/>
  <c r="E696" i="1"/>
  <c r="H696" i="1" s="1"/>
  <c r="I696" i="1" s="1"/>
  <c r="N696" i="1" s="1"/>
  <c r="O696" i="1" s="1"/>
  <c r="P696" i="1" s="1"/>
  <c r="P695" i="1"/>
  <c r="L695" i="1"/>
  <c r="H695" i="1"/>
  <c r="I695" i="1" s="1"/>
  <c r="N695" i="1" s="1"/>
  <c r="O695" i="1" s="1"/>
  <c r="E695" i="1"/>
  <c r="L694" i="1"/>
  <c r="E694" i="1"/>
  <c r="H694" i="1" s="1"/>
  <c r="I694" i="1" s="1"/>
  <c r="N694" i="1" s="1"/>
  <c r="O694" i="1" s="1"/>
  <c r="P694" i="1" s="1"/>
  <c r="L693" i="1"/>
  <c r="H693" i="1"/>
  <c r="I693" i="1" s="1"/>
  <c r="N693" i="1" s="1"/>
  <c r="O693" i="1" s="1"/>
  <c r="P693" i="1" s="1"/>
  <c r="E693" i="1"/>
  <c r="L692" i="1"/>
  <c r="E692" i="1"/>
  <c r="H692" i="1" s="1"/>
  <c r="I692" i="1" s="1"/>
  <c r="N692" i="1" s="1"/>
  <c r="O692" i="1" s="1"/>
  <c r="P692" i="1" s="1"/>
  <c r="L691" i="1"/>
  <c r="I691" i="1"/>
  <c r="H691" i="1"/>
  <c r="E691" i="1"/>
  <c r="L690" i="1"/>
  <c r="I690" i="1"/>
  <c r="N690" i="1" s="1"/>
  <c r="O690" i="1" s="1"/>
  <c r="P690" i="1" s="1"/>
  <c r="H690" i="1"/>
  <c r="E690" i="1"/>
  <c r="L689" i="1"/>
  <c r="H689" i="1"/>
  <c r="I689" i="1" s="1"/>
  <c r="N689" i="1" s="1"/>
  <c r="O689" i="1" s="1"/>
  <c r="P689" i="1" s="1"/>
  <c r="E689" i="1"/>
  <c r="L688" i="1"/>
  <c r="E688" i="1"/>
  <c r="H688" i="1" s="1"/>
  <c r="I688" i="1" s="1"/>
  <c r="N688" i="1" s="1"/>
  <c r="O688" i="1" s="1"/>
  <c r="P688" i="1" s="1"/>
  <c r="L687" i="1"/>
  <c r="H687" i="1"/>
  <c r="I687" i="1" s="1"/>
  <c r="N687" i="1" s="1"/>
  <c r="O687" i="1" s="1"/>
  <c r="P687" i="1" s="1"/>
  <c r="E687" i="1"/>
  <c r="L686" i="1"/>
  <c r="E686" i="1"/>
  <c r="H686" i="1" s="1"/>
  <c r="I686" i="1" s="1"/>
  <c r="N686" i="1" s="1"/>
  <c r="O686" i="1" s="1"/>
  <c r="P686" i="1" s="1"/>
  <c r="L685" i="1"/>
  <c r="H685" i="1"/>
  <c r="I685" i="1" s="1"/>
  <c r="N685" i="1" s="1"/>
  <c r="O685" i="1" s="1"/>
  <c r="P685" i="1" s="1"/>
  <c r="E685" i="1"/>
  <c r="L684" i="1"/>
  <c r="E684" i="1"/>
  <c r="H684" i="1" s="1"/>
  <c r="I684" i="1" s="1"/>
  <c r="N684" i="1" s="1"/>
  <c r="O684" i="1" s="1"/>
  <c r="P684" i="1" s="1"/>
  <c r="L683" i="1"/>
  <c r="I683" i="1"/>
  <c r="H683" i="1"/>
  <c r="E683" i="1"/>
  <c r="L682" i="1"/>
  <c r="I682" i="1"/>
  <c r="N682" i="1" s="1"/>
  <c r="O682" i="1" s="1"/>
  <c r="P682" i="1" s="1"/>
  <c r="H682" i="1"/>
  <c r="E682" i="1"/>
  <c r="L681" i="1"/>
  <c r="H681" i="1"/>
  <c r="I681" i="1" s="1"/>
  <c r="N681" i="1" s="1"/>
  <c r="O681" i="1" s="1"/>
  <c r="P681" i="1" s="1"/>
  <c r="E681" i="1"/>
  <c r="L680" i="1"/>
  <c r="E680" i="1"/>
  <c r="H680" i="1" s="1"/>
  <c r="I680" i="1" s="1"/>
  <c r="N680" i="1" s="1"/>
  <c r="O680" i="1" s="1"/>
  <c r="P680" i="1" s="1"/>
  <c r="L679" i="1"/>
  <c r="H679" i="1"/>
  <c r="I679" i="1" s="1"/>
  <c r="N679" i="1" s="1"/>
  <c r="O679" i="1" s="1"/>
  <c r="P679" i="1" s="1"/>
  <c r="E679" i="1"/>
  <c r="L678" i="1"/>
  <c r="I678" i="1"/>
  <c r="N678" i="1" s="1"/>
  <c r="O678" i="1" s="1"/>
  <c r="P678" i="1" s="1"/>
  <c r="E678" i="1"/>
  <c r="H678" i="1" s="1"/>
  <c r="N677" i="1"/>
  <c r="O677" i="1" s="1"/>
  <c r="P677" i="1" s="1"/>
  <c r="L677" i="1"/>
  <c r="H677" i="1"/>
  <c r="I677" i="1" s="1"/>
  <c r="E677" i="1"/>
  <c r="N676" i="1"/>
  <c r="O676" i="1" s="1"/>
  <c r="P676" i="1" s="1"/>
  <c r="L676" i="1"/>
  <c r="E676" i="1"/>
  <c r="H676" i="1" s="1"/>
  <c r="I676" i="1" s="1"/>
  <c r="L675" i="1"/>
  <c r="I675" i="1"/>
  <c r="N675" i="1" s="1"/>
  <c r="O675" i="1" s="1"/>
  <c r="P675" i="1" s="1"/>
  <c r="H675" i="1"/>
  <c r="E675" i="1"/>
  <c r="L674" i="1"/>
  <c r="I674" i="1"/>
  <c r="N674" i="1" s="1"/>
  <c r="O674" i="1" s="1"/>
  <c r="P674" i="1" s="1"/>
  <c r="H674" i="1"/>
  <c r="E674" i="1"/>
  <c r="O673" i="1"/>
  <c r="P673" i="1" s="1"/>
  <c r="L673" i="1"/>
  <c r="H673" i="1"/>
  <c r="I673" i="1" s="1"/>
  <c r="N673" i="1" s="1"/>
  <c r="E673" i="1"/>
  <c r="N672" i="1"/>
  <c r="O672" i="1" s="1"/>
  <c r="P672" i="1" s="1"/>
  <c r="L672" i="1"/>
  <c r="E672" i="1"/>
  <c r="H672" i="1" s="1"/>
  <c r="I672" i="1" s="1"/>
  <c r="L671" i="1"/>
  <c r="H671" i="1"/>
  <c r="I671" i="1" s="1"/>
  <c r="N671" i="1" s="1"/>
  <c r="O671" i="1" s="1"/>
  <c r="P671" i="1" s="1"/>
  <c r="E671" i="1"/>
  <c r="L670" i="1"/>
  <c r="E670" i="1"/>
  <c r="H670" i="1" s="1"/>
  <c r="I670" i="1" s="1"/>
  <c r="N670" i="1" s="1"/>
  <c r="O670" i="1" s="1"/>
  <c r="P670" i="1" s="1"/>
  <c r="N669" i="1"/>
  <c r="O669" i="1" s="1"/>
  <c r="P669" i="1" s="1"/>
  <c r="L669" i="1"/>
  <c r="H669" i="1"/>
  <c r="I669" i="1" s="1"/>
  <c r="E669" i="1"/>
  <c r="N668" i="1"/>
  <c r="O668" i="1" s="1"/>
  <c r="P668" i="1" s="1"/>
  <c r="L668" i="1"/>
  <c r="E668" i="1"/>
  <c r="H668" i="1" s="1"/>
  <c r="I668" i="1" s="1"/>
  <c r="L667" i="1"/>
  <c r="I667" i="1"/>
  <c r="N667" i="1" s="1"/>
  <c r="O667" i="1" s="1"/>
  <c r="P667" i="1" s="1"/>
  <c r="H667" i="1"/>
  <c r="E667" i="1"/>
  <c r="L666" i="1"/>
  <c r="H666" i="1"/>
  <c r="I666" i="1" s="1"/>
  <c r="N666" i="1" s="1"/>
  <c r="O666" i="1" s="1"/>
  <c r="P666" i="1" s="1"/>
  <c r="E666" i="1"/>
  <c r="L665" i="1"/>
  <c r="E665" i="1"/>
  <c r="H665" i="1" s="1"/>
  <c r="I665" i="1" s="1"/>
  <c r="N665" i="1" s="1"/>
  <c r="O665" i="1" s="1"/>
  <c r="P665" i="1" s="1"/>
  <c r="N664" i="1"/>
  <c r="O664" i="1" s="1"/>
  <c r="P664" i="1" s="1"/>
  <c r="L664" i="1"/>
  <c r="E664" i="1"/>
  <c r="H664" i="1" s="1"/>
  <c r="I664" i="1" s="1"/>
  <c r="L663" i="1"/>
  <c r="H663" i="1"/>
  <c r="I663" i="1" s="1"/>
  <c r="E663" i="1"/>
  <c r="L662" i="1"/>
  <c r="E662" i="1"/>
  <c r="H662" i="1" s="1"/>
  <c r="I662" i="1" s="1"/>
  <c r="N662" i="1" s="1"/>
  <c r="O662" i="1" s="1"/>
  <c r="P662" i="1" s="1"/>
  <c r="L661" i="1"/>
  <c r="H661" i="1"/>
  <c r="I661" i="1" s="1"/>
  <c r="N661" i="1" s="1"/>
  <c r="O661" i="1" s="1"/>
  <c r="P661" i="1" s="1"/>
  <c r="E661" i="1"/>
  <c r="L660" i="1"/>
  <c r="E660" i="1"/>
  <c r="H660" i="1" s="1"/>
  <c r="I660" i="1" s="1"/>
  <c r="N660" i="1" s="1"/>
  <c r="O660" i="1" s="1"/>
  <c r="P660" i="1" s="1"/>
  <c r="L659" i="1"/>
  <c r="I659" i="1"/>
  <c r="H659" i="1"/>
  <c r="E659" i="1"/>
  <c r="L658" i="1"/>
  <c r="H658" i="1"/>
  <c r="I658" i="1" s="1"/>
  <c r="N658" i="1" s="1"/>
  <c r="O658" i="1" s="1"/>
  <c r="P658" i="1" s="1"/>
  <c r="E658" i="1"/>
  <c r="L657" i="1"/>
  <c r="H657" i="1"/>
  <c r="I657" i="1" s="1"/>
  <c r="N657" i="1" s="1"/>
  <c r="O657" i="1" s="1"/>
  <c r="P657" i="1" s="1"/>
  <c r="E657" i="1"/>
  <c r="L656" i="1"/>
  <c r="E656" i="1"/>
  <c r="H656" i="1" s="1"/>
  <c r="I656" i="1" s="1"/>
  <c r="N656" i="1" s="1"/>
  <c r="O656" i="1" s="1"/>
  <c r="P656" i="1" s="1"/>
  <c r="L655" i="1"/>
  <c r="H655" i="1"/>
  <c r="I655" i="1" s="1"/>
  <c r="E655" i="1"/>
  <c r="L654" i="1"/>
  <c r="E654" i="1"/>
  <c r="H654" i="1" s="1"/>
  <c r="I654" i="1" s="1"/>
  <c r="N654" i="1" s="1"/>
  <c r="O654" i="1" s="1"/>
  <c r="P654" i="1" s="1"/>
  <c r="L653" i="1"/>
  <c r="H653" i="1"/>
  <c r="I653" i="1" s="1"/>
  <c r="N653" i="1" s="1"/>
  <c r="O653" i="1" s="1"/>
  <c r="P653" i="1" s="1"/>
  <c r="E653" i="1"/>
  <c r="L652" i="1"/>
  <c r="E652" i="1"/>
  <c r="H652" i="1" s="1"/>
  <c r="I652" i="1" s="1"/>
  <c r="N652" i="1" s="1"/>
  <c r="O652" i="1" s="1"/>
  <c r="P652" i="1" s="1"/>
  <c r="L651" i="1"/>
  <c r="I651" i="1"/>
  <c r="H651" i="1"/>
  <c r="E651" i="1"/>
  <c r="L650" i="1"/>
  <c r="H650" i="1"/>
  <c r="I650" i="1" s="1"/>
  <c r="N650" i="1" s="1"/>
  <c r="O650" i="1" s="1"/>
  <c r="P650" i="1" s="1"/>
  <c r="E650" i="1"/>
  <c r="L649" i="1"/>
  <c r="H649" i="1"/>
  <c r="I649" i="1" s="1"/>
  <c r="N649" i="1" s="1"/>
  <c r="O649" i="1" s="1"/>
  <c r="P649" i="1" s="1"/>
  <c r="E649" i="1"/>
  <c r="L648" i="1"/>
  <c r="E648" i="1"/>
  <c r="H648" i="1" s="1"/>
  <c r="I648" i="1" s="1"/>
  <c r="N648" i="1" s="1"/>
  <c r="O648" i="1" s="1"/>
  <c r="P648" i="1" s="1"/>
  <c r="L647" i="1"/>
  <c r="H647" i="1"/>
  <c r="I647" i="1" s="1"/>
  <c r="N647" i="1" s="1"/>
  <c r="O647" i="1" s="1"/>
  <c r="P647" i="1" s="1"/>
  <c r="E647" i="1"/>
  <c r="L646" i="1"/>
  <c r="I646" i="1"/>
  <c r="N646" i="1" s="1"/>
  <c r="O646" i="1" s="1"/>
  <c r="P646" i="1" s="1"/>
  <c r="E646" i="1"/>
  <c r="H646" i="1" s="1"/>
  <c r="N645" i="1"/>
  <c r="O645" i="1" s="1"/>
  <c r="P645" i="1" s="1"/>
  <c r="L645" i="1"/>
  <c r="H645" i="1"/>
  <c r="I645" i="1" s="1"/>
  <c r="E645" i="1"/>
  <c r="L644" i="1"/>
  <c r="N644" i="1" s="1"/>
  <c r="O644" i="1" s="1"/>
  <c r="P644" i="1" s="1"/>
  <c r="E644" i="1"/>
  <c r="H644" i="1" s="1"/>
  <c r="I644" i="1" s="1"/>
  <c r="L643" i="1"/>
  <c r="I643" i="1"/>
  <c r="N643" i="1" s="1"/>
  <c r="O643" i="1" s="1"/>
  <c r="P643" i="1" s="1"/>
  <c r="H643" i="1"/>
  <c r="E643" i="1"/>
  <c r="L642" i="1"/>
  <c r="I642" i="1"/>
  <c r="N642" i="1" s="1"/>
  <c r="O642" i="1" s="1"/>
  <c r="P642" i="1" s="1"/>
  <c r="H642" i="1"/>
  <c r="E642" i="1"/>
  <c r="L641" i="1"/>
  <c r="E641" i="1"/>
  <c r="H641" i="1" s="1"/>
  <c r="I641" i="1" s="1"/>
  <c r="N641" i="1" s="1"/>
  <c r="O641" i="1" s="1"/>
  <c r="P641" i="1" s="1"/>
  <c r="N640" i="1"/>
  <c r="O640" i="1" s="1"/>
  <c r="P640" i="1" s="1"/>
  <c r="L640" i="1"/>
  <c r="E640" i="1"/>
  <c r="H640" i="1" s="1"/>
  <c r="I640" i="1" s="1"/>
  <c r="L639" i="1"/>
  <c r="H639" i="1"/>
  <c r="I639" i="1" s="1"/>
  <c r="E639" i="1"/>
  <c r="O638" i="1"/>
  <c r="P638" i="1" s="1"/>
  <c r="L638" i="1"/>
  <c r="I638" i="1"/>
  <c r="N638" i="1" s="1"/>
  <c r="E638" i="1"/>
  <c r="H638" i="1" s="1"/>
  <c r="O637" i="1"/>
  <c r="P637" i="1" s="1"/>
  <c r="N637" i="1"/>
  <c r="L637" i="1"/>
  <c r="H637" i="1"/>
  <c r="I637" i="1" s="1"/>
  <c r="E637" i="1"/>
  <c r="N636" i="1"/>
  <c r="O636" i="1" s="1"/>
  <c r="P636" i="1" s="1"/>
  <c r="L636" i="1"/>
  <c r="E636" i="1"/>
  <c r="H636" i="1" s="1"/>
  <c r="I636" i="1" s="1"/>
  <c r="L635" i="1"/>
  <c r="I635" i="1"/>
  <c r="H635" i="1"/>
  <c r="E635" i="1"/>
  <c r="P634" i="1"/>
  <c r="L634" i="1"/>
  <c r="I634" i="1"/>
  <c r="N634" i="1" s="1"/>
  <c r="O634" i="1" s="1"/>
  <c r="H634" i="1"/>
  <c r="E634" i="1"/>
  <c r="L633" i="1"/>
  <c r="E633" i="1"/>
  <c r="H633" i="1" s="1"/>
  <c r="I633" i="1" s="1"/>
  <c r="N633" i="1" s="1"/>
  <c r="O633" i="1" s="1"/>
  <c r="P633" i="1" s="1"/>
  <c r="N632" i="1"/>
  <c r="O632" i="1" s="1"/>
  <c r="P632" i="1" s="1"/>
  <c r="L632" i="1"/>
  <c r="E632" i="1"/>
  <c r="H632" i="1" s="1"/>
  <c r="I632" i="1" s="1"/>
  <c r="L631" i="1"/>
  <c r="H631" i="1"/>
  <c r="I631" i="1" s="1"/>
  <c r="E631" i="1"/>
  <c r="L630" i="1"/>
  <c r="E630" i="1"/>
  <c r="H630" i="1" s="1"/>
  <c r="I630" i="1" s="1"/>
  <c r="N630" i="1" s="1"/>
  <c r="O630" i="1" s="1"/>
  <c r="P630" i="1" s="1"/>
  <c r="L629" i="1"/>
  <c r="H629" i="1"/>
  <c r="I629" i="1" s="1"/>
  <c r="N629" i="1" s="1"/>
  <c r="O629" i="1" s="1"/>
  <c r="P629" i="1" s="1"/>
  <c r="E629" i="1"/>
  <c r="L628" i="1"/>
  <c r="E628" i="1"/>
  <c r="H628" i="1" s="1"/>
  <c r="I628" i="1" s="1"/>
  <c r="N628" i="1" s="1"/>
  <c r="O628" i="1" s="1"/>
  <c r="P628" i="1" s="1"/>
  <c r="L627" i="1"/>
  <c r="I627" i="1"/>
  <c r="H627" i="1"/>
  <c r="E627" i="1"/>
  <c r="L626" i="1"/>
  <c r="H626" i="1"/>
  <c r="I626" i="1" s="1"/>
  <c r="N626" i="1" s="1"/>
  <c r="O626" i="1" s="1"/>
  <c r="P626" i="1" s="1"/>
  <c r="E626" i="1"/>
  <c r="L625" i="1"/>
  <c r="E625" i="1"/>
  <c r="H625" i="1" s="1"/>
  <c r="I625" i="1" s="1"/>
  <c r="N625" i="1" s="1"/>
  <c r="O625" i="1" s="1"/>
  <c r="P625" i="1" s="1"/>
  <c r="L624" i="1"/>
  <c r="E624" i="1"/>
  <c r="H624" i="1" s="1"/>
  <c r="I624" i="1" s="1"/>
  <c r="N624" i="1" s="1"/>
  <c r="O624" i="1" s="1"/>
  <c r="P624" i="1" s="1"/>
  <c r="P623" i="1"/>
  <c r="L623" i="1"/>
  <c r="H623" i="1"/>
  <c r="I623" i="1" s="1"/>
  <c r="N623" i="1" s="1"/>
  <c r="O623" i="1" s="1"/>
  <c r="E623" i="1"/>
  <c r="L622" i="1"/>
  <c r="I622" i="1"/>
  <c r="N622" i="1" s="1"/>
  <c r="O622" i="1" s="1"/>
  <c r="P622" i="1" s="1"/>
  <c r="E622" i="1"/>
  <c r="H622" i="1" s="1"/>
  <c r="L621" i="1"/>
  <c r="H621" i="1"/>
  <c r="I621" i="1" s="1"/>
  <c r="N621" i="1" s="1"/>
  <c r="O621" i="1" s="1"/>
  <c r="P621" i="1" s="1"/>
  <c r="E621" i="1"/>
  <c r="L620" i="1"/>
  <c r="E620" i="1"/>
  <c r="H620" i="1" s="1"/>
  <c r="I620" i="1" s="1"/>
  <c r="N620" i="1" s="1"/>
  <c r="O620" i="1" s="1"/>
  <c r="P620" i="1" s="1"/>
  <c r="L619" i="1"/>
  <c r="I619" i="1"/>
  <c r="N619" i="1" s="1"/>
  <c r="O619" i="1" s="1"/>
  <c r="P619" i="1" s="1"/>
  <c r="H619" i="1"/>
  <c r="E619" i="1"/>
  <c r="L618" i="1"/>
  <c r="I618" i="1"/>
  <c r="N618" i="1" s="1"/>
  <c r="O618" i="1" s="1"/>
  <c r="P618" i="1" s="1"/>
  <c r="H618" i="1"/>
  <c r="E618" i="1"/>
  <c r="L617" i="1"/>
  <c r="H617" i="1"/>
  <c r="I617" i="1" s="1"/>
  <c r="N617" i="1" s="1"/>
  <c r="O617" i="1" s="1"/>
  <c r="P617" i="1" s="1"/>
  <c r="E617" i="1"/>
  <c r="L616" i="1"/>
  <c r="E616" i="1"/>
  <c r="H616" i="1" s="1"/>
  <c r="I616" i="1" s="1"/>
  <c r="N616" i="1" s="1"/>
  <c r="O616" i="1" s="1"/>
  <c r="P616" i="1" s="1"/>
  <c r="L615" i="1"/>
  <c r="H615" i="1"/>
  <c r="I615" i="1" s="1"/>
  <c r="N615" i="1" s="1"/>
  <c r="O615" i="1" s="1"/>
  <c r="P615" i="1" s="1"/>
  <c r="E615" i="1"/>
  <c r="L614" i="1"/>
  <c r="I614" i="1"/>
  <c r="N614" i="1" s="1"/>
  <c r="O614" i="1" s="1"/>
  <c r="P614" i="1" s="1"/>
  <c r="E614" i="1"/>
  <c r="H614" i="1" s="1"/>
  <c r="N613" i="1"/>
  <c r="O613" i="1" s="1"/>
  <c r="P613" i="1" s="1"/>
  <c r="L613" i="1"/>
  <c r="H613" i="1"/>
  <c r="I613" i="1" s="1"/>
  <c r="E613" i="1"/>
  <c r="N612" i="1"/>
  <c r="O612" i="1" s="1"/>
  <c r="P612" i="1" s="1"/>
  <c r="L612" i="1"/>
  <c r="E612" i="1"/>
  <c r="H612" i="1" s="1"/>
  <c r="I612" i="1" s="1"/>
  <c r="L611" i="1"/>
  <c r="I611" i="1"/>
  <c r="N611" i="1" s="1"/>
  <c r="O611" i="1" s="1"/>
  <c r="P611" i="1" s="1"/>
  <c r="H611" i="1"/>
  <c r="E611" i="1"/>
  <c r="L610" i="1"/>
  <c r="I610" i="1"/>
  <c r="N610" i="1" s="1"/>
  <c r="O610" i="1" s="1"/>
  <c r="P610" i="1" s="1"/>
  <c r="H610" i="1"/>
  <c r="E610" i="1"/>
  <c r="O609" i="1"/>
  <c r="P609" i="1" s="1"/>
  <c r="L609" i="1"/>
  <c r="H609" i="1"/>
  <c r="I609" i="1" s="1"/>
  <c r="N609" i="1" s="1"/>
  <c r="E609" i="1"/>
  <c r="N608" i="1"/>
  <c r="O608" i="1" s="1"/>
  <c r="P608" i="1" s="1"/>
  <c r="L608" i="1"/>
  <c r="E608" i="1"/>
  <c r="H608" i="1" s="1"/>
  <c r="I608" i="1" s="1"/>
  <c r="L607" i="1"/>
  <c r="H607" i="1"/>
  <c r="I607" i="1" s="1"/>
  <c r="N607" i="1" s="1"/>
  <c r="O607" i="1" s="1"/>
  <c r="P607" i="1" s="1"/>
  <c r="E607" i="1"/>
  <c r="L606" i="1"/>
  <c r="E606" i="1"/>
  <c r="H606" i="1" s="1"/>
  <c r="I606" i="1" s="1"/>
  <c r="N606" i="1" s="1"/>
  <c r="O606" i="1" s="1"/>
  <c r="P606" i="1" s="1"/>
  <c r="N605" i="1"/>
  <c r="O605" i="1" s="1"/>
  <c r="P605" i="1" s="1"/>
  <c r="L605" i="1"/>
  <c r="H605" i="1"/>
  <c r="I605" i="1" s="1"/>
  <c r="E605" i="1"/>
  <c r="L604" i="1"/>
  <c r="E604" i="1"/>
  <c r="H604" i="1" s="1"/>
  <c r="I604" i="1" s="1"/>
  <c r="N604" i="1" s="1"/>
  <c r="O604" i="1" s="1"/>
  <c r="P604" i="1" s="1"/>
  <c r="L603" i="1"/>
  <c r="I603" i="1"/>
  <c r="N603" i="1" s="1"/>
  <c r="O603" i="1" s="1"/>
  <c r="P603" i="1" s="1"/>
  <c r="H603" i="1"/>
  <c r="E603" i="1"/>
  <c r="L602" i="1"/>
  <c r="H602" i="1"/>
  <c r="I602" i="1" s="1"/>
  <c r="N602" i="1" s="1"/>
  <c r="O602" i="1" s="1"/>
  <c r="P602" i="1" s="1"/>
  <c r="E602" i="1"/>
  <c r="L601" i="1"/>
  <c r="E601" i="1"/>
  <c r="H601" i="1" s="1"/>
  <c r="I601" i="1" s="1"/>
  <c r="N601" i="1" s="1"/>
  <c r="O601" i="1" s="1"/>
  <c r="P601" i="1" s="1"/>
  <c r="L600" i="1"/>
  <c r="E600" i="1"/>
  <c r="H600" i="1" s="1"/>
  <c r="I600" i="1" s="1"/>
  <c r="N600" i="1" s="1"/>
  <c r="O600" i="1" s="1"/>
  <c r="P600" i="1" s="1"/>
  <c r="L599" i="1"/>
  <c r="H599" i="1"/>
  <c r="I599" i="1" s="1"/>
  <c r="E599" i="1"/>
  <c r="L598" i="1"/>
  <c r="E598" i="1"/>
  <c r="H598" i="1" s="1"/>
  <c r="I598" i="1" s="1"/>
  <c r="N598" i="1" s="1"/>
  <c r="O598" i="1" s="1"/>
  <c r="P598" i="1" s="1"/>
  <c r="O597" i="1"/>
  <c r="P597" i="1" s="1"/>
  <c r="N597" i="1"/>
  <c r="L597" i="1"/>
  <c r="H597" i="1"/>
  <c r="I597" i="1" s="1"/>
  <c r="E597" i="1"/>
  <c r="L596" i="1"/>
  <c r="E596" i="1"/>
  <c r="H596" i="1" s="1"/>
  <c r="I596" i="1" s="1"/>
  <c r="N596" i="1" s="1"/>
  <c r="O596" i="1" s="1"/>
  <c r="P596" i="1" s="1"/>
  <c r="L595" i="1"/>
  <c r="I595" i="1"/>
  <c r="H595" i="1"/>
  <c r="E595" i="1"/>
  <c r="L594" i="1"/>
  <c r="H594" i="1"/>
  <c r="I594" i="1" s="1"/>
  <c r="N594" i="1" s="1"/>
  <c r="O594" i="1" s="1"/>
  <c r="P594" i="1" s="1"/>
  <c r="E594" i="1"/>
  <c r="O593" i="1"/>
  <c r="P593" i="1" s="1"/>
  <c r="L593" i="1"/>
  <c r="H593" i="1"/>
  <c r="I593" i="1" s="1"/>
  <c r="N593" i="1" s="1"/>
  <c r="E593" i="1"/>
  <c r="L592" i="1"/>
  <c r="E592" i="1"/>
  <c r="H592" i="1" s="1"/>
  <c r="I592" i="1" s="1"/>
  <c r="N592" i="1" s="1"/>
  <c r="O592" i="1" s="1"/>
  <c r="P592" i="1" s="1"/>
  <c r="L591" i="1"/>
  <c r="H591" i="1"/>
  <c r="I591" i="1" s="1"/>
  <c r="E591" i="1"/>
  <c r="L590" i="1"/>
  <c r="E590" i="1"/>
  <c r="H590" i="1" s="1"/>
  <c r="I590" i="1" s="1"/>
  <c r="N590" i="1" s="1"/>
  <c r="O590" i="1" s="1"/>
  <c r="P590" i="1" s="1"/>
  <c r="L589" i="1"/>
  <c r="H589" i="1"/>
  <c r="I589" i="1" s="1"/>
  <c r="N589" i="1" s="1"/>
  <c r="O589" i="1" s="1"/>
  <c r="P589" i="1" s="1"/>
  <c r="E589" i="1"/>
  <c r="L588" i="1"/>
  <c r="E588" i="1"/>
  <c r="H588" i="1" s="1"/>
  <c r="I588" i="1" s="1"/>
  <c r="N588" i="1" s="1"/>
  <c r="O588" i="1" s="1"/>
  <c r="P588" i="1" s="1"/>
  <c r="L587" i="1"/>
  <c r="I587" i="1"/>
  <c r="H587" i="1"/>
  <c r="E587" i="1"/>
  <c r="L586" i="1"/>
  <c r="H586" i="1"/>
  <c r="I586" i="1" s="1"/>
  <c r="N586" i="1" s="1"/>
  <c r="O586" i="1" s="1"/>
  <c r="P586" i="1" s="1"/>
  <c r="E586" i="1"/>
  <c r="L585" i="1"/>
  <c r="H585" i="1"/>
  <c r="I585" i="1" s="1"/>
  <c r="N585" i="1" s="1"/>
  <c r="O585" i="1" s="1"/>
  <c r="P585" i="1" s="1"/>
  <c r="E585" i="1"/>
  <c r="L584" i="1"/>
  <c r="E584" i="1"/>
  <c r="H584" i="1" s="1"/>
  <c r="I584" i="1" s="1"/>
  <c r="N584" i="1" s="1"/>
  <c r="O584" i="1" s="1"/>
  <c r="P584" i="1" s="1"/>
  <c r="P583" i="1"/>
  <c r="L583" i="1"/>
  <c r="H583" i="1"/>
  <c r="I583" i="1" s="1"/>
  <c r="N583" i="1" s="1"/>
  <c r="O583" i="1" s="1"/>
  <c r="E583" i="1"/>
  <c r="L582" i="1"/>
  <c r="I582" i="1"/>
  <c r="N582" i="1" s="1"/>
  <c r="O582" i="1" s="1"/>
  <c r="P582" i="1" s="1"/>
  <c r="E582" i="1"/>
  <c r="H582" i="1" s="1"/>
  <c r="N581" i="1"/>
  <c r="O581" i="1" s="1"/>
  <c r="P581" i="1" s="1"/>
  <c r="L581" i="1"/>
  <c r="H581" i="1"/>
  <c r="I581" i="1" s="1"/>
  <c r="E581" i="1"/>
  <c r="L580" i="1"/>
  <c r="N580" i="1" s="1"/>
  <c r="O580" i="1" s="1"/>
  <c r="P580" i="1" s="1"/>
  <c r="E580" i="1"/>
  <c r="H580" i="1" s="1"/>
  <c r="I580" i="1" s="1"/>
  <c r="L579" i="1"/>
  <c r="I579" i="1"/>
  <c r="N579" i="1" s="1"/>
  <c r="O579" i="1" s="1"/>
  <c r="P579" i="1" s="1"/>
  <c r="H579" i="1"/>
  <c r="E579" i="1"/>
  <c r="L578" i="1"/>
  <c r="I578" i="1"/>
  <c r="N578" i="1" s="1"/>
  <c r="O578" i="1" s="1"/>
  <c r="P578" i="1" s="1"/>
  <c r="H578" i="1"/>
  <c r="E578" i="1"/>
  <c r="L577" i="1"/>
  <c r="E577" i="1"/>
  <c r="H577" i="1" s="1"/>
  <c r="I577" i="1" s="1"/>
  <c r="N577" i="1" s="1"/>
  <c r="O577" i="1" s="1"/>
  <c r="P577" i="1" s="1"/>
  <c r="N576" i="1"/>
  <c r="O576" i="1" s="1"/>
  <c r="P576" i="1" s="1"/>
  <c r="L576" i="1"/>
  <c r="E576" i="1"/>
  <c r="H576" i="1" s="1"/>
  <c r="I576" i="1" s="1"/>
  <c r="L575" i="1"/>
  <c r="H575" i="1"/>
  <c r="I575" i="1" s="1"/>
  <c r="E575" i="1"/>
  <c r="O574" i="1"/>
  <c r="P574" i="1" s="1"/>
  <c r="L574" i="1"/>
  <c r="I574" i="1"/>
  <c r="N574" i="1" s="1"/>
  <c r="E574" i="1"/>
  <c r="H574" i="1" s="1"/>
  <c r="L573" i="1"/>
  <c r="H573" i="1"/>
  <c r="I573" i="1" s="1"/>
  <c r="N573" i="1" s="1"/>
  <c r="O573" i="1" s="1"/>
  <c r="P573" i="1" s="1"/>
  <c r="E573" i="1"/>
  <c r="N572" i="1"/>
  <c r="O572" i="1" s="1"/>
  <c r="P572" i="1" s="1"/>
  <c r="L572" i="1"/>
  <c r="E572" i="1"/>
  <c r="H572" i="1" s="1"/>
  <c r="I572" i="1" s="1"/>
  <c r="L571" i="1"/>
  <c r="I571" i="1"/>
  <c r="H571" i="1"/>
  <c r="E571" i="1"/>
  <c r="P570" i="1"/>
  <c r="L570" i="1"/>
  <c r="I570" i="1"/>
  <c r="N570" i="1" s="1"/>
  <c r="O570" i="1" s="1"/>
  <c r="H570" i="1"/>
  <c r="E570" i="1"/>
  <c r="L569" i="1"/>
  <c r="E569" i="1"/>
  <c r="H569" i="1" s="1"/>
  <c r="I569" i="1" s="1"/>
  <c r="N569" i="1" s="1"/>
  <c r="O569" i="1" s="1"/>
  <c r="P569" i="1" s="1"/>
  <c r="N568" i="1"/>
  <c r="O568" i="1" s="1"/>
  <c r="P568" i="1" s="1"/>
  <c r="L568" i="1"/>
  <c r="E568" i="1"/>
  <c r="H568" i="1" s="1"/>
  <c r="I568" i="1" s="1"/>
  <c r="L567" i="1"/>
  <c r="H567" i="1"/>
  <c r="I567" i="1" s="1"/>
  <c r="E567" i="1"/>
  <c r="L566" i="1"/>
  <c r="E566" i="1"/>
  <c r="H566" i="1" s="1"/>
  <c r="I566" i="1" s="1"/>
  <c r="N566" i="1" s="1"/>
  <c r="O566" i="1" s="1"/>
  <c r="P566" i="1" s="1"/>
  <c r="L565" i="1"/>
  <c r="H565" i="1"/>
  <c r="I565" i="1" s="1"/>
  <c r="N565" i="1" s="1"/>
  <c r="O565" i="1" s="1"/>
  <c r="P565" i="1" s="1"/>
  <c r="E565" i="1"/>
  <c r="N564" i="1"/>
  <c r="O564" i="1" s="1"/>
  <c r="P564" i="1" s="1"/>
  <c r="L564" i="1"/>
  <c r="E564" i="1"/>
  <c r="H564" i="1" s="1"/>
  <c r="I564" i="1" s="1"/>
  <c r="L563" i="1"/>
  <c r="I563" i="1"/>
  <c r="H563" i="1"/>
  <c r="E563" i="1"/>
  <c r="L562" i="1"/>
  <c r="H562" i="1"/>
  <c r="I562" i="1" s="1"/>
  <c r="N562" i="1" s="1"/>
  <c r="O562" i="1" s="1"/>
  <c r="P562" i="1" s="1"/>
  <c r="E562" i="1"/>
  <c r="L561" i="1"/>
  <c r="E561" i="1"/>
  <c r="H561" i="1" s="1"/>
  <c r="I561" i="1" s="1"/>
  <c r="N561" i="1" s="1"/>
  <c r="O561" i="1" s="1"/>
  <c r="P561" i="1" s="1"/>
  <c r="N560" i="1"/>
  <c r="O560" i="1" s="1"/>
  <c r="P560" i="1" s="1"/>
  <c r="L560" i="1"/>
  <c r="E560" i="1"/>
  <c r="H560" i="1" s="1"/>
  <c r="I560" i="1" s="1"/>
  <c r="L559" i="1"/>
  <c r="H559" i="1"/>
  <c r="I559" i="1" s="1"/>
  <c r="N559" i="1" s="1"/>
  <c r="O559" i="1" s="1"/>
  <c r="P559" i="1" s="1"/>
  <c r="E559" i="1"/>
  <c r="P558" i="1"/>
  <c r="O558" i="1"/>
  <c r="L558" i="1"/>
  <c r="I558" i="1"/>
  <c r="N558" i="1" s="1"/>
  <c r="E558" i="1"/>
  <c r="H558" i="1" s="1"/>
  <c r="L557" i="1"/>
  <c r="H557" i="1"/>
  <c r="I557" i="1" s="1"/>
  <c r="N557" i="1" s="1"/>
  <c r="O557" i="1" s="1"/>
  <c r="P557" i="1" s="1"/>
  <c r="E557" i="1"/>
  <c r="L556" i="1"/>
  <c r="E556" i="1"/>
  <c r="H556" i="1" s="1"/>
  <c r="I556" i="1" s="1"/>
  <c r="N556" i="1" s="1"/>
  <c r="O556" i="1" s="1"/>
  <c r="P556" i="1" s="1"/>
  <c r="L555" i="1"/>
  <c r="I555" i="1"/>
  <c r="N555" i="1" s="1"/>
  <c r="O555" i="1" s="1"/>
  <c r="P555" i="1" s="1"/>
  <c r="H555" i="1"/>
  <c r="E555" i="1"/>
  <c r="P554" i="1"/>
  <c r="L554" i="1"/>
  <c r="I554" i="1"/>
  <c r="N554" i="1" s="1"/>
  <c r="O554" i="1" s="1"/>
  <c r="H554" i="1"/>
  <c r="E554" i="1"/>
  <c r="L553" i="1"/>
  <c r="H553" i="1"/>
  <c r="I553" i="1" s="1"/>
  <c r="N553" i="1" s="1"/>
  <c r="O553" i="1" s="1"/>
  <c r="P553" i="1" s="1"/>
  <c r="E553" i="1"/>
  <c r="L552" i="1"/>
  <c r="E552" i="1"/>
  <c r="H552" i="1" s="1"/>
  <c r="I552" i="1" s="1"/>
  <c r="N552" i="1" s="1"/>
  <c r="O552" i="1" s="1"/>
  <c r="P552" i="1" s="1"/>
  <c r="L551" i="1"/>
  <c r="H551" i="1"/>
  <c r="I551" i="1" s="1"/>
  <c r="N551" i="1" s="1"/>
  <c r="O551" i="1" s="1"/>
  <c r="P551" i="1" s="1"/>
  <c r="E551" i="1"/>
  <c r="L550" i="1"/>
  <c r="I550" i="1"/>
  <c r="N550" i="1" s="1"/>
  <c r="O550" i="1" s="1"/>
  <c r="P550" i="1" s="1"/>
  <c r="E550" i="1"/>
  <c r="H550" i="1" s="1"/>
  <c r="N549" i="1"/>
  <c r="O549" i="1" s="1"/>
  <c r="P549" i="1" s="1"/>
  <c r="L549" i="1"/>
  <c r="H549" i="1"/>
  <c r="I549" i="1" s="1"/>
  <c r="E549" i="1"/>
  <c r="N548" i="1"/>
  <c r="O548" i="1" s="1"/>
  <c r="P548" i="1" s="1"/>
  <c r="L548" i="1"/>
  <c r="E548" i="1"/>
  <c r="H548" i="1" s="1"/>
  <c r="I548" i="1" s="1"/>
  <c r="L547" i="1"/>
  <c r="I547" i="1"/>
  <c r="N547" i="1" s="1"/>
  <c r="O547" i="1" s="1"/>
  <c r="P547" i="1" s="1"/>
  <c r="H547" i="1"/>
  <c r="E547" i="1"/>
  <c r="L546" i="1"/>
  <c r="I546" i="1"/>
  <c r="N546" i="1" s="1"/>
  <c r="O546" i="1" s="1"/>
  <c r="P546" i="1" s="1"/>
  <c r="H546" i="1"/>
  <c r="E546" i="1"/>
  <c r="O545" i="1"/>
  <c r="P545" i="1" s="1"/>
  <c r="L545" i="1"/>
  <c r="H545" i="1"/>
  <c r="I545" i="1" s="1"/>
  <c r="N545" i="1" s="1"/>
  <c r="E545" i="1"/>
  <c r="N544" i="1"/>
  <c r="O544" i="1" s="1"/>
  <c r="P544" i="1" s="1"/>
  <c r="L544" i="1"/>
  <c r="E544" i="1"/>
  <c r="H544" i="1" s="1"/>
  <c r="I544" i="1" s="1"/>
  <c r="L543" i="1"/>
  <c r="H543" i="1"/>
  <c r="I543" i="1" s="1"/>
  <c r="N543" i="1" s="1"/>
  <c r="O543" i="1" s="1"/>
  <c r="P543" i="1" s="1"/>
  <c r="E543" i="1"/>
  <c r="L542" i="1"/>
  <c r="E542" i="1"/>
  <c r="H542" i="1" s="1"/>
  <c r="I542" i="1" s="1"/>
  <c r="N542" i="1" s="1"/>
  <c r="O542" i="1" s="1"/>
  <c r="P542" i="1" s="1"/>
  <c r="N541" i="1"/>
  <c r="O541" i="1" s="1"/>
  <c r="P541" i="1" s="1"/>
  <c r="L541" i="1"/>
  <c r="H541" i="1"/>
  <c r="I541" i="1" s="1"/>
  <c r="E541" i="1"/>
  <c r="L540" i="1"/>
  <c r="E540" i="1"/>
  <c r="H540" i="1" s="1"/>
  <c r="I540" i="1" s="1"/>
  <c r="N540" i="1" s="1"/>
  <c r="O540" i="1" s="1"/>
  <c r="P540" i="1" s="1"/>
  <c r="L539" i="1"/>
  <c r="I539" i="1"/>
  <c r="H539" i="1"/>
  <c r="E539" i="1"/>
  <c r="L538" i="1"/>
  <c r="E538" i="1"/>
  <c r="H538" i="1" s="1"/>
  <c r="I538" i="1" s="1"/>
  <c r="N538" i="1" s="1"/>
  <c r="O538" i="1" s="1"/>
  <c r="P538" i="1" s="1"/>
  <c r="O537" i="1"/>
  <c r="P537" i="1" s="1"/>
  <c r="L537" i="1"/>
  <c r="H537" i="1"/>
  <c r="I537" i="1" s="1"/>
  <c r="N537" i="1" s="1"/>
  <c r="E537" i="1"/>
  <c r="L536" i="1"/>
  <c r="E536" i="1"/>
  <c r="H536" i="1" s="1"/>
  <c r="I536" i="1" s="1"/>
  <c r="N536" i="1" s="1"/>
  <c r="O536" i="1" s="1"/>
  <c r="P536" i="1" s="1"/>
  <c r="L535" i="1"/>
  <c r="H535" i="1"/>
  <c r="I535" i="1" s="1"/>
  <c r="E535" i="1"/>
  <c r="L534" i="1"/>
  <c r="E534" i="1"/>
  <c r="H534" i="1" s="1"/>
  <c r="I534" i="1" s="1"/>
  <c r="N534" i="1" s="1"/>
  <c r="O534" i="1" s="1"/>
  <c r="P534" i="1" s="1"/>
  <c r="L533" i="1"/>
  <c r="H533" i="1"/>
  <c r="I533" i="1" s="1"/>
  <c r="N533" i="1" s="1"/>
  <c r="O533" i="1" s="1"/>
  <c r="P533" i="1" s="1"/>
  <c r="E533" i="1"/>
  <c r="N532" i="1"/>
  <c r="O532" i="1" s="1"/>
  <c r="P532" i="1" s="1"/>
  <c r="L532" i="1"/>
  <c r="I532" i="1"/>
  <c r="E532" i="1"/>
  <c r="H532" i="1" s="1"/>
  <c r="L531" i="1"/>
  <c r="H531" i="1"/>
  <c r="I531" i="1" s="1"/>
  <c r="N531" i="1" s="1"/>
  <c r="O531" i="1" s="1"/>
  <c r="P531" i="1" s="1"/>
  <c r="E531" i="1"/>
  <c r="P530" i="1"/>
  <c r="L530" i="1"/>
  <c r="I530" i="1"/>
  <c r="N530" i="1" s="1"/>
  <c r="O530" i="1" s="1"/>
  <c r="H530" i="1"/>
  <c r="E530" i="1"/>
  <c r="L529" i="1"/>
  <c r="H529" i="1"/>
  <c r="I529" i="1" s="1"/>
  <c r="N529" i="1" s="1"/>
  <c r="O529" i="1" s="1"/>
  <c r="P529" i="1" s="1"/>
  <c r="E529" i="1"/>
  <c r="N528" i="1"/>
  <c r="O528" i="1" s="1"/>
  <c r="P528" i="1" s="1"/>
  <c r="L528" i="1"/>
  <c r="E528" i="1"/>
  <c r="H528" i="1" s="1"/>
  <c r="I528" i="1" s="1"/>
  <c r="L527" i="1"/>
  <c r="H527" i="1"/>
  <c r="I527" i="1" s="1"/>
  <c r="E527" i="1"/>
  <c r="L526" i="1"/>
  <c r="E526" i="1"/>
  <c r="H526" i="1" s="1"/>
  <c r="I526" i="1" s="1"/>
  <c r="N526" i="1" s="1"/>
  <c r="O526" i="1" s="1"/>
  <c r="P526" i="1" s="1"/>
  <c r="L525" i="1"/>
  <c r="H525" i="1"/>
  <c r="I525" i="1" s="1"/>
  <c r="N525" i="1" s="1"/>
  <c r="O525" i="1" s="1"/>
  <c r="P525" i="1" s="1"/>
  <c r="E525" i="1"/>
  <c r="L524" i="1"/>
  <c r="I524" i="1"/>
  <c r="N524" i="1" s="1"/>
  <c r="O524" i="1" s="1"/>
  <c r="P524" i="1" s="1"/>
  <c r="E524" i="1"/>
  <c r="H524" i="1" s="1"/>
  <c r="L523" i="1"/>
  <c r="I523" i="1"/>
  <c r="N523" i="1" s="1"/>
  <c r="O523" i="1" s="1"/>
  <c r="P523" i="1" s="1"/>
  <c r="H523" i="1"/>
  <c r="E523" i="1"/>
  <c r="L522" i="1"/>
  <c r="I522" i="1"/>
  <c r="N522" i="1" s="1"/>
  <c r="O522" i="1" s="1"/>
  <c r="P522" i="1" s="1"/>
  <c r="H522" i="1"/>
  <c r="E522" i="1"/>
  <c r="L521" i="1"/>
  <c r="E521" i="1"/>
  <c r="H521" i="1" s="1"/>
  <c r="I521" i="1" s="1"/>
  <c r="N521" i="1" s="1"/>
  <c r="O521" i="1" s="1"/>
  <c r="P521" i="1" s="1"/>
  <c r="N520" i="1"/>
  <c r="O520" i="1" s="1"/>
  <c r="P520" i="1" s="1"/>
  <c r="L520" i="1"/>
  <c r="E520" i="1"/>
  <c r="H520" i="1" s="1"/>
  <c r="I520" i="1" s="1"/>
  <c r="L519" i="1"/>
  <c r="H519" i="1"/>
  <c r="I519" i="1" s="1"/>
  <c r="N519" i="1" s="1"/>
  <c r="O519" i="1" s="1"/>
  <c r="P519" i="1" s="1"/>
  <c r="E519" i="1"/>
  <c r="L518" i="1"/>
  <c r="I518" i="1"/>
  <c r="N518" i="1" s="1"/>
  <c r="O518" i="1" s="1"/>
  <c r="P518" i="1" s="1"/>
  <c r="E518" i="1"/>
  <c r="H518" i="1" s="1"/>
  <c r="L517" i="1"/>
  <c r="N517" i="1" s="1"/>
  <c r="O517" i="1" s="1"/>
  <c r="P517" i="1" s="1"/>
  <c r="H517" i="1"/>
  <c r="I517" i="1" s="1"/>
  <c r="E517" i="1"/>
  <c r="L516" i="1"/>
  <c r="E516" i="1"/>
  <c r="H516" i="1" s="1"/>
  <c r="I516" i="1" s="1"/>
  <c r="N516" i="1" s="1"/>
  <c r="O516" i="1" s="1"/>
  <c r="P516" i="1" s="1"/>
  <c r="L515" i="1"/>
  <c r="I515" i="1"/>
  <c r="N515" i="1" s="1"/>
  <c r="O515" i="1" s="1"/>
  <c r="P515" i="1" s="1"/>
  <c r="H515" i="1"/>
  <c r="E515" i="1"/>
  <c r="L514" i="1"/>
  <c r="E514" i="1"/>
  <c r="H514" i="1" s="1"/>
  <c r="I514" i="1" s="1"/>
  <c r="N514" i="1" s="1"/>
  <c r="O514" i="1" s="1"/>
  <c r="P514" i="1" s="1"/>
  <c r="L513" i="1"/>
  <c r="E513" i="1"/>
  <c r="H513" i="1" s="1"/>
  <c r="I513" i="1" s="1"/>
  <c r="N513" i="1" s="1"/>
  <c r="O513" i="1" s="1"/>
  <c r="P513" i="1" s="1"/>
  <c r="L512" i="1"/>
  <c r="E512" i="1"/>
  <c r="H512" i="1" s="1"/>
  <c r="I512" i="1" s="1"/>
  <c r="N512" i="1" s="1"/>
  <c r="O512" i="1" s="1"/>
  <c r="P512" i="1" s="1"/>
  <c r="P511" i="1"/>
  <c r="O511" i="1"/>
  <c r="L511" i="1"/>
  <c r="H511" i="1"/>
  <c r="I511" i="1" s="1"/>
  <c r="N511" i="1" s="1"/>
  <c r="E511" i="1"/>
  <c r="N510" i="1"/>
  <c r="O510" i="1" s="1"/>
  <c r="P510" i="1" s="1"/>
  <c r="L510" i="1"/>
  <c r="I510" i="1"/>
  <c r="E510" i="1"/>
  <c r="H510" i="1" s="1"/>
  <c r="L509" i="1"/>
  <c r="H509" i="1"/>
  <c r="I509" i="1" s="1"/>
  <c r="N509" i="1" s="1"/>
  <c r="O509" i="1" s="1"/>
  <c r="P509" i="1" s="1"/>
  <c r="E509" i="1"/>
  <c r="L508" i="1"/>
  <c r="E508" i="1"/>
  <c r="H508" i="1" s="1"/>
  <c r="I508" i="1" s="1"/>
  <c r="N508" i="1" s="1"/>
  <c r="O508" i="1" s="1"/>
  <c r="P508" i="1" s="1"/>
  <c r="L507" i="1"/>
  <c r="H507" i="1"/>
  <c r="I507" i="1" s="1"/>
  <c r="N507" i="1" s="1"/>
  <c r="O507" i="1" s="1"/>
  <c r="P507" i="1" s="1"/>
  <c r="E507" i="1"/>
  <c r="L506" i="1"/>
  <c r="H506" i="1"/>
  <c r="I506" i="1" s="1"/>
  <c r="N506" i="1" s="1"/>
  <c r="O506" i="1" s="1"/>
  <c r="P506" i="1" s="1"/>
  <c r="E506" i="1"/>
  <c r="L505" i="1"/>
  <c r="E505" i="1"/>
  <c r="H505" i="1" s="1"/>
  <c r="I505" i="1" s="1"/>
  <c r="N505" i="1" s="1"/>
  <c r="O505" i="1" s="1"/>
  <c r="P505" i="1" s="1"/>
  <c r="L504" i="1"/>
  <c r="E504" i="1"/>
  <c r="H504" i="1" s="1"/>
  <c r="I504" i="1" s="1"/>
  <c r="N504" i="1" s="1"/>
  <c r="O504" i="1" s="1"/>
  <c r="P504" i="1" s="1"/>
  <c r="L503" i="1"/>
  <c r="H503" i="1"/>
  <c r="I503" i="1" s="1"/>
  <c r="N503" i="1" s="1"/>
  <c r="O503" i="1" s="1"/>
  <c r="P503" i="1" s="1"/>
  <c r="E503" i="1"/>
  <c r="L502" i="1"/>
  <c r="E502" i="1"/>
  <c r="H502" i="1" s="1"/>
  <c r="I502" i="1" s="1"/>
  <c r="N502" i="1" s="1"/>
  <c r="O502" i="1" s="1"/>
  <c r="P502" i="1" s="1"/>
  <c r="O501" i="1"/>
  <c r="P501" i="1" s="1"/>
  <c r="N501" i="1"/>
  <c r="L501" i="1"/>
  <c r="H501" i="1"/>
  <c r="I501" i="1" s="1"/>
  <c r="E501" i="1"/>
  <c r="L500" i="1"/>
  <c r="E500" i="1"/>
  <c r="H500" i="1" s="1"/>
  <c r="I500" i="1" s="1"/>
  <c r="N500" i="1" s="1"/>
  <c r="O500" i="1" s="1"/>
  <c r="P500" i="1" s="1"/>
  <c r="L499" i="1"/>
  <c r="H499" i="1"/>
  <c r="I499" i="1" s="1"/>
  <c r="N499" i="1" s="1"/>
  <c r="O499" i="1" s="1"/>
  <c r="P499" i="1" s="1"/>
  <c r="E499" i="1"/>
  <c r="L498" i="1"/>
  <c r="H498" i="1"/>
  <c r="I498" i="1" s="1"/>
  <c r="N498" i="1" s="1"/>
  <c r="O498" i="1" s="1"/>
  <c r="P498" i="1" s="1"/>
  <c r="E498" i="1"/>
  <c r="L497" i="1"/>
  <c r="H497" i="1"/>
  <c r="I497" i="1" s="1"/>
  <c r="N497" i="1" s="1"/>
  <c r="O497" i="1" s="1"/>
  <c r="P497" i="1" s="1"/>
  <c r="E497" i="1"/>
  <c r="N496" i="1"/>
  <c r="O496" i="1" s="1"/>
  <c r="P496" i="1" s="1"/>
  <c r="L496" i="1"/>
  <c r="E496" i="1"/>
  <c r="H496" i="1" s="1"/>
  <c r="I496" i="1" s="1"/>
  <c r="L495" i="1"/>
  <c r="H495" i="1"/>
  <c r="I495" i="1" s="1"/>
  <c r="E495" i="1"/>
  <c r="O494" i="1"/>
  <c r="P494" i="1" s="1"/>
  <c r="N494" i="1"/>
  <c r="L494" i="1"/>
  <c r="I494" i="1"/>
  <c r="E494" i="1"/>
  <c r="H494" i="1" s="1"/>
  <c r="L493" i="1"/>
  <c r="H493" i="1"/>
  <c r="I493" i="1" s="1"/>
  <c r="N493" i="1" s="1"/>
  <c r="O493" i="1" s="1"/>
  <c r="P493" i="1" s="1"/>
  <c r="E493" i="1"/>
  <c r="L492" i="1"/>
  <c r="I492" i="1"/>
  <c r="N492" i="1" s="1"/>
  <c r="O492" i="1" s="1"/>
  <c r="P492" i="1" s="1"/>
  <c r="E492" i="1"/>
  <c r="H492" i="1" s="1"/>
  <c r="L491" i="1"/>
  <c r="H491" i="1"/>
  <c r="I491" i="1" s="1"/>
  <c r="N491" i="1" s="1"/>
  <c r="O491" i="1" s="1"/>
  <c r="P491" i="1" s="1"/>
  <c r="E491" i="1"/>
  <c r="L490" i="1"/>
  <c r="E490" i="1"/>
  <c r="H490" i="1" s="1"/>
  <c r="I490" i="1" s="1"/>
  <c r="N490" i="1" s="1"/>
  <c r="O490" i="1" s="1"/>
  <c r="P490" i="1" s="1"/>
  <c r="O489" i="1"/>
  <c r="P489" i="1" s="1"/>
  <c r="L489" i="1"/>
  <c r="H489" i="1"/>
  <c r="I489" i="1" s="1"/>
  <c r="N489" i="1" s="1"/>
  <c r="E489" i="1"/>
  <c r="L488" i="1"/>
  <c r="E488" i="1"/>
  <c r="H488" i="1" s="1"/>
  <c r="I488" i="1" s="1"/>
  <c r="N488" i="1" s="1"/>
  <c r="O488" i="1" s="1"/>
  <c r="P488" i="1" s="1"/>
  <c r="L487" i="1"/>
  <c r="H487" i="1"/>
  <c r="I487" i="1" s="1"/>
  <c r="E487" i="1"/>
  <c r="L486" i="1"/>
  <c r="I486" i="1"/>
  <c r="N486" i="1" s="1"/>
  <c r="O486" i="1" s="1"/>
  <c r="P486" i="1" s="1"/>
  <c r="E486" i="1"/>
  <c r="H486" i="1" s="1"/>
  <c r="N485" i="1"/>
  <c r="O485" i="1" s="1"/>
  <c r="P485" i="1" s="1"/>
  <c r="L485" i="1"/>
  <c r="H485" i="1"/>
  <c r="I485" i="1" s="1"/>
  <c r="E485" i="1"/>
  <c r="L484" i="1"/>
  <c r="N484" i="1" s="1"/>
  <c r="O484" i="1" s="1"/>
  <c r="P484" i="1" s="1"/>
  <c r="I484" i="1"/>
  <c r="E484" i="1"/>
  <c r="H484" i="1" s="1"/>
  <c r="L483" i="1"/>
  <c r="I483" i="1"/>
  <c r="H483" i="1"/>
  <c r="E483" i="1"/>
  <c r="L482" i="1"/>
  <c r="E482" i="1"/>
  <c r="H482" i="1" s="1"/>
  <c r="I482" i="1" s="1"/>
  <c r="N482" i="1" s="1"/>
  <c r="O482" i="1" s="1"/>
  <c r="P482" i="1" s="1"/>
  <c r="L481" i="1"/>
  <c r="E481" i="1"/>
  <c r="H481" i="1" s="1"/>
  <c r="I481" i="1" s="1"/>
  <c r="N481" i="1" s="1"/>
  <c r="O481" i="1" s="1"/>
  <c r="P481" i="1" s="1"/>
  <c r="P480" i="1"/>
  <c r="N480" i="1"/>
  <c r="O480" i="1" s="1"/>
  <c r="L480" i="1"/>
  <c r="E480" i="1"/>
  <c r="H480" i="1" s="1"/>
  <c r="I480" i="1" s="1"/>
  <c r="L479" i="1"/>
  <c r="H479" i="1"/>
  <c r="I479" i="1" s="1"/>
  <c r="N479" i="1" s="1"/>
  <c r="O479" i="1" s="1"/>
  <c r="P479" i="1" s="1"/>
  <c r="E479" i="1"/>
  <c r="L478" i="1"/>
  <c r="E478" i="1"/>
  <c r="H478" i="1" s="1"/>
  <c r="I478" i="1" s="1"/>
  <c r="N478" i="1" s="1"/>
  <c r="O478" i="1" s="1"/>
  <c r="P478" i="1" s="1"/>
  <c r="N477" i="1"/>
  <c r="O477" i="1" s="1"/>
  <c r="P477" i="1" s="1"/>
  <c r="L477" i="1"/>
  <c r="H477" i="1"/>
  <c r="I477" i="1" s="1"/>
  <c r="E477" i="1"/>
  <c r="L476" i="1"/>
  <c r="E476" i="1"/>
  <c r="H476" i="1" s="1"/>
  <c r="I476" i="1" s="1"/>
  <c r="N476" i="1" s="1"/>
  <c r="O476" i="1" s="1"/>
  <c r="P476" i="1" s="1"/>
  <c r="O475" i="1"/>
  <c r="P475" i="1" s="1"/>
  <c r="L475" i="1"/>
  <c r="I475" i="1"/>
  <c r="N475" i="1" s="1"/>
  <c r="H475" i="1"/>
  <c r="E475" i="1"/>
  <c r="L474" i="1"/>
  <c r="E474" i="1"/>
  <c r="H474" i="1" s="1"/>
  <c r="I474" i="1" s="1"/>
  <c r="N474" i="1" s="1"/>
  <c r="O474" i="1" s="1"/>
  <c r="P474" i="1" s="1"/>
  <c r="L473" i="1"/>
  <c r="E473" i="1"/>
  <c r="H473" i="1" s="1"/>
  <c r="I473" i="1" s="1"/>
  <c r="N473" i="1" s="1"/>
  <c r="O473" i="1" s="1"/>
  <c r="P473" i="1" s="1"/>
  <c r="P472" i="1"/>
  <c r="N472" i="1"/>
  <c r="O472" i="1" s="1"/>
  <c r="L472" i="1"/>
  <c r="I472" i="1"/>
  <c r="E472" i="1"/>
  <c r="H472" i="1" s="1"/>
  <c r="L471" i="1"/>
  <c r="H471" i="1"/>
  <c r="I471" i="1" s="1"/>
  <c r="N471" i="1" s="1"/>
  <c r="O471" i="1" s="1"/>
  <c r="P471" i="1" s="1"/>
  <c r="E471" i="1"/>
  <c r="L470" i="1"/>
  <c r="E470" i="1"/>
  <c r="H470" i="1" s="1"/>
  <c r="I470" i="1" s="1"/>
  <c r="N470" i="1" s="1"/>
  <c r="O470" i="1" s="1"/>
  <c r="P470" i="1" s="1"/>
  <c r="O469" i="1"/>
  <c r="P469" i="1" s="1"/>
  <c r="N469" i="1"/>
  <c r="L469" i="1"/>
  <c r="H469" i="1"/>
  <c r="I469" i="1" s="1"/>
  <c r="E469" i="1"/>
  <c r="L468" i="1"/>
  <c r="I468" i="1"/>
  <c r="N468" i="1" s="1"/>
  <c r="O468" i="1" s="1"/>
  <c r="P468" i="1" s="1"/>
  <c r="E468" i="1"/>
  <c r="H468" i="1" s="1"/>
  <c r="L467" i="1"/>
  <c r="I467" i="1"/>
  <c r="H467" i="1"/>
  <c r="E467" i="1"/>
  <c r="L466" i="1"/>
  <c r="H466" i="1"/>
  <c r="I466" i="1" s="1"/>
  <c r="N466" i="1" s="1"/>
  <c r="O466" i="1" s="1"/>
  <c r="P466" i="1" s="1"/>
  <c r="E466" i="1"/>
  <c r="L465" i="1"/>
  <c r="E465" i="1"/>
  <c r="H465" i="1" s="1"/>
  <c r="I465" i="1" s="1"/>
  <c r="N465" i="1" s="1"/>
  <c r="O465" i="1" s="1"/>
  <c r="P465" i="1" s="1"/>
  <c r="L464" i="1"/>
  <c r="I464" i="1"/>
  <c r="N464" i="1" s="1"/>
  <c r="O464" i="1" s="1"/>
  <c r="P464" i="1" s="1"/>
  <c r="E464" i="1"/>
  <c r="H464" i="1" s="1"/>
  <c r="L463" i="1"/>
  <c r="H463" i="1"/>
  <c r="I463" i="1" s="1"/>
  <c r="E463" i="1"/>
  <c r="L462" i="1"/>
  <c r="E462" i="1"/>
  <c r="H462" i="1" s="1"/>
  <c r="I462" i="1" s="1"/>
  <c r="N462" i="1" s="1"/>
  <c r="O462" i="1" s="1"/>
  <c r="P462" i="1" s="1"/>
  <c r="L461" i="1"/>
  <c r="H461" i="1"/>
  <c r="I461" i="1" s="1"/>
  <c r="N461" i="1" s="1"/>
  <c r="O461" i="1" s="1"/>
  <c r="P461" i="1" s="1"/>
  <c r="E461" i="1"/>
  <c r="L460" i="1"/>
  <c r="N460" i="1" s="1"/>
  <c r="O460" i="1" s="1"/>
  <c r="P460" i="1" s="1"/>
  <c r="I460" i="1"/>
  <c r="E460" i="1"/>
  <c r="H460" i="1" s="1"/>
  <c r="L459" i="1"/>
  <c r="H459" i="1"/>
  <c r="I459" i="1" s="1"/>
  <c r="N459" i="1" s="1"/>
  <c r="O459" i="1" s="1"/>
  <c r="P459" i="1" s="1"/>
  <c r="E459" i="1"/>
  <c r="P458" i="1"/>
  <c r="N458" i="1"/>
  <c r="O458" i="1" s="1"/>
  <c r="L458" i="1"/>
  <c r="I458" i="1"/>
  <c r="H458" i="1"/>
  <c r="E458" i="1"/>
  <c r="L457" i="1"/>
  <c r="H457" i="1"/>
  <c r="I457" i="1" s="1"/>
  <c r="N457" i="1" s="1"/>
  <c r="O457" i="1" s="1"/>
  <c r="P457" i="1" s="1"/>
  <c r="E457" i="1"/>
  <c r="L456" i="1"/>
  <c r="E456" i="1"/>
  <c r="H456" i="1" s="1"/>
  <c r="I456" i="1" s="1"/>
  <c r="N456" i="1" s="1"/>
  <c r="O456" i="1" s="1"/>
  <c r="P456" i="1" s="1"/>
  <c r="L455" i="1"/>
  <c r="H455" i="1"/>
  <c r="I455" i="1" s="1"/>
  <c r="E455" i="1"/>
  <c r="L454" i="1"/>
  <c r="I454" i="1"/>
  <c r="N454" i="1" s="1"/>
  <c r="O454" i="1" s="1"/>
  <c r="P454" i="1" s="1"/>
  <c r="E454" i="1"/>
  <c r="H454" i="1" s="1"/>
  <c r="N453" i="1"/>
  <c r="O453" i="1" s="1"/>
  <c r="P453" i="1" s="1"/>
  <c r="L453" i="1"/>
  <c r="H453" i="1"/>
  <c r="I453" i="1" s="1"/>
  <c r="E453" i="1"/>
  <c r="L452" i="1"/>
  <c r="E452" i="1"/>
  <c r="H452" i="1" s="1"/>
  <c r="I452" i="1" s="1"/>
  <c r="N452" i="1" s="1"/>
  <c r="O452" i="1" s="1"/>
  <c r="P452" i="1" s="1"/>
  <c r="L451" i="1"/>
  <c r="H451" i="1"/>
  <c r="I451" i="1" s="1"/>
  <c r="N451" i="1" s="1"/>
  <c r="O451" i="1" s="1"/>
  <c r="P451" i="1" s="1"/>
  <c r="E451" i="1"/>
  <c r="L450" i="1"/>
  <c r="E450" i="1"/>
  <c r="H450" i="1" s="1"/>
  <c r="I450" i="1" s="1"/>
  <c r="N450" i="1" s="1"/>
  <c r="O450" i="1" s="1"/>
  <c r="P450" i="1" s="1"/>
  <c r="L449" i="1"/>
  <c r="H449" i="1"/>
  <c r="I449" i="1" s="1"/>
  <c r="E449" i="1"/>
  <c r="L448" i="1"/>
  <c r="E448" i="1"/>
  <c r="H448" i="1" s="1"/>
  <c r="I448" i="1" s="1"/>
  <c r="N448" i="1" s="1"/>
  <c r="O448" i="1" s="1"/>
  <c r="P448" i="1" s="1"/>
  <c r="P447" i="1"/>
  <c r="O447" i="1"/>
  <c r="L447" i="1"/>
  <c r="H447" i="1"/>
  <c r="I447" i="1" s="1"/>
  <c r="N447" i="1" s="1"/>
  <c r="E447" i="1"/>
  <c r="N446" i="1"/>
  <c r="O446" i="1" s="1"/>
  <c r="P446" i="1" s="1"/>
  <c r="L446" i="1"/>
  <c r="I446" i="1"/>
  <c r="E446" i="1"/>
  <c r="H446" i="1" s="1"/>
  <c r="L445" i="1"/>
  <c r="H445" i="1"/>
  <c r="I445" i="1" s="1"/>
  <c r="N445" i="1" s="1"/>
  <c r="O445" i="1" s="1"/>
  <c r="P445" i="1" s="1"/>
  <c r="E445" i="1"/>
  <c r="P444" i="1"/>
  <c r="N444" i="1"/>
  <c r="O444" i="1" s="1"/>
  <c r="L444" i="1"/>
  <c r="I444" i="1"/>
  <c r="E444" i="1"/>
  <c r="H444" i="1" s="1"/>
  <c r="L443" i="1"/>
  <c r="H443" i="1"/>
  <c r="I443" i="1" s="1"/>
  <c r="N443" i="1" s="1"/>
  <c r="O443" i="1" s="1"/>
  <c r="P443" i="1" s="1"/>
  <c r="E443" i="1"/>
  <c r="L442" i="1"/>
  <c r="E442" i="1"/>
  <c r="H442" i="1" s="1"/>
  <c r="I442" i="1" s="1"/>
  <c r="N442" i="1" s="1"/>
  <c r="O442" i="1" s="1"/>
  <c r="P442" i="1" s="1"/>
  <c r="L441" i="1"/>
  <c r="H441" i="1"/>
  <c r="I441" i="1" s="1"/>
  <c r="N441" i="1" s="1"/>
  <c r="O441" i="1" s="1"/>
  <c r="P441" i="1" s="1"/>
  <c r="E441" i="1"/>
  <c r="L440" i="1"/>
  <c r="I440" i="1"/>
  <c r="N440" i="1" s="1"/>
  <c r="O440" i="1" s="1"/>
  <c r="P440" i="1" s="1"/>
  <c r="H440" i="1"/>
  <c r="E440" i="1"/>
  <c r="L439" i="1"/>
  <c r="E439" i="1"/>
  <c r="H439" i="1" s="1"/>
  <c r="I439" i="1" s="1"/>
  <c r="N439" i="1" s="1"/>
  <c r="O439" i="1" s="1"/>
  <c r="P439" i="1" s="1"/>
  <c r="L438" i="1"/>
  <c r="I438" i="1"/>
  <c r="N438" i="1" s="1"/>
  <c r="O438" i="1" s="1"/>
  <c r="P438" i="1" s="1"/>
  <c r="E438" i="1"/>
  <c r="H438" i="1" s="1"/>
  <c r="N437" i="1"/>
  <c r="O437" i="1" s="1"/>
  <c r="P437" i="1" s="1"/>
  <c r="L437" i="1"/>
  <c r="H437" i="1"/>
  <c r="I437" i="1" s="1"/>
  <c r="E437" i="1"/>
  <c r="L436" i="1"/>
  <c r="I436" i="1"/>
  <c r="N436" i="1" s="1"/>
  <c r="O436" i="1" s="1"/>
  <c r="P436" i="1" s="1"/>
  <c r="E436" i="1"/>
  <c r="H436" i="1" s="1"/>
  <c r="L435" i="1"/>
  <c r="E435" i="1"/>
  <c r="H435" i="1" s="1"/>
  <c r="I435" i="1" s="1"/>
  <c r="N435" i="1" s="1"/>
  <c r="O435" i="1" s="1"/>
  <c r="P435" i="1" s="1"/>
  <c r="P434" i="1"/>
  <c r="N434" i="1"/>
  <c r="O434" i="1" s="1"/>
  <c r="L434" i="1"/>
  <c r="I434" i="1"/>
  <c r="H434" i="1"/>
  <c r="E434" i="1"/>
  <c r="L433" i="1"/>
  <c r="E433" i="1"/>
  <c r="H433" i="1" s="1"/>
  <c r="I433" i="1" s="1"/>
  <c r="N433" i="1" s="1"/>
  <c r="O433" i="1" s="1"/>
  <c r="P433" i="1" s="1"/>
  <c r="L432" i="1"/>
  <c r="I432" i="1"/>
  <c r="N432" i="1" s="1"/>
  <c r="O432" i="1" s="1"/>
  <c r="P432" i="1" s="1"/>
  <c r="H432" i="1"/>
  <c r="E432" i="1"/>
  <c r="L431" i="1"/>
  <c r="E431" i="1"/>
  <c r="H431" i="1" s="1"/>
  <c r="I431" i="1" s="1"/>
  <c r="N431" i="1" s="1"/>
  <c r="O431" i="1" s="1"/>
  <c r="P431" i="1" s="1"/>
  <c r="L430" i="1"/>
  <c r="E430" i="1"/>
  <c r="H430" i="1" s="1"/>
  <c r="I430" i="1" s="1"/>
  <c r="N430" i="1" s="1"/>
  <c r="O430" i="1" s="1"/>
  <c r="P430" i="1" s="1"/>
  <c r="O429" i="1"/>
  <c r="P429" i="1" s="1"/>
  <c r="N429" i="1"/>
  <c r="L429" i="1"/>
  <c r="I429" i="1"/>
  <c r="H429" i="1"/>
  <c r="E429" i="1"/>
  <c r="L428" i="1"/>
  <c r="H428" i="1"/>
  <c r="I428" i="1" s="1"/>
  <c r="N428" i="1" s="1"/>
  <c r="O428" i="1" s="1"/>
  <c r="P428" i="1" s="1"/>
  <c r="E428" i="1"/>
  <c r="L427" i="1"/>
  <c r="I427" i="1"/>
  <c r="N427" i="1" s="1"/>
  <c r="O427" i="1" s="1"/>
  <c r="P427" i="1" s="1"/>
  <c r="H427" i="1"/>
  <c r="E427" i="1"/>
  <c r="L426" i="1"/>
  <c r="E426" i="1"/>
  <c r="H426" i="1" s="1"/>
  <c r="I426" i="1" s="1"/>
  <c r="N426" i="1" s="1"/>
  <c r="O426" i="1" s="1"/>
  <c r="P426" i="1" s="1"/>
  <c r="L425" i="1"/>
  <c r="E425" i="1"/>
  <c r="H425" i="1" s="1"/>
  <c r="I425" i="1" s="1"/>
  <c r="N425" i="1" s="1"/>
  <c r="O425" i="1" s="1"/>
  <c r="P425" i="1" s="1"/>
  <c r="L424" i="1"/>
  <c r="E424" i="1"/>
  <c r="H424" i="1" s="1"/>
  <c r="I424" i="1" s="1"/>
  <c r="N424" i="1" s="1"/>
  <c r="O424" i="1" s="1"/>
  <c r="P424" i="1" s="1"/>
  <c r="O423" i="1"/>
  <c r="P423" i="1" s="1"/>
  <c r="N423" i="1"/>
  <c r="L423" i="1"/>
  <c r="I423" i="1"/>
  <c r="H423" i="1"/>
  <c r="E423" i="1"/>
  <c r="L422" i="1"/>
  <c r="H422" i="1"/>
  <c r="I422" i="1" s="1"/>
  <c r="N422" i="1" s="1"/>
  <c r="O422" i="1" s="1"/>
  <c r="P422" i="1" s="1"/>
  <c r="E422" i="1"/>
  <c r="L421" i="1"/>
  <c r="E421" i="1"/>
  <c r="H421" i="1" s="1"/>
  <c r="I421" i="1" s="1"/>
  <c r="N421" i="1" s="1"/>
  <c r="O421" i="1" s="1"/>
  <c r="P421" i="1" s="1"/>
  <c r="L420" i="1"/>
  <c r="I420" i="1"/>
  <c r="N420" i="1" s="1"/>
  <c r="O420" i="1" s="1"/>
  <c r="P420" i="1" s="1"/>
  <c r="H420" i="1"/>
  <c r="E420" i="1"/>
  <c r="L419" i="1"/>
  <c r="H419" i="1"/>
  <c r="I419" i="1" s="1"/>
  <c r="N419" i="1" s="1"/>
  <c r="O419" i="1" s="1"/>
  <c r="P419" i="1" s="1"/>
  <c r="E419" i="1"/>
  <c r="L418" i="1"/>
  <c r="E418" i="1"/>
  <c r="H418" i="1" s="1"/>
  <c r="I418" i="1" s="1"/>
  <c r="N418" i="1" s="1"/>
  <c r="O418" i="1" s="1"/>
  <c r="P418" i="1" s="1"/>
  <c r="L417" i="1"/>
  <c r="E417" i="1"/>
  <c r="H417" i="1" s="1"/>
  <c r="I417" i="1" s="1"/>
  <c r="N417" i="1" s="1"/>
  <c r="O417" i="1" s="1"/>
  <c r="P417" i="1" s="1"/>
  <c r="L416" i="1"/>
  <c r="E416" i="1"/>
  <c r="H416" i="1" s="1"/>
  <c r="I416" i="1" s="1"/>
  <c r="N416" i="1" s="1"/>
  <c r="O416" i="1" s="1"/>
  <c r="P416" i="1" s="1"/>
  <c r="O415" i="1"/>
  <c r="P415" i="1" s="1"/>
  <c r="N415" i="1"/>
  <c r="L415" i="1"/>
  <c r="I415" i="1"/>
  <c r="H415" i="1"/>
  <c r="E415" i="1"/>
  <c r="L414" i="1"/>
  <c r="H414" i="1"/>
  <c r="I414" i="1" s="1"/>
  <c r="N414" i="1" s="1"/>
  <c r="O414" i="1" s="1"/>
  <c r="P414" i="1" s="1"/>
  <c r="E414" i="1"/>
  <c r="L413" i="1"/>
  <c r="E413" i="1"/>
  <c r="H413" i="1" s="1"/>
  <c r="I413" i="1" s="1"/>
  <c r="N413" i="1" s="1"/>
  <c r="O413" i="1" s="1"/>
  <c r="P413" i="1" s="1"/>
  <c r="L412" i="1"/>
  <c r="I412" i="1"/>
  <c r="N412" i="1" s="1"/>
  <c r="O412" i="1" s="1"/>
  <c r="P412" i="1" s="1"/>
  <c r="H412" i="1"/>
  <c r="E412" i="1"/>
  <c r="L411" i="1"/>
  <c r="H411" i="1"/>
  <c r="I411" i="1" s="1"/>
  <c r="N411" i="1" s="1"/>
  <c r="O411" i="1" s="1"/>
  <c r="P411" i="1" s="1"/>
  <c r="E411" i="1"/>
  <c r="L410" i="1"/>
  <c r="E410" i="1"/>
  <c r="H410" i="1" s="1"/>
  <c r="I410" i="1" s="1"/>
  <c r="N410" i="1" s="1"/>
  <c r="O410" i="1" s="1"/>
  <c r="P410" i="1" s="1"/>
  <c r="L409" i="1"/>
  <c r="E409" i="1"/>
  <c r="H409" i="1" s="1"/>
  <c r="I409" i="1" s="1"/>
  <c r="N409" i="1" s="1"/>
  <c r="O409" i="1" s="1"/>
  <c r="P409" i="1" s="1"/>
  <c r="L408" i="1"/>
  <c r="E408" i="1"/>
  <c r="H408" i="1" s="1"/>
  <c r="I408" i="1" s="1"/>
  <c r="N408" i="1" s="1"/>
  <c r="O408" i="1" s="1"/>
  <c r="P408" i="1" s="1"/>
  <c r="O407" i="1"/>
  <c r="P407" i="1" s="1"/>
  <c r="N407" i="1"/>
  <c r="L407" i="1"/>
  <c r="I407" i="1"/>
  <c r="H407" i="1"/>
  <c r="E407" i="1"/>
  <c r="L406" i="1"/>
  <c r="H406" i="1"/>
  <c r="I406" i="1" s="1"/>
  <c r="N406" i="1" s="1"/>
  <c r="O406" i="1" s="1"/>
  <c r="P406" i="1" s="1"/>
  <c r="E406" i="1"/>
  <c r="L405" i="1"/>
  <c r="E405" i="1"/>
  <c r="H405" i="1" s="1"/>
  <c r="I405" i="1" s="1"/>
  <c r="N405" i="1" s="1"/>
  <c r="O405" i="1" s="1"/>
  <c r="P405" i="1" s="1"/>
  <c r="L404" i="1"/>
  <c r="I404" i="1"/>
  <c r="N404" i="1" s="1"/>
  <c r="O404" i="1" s="1"/>
  <c r="P404" i="1" s="1"/>
  <c r="H404" i="1"/>
  <c r="E404" i="1"/>
  <c r="L403" i="1"/>
  <c r="H403" i="1"/>
  <c r="I403" i="1" s="1"/>
  <c r="N403" i="1" s="1"/>
  <c r="O403" i="1" s="1"/>
  <c r="P403" i="1" s="1"/>
  <c r="E403" i="1"/>
  <c r="L402" i="1"/>
  <c r="E402" i="1"/>
  <c r="H402" i="1" s="1"/>
  <c r="I402" i="1" s="1"/>
  <c r="N402" i="1" s="1"/>
  <c r="O402" i="1" s="1"/>
  <c r="P402" i="1" s="1"/>
  <c r="L401" i="1"/>
  <c r="E401" i="1"/>
  <c r="H401" i="1" s="1"/>
  <c r="I401" i="1" s="1"/>
  <c r="N401" i="1" s="1"/>
  <c r="O401" i="1" s="1"/>
  <c r="P401" i="1" s="1"/>
  <c r="L400" i="1"/>
  <c r="E400" i="1"/>
  <c r="H400" i="1" s="1"/>
  <c r="I400" i="1" s="1"/>
  <c r="N400" i="1" s="1"/>
  <c r="O400" i="1" s="1"/>
  <c r="P400" i="1" s="1"/>
  <c r="O399" i="1"/>
  <c r="P399" i="1" s="1"/>
  <c r="N399" i="1"/>
  <c r="L399" i="1"/>
  <c r="I399" i="1"/>
  <c r="H399" i="1"/>
  <c r="E399" i="1"/>
  <c r="L398" i="1"/>
  <c r="H398" i="1"/>
  <c r="I398" i="1" s="1"/>
  <c r="N398" i="1" s="1"/>
  <c r="O398" i="1" s="1"/>
  <c r="P398" i="1" s="1"/>
  <c r="E398" i="1"/>
  <c r="L397" i="1"/>
  <c r="E397" i="1"/>
  <c r="H397" i="1" s="1"/>
  <c r="I397" i="1" s="1"/>
  <c r="N397" i="1" s="1"/>
  <c r="O397" i="1" s="1"/>
  <c r="P397" i="1" s="1"/>
  <c r="L396" i="1"/>
  <c r="I396" i="1"/>
  <c r="N396" i="1" s="1"/>
  <c r="O396" i="1" s="1"/>
  <c r="P396" i="1" s="1"/>
  <c r="H396" i="1"/>
  <c r="E396" i="1"/>
  <c r="L395" i="1"/>
  <c r="H395" i="1"/>
  <c r="I395" i="1" s="1"/>
  <c r="N395" i="1" s="1"/>
  <c r="O395" i="1" s="1"/>
  <c r="P395" i="1" s="1"/>
  <c r="E395" i="1"/>
  <c r="L394" i="1"/>
  <c r="E394" i="1"/>
  <c r="H394" i="1" s="1"/>
  <c r="I394" i="1" s="1"/>
  <c r="N394" i="1" s="1"/>
  <c r="O394" i="1" s="1"/>
  <c r="P394" i="1" s="1"/>
  <c r="L393" i="1"/>
  <c r="E393" i="1"/>
  <c r="H393" i="1" s="1"/>
  <c r="I393" i="1" s="1"/>
  <c r="N393" i="1" s="1"/>
  <c r="O393" i="1" s="1"/>
  <c r="P393" i="1" s="1"/>
  <c r="L392" i="1"/>
  <c r="E392" i="1"/>
  <c r="H392" i="1" s="1"/>
  <c r="I392" i="1" s="1"/>
  <c r="N392" i="1" s="1"/>
  <c r="O392" i="1" s="1"/>
  <c r="P392" i="1" s="1"/>
  <c r="O391" i="1"/>
  <c r="P391" i="1" s="1"/>
  <c r="N391" i="1"/>
  <c r="L391" i="1"/>
  <c r="I391" i="1"/>
  <c r="H391" i="1"/>
  <c r="E391" i="1"/>
  <c r="L390" i="1"/>
  <c r="H390" i="1"/>
  <c r="I390" i="1" s="1"/>
  <c r="N390" i="1" s="1"/>
  <c r="O390" i="1" s="1"/>
  <c r="P390" i="1" s="1"/>
  <c r="E390" i="1"/>
  <c r="L389" i="1"/>
  <c r="E389" i="1"/>
  <c r="H389" i="1" s="1"/>
  <c r="I389" i="1" s="1"/>
  <c r="N389" i="1" s="1"/>
  <c r="O389" i="1" s="1"/>
  <c r="P389" i="1" s="1"/>
  <c r="L388" i="1"/>
  <c r="I388" i="1"/>
  <c r="N388" i="1" s="1"/>
  <c r="O388" i="1" s="1"/>
  <c r="P388" i="1" s="1"/>
  <c r="H388" i="1"/>
  <c r="E388" i="1"/>
  <c r="L387" i="1"/>
  <c r="H387" i="1"/>
  <c r="I387" i="1" s="1"/>
  <c r="N387" i="1" s="1"/>
  <c r="O387" i="1" s="1"/>
  <c r="P387" i="1" s="1"/>
  <c r="E387" i="1"/>
  <c r="L386" i="1"/>
  <c r="E386" i="1"/>
  <c r="H386" i="1" s="1"/>
  <c r="I386" i="1" s="1"/>
  <c r="N386" i="1" s="1"/>
  <c r="O386" i="1" s="1"/>
  <c r="P386" i="1" s="1"/>
  <c r="L385" i="1"/>
  <c r="E385" i="1"/>
  <c r="H385" i="1" s="1"/>
  <c r="I385" i="1" s="1"/>
  <c r="N385" i="1" s="1"/>
  <c r="O385" i="1" s="1"/>
  <c r="P385" i="1" s="1"/>
  <c r="L384" i="1"/>
  <c r="E384" i="1"/>
  <c r="H384" i="1" s="1"/>
  <c r="I384" i="1" s="1"/>
  <c r="N384" i="1" s="1"/>
  <c r="O384" i="1" s="1"/>
  <c r="P384" i="1" s="1"/>
  <c r="O383" i="1"/>
  <c r="P383" i="1" s="1"/>
  <c r="N383" i="1"/>
  <c r="L383" i="1"/>
  <c r="I383" i="1"/>
  <c r="H383" i="1"/>
  <c r="E383" i="1"/>
  <c r="L382" i="1"/>
  <c r="H382" i="1"/>
  <c r="I382" i="1" s="1"/>
  <c r="N382" i="1" s="1"/>
  <c r="O382" i="1" s="1"/>
  <c r="P382" i="1" s="1"/>
  <c r="E382" i="1"/>
  <c r="L381" i="1"/>
  <c r="E381" i="1"/>
  <c r="H381" i="1" s="1"/>
  <c r="I381" i="1" s="1"/>
  <c r="N381" i="1" s="1"/>
  <c r="O381" i="1" s="1"/>
  <c r="P381" i="1" s="1"/>
  <c r="L380" i="1"/>
  <c r="I380" i="1"/>
  <c r="N380" i="1" s="1"/>
  <c r="O380" i="1" s="1"/>
  <c r="P380" i="1" s="1"/>
  <c r="H380" i="1"/>
  <c r="E380" i="1"/>
  <c r="L379" i="1"/>
  <c r="H379" i="1"/>
  <c r="I379" i="1" s="1"/>
  <c r="N379" i="1" s="1"/>
  <c r="O379" i="1" s="1"/>
  <c r="P379" i="1" s="1"/>
  <c r="E379" i="1"/>
  <c r="L378" i="1"/>
  <c r="E378" i="1"/>
  <c r="H378" i="1" s="1"/>
  <c r="I378" i="1" s="1"/>
  <c r="N378" i="1" s="1"/>
  <c r="O378" i="1" s="1"/>
  <c r="P378" i="1" s="1"/>
  <c r="L377" i="1"/>
  <c r="E377" i="1"/>
  <c r="H377" i="1" s="1"/>
  <c r="I377" i="1" s="1"/>
  <c r="N377" i="1" s="1"/>
  <c r="O377" i="1" s="1"/>
  <c r="P377" i="1" s="1"/>
  <c r="L376" i="1"/>
  <c r="E376" i="1"/>
  <c r="H376" i="1" s="1"/>
  <c r="I376" i="1" s="1"/>
  <c r="N376" i="1" s="1"/>
  <c r="O376" i="1" s="1"/>
  <c r="P376" i="1" s="1"/>
  <c r="O375" i="1"/>
  <c r="P375" i="1" s="1"/>
  <c r="N375" i="1"/>
  <c r="L375" i="1"/>
  <c r="I375" i="1"/>
  <c r="H375" i="1"/>
  <c r="E375" i="1"/>
  <c r="L374" i="1"/>
  <c r="H374" i="1"/>
  <c r="I374" i="1" s="1"/>
  <c r="N374" i="1" s="1"/>
  <c r="O374" i="1" s="1"/>
  <c r="P374" i="1" s="1"/>
  <c r="E374" i="1"/>
  <c r="L373" i="1"/>
  <c r="E373" i="1"/>
  <c r="H373" i="1" s="1"/>
  <c r="I373" i="1" s="1"/>
  <c r="N373" i="1" s="1"/>
  <c r="O373" i="1" s="1"/>
  <c r="P373" i="1" s="1"/>
  <c r="L372" i="1"/>
  <c r="I372" i="1"/>
  <c r="N372" i="1" s="1"/>
  <c r="O372" i="1" s="1"/>
  <c r="P372" i="1" s="1"/>
  <c r="H372" i="1"/>
  <c r="E372" i="1"/>
  <c r="L371" i="1"/>
  <c r="H371" i="1"/>
  <c r="I371" i="1" s="1"/>
  <c r="N371" i="1" s="1"/>
  <c r="O371" i="1" s="1"/>
  <c r="P371" i="1" s="1"/>
  <c r="E371" i="1"/>
  <c r="L370" i="1"/>
  <c r="E370" i="1"/>
  <c r="H370" i="1" s="1"/>
  <c r="I370" i="1" s="1"/>
  <c r="N370" i="1" s="1"/>
  <c r="O370" i="1" s="1"/>
  <c r="P370" i="1" s="1"/>
  <c r="L369" i="1"/>
  <c r="E369" i="1"/>
  <c r="H369" i="1" s="1"/>
  <c r="I369" i="1" s="1"/>
  <c r="N369" i="1" s="1"/>
  <c r="O369" i="1" s="1"/>
  <c r="P369" i="1" s="1"/>
  <c r="L368" i="1"/>
  <c r="E368" i="1"/>
  <c r="H368" i="1" s="1"/>
  <c r="I368" i="1" s="1"/>
  <c r="N368" i="1" s="1"/>
  <c r="O368" i="1" s="1"/>
  <c r="P368" i="1" s="1"/>
  <c r="O367" i="1"/>
  <c r="P367" i="1" s="1"/>
  <c r="N367" i="1"/>
  <c r="L367" i="1"/>
  <c r="I367" i="1"/>
  <c r="H367" i="1"/>
  <c r="E367" i="1"/>
  <c r="L366" i="1"/>
  <c r="H366" i="1"/>
  <c r="I366" i="1" s="1"/>
  <c r="N366" i="1" s="1"/>
  <c r="O366" i="1" s="1"/>
  <c r="P366" i="1" s="1"/>
  <c r="E366" i="1"/>
  <c r="L365" i="1"/>
  <c r="E365" i="1"/>
  <c r="H365" i="1" s="1"/>
  <c r="I365" i="1" s="1"/>
  <c r="N365" i="1" s="1"/>
  <c r="O365" i="1" s="1"/>
  <c r="P365" i="1" s="1"/>
  <c r="L364" i="1"/>
  <c r="I364" i="1"/>
  <c r="N364" i="1" s="1"/>
  <c r="O364" i="1" s="1"/>
  <c r="P364" i="1" s="1"/>
  <c r="H364" i="1"/>
  <c r="E364" i="1"/>
  <c r="L363" i="1"/>
  <c r="H363" i="1"/>
  <c r="I363" i="1" s="1"/>
  <c r="N363" i="1" s="1"/>
  <c r="O363" i="1" s="1"/>
  <c r="P363" i="1" s="1"/>
  <c r="E363" i="1"/>
  <c r="L362" i="1"/>
  <c r="E362" i="1"/>
  <c r="H362" i="1" s="1"/>
  <c r="I362" i="1" s="1"/>
  <c r="N362" i="1" s="1"/>
  <c r="O362" i="1" s="1"/>
  <c r="P362" i="1" s="1"/>
  <c r="L361" i="1"/>
  <c r="E361" i="1"/>
  <c r="H361" i="1" s="1"/>
  <c r="I361" i="1" s="1"/>
  <c r="N361" i="1" s="1"/>
  <c r="O361" i="1" s="1"/>
  <c r="P361" i="1" s="1"/>
  <c r="L360" i="1"/>
  <c r="E360" i="1"/>
  <c r="H360" i="1" s="1"/>
  <c r="I360" i="1" s="1"/>
  <c r="N360" i="1" s="1"/>
  <c r="O360" i="1" s="1"/>
  <c r="P360" i="1" s="1"/>
  <c r="O359" i="1"/>
  <c r="P359" i="1" s="1"/>
  <c r="N359" i="1"/>
  <c r="L359" i="1"/>
  <c r="I359" i="1"/>
  <c r="H359" i="1"/>
  <c r="E359" i="1"/>
  <c r="L358" i="1"/>
  <c r="H358" i="1"/>
  <c r="I358" i="1" s="1"/>
  <c r="N358" i="1" s="1"/>
  <c r="O358" i="1" s="1"/>
  <c r="P358" i="1" s="1"/>
  <c r="E358" i="1"/>
  <c r="L357" i="1"/>
  <c r="E357" i="1"/>
  <c r="H357" i="1" s="1"/>
  <c r="I357" i="1" s="1"/>
  <c r="N357" i="1" s="1"/>
  <c r="O357" i="1" s="1"/>
  <c r="P357" i="1" s="1"/>
  <c r="L356" i="1"/>
  <c r="I356" i="1"/>
  <c r="N356" i="1" s="1"/>
  <c r="O356" i="1" s="1"/>
  <c r="P356" i="1" s="1"/>
  <c r="H356" i="1"/>
  <c r="E356" i="1"/>
  <c r="L355" i="1"/>
  <c r="H355" i="1"/>
  <c r="I355" i="1" s="1"/>
  <c r="N355" i="1" s="1"/>
  <c r="O355" i="1" s="1"/>
  <c r="P355" i="1" s="1"/>
  <c r="E355" i="1"/>
  <c r="L354" i="1"/>
  <c r="E354" i="1"/>
  <c r="H354" i="1" s="1"/>
  <c r="I354" i="1" s="1"/>
  <c r="N354" i="1" s="1"/>
  <c r="O354" i="1" s="1"/>
  <c r="P354" i="1" s="1"/>
  <c r="L353" i="1"/>
  <c r="E353" i="1"/>
  <c r="H353" i="1" s="1"/>
  <c r="I353" i="1" s="1"/>
  <c r="N353" i="1" s="1"/>
  <c r="O353" i="1" s="1"/>
  <c r="P353" i="1" s="1"/>
  <c r="L352" i="1"/>
  <c r="E352" i="1"/>
  <c r="H352" i="1" s="1"/>
  <c r="I352" i="1" s="1"/>
  <c r="N352" i="1" s="1"/>
  <c r="O352" i="1" s="1"/>
  <c r="P352" i="1" s="1"/>
  <c r="O351" i="1"/>
  <c r="P351" i="1" s="1"/>
  <c r="N351" i="1"/>
  <c r="L351" i="1"/>
  <c r="I351" i="1"/>
  <c r="H351" i="1"/>
  <c r="E351" i="1"/>
  <c r="L350" i="1"/>
  <c r="H350" i="1"/>
  <c r="I350" i="1" s="1"/>
  <c r="N350" i="1" s="1"/>
  <c r="O350" i="1" s="1"/>
  <c r="P350" i="1" s="1"/>
  <c r="E350" i="1"/>
  <c r="L349" i="1"/>
  <c r="E349" i="1"/>
  <c r="H349" i="1" s="1"/>
  <c r="I349" i="1" s="1"/>
  <c r="N349" i="1" s="1"/>
  <c r="O349" i="1" s="1"/>
  <c r="P349" i="1" s="1"/>
  <c r="L348" i="1"/>
  <c r="I348" i="1"/>
  <c r="N348" i="1" s="1"/>
  <c r="O348" i="1" s="1"/>
  <c r="P348" i="1" s="1"/>
  <c r="H348" i="1"/>
  <c r="E348" i="1"/>
  <c r="L347" i="1"/>
  <c r="H347" i="1"/>
  <c r="I347" i="1" s="1"/>
  <c r="N347" i="1" s="1"/>
  <c r="O347" i="1" s="1"/>
  <c r="P347" i="1" s="1"/>
  <c r="E347" i="1"/>
  <c r="L346" i="1"/>
  <c r="E346" i="1"/>
  <c r="H346" i="1" s="1"/>
  <c r="I346" i="1" s="1"/>
  <c r="N346" i="1" s="1"/>
  <c r="O346" i="1" s="1"/>
  <c r="P346" i="1" s="1"/>
  <c r="L345" i="1"/>
  <c r="E345" i="1"/>
  <c r="H345" i="1" s="1"/>
  <c r="I345" i="1" s="1"/>
  <c r="N345" i="1" s="1"/>
  <c r="O345" i="1" s="1"/>
  <c r="P345" i="1" s="1"/>
  <c r="L344" i="1"/>
  <c r="E344" i="1"/>
  <c r="H344" i="1" s="1"/>
  <c r="I344" i="1" s="1"/>
  <c r="N344" i="1" s="1"/>
  <c r="O344" i="1" s="1"/>
  <c r="P344" i="1" s="1"/>
  <c r="O343" i="1"/>
  <c r="P343" i="1" s="1"/>
  <c r="N343" i="1"/>
  <c r="L343" i="1"/>
  <c r="I343" i="1"/>
  <c r="H343" i="1"/>
  <c r="E343" i="1"/>
  <c r="L342" i="1"/>
  <c r="H342" i="1"/>
  <c r="I342" i="1" s="1"/>
  <c r="N342" i="1" s="1"/>
  <c r="O342" i="1" s="1"/>
  <c r="P342" i="1" s="1"/>
  <c r="E342" i="1"/>
  <c r="L341" i="1"/>
  <c r="E341" i="1"/>
  <c r="H341" i="1" s="1"/>
  <c r="I341" i="1" s="1"/>
  <c r="N341" i="1" s="1"/>
  <c r="O341" i="1" s="1"/>
  <c r="P341" i="1" s="1"/>
  <c r="L340" i="1"/>
  <c r="I340" i="1"/>
  <c r="N340" i="1" s="1"/>
  <c r="O340" i="1" s="1"/>
  <c r="P340" i="1" s="1"/>
  <c r="H340" i="1"/>
  <c r="E340" i="1"/>
  <c r="L339" i="1"/>
  <c r="H339" i="1"/>
  <c r="I339" i="1" s="1"/>
  <c r="N339" i="1" s="1"/>
  <c r="O339" i="1" s="1"/>
  <c r="P339" i="1" s="1"/>
  <c r="E339" i="1"/>
  <c r="L338" i="1"/>
  <c r="E338" i="1"/>
  <c r="H338" i="1" s="1"/>
  <c r="I338" i="1" s="1"/>
  <c r="N338" i="1" s="1"/>
  <c r="O338" i="1" s="1"/>
  <c r="P338" i="1" s="1"/>
  <c r="L337" i="1"/>
  <c r="E337" i="1"/>
  <c r="H337" i="1" s="1"/>
  <c r="I337" i="1" s="1"/>
  <c r="N337" i="1" s="1"/>
  <c r="O337" i="1" s="1"/>
  <c r="P337" i="1" s="1"/>
  <c r="L336" i="1"/>
  <c r="E336" i="1"/>
  <c r="H336" i="1" s="1"/>
  <c r="I336" i="1" s="1"/>
  <c r="N336" i="1" s="1"/>
  <c r="O336" i="1" s="1"/>
  <c r="P336" i="1" s="1"/>
  <c r="O335" i="1"/>
  <c r="P335" i="1" s="1"/>
  <c r="N335" i="1"/>
  <c r="L335" i="1"/>
  <c r="I335" i="1"/>
  <c r="H335" i="1"/>
  <c r="E335" i="1"/>
  <c r="L334" i="1"/>
  <c r="H334" i="1"/>
  <c r="I334" i="1" s="1"/>
  <c r="N334" i="1" s="1"/>
  <c r="O334" i="1" s="1"/>
  <c r="P334" i="1" s="1"/>
  <c r="E334" i="1"/>
  <c r="L333" i="1"/>
  <c r="E333" i="1"/>
  <c r="H333" i="1" s="1"/>
  <c r="I333" i="1" s="1"/>
  <c r="N333" i="1" s="1"/>
  <c r="O333" i="1" s="1"/>
  <c r="P333" i="1" s="1"/>
  <c r="L332" i="1"/>
  <c r="I332" i="1"/>
  <c r="N332" i="1" s="1"/>
  <c r="O332" i="1" s="1"/>
  <c r="P332" i="1" s="1"/>
  <c r="H332" i="1"/>
  <c r="E332" i="1"/>
  <c r="L331" i="1"/>
  <c r="H331" i="1"/>
  <c r="I331" i="1" s="1"/>
  <c r="N331" i="1" s="1"/>
  <c r="O331" i="1" s="1"/>
  <c r="P331" i="1" s="1"/>
  <c r="E331" i="1"/>
  <c r="L330" i="1"/>
  <c r="E330" i="1"/>
  <c r="H330" i="1" s="1"/>
  <c r="I330" i="1" s="1"/>
  <c r="N330" i="1" s="1"/>
  <c r="O330" i="1" s="1"/>
  <c r="P330" i="1" s="1"/>
  <c r="L329" i="1"/>
  <c r="E329" i="1"/>
  <c r="H329" i="1" s="1"/>
  <c r="I329" i="1" s="1"/>
  <c r="N329" i="1" s="1"/>
  <c r="O329" i="1" s="1"/>
  <c r="P329" i="1" s="1"/>
  <c r="L328" i="1"/>
  <c r="E328" i="1"/>
  <c r="H328" i="1" s="1"/>
  <c r="I328" i="1" s="1"/>
  <c r="N328" i="1" s="1"/>
  <c r="O328" i="1" s="1"/>
  <c r="P328" i="1" s="1"/>
  <c r="O327" i="1"/>
  <c r="P327" i="1" s="1"/>
  <c r="N327" i="1"/>
  <c r="L327" i="1"/>
  <c r="I327" i="1"/>
  <c r="H327" i="1"/>
  <c r="E327" i="1"/>
  <c r="L326" i="1"/>
  <c r="H326" i="1"/>
  <c r="I326" i="1" s="1"/>
  <c r="N326" i="1" s="1"/>
  <c r="O326" i="1" s="1"/>
  <c r="P326" i="1" s="1"/>
  <c r="E326" i="1"/>
  <c r="L325" i="1"/>
  <c r="E325" i="1"/>
  <c r="H325" i="1" s="1"/>
  <c r="I325" i="1" s="1"/>
  <c r="N325" i="1" s="1"/>
  <c r="O325" i="1" s="1"/>
  <c r="P325" i="1" s="1"/>
  <c r="L324" i="1"/>
  <c r="I324" i="1"/>
  <c r="N324" i="1" s="1"/>
  <c r="O324" i="1" s="1"/>
  <c r="P324" i="1" s="1"/>
  <c r="H324" i="1"/>
  <c r="E324" i="1"/>
  <c r="L323" i="1"/>
  <c r="H323" i="1"/>
  <c r="I323" i="1" s="1"/>
  <c r="N323" i="1" s="1"/>
  <c r="O323" i="1" s="1"/>
  <c r="P323" i="1" s="1"/>
  <c r="E323" i="1"/>
  <c r="L322" i="1"/>
  <c r="E322" i="1"/>
  <c r="H322" i="1" s="1"/>
  <c r="I322" i="1" s="1"/>
  <c r="N322" i="1" s="1"/>
  <c r="O322" i="1" s="1"/>
  <c r="P322" i="1" s="1"/>
  <c r="L321" i="1"/>
  <c r="E321" i="1"/>
  <c r="H321" i="1" s="1"/>
  <c r="I321" i="1" s="1"/>
  <c r="N321" i="1" s="1"/>
  <c r="O321" i="1" s="1"/>
  <c r="P321" i="1" s="1"/>
  <c r="L320" i="1"/>
  <c r="E320" i="1"/>
  <c r="H320" i="1" s="1"/>
  <c r="I320" i="1" s="1"/>
  <c r="N320" i="1" s="1"/>
  <c r="O320" i="1" s="1"/>
  <c r="P320" i="1" s="1"/>
  <c r="O319" i="1"/>
  <c r="P319" i="1" s="1"/>
  <c r="N319" i="1"/>
  <c r="L319" i="1"/>
  <c r="I319" i="1"/>
  <c r="H319" i="1"/>
  <c r="E319" i="1"/>
  <c r="L318" i="1"/>
  <c r="H318" i="1"/>
  <c r="I318" i="1" s="1"/>
  <c r="N318" i="1" s="1"/>
  <c r="O318" i="1" s="1"/>
  <c r="P318" i="1" s="1"/>
  <c r="E318" i="1"/>
  <c r="L317" i="1"/>
  <c r="E317" i="1"/>
  <c r="H317" i="1" s="1"/>
  <c r="I317" i="1" s="1"/>
  <c r="N317" i="1" s="1"/>
  <c r="O317" i="1" s="1"/>
  <c r="P317" i="1" s="1"/>
  <c r="L316" i="1"/>
  <c r="I316" i="1"/>
  <c r="N316" i="1" s="1"/>
  <c r="O316" i="1" s="1"/>
  <c r="P316" i="1" s="1"/>
  <c r="H316" i="1"/>
  <c r="E316" i="1"/>
  <c r="L315" i="1"/>
  <c r="H315" i="1"/>
  <c r="I315" i="1" s="1"/>
  <c r="N315" i="1" s="1"/>
  <c r="O315" i="1" s="1"/>
  <c r="P315" i="1" s="1"/>
  <c r="E315" i="1"/>
  <c r="L314" i="1"/>
  <c r="E314" i="1"/>
  <c r="H314" i="1" s="1"/>
  <c r="I314" i="1" s="1"/>
  <c r="N314" i="1" s="1"/>
  <c r="O314" i="1" s="1"/>
  <c r="P314" i="1" s="1"/>
  <c r="L313" i="1"/>
  <c r="E313" i="1"/>
  <c r="H313" i="1" s="1"/>
  <c r="I313" i="1" s="1"/>
  <c r="N313" i="1" s="1"/>
  <c r="O313" i="1" s="1"/>
  <c r="P313" i="1" s="1"/>
  <c r="L312" i="1"/>
  <c r="E312" i="1"/>
  <c r="H312" i="1" s="1"/>
  <c r="I312" i="1" s="1"/>
  <c r="N312" i="1" s="1"/>
  <c r="O312" i="1" s="1"/>
  <c r="P312" i="1" s="1"/>
  <c r="O311" i="1"/>
  <c r="P311" i="1" s="1"/>
  <c r="N311" i="1"/>
  <c r="L311" i="1"/>
  <c r="I311" i="1"/>
  <c r="H311" i="1"/>
  <c r="E311" i="1"/>
  <c r="L310" i="1"/>
  <c r="H310" i="1"/>
  <c r="I310" i="1" s="1"/>
  <c r="N310" i="1" s="1"/>
  <c r="O310" i="1" s="1"/>
  <c r="P310" i="1" s="1"/>
  <c r="E310" i="1"/>
  <c r="L309" i="1"/>
  <c r="E309" i="1"/>
  <c r="H309" i="1" s="1"/>
  <c r="I309" i="1" s="1"/>
  <c r="N309" i="1" s="1"/>
  <c r="O309" i="1" s="1"/>
  <c r="P309" i="1" s="1"/>
  <c r="L308" i="1"/>
  <c r="I308" i="1"/>
  <c r="N308" i="1" s="1"/>
  <c r="O308" i="1" s="1"/>
  <c r="P308" i="1" s="1"/>
  <c r="H308" i="1"/>
  <c r="E308" i="1"/>
  <c r="L307" i="1"/>
  <c r="H307" i="1"/>
  <c r="I307" i="1" s="1"/>
  <c r="N307" i="1" s="1"/>
  <c r="O307" i="1" s="1"/>
  <c r="P307" i="1" s="1"/>
  <c r="E307" i="1"/>
  <c r="L306" i="1"/>
  <c r="E306" i="1"/>
  <c r="H306" i="1" s="1"/>
  <c r="I306" i="1" s="1"/>
  <c r="N306" i="1" s="1"/>
  <c r="O306" i="1" s="1"/>
  <c r="P306" i="1" s="1"/>
  <c r="L305" i="1"/>
  <c r="E305" i="1"/>
  <c r="H305" i="1" s="1"/>
  <c r="I305" i="1" s="1"/>
  <c r="N305" i="1" s="1"/>
  <c r="O305" i="1" s="1"/>
  <c r="P305" i="1" s="1"/>
  <c r="L304" i="1"/>
  <c r="E304" i="1"/>
  <c r="H304" i="1" s="1"/>
  <c r="I304" i="1" s="1"/>
  <c r="N304" i="1" s="1"/>
  <c r="O304" i="1" s="1"/>
  <c r="P304" i="1" s="1"/>
  <c r="O303" i="1"/>
  <c r="P303" i="1" s="1"/>
  <c r="N303" i="1"/>
  <c r="L303" i="1"/>
  <c r="I303" i="1"/>
  <c r="H303" i="1"/>
  <c r="E303" i="1"/>
  <c r="L302" i="1"/>
  <c r="H302" i="1"/>
  <c r="I302" i="1" s="1"/>
  <c r="N302" i="1" s="1"/>
  <c r="O302" i="1" s="1"/>
  <c r="P302" i="1" s="1"/>
  <c r="E302" i="1"/>
  <c r="L301" i="1"/>
  <c r="E301" i="1"/>
  <c r="H301" i="1" s="1"/>
  <c r="I301" i="1" s="1"/>
  <c r="N301" i="1" s="1"/>
  <c r="O301" i="1" s="1"/>
  <c r="P301" i="1" s="1"/>
  <c r="L300" i="1"/>
  <c r="I300" i="1"/>
  <c r="N300" i="1" s="1"/>
  <c r="O300" i="1" s="1"/>
  <c r="P300" i="1" s="1"/>
  <c r="H300" i="1"/>
  <c r="E300" i="1"/>
  <c r="L299" i="1"/>
  <c r="H299" i="1"/>
  <c r="I299" i="1" s="1"/>
  <c r="N299" i="1" s="1"/>
  <c r="O299" i="1" s="1"/>
  <c r="P299" i="1" s="1"/>
  <c r="E299" i="1"/>
  <c r="L298" i="1"/>
  <c r="E298" i="1"/>
  <c r="H298" i="1" s="1"/>
  <c r="I298" i="1" s="1"/>
  <c r="N298" i="1" s="1"/>
  <c r="O298" i="1" s="1"/>
  <c r="P298" i="1" s="1"/>
  <c r="L297" i="1"/>
  <c r="E297" i="1"/>
  <c r="H297" i="1" s="1"/>
  <c r="I297" i="1" s="1"/>
  <c r="N297" i="1" s="1"/>
  <c r="O297" i="1" s="1"/>
  <c r="P297" i="1" s="1"/>
  <c r="L296" i="1"/>
  <c r="E296" i="1"/>
  <c r="H296" i="1" s="1"/>
  <c r="I296" i="1" s="1"/>
  <c r="N296" i="1" s="1"/>
  <c r="O296" i="1" s="1"/>
  <c r="P296" i="1" s="1"/>
  <c r="O295" i="1"/>
  <c r="P295" i="1" s="1"/>
  <c r="N295" i="1"/>
  <c r="L295" i="1"/>
  <c r="I295" i="1"/>
  <c r="H295" i="1"/>
  <c r="E295" i="1"/>
  <c r="L294" i="1"/>
  <c r="H294" i="1"/>
  <c r="I294" i="1" s="1"/>
  <c r="N294" i="1" s="1"/>
  <c r="O294" i="1" s="1"/>
  <c r="P294" i="1" s="1"/>
  <c r="E294" i="1"/>
  <c r="L293" i="1"/>
  <c r="E293" i="1"/>
  <c r="H293" i="1" s="1"/>
  <c r="I293" i="1" s="1"/>
  <c r="N293" i="1" s="1"/>
  <c r="O293" i="1" s="1"/>
  <c r="P293" i="1" s="1"/>
  <c r="L292" i="1"/>
  <c r="I292" i="1"/>
  <c r="N292" i="1" s="1"/>
  <c r="O292" i="1" s="1"/>
  <c r="P292" i="1" s="1"/>
  <c r="H292" i="1"/>
  <c r="E292" i="1"/>
  <c r="L291" i="1"/>
  <c r="H291" i="1"/>
  <c r="I291" i="1" s="1"/>
  <c r="N291" i="1" s="1"/>
  <c r="O291" i="1" s="1"/>
  <c r="P291" i="1" s="1"/>
  <c r="E291" i="1"/>
  <c r="L290" i="1"/>
  <c r="E290" i="1"/>
  <c r="H290" i="1" s="1"/>
  <c r="I290" i="1" s="1"/>
  <c r="N290" i="1" s="1"/>
  <c r="O290" i="1" s="1"/>
  <c r="P290" i="1" s="1"/>
  <c r="P289" i="1"/>
  <c r="O289" i="1"/>
  <c r="L289" i="1"/>
  <c r="E289" i="1"/>
  <c r="H289" i="1" s="1"/>
  <c r="I289" i="1" s="1"/>
  <c r="N289" i="1" s="1"/>
  <c r="P288" i="1"/>
  <c r="O288" i="1"/>
  <c r="L288" i="1"/>
  <c r="E288" i="1"/>
  <c r="H288" i="1" s="1"/>
  <c r="I288" i="1" s="1"/>
  <c r="N288" i="1" s="1"/>
  <c r="O287" i="1"/>
  <c r="P287" i="1" s="1"/>
  <c r="N287" i="1"/>
  <c r="L287" i="1"/>
  <c r="I287" i="1"/>
  <c r="H287" i="1"/>
  <c r="E287" i="1"/>
  <c r="O286" i="1"/>
  <c r="P286" i="1" s="1"/>
  <c r="L286" i="1"/>
  <c r="H286" i="1"/>
  <c r="I286" i="1" s="1"/>
  <c r="N286" i="1" s="1"/>
  <c r="E286" i="1"/>
  <c r="O285" i="1"/>
  <c r="P285" i="1" s="1"/>
  <c r="L285" i="1"/>
  <c r="E285" i="1"/>
  <c r="H285" i="1" s="1"/>
  <c r="I285" i="1" s="1"/>
  <c r="N285" i="1" s="1"/>
  <c r="P284" i="1"/>
  <c r="O284" i="1"/>
  <c r="L284" i="1"/>
  <c r="I284" i="1"/>
  <c r="N284" i="1" s="1"/>
  <c r="H284" i="1"/>
  <c r="E284" i="1"/>
  <c r="P283" i="1"/>
  <c r="O283" i="1"/>
  <c r="L283" i="1"/>
  <c r="H283" i="1"/>
  <c r="I283" i="1" s="1"/>
  <c r="N283" i="1" s="1"/>
  <c r="E283" i="1"/>
  <c r="O282" i="1"/>
  <c r="P282" i="1" s="1"/>
  <c r="L282" i="1"/>
  <c r="E282" i="1"/>
  <c r="H282" i="1" s="1"/>
  <c r="I282" i="1" s="1"/>
  <c r="N282" i="1" s="1"/>
  <c r="P281" i="1"/>
  <c r="O281" i="1"/>
  <c r="L281" i="1"/>
  <c r="E281" i="1"/>
  <c r="H281" i="1" s="1"/>
  <c r="I281" i="1" s="1"/>
  <c r="N281" i="1" s="1"/>
  <c r="P280" i="1"/>
  <c r="O280" i="1"/>
  <c r="L280" i="1"/>
  <c r="E280" i="1"/>
  <c r="H280" i="1" s="1"/>
  <c r="I280" i="1" s="1"/>
  <c r="N280" i="1" s="1"/>
  <c r="O279" i="1"/>
  <c r="P279" i="1" s="1"/>
  <c r="N279" i="1"/>
  <c r="L279" i="1"/>
  <c r="I279" i="1"/>
  <c r="H279" i="1"/>
  <c r="E279" i="1"/>
  <c r="O278" i="1"/>
  <c r="P278" i="1" s="1"/>
  <c r="L278" i="1"/>
  <c r="H278" i="1"/>
  <c r="I278" i="1" s="1"/>
  <c r="N278" i="1" s="1"/>
  <c r="E278" i="1"/>
  <c r="O277" i="1"/>
  <c r="P277" i="1" s="1"/>
  <c r="L277" i="1"/>
  <c r="E277" i="1"/>
  <c r="H277" i="1" s="1"/>
  <c r="I277" i="1" s="1"/>
  <c r="N277" i="1" s="1"/>
  <c r="P276" i="1"/>
  <c r="O276" i="1"/>
  <c r="L276" i="1"/>
  <c r="I276" i="1"/>
  <c r="N276" i="1" s="1"/>
  <c r="H276" i="1"/>
  <c r="E276" i="1"/>
  <c r="P275" i="1"/>
  <c r="O275" i="1"/>
  <c r="L275" i="1"/>
  <c r="H275" i="1"/>
  <c r="I275" i="1" s="1"/>
  <c r="N275" i="1" s="1"/>
  <c r="E275" i="1"/>
  <c r="O274" i="1"/>
  <c r="P274" i="1" s="1"/>
  <c r="L274" i="1"/>
  <c r="E274" i="1"/>
  <c r="H274" i="1" s="1"/>
  <c r="I274" i="1" s="1"/>
  <c r="N274" i="1" s="1"/>
  <c r="P273" i="1"/>
  <c r="O273" i="1"/>
  <c r="L273" i="1"/>
  <c r="E273" i="1"/>
  <c r="H273" i="1" s="1"/>
  <c r="I273" i="1" s="1"/>
  <c r="N273" i="1" s="1"/>
  <c r="P272" i="1"/>
  <c r="O272" i="1"/>
  <c r="L272" i="1"/>
  <c r="E272" i="1"/>
  <c r="H272" i="1" s="1"/>
  <c r="I272" i="1" s="1"/>
  <c r="N272" i="1" s="1"/>
  <c r="O271" i="1"/>
  <c r="P271" i="1" s="1"/>
  <c r="N271" i="1"/>
  <c r="L271" i="1"/>
  <c r="I271" i="1"/>
  <c r="H271" i="1"/>
  <c r="E271" i="1"/>
  <c r="O270" i="1"/>
  <c r="P270" i="1" s="1"/>
  <c r="L270" i="1"/>
  <c r="H270" i="1"/>
  <c r="I270" i="1" s="1"/>
  <c r="N270" i="1" s="1"/>
  <c r="E270" i="1"/>
  <c r="O269" i="1"/>
  <c r="P269" i="1" s="1"/>
  <c r="L269" i="1"/>
  <c r="E269" i="1"/>
  <c r="H269" i="1" s="1"/>
  <c r="I269" i="1" s="1"/>
  <c r="N269" i="1" s="1"/>
  <c r="P268" i="1"/>
  <c r="O268" i="1"/>
  <c r="L268" i="1"/>
  <c r="I268" i="1"/>
  <c r="N268" i="1" s="1"/>
  <c r="H268" i="1"/>
  <c r="E268" i="1"/>
  <c r="P267" i="1"/>
  <c r="O267" i="1"/>
  <c r="L267" i="1"/>
  <c r="H267" i="1"/>
  <c r="I267" i="1" s="1"/>
  <c r="N267" i="1" s="1"/>
  <c r="E267" i="1"/>
  <c r="O266" i="1"/>
  <c r="P266" i="1" s="1"/>
  <c r="L266" i="1"/>
  <c r="E266" i="1"/>
  <c r="H266" i="1" s="1"/>
  <c r="I266" i="1" s="1"/>
  <c r="N266" i="1" s="1"/>
  <c r="P265" i="1"/>
  <c r="O265" i="1"/>
  <c r="L265" i="1"/>
  <c r="E265" i="1"/>
  <c r="H265" i="1" s="1"/>
  <c r="I265" i="1" s="1"/>
  <c r="N265" i="1" s="1"/>
  <c r="P264" i="1"/>
  <c r="O264" i="1"/>
  <c r="L264" i="1"/>
  <c r="E264" i="1"/>
  <c r="H264" i="1" s="1"/>
  <c r="I264" i="1" s="1"/>
  <c r="N264" i="1" s="1"/>
  <c r="O263" i="1"/>
  <c r="P263" i="1" s="1"/>
  <c r="N263" i="1"/>
  <c r="L263" i="1"/>
  <c r="I263" i="1"/>
  <c r="H263" i="1"/>
  <c r="E263" i="1"/>
  <c r="O262" i="1"/>
  <c r="P262" i="1" s="1"/>
  <c r="L262" i="1"/>
  <c r="H262" i="1"/>
  <c r="I262" i="1" s="1"/>
  <c r="N262" i="1" s="1"/>
  <c r="E262" i="1"/>
  <c r="O261" i="1"/>
  <c r="P261" i="1" s="1"/>
  <c r="L261" i="1"/>
  <c r="E261" i="1"/>
  <c r="H261" i="1" s="1"/>
  <c r="I261" i="1" s="1"/>
  <c r="N261" i="1" s="1"/>
  <c r="P260" i="1"/>
  <c r="O260" i="1"/>
  <c r="L260" i="1"/>
  <c r="I260" i="1"/>
  <c r="N260" i="1" s="1"/>
  <c r="H260" i="1"/>
  <c r="E260" i="1"/>
  <c r="P259" i="1"/>
  <c r="O259" i="1"/>
  <c r="L259" i="1"/>
  <c r="H259" i="1"/>
  <c r="I259" i="1" s="1"/>
  <c r="N259" i="1" s="1"/>
  <c r="E259" i="1"/>
  <c r="O258" i="1"/>
  <c r="P258" i="1" s="1"/>
  <c r="L258" i="1"/>
  <c r="E258" i="1"/>
  <c r="H258" i="1" s="1"/>
  <c r="I258" i="1" s="1"/>
  <c r="N258" i="1" s="1"/>
  <c r="P257" i="1"/>
  <c r="O257" i="1"/>
  <c r="L257" i="1"/>
  <c r="E257" i="1"/>
  <c r="H257" i="1" s="1"/>
  <c r="I257" i="1" s="1"/>
  <c r="N257" i="1" s="1"/>
  <c r="P256" i="1"/>
  <c r="O256" i="1"/>
  <c r="L256" i="1"/>
  <c r="E256" i="1"/>
  <c r="H256" i="1" s="1"/>
  <c r="I256" i="1" s="1"/>
  <c r="N256" i="1" s="1"/>
  <c r="O255" i="1"/>
  <c r="P255" i="1" s="1"/>
  <c r="N255" i="1"/>
  <c r="L255" i="1"/>
  <c r="I255" i="1"/>
  <c r="H255" i="1"/>
  <c r="E255" i="1"/>
  <c r="O254" i="1"/>
  <c r="P254" i="1" s="1"/>
  <c r="L254" i="1"/>
  <c r="H254" i="1"/>
  <c r="I254" i="1" s="1"/>
  <c r="N254" i="1" s="1"/>
  <c r="E254" i="1"/>
  <c r="O253" i="1"/>
  <c r="P253" i="1" s="1"/>
  <c r="L253" i="1"/>
  <c r="E253" i="1"/>
  <c r="H253" i="1" s="1"/>
  <c r="I253" i="1" s="1"/>
  <c r="N253" i="1" s="1"/>
  <c r="P252" i="1"/>
  <c r="O252" i="1"/>
  <c r="L252" i="1"/>
  <c r="I252" i="1"/>
  <c r="N252" i="1" s="1"/>
  <c r="H252" i="1"/>
  <c r="E252" i="1"/>
  <c r="P251" i="1"/>
  <c r="O251" i="1"/>
  <c r="L251" i="1"/>
  <c r="H251" i="1"/>
  <c r="I251" i="1" s="1"/>
  <c r="N251" i="1" s="1"/>
  <c r="E251" i="1"/>
  <c r="O250" i="1"/>
  <c r="P250" i="1" s="1"/>
  <c r="L250" i="1"/>
  <c r="E250" i="1"/>
  <c r="H250" i="1" s="1"/>
  <c r="I250" i="1" s="1"/>
  <c r="N250" i="1" s="1"/>
  <c r="P249" i="1"/>
  <c r="O249" i="1"/>
  <c r="L249" i="1"/>
  <c r="E249" i="1"/>
  <c r="H249" i="1" s="1"/>
  <c r="I249" i="1" s="1"/>
  <c r="N249" i="1" s="1"/>
  <c r="P248" i="1"/>
  <c r="O248" i="1"/>
  <c r="L248" i="1"/>
  <c r="E248" i="1"/>
  <c r="H248" i="1" s="1"/>
  <c r="I248" i="1" s="1"/>
  <c r="N248" i="1" s="1"/>
  <c r="O247" i="1"/>
  <c r="P247" i="1" s="1"/>
  <c r="N247" i="1"/>
  <c r="L247" i="1"/>
  <c r="I247" i="1"/>
  <c r="H247" i="1"/>
  <c r="E247" i="1"/>
  <c r="O246" i="1"/>
  <c r="P246" i="1" s="1"/>
  <c r="L246" i="1"/>
  <c r="H246" i="1"/>
  <c r="I246" i="1" s="1"/>
  <c r="N246" i="1" s="1"/>
  <c r="E246" i="1"/>
  <c r="O245" i="1"/>
  <c r="P245" i="1" s="1"/>
  <c r="L245" i="1"/>
  <c r="E245" i="1"/>
  <c r="H245" i="1" s="1"/>
  <c r="I245" i="1" s="1"/>
  <c r="N245" i="1" s="1"/>
  <c r="P244" i="1"/>
  <c r="O244" i="1"/>
  <c r="L244" i="1"/>
  <c r="I244" i="1"/>
  <c r="N244" i="1" s="1"/>
  <c r="H244" i="1"/>
  <c r="E244" i="1"/>
  <c r="P243" i="1"/>
  <c r="O243" i="1"/>
  <c r="L243" i="1"/>
  <c r="H243" i="1"/>
  <c r="I243" i="1" s="1"/>
  <c r="N243" i="1" s="1"/>
  <c r="E243" i="1"/>
  <c r="O242" i="1"/>
  <c r="P242" i="1" s="1"/>
  <c r="L242" i="1"/>
  <c r="E242" i="1"/>
  <c r="H242" i="1" s="1"/>
  <c r="I242" i="1" s="1"/>
  <c r="N242" i="1" s="1"/>
  <c r="P241" i="1"/>
  <c r="O241" i="1"/>
  <c r="L241" i="1"/>
  <c r="E241" i="1"/>
  <c r="H241" i="1" s="1"/>
  <c r="I241" i="1" s="1"/>
  <c r="N241" i="1" s="1"/>
  <c r="P240" i="1"/>
  <c r="O240" i="1"/>
  <c r="L240" i="1"/>
  <c r="E240" i="1"/>
  <c r="H240" i="1" s="1"/>
  <c r="I240" i="1" s="1"/>
  <c r="N240" i="1" s="1"/>
  <c r="O239" i="1"/>
  <c r="P239" i="1" s="1"/>
  <c r="N239" i="1"/>
  <c r="L239" i="1"/>
  <c r="I239" i="1"/>
  <c r="H239" i="1"/>
  <c r="E239" i="1"/>
  <c r="O238" i="1"/>
  <c r="P238" i="1" s="1"/>
  <c r="L238" i="1"/>
  <c r="H238" i="1"/>
  <c r="I238" i="1" s="1"/>
  <c r="N238" i="1" s="1"/>
  <c r="E238" i="1"/>
  <c r="O237" i="1"/>
  <c r="P237" i="1" s="1"/>
  <c r="L237" i="1"/>
  <c r="E237" i="1"/>
  <c r="H237" i="1" s="1"/>
  <c r="I237" i="1" s="1"/>
  <c r="N237" i="1" s="1"/>
  <c r="P236" i="1"/>
  <c r="O236" i="1"/>
  <c r="L236" i="1"/>
  <c r="I236" i="1"/>
  <c r="N236" i="1" s="1"/>
  <c r="H236" i="1"/>
  <c r="E236" i="1"/>
  <c r="P235" i="1"/>
  <c r="O235" i="1"/>
  <c r="L235" i="1"/>
  <c r="H235" i="1"/>
  <c r="I235" i="1" s="1"/>
  <c r="N235" i="1" s="1"/>
  <c r="E235" i="1"/>
  <c r="O234" i="1"/>
  <c r="P234" i="1" s="1"/>
  <c r="L234" i="1"/>
  <c r="E234" i="1"/>
  <c r="H234" i="1" s="1"/>
  <c r="I234" i="1" s="1"/>
  <c r="N234" i="1" s="1"/>
  <c r="P233" i="1"/>
  <c r="O233" i="1"/>
  <c r="L233" i="1"/>
  <c r="E233" i="1"/>
  <c r="H233" i="1" s="1"/>
  <c r="I233" i="1" s="1"/>
  <c r="N233" i="1" s="1"/>
  <c r="P232" i="1"/>
  <c r="O232" i="1"/>
  <c r="L232" i="1"/>
  <c r="E232" i="1"/>
  <c r="H232" i="1" s="1"/>
  <c r="I232" i="1" s="1"/>
  <c r="N232" i="1" s="1"/>
  <c r="O231" i="1"/>
  <c r="P231" i="1" s="1"/>
  <c r="N231" i="1"/>
  <c r="L231" i="1"/>
  <c r="I231" i="1"/>
  <c r="H231" i="1"/>
  <c r="E231" i="1"/>
  <c r="O230" i="1"/>
  <c r="P230" i="1" s="1"/>
  <c r="L230" i="1"/>
  <c r="H230" i="1"/>
  <c r="I230" i="1" s="1"/>
  <c r="N230" i="1" s="1"/>
  <c r="E230" i="1"/>
  <c r="O229" i="1"/>
  <c r="P229" i="1" s="1"/>
  <c r="L229" i="1"/>
  <c r="E229" i="1"/>
  <c r="H229" i="1" s="1"/>
  <c r="I229" i="1" s="1"/>
  <c r="N229" i="1" s="1"/>
  <c r="P228" i="1"/>
  <c r="O228" i="1"/>
  <c r="L228" i="1"/>
  <c r="I228" i="1"/>
  <c r="N228" i="1" s="1"/>
  <c r="H228" i="1"/>
  <c r="E228" i="1"/>
  <c r="P227" i="1"/>
  <c r="O227" i="1"/>
  <c r="L227" i="1"/>
  <c r="H227" i="1"/>
  <c r="I227" i="1" s="1"/>
  <c r="N227" i="1" s="1"/>
  <c r="E227" i="1"/>
  <c r="O226" i="1"/>
  <c r="P226" i="1" s="1"/>
  <c r="L226" i="1"/>
  <c r="E226" i="1"/>
  <c r="H226" i="1" s="1"/>
  <c r="I226" i="1" s="1"/>
  <c r="N226" i="1" s="1"/>
  <c r="P225" i="1"/>
  <c r="O225" i="1"/>
  <c r="L225" i="1"/>
  <c r="E225" i="1"/>
  <c r="H225" i="1" s="1"/>
  <c r="I225" i="1" s="1"/>
  <c r="N225" i="1" s="1"/>
  <c r="P224" i="1"/>
  <c r="O224" i="1"/>
  <c r="L224" i="1"/>
  <c r="E224" i="1"/>
  <c r="H224" i="1" s="1"/>
  <c r="I224" i="1" s="1"/>
  <c r="N224" i="1" s="1"/>
  <c r="O223" i="1"/>
  <c r="P223" i="1" s="1"/>
  <c r="N223" i="1"/>
  <c r="L223" i="1"/>
  <c r="I223" i="1"/>
  <c r="H223" i="1"/>
  <c r="E223" i="1"/>
  <c r="O222" i="1"/>
  <c r="P222" i="1" s="1"/>
  <c r="L222" i="1"/>
  <c r="H222" i="1"/>
  <c r="I222" i="1" s="1"/>
  <c r="N222" i="1" s="1"/>
  <c r="E222" i="1"/>
  <c r="O221" i="1"/>
  <c r="P221" i="1" s="1"/>
  <c r="L221" i="1"/>
  <c r="E221" i="1"/>
  <c r="H221" i="1" s="1"/>
  <c r="I221" i="1" s="1"/>
  <c r="N221" i="1" s="1"/>
  <c r="P220" i="1"/>
  <c r="O220" i="1"/>
  <c r="L220" i="1"/>
  <c r="I220" i="1"/>
  <c r="N220" i="1" s="1"/>
  <c r="H220" i="1"/>
  <c r="E220" i="1"/>
  <c r="P219" i="1"/>
  <c r="O219" i="1"/>
  <c r="L219" i="1"/>
  <c r="H219" i="1"/>
  <c r="I219" i="1" s="1"/>
  <c r="N219" i="1" s="1"/>
  <c r="E219" i="1"/>
  <c r="O218" i="1"/>
  <c r="P218" i="1" s="1"/>
  <c r="L218" i="1"/>
  <c r="E218" i="1"/>
  <c r="H218" i="1" s="1"/>
  <c r="I218" i="1" s="1"/>
  <c r="N218" i="1" s="1"/>
  <c r="P217" i="1"/>
  <c r="O217" i="1"/>
  <c r="L217" i="1"/>
  <c r="E217" i="1"/>
  <c r="H217" i="1" s="1"/>
  <c r="I217" i="1" s="1"/>
  <c r="N217" i="1" s="1"/>
  <c r="P216" i="1"/>
  <c r="O216" i="1"/>
  <c r="L216" i="1"/>
  <c r="E216" i="1"/>
  <c r="H216" i="1" s="1"/>
  <c r="I216" i="1" s="1"/>
  <c r="N216" i="1" s="1"/>
  <c r="O215" i="1"/>
  <c r="P215" i="1" s="1"/>
  <c r="N215" i="1"/>
  <c r="L215" i="1"/>
  <c r="I215" i="1"/>
  <c r="H215" i="1"/>
  <c r="E215" i="1"/>
  <c r="O214" i="1"/>
  <c r="P214" i="1" s="1"/>
  <c r="L214" i="1"/>
  <c r="H214" i="1"/>
  <c r="I214" i="1" s="1"/>
  <c r="N214" i="1" s="1"/>
  <c r="E214" i="1"/>
  <c r="O213" i="1"/>
  <c r="P213" i="1" s="1"/>
  <c r="L213" i="1"/>
  <c r="E213" i="1"/>
  <c r="H213" i="1" s="1"/>
  <c r="I213" i="1" s="1"/>
  <c r="N213" i="1" s="1"/>
  <c r="P212" i="1"/>
  <c r="O212" i="1"/>
  <c r="L212" i="1"/>
  <c r="I212" i="1"/>
  <c r="N212" i="1" s="1"/>
  <c r="H212" i="1"/>
  <c r="E212" i="1"/>
  <c r="P211" i="1"/>
  <c r="O211" i="1"/>
  <c r="L211" i="1"/>
  <c r="H211" i="1"/>
  <c r="I211" i="1" s="1"/>
  <c r="N211" i="1" s="1"/>
  <c r="E211" i="1"/>
  <c r="O210" i="1"/>
  <c r="P210" i="1" s="1"/>
  <c r="L210" i="1"/>
  <c r="E210" i="1"/>
  <c r="H210" i="1" s="1"/>
  <c r="I210" i="1" s="1"/>
  <c r="N210" i="1" s="1"/>
  <c r="P209" i="1"/>
  <c r="O209" i="1"/>
  <c r="L209" i="1"/>
  <c r="E209" i="1"/>
  <c r="H209" i="1" s="1"/>
  <c r="I209" i="1" s="1"/>
  <c r="N209" i="1" s="1"/>
  <c r="P208" i="1"/>
  <c r="O208" i="1"/>
  <c r="L208" i="1"/>
  <c r="E208" i="1"/>
  <c r="H208" i="1" s="1"/>
  <c r="I208" i="1" s="1"/>
  <c r="N208" i="1" s="1"/>
  <c r="O207" i="1"/>
  <c r="P207" i="1" s="1"/>
  <c r="N207" i="1"/>
  <c r="L207" i="1"/>
  <c r="I207" i="1"/>
  <c r="H207" i="1"/>
  <c r="E207" i="1"/>
  <c r="O206" i="1"/>
  <c r="P206" i="1" s="1"/>
  <c r="L206" i="1"/>
  <c r="H206" i="1"/>
  <c r="I206" i="1" s="1"/>
  <c r="N206" i="1" s="1"/>
  <c r="E206" i="1"/>
  <c r="O205" i="1"/>
  <c r="P205" i="1" s="1"/>
  <c r="L205" i="1"/>
  <c r="E205" i="1"/>
  <c r="H205" i="1" s="1"/>
  <c r="I205" i="1" s="1"/>
  <c r="N205" i="1" s="1"/>
  <c r="P204" i="1"/>
  <c r="O204" i="1"/>
  <c r="L204" i="1"/>
  <c r="I204" i="1"/>
  <c r="N204" i="1" s="1"/>
  <c r="H204" i="1"/>
  <c r="E204" i="1"/>
  <c r="P203" i="1"/>
  <c r="O203" i="1"/>
  <c r="L203" i="1"/>
  <c r="H203" i="1"/>
  <c r="I203" i="1" s="1"/>
  <c r="N203" i="1" s="1"/>
  <c r="E203" i="1"/>
  <c r="O202" i="1"/>
  <c r="P202" i="1" s="1"/>
  <c r="L202" i="1"/>
  <c r="E202" i="1"/>
  <c r="H202" i="1" s="1"/>
  <c r="I202" i="1" s="1"/>
  <c r="N202" i="1" s="1"/>
  <c r="P201" i="1"/>
  <c r="O201" i="1"/>
  <c r="L201" i="1"/>
  <c r="E201" i="1"/>
  <c r="H201" i="1" s="1"/>
  <c r="I201" i="1" s="1"/>
  <c r="N201" i="1" s="1"/>
  <c r="P200" i="1"/>
  <c r="O200" i="1"/>
  <c r="L200" i="1"/>
  <c r="E200" i="1"/>
  <c r="H200" i="1" s="1"/>
  <c r="I200" i="1" s="1"/>
  <c r="N200" i="1" s="1"/>
  <c r="O199" i="1"/>
  <c r="P199" i="1" s="1"/>
  <c r="N199" i="1"/>
  <c r="L199" i="1"/>
  <c r="I199" i="1"/>
  <c r="H199" i="1"/>
  <c r="E199" i="1"/>
  <c r="O198" i="1"/>
  <c r="P198" i="1" s="1"/>
  <c r="L198" i="1"/>
  <c r="H198" i="1"/>
  <c r="I198" i="1" s="1"/>
  <c r="N198" i="1" s="1"/>
  <c r="E198" i="1"/>
  <c r="O197" i="1"/>
  <c r="P197" i="1" s="1"/>
  <c r="L197" i="1"/>
  <c r="E197" i="1"/>
  <c r="H197" i="1" s="1"/>
  <c r="I197" i="1" s="1"/>
  <c r="N197" i="1" s="1"/>
  <c r="P196" i="1"/>
  <c r="O196" i="1"/>
  <c r="L196" i="1"/>
  <c r="I196" i="1"/>
  <c r="N196" i="1" s="1"/>
  <c r="H196" i="1"/>
  <c r="E196" i="1"/>
  <c r="P195" i="1"/>
  <c r="O195" i="1"/>
  <c r="L195" i="1"/>
  <c r="H195" i="1"/>
  <c r="I195" i="1" s="1"/>
  <c r="N195" i="1" s="1"/>
  <c r="E195" i="1"/>
  <c r="O194" i="1"/>
  <c r="P194" i="1" s="1"/>
  <c r="L194" i="1"/>
  <c r="E194" i="1"/>
  <c r="H194" i="1" s="1"/>
  <c r="I194" i="1" s="1"/>
  <c r="N194" i="1" s="1"/>
  <c r="P193" i="1"/>
  <c r="O193" i="1"/>
  <c r="L193" i="1"/>
  <c r="E193" i="1"/>
  <c r="H193" i="1" s="1"/>
  <c r="I193" i="1" s="1"/>
  <c r="N193" i="1" s="1"/>
  <c r="P192" i="1"/>
  <c r="O192" i="1"/>
  <c r="L192" i="1"/>
  <c r="E192" i="1"/>
  <c r="H192" i="1" s="1"/>
  <c r="I192" i="1" s="1"/>
  <c r="N192" i="1" s="1"/>
  <c r="O191" i="1"/>
  <c r="P191" i="1" s="1"/>
  <c r="N191" i="1"/>
  <c r="L191" i="1"/>
  <c r="I191" i="1"/>
  <c r="H191" i="1"/>
  <c r="E191" i="1"/>
  <c r="O190" i="1"/>
  <c r="P190" i="1" s="1"/>
  <c r="L190" i="1"/>
  <c r="H190" i="1"/>
  <c r="I190" i="1" s="1"/>
  <c r="N190" i="1" s="1"/>
  <c r="E190" i="1"/>
  <c r="O189" i="1"/>
  <c r="P189" i="1" s="1"/>
  <c r="L189" i="1"/>
  <c r="E189" i="1"/>
  <c r="H189" i="1" s="1"/>
  <c r="I189" i="1" s="1"/>
  <c r="N189" i="1" s="1"/>
  <c r="P188" i="1"/>
  <c r="O188" i="1"/>
  <c r="L188" i="1"/>
  <c r="I188" i="1"/>
  <c r="N188" i="1" s="1"/>
  <c r="H188" i="1"/>
  <c r="E188" i="1"/>
  <c r="P187" i="1"/>
  <c r="O187" i="1"/>
  <c r="L187" i="1"/>
  <c r="H187" i="1"/>
  <c r="I187" i="1" s="1"/>
  <c r="N187" i="1" s="1"/>
  <c r="E187" i="1"/>
  <c r="O186" i="1"/>
  <c r="P186" i="1" s="1"/>
  <c r="L186" i="1"/>
  <c r="E186" i="1"/>
  <c r="H186" i="1" s="1"/>
  <c r="I186" i="1" s="1"/>
  <c r="N186" i="1" s="1"/>
  <c r="P185" i="1"/>
  <c r="O185" i="1"/>
  <c r="L185" i="1"/>
  <c r="E185" i="1"/>
  <c r="H185" i="1" s="1"/>
  <c r="I185" i="1" s="1"/>
  <c r="N185" i="1" s="1"/>
  <c r="P184" i="1"/>
  <c r="O184" i="1"/>
  <c r="L184" i="1"/>
  <c r="E184" i="1"/>
  <c r="H184" i="1" s="1"/>
  <c r="I184" i="1" s="1"/>
  <c r="N184" i="1" s="1"/>
  <c r="O183" i="1"/>
  <c r="P183" i="1" s="1"/>
  <c r="N183" i="1"/>
  <c r="L183" i="1"/>
  <c r="I183" i="1"/>
  <c r="H183" i="1"/>
  <c r="E183" i="1"/>
  <c r="O182" i="1"/>
  <c r="P182" i="1" s="1"/>
  <c r="L182" i="1"/>
  <c r="H182" i="1"/>
  <c r="I182" i="1" s="1"/>
  <c r="N182" i="1" s="1"/>
  <c r="E182" i="1"/>
  <c r="O181" i="1"/>
  <c r="P181" i="1" s="1"/>
  <c r="L181" i="1"/>
  <c r="E181" i="1"/>
  <c r="H181" i="1" s="1"/>
  <c r="I181" i="1" s="1"/>
  <c r="N181" i="1" s="1"/>
  <c r="P180" i="1"/>
  <c r="O180" i="1"/>
  <c r="L180" i="1"/>
  <c r="I180" i="1"/>
  <c r="N180" i="1" s="1"/>
  <c r="H180" i="1"/>
  <c r="E180" i="1"/>
  <c r="P179" i="1"/>
  <c r="O179" i="1"/>
  <c r="L179" i="1"/>
  <c r="H179" i="1"/>
  <c r="I179" i="1" s="1"/>
  <c r="N179" i="1" s="1"/>
  <c r="E179" i="1"/>
  <c r="O178" i="1"/>
  <c r="P178" i="1" s="1"/>
  <c r="L178" i="1"/>
  <c r="E178" i="1"/>
  <c r="H178" i="1" s="1"/>
  <c r="I178" i="1" s="1"/>
  <c r="N178" i="1" s="1"/>
  <c r="P177" i="1"/>
  <c r="O177" i="1"/>
  <c r="L177" i="1"/>
  <c r="E177" i="1"/>
  <c r="H177" i="1" s="1"/>
  <c r="I177" i="1" s="1"/>
  <c r="N177" i="1" s="1"/>
  <c r="P176" i="1"/>
  <c r="O176" i="1"/>
  <c r="L176" i="1"/>
  <c r="E176" i="1"/>
  <c r="H176" i="1" s="1"/>
  <c r="I176" i="1" s="1"/>
  <c r="N176" i="1" s="1"/>
  <c r="O175" i="1"/>
  <c r="P175" i="1" s="1"/>
  <c r="N175" i="1"/>
  <c r="L175" i="1"/>
  <c r="I175" i="1"/>
  <c r="H175" i="1"/>
  <c r="E175" i="1"/>
  <c r="O174" i="1"/>
  <c r="P174" i="1" s="1"/>
  <c r="L174" i="1"/>
  <c r="H174" i="1"/>
  <c r="I174" i="1" s="1"/>
  <c r="N174" i="1" s="1"/>
  <c r="E174" i="1"/>
  <c r="O173" i="1"/>
  <c r="P173" i="1" s="1"/>
  <c r="L173" i="1"/>
  <c r="E173" i="1"/>
  <c r="H173" i="1" s="1"/>
  <c r="I173" i="1" s="1"/>
  <c r="N173" i="1" s="1"/>
  <c r="P172" i="1"/>
  <c r="O172" i="1"/>
  <c r="L172" i="1"/>
  <c r="I172" i="1"/>
  <c r="N172" i="1" s="1"/>
  <c r="H172" i="1"/>
  <c r="E172" i="1"/>
  <c r="P171" i="1"/>
  <c r="O171" i="1"/>
  <c r="L171" i="1"/>
  <c r="H171" i="1"/>
  <c r="I171" i="1" s="1"/>
  <c r="N171" i="1" s="1"/>
  <c r="E171" i="1"/>
  <c r="O170" i="1"/>
  <c r="P170" i="1" s="1"/>
  <c r="L170" i="1"/>
  <c r="E170" i="1"/>
  <c r="H170" i="1" s="1"/>
  <c r="I170" i="1" s="1"/>
  <c r="N170" i="1" s="1"/>
  <c r="P169" i="1"/>
  <c r="O169" i="1"/>
  <c r="L169" i="1"/>
  <c r="E169" i="1"/>
  <c r="H169" i="1" s="1"/>
  <c r="I169" i="1" s="1"/>
  <c r="N169" i="1" s="1"/>
  <c r="P168" i="1"/>
  <c r="O168" i="1"/>
  <c r="L168" i="1"/>
  <c r="E168" i="1"/>
  <c r="H168" i="1" s="1"/>
  <c r="I168" i="1" s="1"/>
  <c r="N168" i="1" s="1"/>
  <c r="O167" i="1"/>
  <c r="P167" i="1" s="1"/>
  <c r="N167" i="1"/>
  <c r="L167" i="1"/>
  <c r="I167" i="1"/>
  <c r="H167" i="1"/>
  <c r="E167" i="1"/>
  <c r="O166" i="1"/>
  <c r="P166" i="1" s="1"/>
  <c r="L166" i="1"/>
  <c r="H166" i="1"/>
  <c r="I166" i="1" s="1"/>
  <c r="N166" i="1" s="1"/>
  <c r="E166" i="1"/>
  <c r="O165" i="1"/>
  <c r="P165" i="1" s="1"/>
  <c r="L165" i="1"/>
  <c r="E165" i="1"/>
  <c r="H165" i="1" s="1"/>
  <c r="I165" i="1" s="1"/>
  <c r="N165" i="1" s="1"/>
  <c r="P164" i="1"/>
  <c r="O164" i="1"/>
  <c r="L164" i="1"/>
  <c r="I164" i="1"/>
  <c r="N164" i="1" s="1"/>
  <c r="H164" i="1"/>
  <c r="E164" i="1"/>
  <c r="P163" i="1"/>
  <c r="O163" i="1"/>
  <c r="L163" i="1"/>
  <c r="H163" i="1"/>
  <c r="I163" i="1" s="1"/>
  <c r="N163" i="1" s="1"/>
  <c r="E163" i="1"/>
  <c r="O162" i="1"/>
  <c r="P162" i="1" s="1"/>
  <c r="L162" i="1"/>
  <c r="E162" i="1"/>
  <c r="H162" i="1" s="1"/>
  <c r="I162" i="1" s="1"/>
  <c r="N162" i="1" s="1"/>
  <c r="P161" i="1"/>
  <c r="O161" i="1"/>
  <c r="L161" i="1"/>
  <c r="E161" i="1"/>
  <c r="H161" i="1" s="1"/>
  <c r="I161" i="1" s="1"/>
  <c r="N161" i="1" s="1"/>
  <c r="P160" i="1"/>
  <c r="O160" i="1"/>
  <c r="L160" i="1"/>
  <c r="E160" i="1"/>
  <c r="H160" i="1" s="1"/>
  <c r="I160" i="1" s="1"/>
  <c r="N160" i="1" s="1"/>
  <c r="O159" i="1"/>
  <c r="P159" i="1" s="1"/>
  <c r="N159" i="1"/>
  <c r="L159" i="1"/>
  <c r="I159" i="1"/>
  <c r="H159" i="1"/>
  <c r="E159" i="1"/>
  <c r="O158" i="1"/>
  <c r="P158" i="1" s="1"/>
  <c r="L158" i="1"/>
  <c r="H158" i="1"/>
  <c r="I158" i="1" s="1"/>
  <c r="N158" i="1" s="1"/>
  <c r="E158" i="1"/>
  <c r="O157" i="1"/>
  <c r="P157" i="1" s="1"/>
  <c r="L157" i="1"/>
  <c r="E157" i="1"/>
  <c r="H157" i="1" s="1"/>
  <c r="I157" i="1" s="1"/>
  <c r="N157" i="1" s="1"/>
  <c r="P156" i="1"/>
  <c r="O156" i="1"/>
  <c r="L156" i="1"/>
  <c r="I156" i="1"/>
  <c r="N156" i="1" s="1"/>
  <c r="H156" i="1"/>
  <c r="E156" i="1"/>
  <c r="P155" i="1"/>
  <c r="O155" i="1"/>
  <c r="L155" i="1"/>
  <c r="H155" i="1"/>
  <c r="I155" i="1" s="1"/>
  <c r="N155" i="1" s="1"/>
  <c r="E155" i="1"/>
  <c r="O154" i="1"/>
  <c r="P154" i="1" s="1"/>
  <c r="L154" i="1"/>
  <c r="E154" i="1"/>
  <c r="H154" i="1" s="1"/>
  <c r="I154" i="1" s="1"/>
  <c r="N154" i="1" s="1"/>
  <c r="P153" i="1"/>
  <c r="O153" i="1"/>
  <c r="L153" i="1"/>
  <c r="E153" i="1"/>
  <c r="H153" i="1" s="1"/>
  <c r="I153" i="1" s="1"/>
  <c r="N153" i="1" s="1"/>
  <c r="P152" i="1"/>
  <c r="O152" i="1"/>
  <c r="L152" i="1"/>
  <c r="E152" i="1"/>
  <c r="H152" i="1" s="1"/>
  <c r="I152" i="1" s="1"/>
  <c r="N152" i="1" s="1"/>
  <c r="O151" i="1"/>
  <c r="P151" i="1" s="1"/>
  <c r="N151" i="1"/>
  <c r="L151" i="1"/>
  <c r="I151" i="1"/>
  <c r="H151" i="1"/>
  <c r="E151" i="1"/>
  <c r="O150" i="1"/>
  <c r="P150" i="1" s="1"/>
  <c r="L150" i="1"/>
  <c r="H150" i="1"/>
  <c r="I150" i="1" s="1"/>
  <c r="N150" i="1" s="1"/>
  <c r="E150" i="1"/>
  <c r="O149" i="1"/>
  <c r="P149" i="1" s="1"/>
  <c r="L149" i="1"/>
  <c r="E149" i="1"/>
  <c r="H149" i="1" s="1"/>
  <c r="I149" i="1" s="1"/>
  <c r="N149" i="1" s="1"/>
  <c r="P148" i="1"/>
  <c r="O148" i="1"/>
  <c r="L148" i="1"/>
  <c r="I148" i="1"/>
  <c r="N148" i="1" s="1"/>
  <c r="H148" i="1"/>
  <c r="E148" i="1"/>
  <c r="P147" i="1"/>
  <c r="O147" i="1"/>
  <c r="L147" i="1"/>
  <c r="H147" i="1"/>
  <c r="I147" i="1" s="1"/>
  <c r="N147" i="1" s="1"/>
  <c r="E147" i="1"/>
  <c r="O146" i="1"/>
  <c r="P146" i="1" s="1"/>
  <c r="L146" i="1"/>
  <c r="E146" i="1"/>
  <c r="H146" i="1" s="1"/>
  <c r="I146" i="1" s="1"/>
  <c r="N146" i="1" s="1"/>
  <c r="P145" i="1"/>
  <c r="O145" i="1"/>
  <c r="L145" i="1"/>
  <c r="E145" i="1"/>
  <c r="H145" i="1" s="1"/>
  <c r="I145" i="1" s="1"/>
  <c r="N145" i="1" s="1"/>
  <c r="P144" i="1"/>
  <c r="O144" i="1"/>
  <c r="L144" i="1"/>
  <c r="E144" i="1"/>
  <c r="H144" i="1" s="1"/>
  <c r="I144" i="1" s="1"/>
  <c r="N144" i="1" s="1"/>
  <c r="O143" i="1"/>
  <c r="P143" i="1" s="1"/>
  <c r="N143" i="1"/>
  <c r="L143" i="1"/>
  <c r="I143" i="1"/>
  <c r="H143" i="1"/>
  <c r="E143" i="1"/>
  <c r="O142" i="1"/>
  <c r="P142" i="1" s="1"/>
  <c r="L142" i="1"/>
  <c r="H142" i="1"/>
  <c r="I142" i="1" s="1"/>
  <c r="N142" i="1" s="1"/>
  <c r="E142" i="1"/>
  <c r="O141" i="1"/>
  <c r="P141" i="1" s="1"/>
  <c r="L141" i="1"/>
  <c r="E141" i="1"/>
  <c r="H141" i="1" s="1"/>
  <c r="I141" i="1" s="1"/>
  <c r="N141" i="1" s="1"/>
  <c r="P140" i="1"/>
  <c r="O140" i="1"/>
  <c r="L140" i="1"/>
  <c r="I140" i="1"/>
  <c r="N140" i="1" s="1"/>
  <c r="H140" i="1"/>
  <c r="E140" i="1"/>
  <c r="P139" i="1"/>
  <c r="O139" i="1"/>
  <c r="L139" i="1"/>
  <c r="H139" i="1"/>
  <c r="I139" i="1" s="1"/>
  <c r="N139" i="1" s="1"/>
  <c r="E139" i="1"/>
  <c r="O138" i="1"/>
  <c r="P138" i="1" s="1"/>
  <c r="L138" i="1"/>
  <c r="E138" i="1"/>
  <c r="H138" i="1" s="1"/>
  <c r="I138" i="1" s="1"/>
  <c r="N138" i="1" s="1"/>
  <c r="P137" i="1"/>
  <c r="O137" i="1"/>
  <c r="L137" i="1"/>
  <c r="E137" i="1"/>
  <c r="H137" i="1" s="1"/>
  <c r="I137" i="1" s="1"/>
  <c r="N137" i="1" s="1"/>
  <c r="P136" i="1"/>
  <c r="O136" i="1"/>
  <c r="L136" i="1"/>
  <c r="E136" i="1"/>
  <c r="H136" i="1" s="1"/>
  <c r="I136" i="1" s="1"/>
  <c r="N136" i="1" s="1"/>
  <c r="O135" i="1"/>
  <c r="P135" i="1" s="1"/>
  <c r="N135" i="1"/>
  <c r="L135" i="1"/>
  <c r="I135" i="1"/>
  <c r="H135" i="1"/>
  <c r="E135" i="1"/>
  <c r="O134" i="1"/>
  <c r="P134" i="1" s="1"/>
  <c r="L134" i="1"/>
  <c r="H134" i="1"/>
  <c r="I134" i="1" s="1"/>
  <c r="N134" i="1" s="1"/>
  <c r="E134" i="1"/>
  <c r="O133" i="1"/>
  <c r="P133" i="1" s="1"/>
  <c r="L133" i="1"/>
  <c r="E133" i="1"/>
  <c r="H133" i="1" s="1"/>
  <c r="I133" i="1" s="1"/>
  <c r="N133" i="1" s="1"/>
  <c r="P132" i="1"/>
  <c r="O132" i="1"/>
  <c r="L132" i="1"/>
  <c r="I132" i="1"/>
  <c r="N132" i="1" s="1"/>
  <c r="H132" i="1"/>
  <c r="E132" i="1"/>
  <c r="P131" i="1"/>
  <c r="O131" i="1"/>
  <c r="L131" i="1"/>
  <c r="H131" i="1"/>
  <c r="I131" i="1" s="1"/>
  <c r="N131" i="1" s="1"/>
  <c r="E131" i="1"/>
  <c r="O130" i="1"/>
  <c r="P130" i="1" s="1"/>
  <c r="L130" i="1"/>
  <c r="E130" i="1"/>
  <c r="H130" i="1" s="1"/>
  <c r="I130" i="1" s="1"/>
  <c r="N130" i="1" s="1"/>
  <c r="P129" i="1"/>
  <c r="O129" i="1"/>
  <c r="L129" i="1"/>
  <c r="E129" i="1"/>
  <c r="H129" i="1" s="1"/>
  <c r="I129" i="1" s="1"/>
  <c r="N129" i="1" s="1"/>
  <c r="P128" i="1"/>
  <c r="O128" i="1"/>
  <c r="L128" i="1"/>
  <c r="E128" i="1"/>
  <c r="H128" i="1" s="1"/>
  <c r="I128" i="1" s="1"/>
  <c r="N128" i="1" s="1"/>
  <c r="O127" i="1"/>
  <c r="P127" i="1" s="1"/>
  <c r="N127" i="1"/>
  <c r="L127" i="1"/>
  <c r="I127" i="1"/>
  <c r="H127" i="1"/>
  <c r="E127" i="1"/>
  <c r="O126" i="1"/>
  <c r="P126" i="1" s="1"/>
  <c r="L126" i="1"/>
  <c r="H126" i="1"/>
  <c r="I126" i="1" s="1"/>
  <c r="N126" i="1" s="1"/>
  <c r="E126" i="1"/>
  <c r="O125" i="1"/>
  <c r="P125" i="1" s="1"/>
  <c r="L125" i="1"/>
  <c r="E125" i="1"/>
  <c r="H125" i="1" s="1"/>
  <c r="I125" i="1" s="1"/>
  <c r="N125" i="1" s="1"/>
  <c r="P124" i="1"/>
  <c r="O124" i="1"/>
  <c r="L124" i="1"/>
  <c r="I124" i="1"/>
  <c r="N124" i="1" s="1"/>
  <c r="H124" i="1"/>
  <c r="E124" i="1"/>
  <c r="P123" i="1"/>
  <c r="O123" i="1"/>
  <c r="L123" i="1"/>
  <c r="H123" i="1"/>
  <c r="I123" i="1" s="1"/>
  <c r="N123" i="1" s="1"/>
  <c r="E123" i="1"/>
  <c r="O122" i="1"/>
  <c r="P122" i="1" s="1"/>
  <c r="L122" i="1"/>
  <c r="E122" i="1"/>
  <c r="H122" i="1" s="1"/>
  <c r="I122" i="1" s="1"/>
  <c r="N122" i="1" s="1"/>
  <c r="P121" i="1"/>
  <c r="O121" i="1"/>
  <c r="L121" i="1"/>
  <c r="E121" i="1"/>
  <c r="H121" i="1" s="1"/>
  <c r="I121" i="1" s="1"/>
  <c r="N121" i="1" s="1"/>
  <c r="P120" i="1"/>
  <c r="O120" i="1"/>
  <c r="L120" i="1"/>
  <c r="E120" i="1"/>
  <c r="H120" i="1" s="1"/>
  <c r="I120" i="1" s="1"/>
  <c r="N120" i="1" s="1"/>
  <c r="O119" i="1"/>
  <c r="P119" i="1" s="1"/>
  <c r="N119" i="1"/>
  <c r="L119" i="1"/>
  <c r="I119" i="1"/>
  <c r="H119" i="1"/>
  <c r="E119" i="1"/>
  <c r="O118" i="1"/>
  <c r="P118" i="1" s="1"/>
  <c r="L118" i="1"/>
  <c r="H118" i="1"/>
  <c r="I118" i="1" s="1"/>
  <c r="N118" i="1" s="1"/>
  <c r="E118" i="1"/>
  <c r="O117" i="1"/>
  <c r="P117" i="1" s="1"/>
  <c r="L117" i="1"/>
  <c r="E117" i="1"/>
  <c r="H117" i="1" s="1"/>
  <c r="I117" i="1" s="1"/>
  <c r="N117" i="1" s="1"/>
  <c r="P116" i="1"/>
  <c r="O116" i="1"/>
  <c r="L116" i="1"/>
  <c r="I116" i="1"/>
  <c r="N116" i="1" s="1"/>
  <c r="H116" i="1"/>
  <c r="E116" i="1"/>
  <c r="P115" i="1"/>
  <c r="O115" i="1"/>
  <c r="L115" i="1"/>
  <c r="H115" i="1"/>
  <c r="I115" i="1" s="1"/>
  <c r="N115" i="1" s="1"/>
  <c r="E115" i="1"/>
  <c r="O114" i="1"/>
  <c r="P114" i="1" s="1"/>
  <c r="L114" i="1"/>
  <c r="E114" i="1"/>
  <c r="H114" i="1" s="1"/>
  <c r="I114" i="1" s="1"/>
  <c r="N114" i="1" s="1"/>
  <c r="P113" i="1"/>
  <c r="O113" i="1"/>
  <c r="L113" i="1"/>
  <c r="E113" i="1"/>
  <c r="H113" i="1" s="1"/>
  <c r="I113" i="1" s="1"/>
  <c r="N113" i="1" s="1"/>
  <c r="P112" i="1"/>
  <c r="O112" i="1"/>
  <c r="L112" i="1"/>
  <c r="E112" i="1"/>
  <c r="H112" i="1" s="1"/>
  <c r="I112" i="1" s="1"/>
  <c r="N112" i="1" s="1"/>
  <c r="O111" i="1"/>
  <c r="P111" i="1" s="1"/>
  <c r="N111" i="1"/>
  <c r="L111" i="1"/>
  <c r="I111" i="1"/>
  <c r="H111" i="1"/>
  <c r="E111" i="1"/>
  <c r="O110" i="1"/>
  <c r="P110" i="1" s="1"/>
  <c r="L110" i="1"/>
  <c r="H110" i="1"/>
  <c r="I110" i="1" s="1"/>
  <c r="N110" i="1" s="1"/>
  <c r="E110" i="1"/>
  <c r="O109" i="1"/>
  <c r="P109" i="1" s="1"/>
  <c r="L109" i="1"/>
  <c r="E109" i="1"/>
  <c r="H109" i="1" s="1"/>
  <c r="I109" i="1" s="1"/>
  <c r="N109" i="1" s="1"/>
  <c r="P108" i="1"/>
  <c r="O108" i="1"/>
  <c r="L108" i="1"/>
  <c r="I108" i="1"/>
  <c r="N108" i="1" s="1"/>
  <c r="H108" i="1"/>
  <c r="E108" i="1"/>
  <c r="P107" i="1"/>
  <c r="O107" i="1"/>
  <c r="L107" i="1"/>
  <c r="H107" i="1"/>
  <c r="I107" i="1" s="1"/>
  <c r="N107" i="1" s="1"/>
  <c r="E107" i="1"/>
  <c r="O106" i="1"/>
  <c r="P106" i="1" s="1"/>
  <c r="L106" i="1"/>
  <c r="E106" i="1"/>
  <c r="H106" i="1" s="1"/>
  <c r="I106" i="1" s="1"/>
  <c r="N106" i="1" s="1"/>
  <c r="P105" i="1"/>
  <c r="O105" i="1"/>
  <c r="L105" i="1"/>
  <c r="E105" i="1"/>
  <c r="H105" i="1" s="1"/>
  <c r="I105" i="1" s="1"/>
  <c r="N105" i="1" s="1"/>
  <c r="P104" i="1"/>
  <c r="O104" i="1"/>
  <c r="L104" i="1"/>
  <c r="E104" i="1"/>
  <c r="H104" i="1" s="1"/>
  <c r="I104" i="1" s="1"/>
  <c r="N104" i="1" s="1"/>
  <c r="O103" i="1"/>
  <c r="P103" i="1" s="1"/>
  <c r="N103" i="1"/>
  <c r="L103" i="1"/>
  <c r="I103" i="1"/>
  <c r="H103" i="1"/>
  <c r="E103" i="1"/>
  <c r="O102" i="1"/>
  <c r="P102" i="1" s="1"/>
  <c r="L102" i="1"/>
  <c r="H102" i="1"/>
  <c r="I102" i="1" s="1"/>
  <c r="N102" i="1" s="1"/>
  <c r="E102" i="1"/>
  <c r="O101" i="1"/>
  <c r="P101" i="1" s="1"/>
  <c r="L101" i="1"/>
  <c r="E101" i="1"/>
  <c r="H101" i="1" s="1"/>
  <c r="I101" i="1" s="1"/>
  <c r="N101" i="1" s="1"/>
  <c r="P100" i="1"/>
  <c r="O100" i="1"/>
  <c r="L100" i="1"/>
  <c r="I100" i="1"/>
  <c r="N100" i="1" s="1"/>
  <c r="H100" i="1"/>
  <c r="E100" i="1"/>
  <c r="P99" i="1"/>
  <c r="O99" i="1"/>
  <c r="L99" i="1"/>
  <c r="H99" i="1"/>
  <c r="I99" i="1" s="1"/>
  <c r="N99" i="1" s="1"/>
  <c r="E99" i="1"/>
  <c r="O98" i="1"/>
  <c r="P98" i="1" s="1"/>
  <c r="L98" i="1"/>
  <c r="E98" i="1"/>
  <c r="H98" i="1" s="1"/>
  <c r="I98" i="1" s="1"/>
  <c r="N98" i="1" s="1"/>
  <c r="P97" i="1"/>
  <c r="O97" i="1"/>
  <c r="L97" i="1"/>
  <c r="E97" i="1"/>
  <c r="H97" i="1" s="1"/>
  <c r="I97" i="1" s="1"/>
  <c r="N97" i="1" s="1"/>
  <c r="P96" i="1"/>
  <c r="O96" i="1"/>
  <c r="L96" i="1"/>
  <c r="E96" i="1"/>
  <c r="H96" i="1" s="1"/>
  <c r="I96" i="1" s="1"/>
  <c r="N96" i="1" s="1"/>
  <c r="O95" i="1"/>
  <c r="P95" i="1" s="1"/>
  <c r="N95" i="1"/>
  <c r="L95" i="1"/>
  <c r="I95" i="1"/>
  <c r="H95" i="1"/>
  <c r="E95" i="1"/>
  <c r="O94" i="1"/>
  <c r="P94" i="1" s="1"/>
  <c r="L94" i="1"/>
  <c r="H94" i="1"/>
  <c r="I94" i="1" s="1"/>
  <c r="N94" i="1" s="1"/>
  <c r="E94" i="1"/>
  <c r="O93" i="1"/>
  <c r="P93" i="1" s="1"/>
  <c r="L93" i="1"/>
  <c r="E93" i="1"/>
  <c r="H93" i="1" s="1"/>
  <c r="I93" i="1" s="1"/>
  <c r="N93" i="1" s="1"/>
  <c r="P92" i="1"/>
  <c r="O92" i="1"/>
  <c r="L92" i="1"/>
  <c r="I92" i="1"/>
  <c r="N92" i="1" s="1"/>
  <c r="H92" i="1"/>
  <c r="E92" i="1"/>
  <c r="P91" i="1"/>
  <c r="O91" i="1"/>
  <c r="L91" i="1"/>
  <c r="H91" i="1"/>
  <c r="I91" i="1" s="1"/>
  <c r="N91" i="1" s="1"/>
  <c r="E91" i="1"/>
  <c r="O90" i="1"/>
  <c r="P90" i="1" s="1"/>
  <c r="L90" i="1"/>
  <c r="E90" i="1"/>
  <c r="H90" i="1" s="1"/>
  <c r="I90" i="1" s="1"/>
  <c r="N90" i="1" s="1"/>
  <c r="P89" i="1"/>
  <c r="O89" i="1"/>
  <c r="L89" i="1"/>
  <c r="E89" i="1"/>
  <c r="H89" i="1" s="1"/>
  <c r="I89" i="1" s="1"/>
  <c r="N89" i="1" s="1"/>
  <c r="P88" i="1"/>
  <c r="O88" i="1"/>
  <c r="L88" i="1"/>
  <c r="E88" i="1"/>
  <c r="H88" i="1" s="1"/>
  <c r="I88" i="1" s="1"/>
  <c r="N88" i="1" s="1"/>
  <c r="O87" i="1"/>
  <c r="P87" i="1" s="1"/>
  <c r="N87" i="1"/>
  <c r="L87" i="1"/>
  <c r="I87" i="1"/>
  <c r="H87" i="1"/>
  <c r="E87" i="1"/>
  <c r="O86" i="1"/>
  <c r="P86" i="1" s="1"/>
  <c r="L86" i="1"/>
  <c r="H86" i="1"/>
  <c r="I86" i="1" s="1"/>
  <c r="N86" i="1" s="1"/>
  <c r="E86" i="1"/>
  <c r="O85" i="1"/>
  <c r="P85" i="1" s="1"/>
  <c r="L85" i="1"/>
  <c r="E85" i="1"/>
  <c r="H85" i="1" s="1"/>
  <c r="I85" i="1" s="1"/>
  <c r="N85" i="1" s="1"/>
  <c r="P84" i="1"/>
  <c r="O84" i="1"/>
  <c r="L84" i="1"/>
  <c r="I84" i="1"/>
  <c r="N84" i="1" s="1"/>
  <c r="H84" i="1"/>
  <c r="E84" i="1"/>
  <c r="P83" i="1"/>
  <c r="O83" i="1"/>
  <c r="L83" i="1"/>
  <c r="H83" i="1"/>
  <c r="I83" i="1" s="1"/>
  <c r="N83" i="1" s="1"/>
  <c r="E83" i="1"/>
  <c r="O82" i="1"/>
  <c r="P82" i="1" s="1"/>
  <c r="L82" i="1"/>
  <c r="E82" i="1"/>
  <c r="H82" i="1" s="1"/>
  <c r="I82" i="1" s="1"/>
  <c r="N82" i="1" s="1"/>
  <c r="P81" i="1"/>
  <c r="O81" i="1"/>
  <c r="L81" i="1"/>
  <c r="E81" i="1"/>
  <c r="H81" i="1" s="1"/>
  <c r="I81" i="1" s="1"/>
  <c r="N81" i="1" s="1"/>
  <c r="P80" i="1"/>
  <c r="O80" i="1"/>
  <c r="L80" i="1"/>
  <c r="E80" i="1"/>
  <c r="H80" i="1" s="1"/>
  <c r="I80" i="1" s="1"/>
  <c r="N80" i="1" s="1"/>
  <c r="O79" i="1"/>
  <c r="P79" i="1" s="1"/>
  <c r="N79" i="1"/>
  <c r="L79" i="1"/>
  <c r="I79" i="1"/>
  <c r="H79" i="1"/>
  <c r="E79" i="1"/>
  <c r="O78" i="1"/>
  <c r="P78" i="1" s="1"/>
  <c r="L78" i="1"/>
  <c r="H78" i="1"/>
  <c r="I78" i="1" s="1"/>
  <c r="N78" i="1" s="1"/>
  <c r="E78" i="1"/>
  <c r="O77" i="1"/>
  <c r="P77" i="1" s="1"/>
  <c r="L77" i="1"/>
  <c r="E77" i="1"/>
  <c r="H77" i="1" s="1"/>
  <c r="I77" i="1" s="1"/>
  <c r="N77" i="1" s="1"/>
  <c r="P76" i="1"/>
  <c r="O76" i="1"/>
  <c r="L76" i="1"/>
  <c r="I76" i="1"/>
  <c r="N76" i="1" s="1"/>
  <c r="H76" i="1"/>
  <c r="E76" i="1"/>
  <c r="P75" i="1"/>
  <c r="O75" i="1"/>
  <c r="L75" i="1"/>
  <c r="H75" i="1"/>
  <c r="I75" i="1" s="1"/>
  <c r="N75" i="1" s="1"/>
  <c r="E75" i="1"/>
  <c r="O74" i="1"/>
  <c r="P74" i="1" s="1"/>
  <c r="L74" i="1"/>
  <c r="E74" i="1"/>
  <c r="H74" i="1" s="1"/>
  <c r="I74" i="1" s="1"/>
  <c r="N74" i="1" s="1"/>
  <c r="P73" i="1"/>
  <c r="O73" i="1"/>
  <c r="L73" i="1"/>
  <c r="E73" i="1"/>
  <c r="H73" i="1" s="1"/>
  <c r="I73" i="1" s="1"/>
  <c r="N73" i="1" s="1"/>
  <c r="P72" i="1"/>
  <c r="O72" i="1"/>
  <c r="L72" i="1"/>
  <c r="E72" i="1"/>
  <c r="H72" i="1" s="1"/>
  <c r="I72" i="1" s="1"/>
  <c r="N72" i="1" s="1"/>
  <c r="O71" i="1"/>
  <c r="P71" i="1" s="1"/>
  <c r="N71" i="1"/>
  <c r="L71" i="1"/>
  <c r="I71" i="1"/>
  <c r="H71" i="1"/>
  <c r="E71" i="1"/>
  <c r="O70" i="1"/>
  <c r="P70" i="1" s="1"/>
  <c r="L70" i="1"/>
  <c r="H70" i="1"/>
  <c r="I70" i="1" s="1"/>
  <c r="N70" i="1" s="1"/>
  <c r="E70" i="1"/>
  <c r="O69" i="1"/>
  <c r="P69" i="1" s="1"/>
  <c r="L69" i="1"/>
  <c r="E69" i="1"/>
  <c r="H69" i="1" s="1"/>
  <c r="I69" i="1" s="1"/>
  <c r="N69" i="1" s="1"/>
  <c r="P68" i="1"/>
  <c r="O68" i="1"/>
  <c r="L68" i="1"/>
  <c r="I68" i="1"/>
  <c r="N68" i="1" s="1"/>
  <c r="H68" i="1"/>
  <c r="E68" i="1"/>
  <c r="P67" i="1"/>
  <c r="O67" i="1"/>
  <c r="L67" i="1"/>
  <c r="H67" i="1"/>
  <c r="I67" i="1" s="1"/>
  <c r="N67" i="1" s="1"/>
  <c r="E67" i="1"/>
  <c r="O66" i="1"/>
  <c r="P66" i="1" s="1"/>
  <c r="L66" i="1"/>
  <c r="E66" i="1"/>
  <c r="H66" i="1" s="1"/>
  <c r="I66" i="1" s="1"/>
  <c r="N66" i="1" s="1"/>
  <c r="P65" i="1"/>
  <c r="O65" i="1"/>
  <c r="L65" i="1"/>
  <c r="E65" i="1"/>
  <c r="H65" i="1" s="1"/>
  <c r="I65" i="1" s="1"/>
  <c r="N65" i="1" s="1"/>
  <c r="P64" i="1"/>
  <c r="O64" i="1"/>
  <c r="L64" i="1"/>
  <c r="E64" i="1"/>
  <c r="H64" i="1" s="1"/>
  <c r="I64" i="1" s="1"/>
  <c r="N64" i="1" s="1"/>
  <c r="O63" i="1"/>
  <c r="P63" i="1" s="1"/>
  <c r="N63" i="1"/>
  <c r="L63" i="1"/>
  <c r="I63" i="1"/>
  <c r="H63" i="1"/>
  <c r="E63" i="1"/>
  <c r="O62" i="1"/>
  <c r="P62" i="1" s="1"/>
  <c r="L62" i="1"/>
  <c r="H62" i="1"/>
  <c r="I62" i="1" s="1"/>
  <c r="N62" i="1" s="1"/>
  <c r="E62" i="1"/>
  <c r="O61" i="1"/>
  <c r="P61" i="1" s="1"/>
  <c r="L61" i="1"/>
  <c r="E61" i="1"/>
  <c r="H61" i="1" s="1"/>
  <c r="I61" i="1" s="1"/>
  <c r="N61" i="1" s="1"/>
  <c r="P60" i="1"/>
  <c r="O60" i="1"/>
  <c r="L60" i="1"/>
  <c r="I60" i="1"/>
  <c r="N60" i="1" s="1"/>
  <c r="H60" i="1"/>
  <c r="E60" i="1"/>
  <c r="P59" i="1"/>
  <c r="O59" i="1"/>
  <c r="L59" i="1"/>
  <c r="H59" i="1"/>
  <c r="I59" i="1" s="1"/>
  <c r="N59" i="1" s="1"/>
  <c r="E59" i="1"/>
  <c r="O58" i="1"/>
  <c r="P58" i="1" s="1"/>
  <c r="L58" i="1"/>
  <c r="E58" i="1"/>
  <c r="H58" i="1" s="1"/>
  <c r="I58" i="1" s="1"/>
  <c r="N58" i="1" s="1"/>
  <c r="P57" i="1"/>
  <c r="O57" i="1"/>
  <c r="L57" i="1"/>
  <c r="E57" i="1"/>
  <c r="H57" i="1" s="1"/>
  <c r="I57" i="1" s="1"/>
  <c r="N57" i="1" s="1"/>
  <c r="P56" i="1"/>
  <c r="O56" i="1"/>
  <c r="L56" i="1"/>
  <c r="E56" i="1"/>
  <c r="H56" i="1" s="1"/>
  <c r="I56" i="1" s="1"/>
  <c r="N56" i="1" s="1"/>
  <c r="O55" i="1"/>
  <c r="P55" i="1" s="1"/>
  <c r="N55" i="1"/>
  <c r="L55" i="1"/>
  <c r="I55" i="1"/>
  <c r="H55" i="1"/>
  <c r="E55" i="1"/>
  <c r="O54" i="1"/>
  <c r="P54" i="1" s="1"/>
  <c r="L54" i="1"/>
  <c r="H54" i="1"/>
  <c r="I54" i="1" s="1"/>
  <c r="N54" i="1" s="1"/>
  <c r="E54" i="1"/>
  <c r="O53" i="1"/>
  <c r="P53" i="1" s="1"/>
  <c r="L53" i="1"/>
  <c r="E53" i="1"/>
  <c r="H53" i="1" s="1"/>
  <c r="I53" i="1" s="1"/>
  <c r="N53" i="1" s="1"/>
  <c r="P52" i="1"/>
  <c r="O52" i="1"/>
  <c r="L52" i="1"/>
  <c r="I52" i="1"/>
  <c r="N52" i="1" s="1"/>
  <c r="H52" i="1"/>
  <c r="E52" i="1"/>
  <c r="P51" i="1"/>
  <c r="O51" i="1"/>
  <c r="L51" i="1"/>
  <c r="H51" i="1"/>
  <c r="I51" i="1" s="1"/>
  <c r="N51" i="1" s="1"/>
  <c r="E51" i="1"/>
  <c r="O50" i="1"/>
  <c r="P50" i="1" s="1"/>
  <c r="L50" i="1"/>
  <c r="E50" i="1"/>
  <c r="H50" i="1" s="1"/>
  <c r="I50" i="1" s="1"/>
  <c r="N50" i="1" s="1"/>
  <c r="P49" i="1"/>
  <c r="O49" i="1"/>
  <c r="L49" i="1"/>
  <c r="E49" i="1"/>
  <c r="H49" i="1" s="1"/>
  <c r="I49" i="1" s="1"/>
  <c r="N49" i="1" s="1"/>
  <c r="P48" i="1"/>
  <c r="O48" i="1"/>
  <c r="L48" i="1"/>
  <c r="E48" i="1"/>
  <c r="H48" i="1" s="1"/>
  <c r="I48" i="1" s="1"/>
  <c r="N48" i="1" s="1"/>
  <c r="O47" i="1"/>
  <c r="P47" i="1" s="1"/>
  <c r="N47" i="1"/>
  <c r="L47" i="1"/>
  <c r="I47" i="1"/>
  <c r="H47" i="1"/>
  <c r="E47" i="1"/>
  <c r="O46" i="1"/>
  <c r="P46" i="1" s="1"/>
  <c r="L46" i="1"/>
  <c r="H46" i="1"/>
  <c r="I46" i="1" s="1"/>
  <c r="N46" i="1" s="1"/>
  <c r="E46" i="1"/>
  <c r="O45" i="1"/>
  <c r="P45" i="1" s="1"/>
  <c r="L45" i="1"/>
  <c r="E45" i="1"/>
  <c r="H45" i="1" s="1"/>
  <c r="I45" i="1" s="1"/>
  <c r="N45" i="1" s="1"/>
  <c r="P44" i="1"/>
  <c r="O44" i="1"/>
  <c r="L44" i="1"/>
  <c r="I44" i="1"/>
  <c r="N44" i="1" s="1"/>
  <c r="H44" i="1"/>
  <c r="E44" i="1"/>
  <c r="P43" i="1"/>
  <c r="O43" i="1"/>
  <c r="L43" i="1"/>
  <c r="H43" i="1"/>
  <c r="I43" i="1" s="1"/>
  <c r="N43" i="1" s="1"/>
  <c r="E43" i="1"/>
  <c r="O42" i="1"/>
  <c r="P42" i="1" s="1"/>
  <c r="L42" i="1"/>
  <c r="E42" i="1"/>
  <c r="H42" i="1" s="1"/>
  <c r="I42" i="1" s="1"/>
  <c r="N42" i="1" s="1"/>
  <c r="P41" i="1"/>
  <c r="O41" i="1"/>
  <c r="L41" i="1"/>
  <c r="E41" i="1"/>
  <c r="H41" i="1" s="1"/>
  <c r="I41" i="1" s="1"/>
  <c r="N41" i="1" s="1"/>
  <c r="P40" i="1"/>
  <c r="O40" i="1"/>
  <c r="L40" i="1"/>
  <c r="E40" i="1"/>
  <c r="H40" i="1" s="1"/>
  <c r="I40" i="1" s="1"/>
  <c r="N40" i="1" s="1"/>
  <c r="O39" i="1"/>
  <c r="P39" i="1" s="1"/>
  <c r="N39" i="1"/>
  <c r="L39" i="1"/>
  <c r="I39" i="1"/>
  <c r="H39" i="1"/>
  <c r="E39" i="1"/>
  <c r="O38" i="1"/>
  <c r="P38" i="1" s="1"/>
  <c r="L38" i="1"/>
  <c r="H38" i="1"/>
  <c r="I38" i="1" s="1"/>
  <c r="N38" i="1" s="1"/>
  <c r="E38" i="1"/>
  <c r="O37" i="1"/>
  <c r="P37" i="1" s="1"/>
  <c r="L37" i="1"/>
  <c r="E37" i="1"/>
  <c r="H37" i="1" s="1"/>
  <c r="I37" i="1" s="1"/>
  <c r="N37" i="1" s="1"/>
  <c r="P36" i="1"/>
  <c r="O36" i="1"/>
  <c r="L36" i="1"/>
  <c r="I36" i="1"/>
  <c r="N36" i="1" s="1"/>
  <c r="H36" i="1"/>
  <c r="E36" i="1"/>
  <c r="P35" i="1"/>
  <c r="O35" i="1"/>
  <c r="L35" i="1"/>
  <c r="H35" i="1"/>
  <c r="I35" i="1" s="1"/>
  <c r="N35" i="1" s="1"/>
  <c r="E35" i="1"/>
  <c r="O34" i="1"/>
  <c r="P34" i="1" s="1"/>
  <c r="L34" i="1"/>
  <c r="E34" i="1"/>
  <c r="H34" i="1" s="1"/>
  <c r="I34" i="1" s="1"/>
  <c r="N34" i="1" s="1"/>
  <c r="P33" i="1"/>
  <c r="O33" i="1"/>
  <c r="L33" i="1"/>
  <c r="E33" i="1"/>
  <c r="H33" i="1" s="1"/>
  <c r="I33" i="1" s="1"/>
  <c r="N33" i="1" s="1"/>
  <c r="P32" i="1"/>
  <c r="O32" i="1"/>
  <c r="L32" i="1"/>
  <c r="E32" i="1"/>
  <c r="H32" i="1" s="1"/>
  <c r="I32" i="1" s="1"/>
  <c r="N32" i="1" s="1"/>
  <c r="O31" i="1"/>
  <c r="P31" i="1" s="1"/>
  <c r="N31" i="1"/>
  <c r="L31" i="1"/>
  <c r="I31" i="1"/>
  <c r="H31" i="1"/>
  <c r="E31" i="1"/>
  <c r="O30" i="1"/>
  <c r="P30" i="1" s="1"/>
  <c r="L30" i="1"/>
  <c r="H30" i="1"/>
  <c r="I30" i="1" s="1"/>
  <c r="N30" i="1" s="1"/>
  <c r="E30" i="1"/>
  <c r="O29" i="1"/>
  <c r="P29" i="1" s="1"/>
  <c r="L29" i="1"/>
  <c r="E29" i="1"/>
  <c r="H29" i="1" s="1"/>
  <c r="I29" i="1" s="1"/>
  <c r="N29" i="1" s="1"/>
  <c r="P28" i="1"/>
  <c r="O28" i="1"/>
  <c r="L28" i="1"/>
  <c r="I28" i="1"/>
  <c r="N28" i="1" s="1"/>
  <c r="H28" i="1"/>
  <c r="E28" i="1"/>
  <c r="P27" i="1"/>
  <c r="O27" i="1"/>
  <c r="L27" i="1"/>
  <c r="H27" i="1"/>
  <c r="I27" i="1" s="1"/>
  <c r="N27" i="1" s="1"/>
  <c r="E27" i="1"/>
  <c r="O26" i="1"/>
  <c r="P26" i="1" s="1"/>
  <c r="L26" i="1"/>
  <c r="E26" i="1"/>
  <c r="H26" i="1" s="1"/>
  <c r="I26" i="1" s="1"/>
  <c r="N26" i="1" s="1"/>
  <c r="P25" i="1"/>
  <c r="O25" i="1"/>
  <c r="L25" i="1"/>
  <c r="E25" i="1"/>
  <c r="H25" i="1" s="1"/>
  <c r="I25" i="1" s="1"/>
  <c r="N25" i="1" s="1"/>
  <c r="P24" i="1"/>
  <c r="O24" i="1"/>
  <c r="L24" i="1"/>
  <c r="E24" i="1"/>
  <c r="H24" i="1" s="1"/>
  <c r="I24" i="1" s="1"/>
  <c r="N24" i="1" s="1"/>
  <c r="O23" i="1"/>
  <c r="P23" i="1" s="1"/>
  <c r="N23" i="1"/>
  <c r="L23" i="1"/>
  <c r="I23" i="1"/>
  <c r="H23" i="1"/>
  <c r="E23" i="1"/>
  <c r="O22" i="1"/>
  <c r="P22" i="1" s="1"/>
  <c r="L22" i="1"/>
  <c r="H22" i="1"/>
  <c r="I22" i="1" s="1"/>
  <c r="N22" i="1" s="1"/>
  <c r="E22" i="1"/>
  <c r="O21" i="1"/>
  <c r="P21" i="1" s="1"/>
  <c r="L21" i="1"/>
  <c r="E21" i="1"/>
  <c r="H21" i="1" s="1"/>
  <c r="I21" i="1" s="1"/>
  <c r="N21" i="1" s="1"/>
  <c r="P20" i="1"/>
  <c r="O20" i="1"/>
  <c r="L20" i="1"/>
  <c r="I20" i="1"/>
  <c r="N20" i="1" s="1"/>
  <c r="H20" i="1"/>
  <c r="E20" i="1"/>
  <c r="P19" i="1"/>
  <c r="O19" i="1"/>
  <c r="L19" i="1"/>
  <c r="H19" i="1"/>
  <c r="I19" i="1" s="1"/>
  <c r="N19" i="1" s="1"/>
  <c r="E19" i="1"/>
  <c r="O18" i="1"/>
  <c r="P18" i="1" s="1"/>
  <c r="L18" i="1"/>
  <c r="E18" i="1"/>
  <c r="H18" i="1" s="1"/>
  <c r="I18" i="1" s="1"/>
  <c r="N18" i="1" s="1"/>
  <c r="P17" i="1"/>
  <c r="O17" i="1"/>
  <c r="L17" i="1"/>
  <c r="E17" i="1"/>
  <c r="H17" i="1" s="1"/>
  <c r="I17" i="1" s="1"/>
  <c r="N17" i="1" s="1"/>
  <c r="P16" i="1"/>
  <c r="O16" i="1"/>
  <c r="L16" i="1"/>
  <c r="E16" i="1"/>
  <c r="H16" i="1" s="1"/>
  <c r="I16" i="1" s="1"/>
  <c r="N16" i="1" s="1"/>
  <c r="O15" i="1"/>
  <c r="P15" i="1" s="1"/>
  <c r="N15" i="1"/>
  <c r="L15" i="1"/>
  <c r="I15" i="1"/>
  <c r="H15" i="1"/>
  <c r="E15" i="1"/>
  <c r="O14" i="1"/>
  <c r="P14" i="1" s="1"/>
  <c r="L14" i="1"/>
  <c r="H14" i="1"/>
  <c r="I14" i="1" s="1"/>
  <c r="N14" i="1" s="1"/>
  <c r="E14" i="1"/>
  <c r="O13" i="1"/>
  <c r="P13" i="1" s="1"/>
  <c r="L13" i="1"/>
  <c r="E13" i="1"/>
  <c r="H13" i="1" s="1"/>
  <c r="I13" i="1" s="1"/>
  <c r="N13" i="1" s="1"/>
  <c r="P12" i="1"/>
  <c r="O12" i="1"/>
  <c r="L12" i="1"/>
  <c r="I12" i="1"/>
  <c r="N12" i="1" s="1"/>
  <c r="H12" i="1"/>
  <c r="E12" i="1"/>
  <c r="P11" i="1"/>
  <c r="O11" i="1"/>
  <c r="L11" i="1"/>
  <c r="H11" i="1"/>
  <c r="I11" i="1" s="1"/>
  <c r="N11" i="1" s="1"/>
  <c r="E11" i="1"/>
  <c r="O10" i="1"/>
  <c r="P10" i="1" s="1"/>
  <c r="L10" i="1"/>
  <c r="E10" i="1"/>
  <c r="H10" i="1" s="1"/>
  <c r="I10" i="1" s="1"/>
  <c r="N10" i="1" s="1"/>
  <c r="P9" i="1"/>
  <c r="O9" i="1"/>
  <c r="L9" i="1"/>
  <c r="E9" i="1"/>
  <c r="H9" i="1" s="1"/>
  <c r="I9" i="1" s="1"/>
  <c r="N9" i="1" s="1"/>
  <c r="P8" i="1"/>
  <c r="O8" i="1"/>
  <c r="L8" i="1"/>
  <c r="E8" i="1"/>
  <c r="H8" i="1" s="1"/>
  <c r="I8" i="1" s="1"/>
  <c r="N8" i="1" s="1"/>
  <c r="O7" i="1"/>
  <c r="P7" i="1" s="1"/>
  <c r="N7" i="1"/>
  <c r="L7" i="1"/>
  <c r="I7" i="1"/>
  <c r="H7" i="1"/>
  <c r="E7" i="1"/>
  <c r="O6" i="1"/>
  <c r="P6" i="1" s="1"/>
  <c r="L6" i="1"/>
  <c r="H6" i="1"/>
  <c r="I6" i="1" s="1"/>
  <c r="N6" i="1" s="1"/>
  <c r="E6" i="1"/>
  <c r="O5" i="1"/>
  <c r="P5" i="1" s="1"/>
  <c r="L5" i="1"/>
  <c r="E5" i="1"/>
  <c r="H5" i="1" s="1"/>
  <c r="I5" i="1" s="1"/>
  <c r="N5" i="1" s="1"/>
  <c r="P4" i="1"/>
  <c r="O4" i="1"/>
  <c r="L4" i="1"/>
  <c r="I4" i="1"/>
  <c r="N4" i="1" s="1"/>
  <c r="H4" i="1"/>
  <c r="E4" i="1"/>
  <c r="P3" i="1"/>
  <c r="O3" i="1"/>
  <c r="L3" i="1"/>
  <c r="H3" i="1"/>
  <c r="I3" i="1" s="1"/>
  <c r="N3" i="1" s="1"/>
  <c r="E3" i="1"/>
  <c r="O2" i="1"/>
  <c r="P2" i="1" s="1"/>
  <c r="L2" i="1"/>
  <c r="E2" i="1"/>
  <c r="H2" i="1" s="1"/>
  <c r="I2" i="1" s="1"/>
  <c r="N2" i="1" s="1"/>
  <c r="N683" i="1" l="1"/>
  <c r="O683" i="1" s="1"/>
  <c r="P683" i="1" s="1"/>
  <c r="N747" i="1"/>
  <c r="O747" i="1" s="1"/>
  <c r="P747" i="1" s="1"/>
  <c r="N811" i="1"/>
  <c r="O811" i="1" s="1"/>
  <c r="P811" i="1" s="1"/>
  <c r="N908" i="1"/>
  <c r="O908" i="1" s="1"/>
  <c r="P908" i="1" s="1"/>
  <c r="N911" i="1"/>
  <c r="O911" i="1" s="1"/>
  <c r="P911" i="1" s="1"/>
  <c r="N916" i="1"/>
  <c r="O916" i="1" s="1"/>
  <c r="P916" i="1" s="1"/>
  <c r="N1027" i="1"/>
  <c r="O1027" i="1" s="1"/>
  <c r="P1027" i="1" s="1"/>
  <c r="N1092" i="1"/>
  <c r="O1092" i="1" s="1"/>
  <c r="P1092" i="1" s="1"/>
  <c r="N495" i="1"/>
  <c r="O495" i="1" s="1"/>
  <c r="P495" i="1" s="1"/>
  <c r="N563" i="1"/>
  <c r="O563" i="1" s="1"/>
  <c r="P563" i="1" s="1"/>
  <c r="N567" i="1"/>
  <c r="O567" i="1" s="1"/>
  <c r="P567" i="1" s="1"/>
  <c r="N627" i="1"/>
  <c r="O627" i="1" s="1"/>
  <c r="P627" i="1" s="1"/>
  <c r="N631" i="1"/>
  <c r="O631" i="1" s="1"/>
  <c r="P631" i="1" s="1"/>
  <c r="N723" i="1"/>
  <c r="O723" i="1" s="1"/>
  <c r="P723" i="1" s="1"/>
  <c r="N787" i="1"/>
  <c r="O787" i="1" s="1"/>
  <c r="P787" i="1" s="1"/>
  <c r="N851" i="1"/>
  <c r="O851" i="1" s="1"/>
  <c r="P851" i="1" s="1"/>
  <c r="N467" i="1"/>
  <c r="O467" i="1" s="1"/>
  <c r="P467" i="1" s="1"/>
  <c r="N483" i="1"/>
  <c r="O483" i="1" s="1"/>
  <c r="P483" i="1" s="1"/>
  <c r="N535" i="1"/>
  <c r="O535" i="1" s="1"/>
  <c r="P535" i="1" s="1"/>
  <c r="N571" i="1"/>
  <c r="O571" i="1" s="1"/>
  <c r="P571" i="1" s="1"/>
  <c r="N575" i="1"/>
  <c r="O575" i="1" s="1"/>
  <c r="P575" i="1" s="1"/>
  <c r="N635" i="1"/>
  <c r="O635" i="1" s="1"/>
  <c r="P635" i="1" s="1"/>
  <c r="N639" i="1"/>
  <c r="O639" i="1" s="1"/>
  <c r="P639" i="1" s="1"/>
  <c r="N699" i="1"/>
  <c r="O699" i="1" s="1"/>
  <c r="P699" i="1" s="1"/>
  <c r="N763" i="1"/>
  <c r="O763" i="1" s="1"/>
  <c r="P763" i="1" s="1"/>
  <c r="N455" i="1"/>
  <c r="O455" i="1" s="1"/>
  <c r="P455" i="1" s="1"/>
  <c r="N487" i="1"/>
  <c r="O487" i="1" s="1"/>
  <c r="P487" i="1" s="1"/>
  <c r="N587" i="1"/>
  <c r="O587" i="1" s="1"/>
  <c r="P587" i="1" s="1"/>
  <c r="N591" i="1"/>
  <c r="O591" i="1" s="1"/>
  <c r="P591" i="1" s="1"/>
  <c r="N651" i="1"/>
  <c r="O651" i="1" s="1"/>
  <c r="P651" i="1" s="1"/>
  <c r="N655" i="1"/>
  <c r="O655" i="1" s="1"/>
  <c r="P655" i="1" s="1"/>
  <c r="N715" i="1"/>
  <c r="O715" i="1" s="1"/>
  <c r="P715" i="1" s="1"/>
  <c r="N779" i="1"/>
  <c r="O779" i="1" s="1"/>
  <c r="P779" i="1" s="1"/>
  <c r="N843" i="1"/>
  <c r="O843" i="1" s="1"/>
  <c r="P843" i="1" s="1"/>
  <c r="N449" i="1"/>
  <c r="O449" i="1" s="1"/>
  <c r="P449" i="1" s="1"/>
  <c r="N463" i="1"/>
  <c r="O463" i="1" s="1"/>
  <c r="P463" i="1" s="1"/>
  <c r="N527" i="1"/>
  <c r="O527" i="1" s="1"/>
  <c r="P527" i="1" s="1"/>
  <c r="N539" i="1"/>
  <c r="O539" i="1" s="1"/>
  <c r="P539" i="1" s="1"/>
  <c r="N595" i="1"/>
  <c r="O595" i="1" s="1"/>
  <c r="P595" i="1" s="1"/>
  <c r="N599" i="1"/>
  <c r="O599" i="1" s="1"/>
  <c r="P599" i="1" s="1"/>
  <c r="N659" i="1"/>
  <c r="O659" i="1" s="1"/>
  <c r="P659" i="1" s="1"/>
  <c r="N663" i="1"/>
  <c r="O663" i="1" s="1"/>
  <c r="P663" i="1" s="1"/>
  <c r="N691" i="1"/>
  <c r="O691" i="1" s="1"/>
  <c r="P691" i="1" s="1"/>
  <c r="N755" i="1"/>
  <c r="O755" i="1" s="1"/>
  <c r="P755" i="1" s="1"/>
  <c r="N819" i="1"/>
  <c r="O819" i="1" s="1"/>
  <c r="P819" i="1" s="1"/>
  <c r="N963" i="1"/>
  <c r="O963" i="1" s="1"/>
  <c r="P963" i="1" s="1"/>
  <c r="N1007" i="1"/>
  <c r="O1007" i="1" s="1"/>
  <c r="P1007" i="1" s="1"/>
  <c r="N1024" i="1"/>
  <c r="O1024" i="1" s="1"/>
  <c r="P1024" i="1" s="1"/>
  <c r="N923" i="1"/>
  <c r="O923" i="1" s="1"/>
  <c r="P923" i="1" s="1"/>
  <c r="N991" i="1"/>
  <c r="O991" i="1" s="1"/>
  <c r="P991" i="1" s="1"/>
  <c r="N1011" i="1"/>
  <c r="O1011" i="1" s="1"/>
  <c r="P1011" i="1" s="1"/>
  <c r="N1039" i="1"/>
  <c r="O1039" i="1" s="1"/>
  <c r="P1039" i="1" s="1"/>
  <c r="N1043" i="1"/>
  <c r="O1043" i="1" s="1"/>
  <c r="P1043" i="1" s="1"/>
  <c r="N1164" i="1"/>
  <c r="O1164" i="1" s="1"/>
  <c r="P1164" i="1" s="1"/>
  <c r="N939" i="1"/>
  <c r="O939" i="1" s="1"/>
  <c r="P939" i="1" s="1"/>
  <c r="N975" i="1"/>
  <c r="O975" i="1" s="1"/>
  <c r="P975" i="1" s="1"/>
  <c r="N995" i="1"/>
  <c r="O995" i="1" s="1"/>
  <c r="P995" i="1" s="1"/>
  <c r="N1055" i="1"/>
  <c r="O1055" i="1" s="1"/>
  <c r="P1055" i="1" s="1"/>
  <c r="N1082" i="1"/>
  <c r="O1082" i="1" s="1"/>
  <c r="P1082" i="1" s="1"/>
  <c r="N1094" i="1"/>
  <c r="O1094" i="1" s="1"/>
  <c r="P1094" i="1" s="1"/>
  <c r="N1482" i="1"/>
  <c r="O1482" i="1" s="1"/>
  <c r="P1482" i="1" s="1"/>
  <c r="N1524" i="1"/>
  <c r="O1524" i="1" s="1"/>
  <c r="P1524" i="1" s="1"/>
  <c r="N1664" i="1"/>
  <c r="O1664" i="1" s="1"/>
  <c r="P1664" i="1" s="1"/>
  <c r="N959" i="1"/>
  <c r="O959" i="1" s="1"/>
  <c r="P959" i="1" s="1"/>
  <c r="N979" i="1"/>
  <c r="O979" i="1" s="1"/>
  <c r="P979" i="1" s="1"/>
  <c r="N1023" i="1"/>
  <c r="O1023" i="1" s="1"/>
  <c r="P1023" i="1" s="1"/>
  <c r="N1098" i="1"/>
  <c r="O1098" i="1" s="1"/>
  <c r="P1098" i="1" s="1"/>
  <c r="N1354" i="1"/>
  <c r="O1354" i="1" s="1"/>
  <c r="P1354" i="1" s="1"/>
  <c r="N903" i="1"/>
  <c r="O903" i="1" s="1"/>
  <c r="P903" i="1" s="1"/>
  <c r="N919" i="1"/>
  <c r="O919" i="1" s="1"/>
  <c r="P919" i="1" s="1"/>
  <c r="N931" i="1"/>
  <c r="O931" i="1" s="1"/>
  <c r="P931" i="1" s="1"/>
  <c r="N983" i="1"/>
  <c r="O983" i="1" s="1"/>
  <c r="P983" i="1" s="1"/>
  <c r="N1003" i="1"/>
  <c r="O1003" i="1" s="1"/>
  <c r="P1003" i="1" s="1"/>
  <c r="N1166" i="1"/>
  <c r="O1166" i="1" s="1"/>
  <c r="P1166" i="1" s="1"/>
  <c r="N1174" i="1"/>
  <c r="O1174" i="1" s="1"/>
  <c r="P1174" i="1" s="1"/>
  <c r="N1182" i="1"/>
  <c r="O1182" i="1" s="1"/>
  <c r="P1182" i="1" s="1"/>
  <c r="N1190" i="1"/>
  <c r="O1190" i="1" s="1"/>
  <c r="P1190" i="1" s="1"/>
  <c r="N1198" i="1"/>
  <c r="O1198" i="1" s="1"/>
  <c r="P1198" i="1" s="1"/>
  <c r="N1148" i="1"/>
  <c r="O1148" i="1" s="1"/>
  <c r="P1148" i="1" s="1"/>
  <c r="N1150" i="1"/>
  <c r="O1150" i="1" s="1"/>
  <c r="P1150" i="1" s="1"/>
  <c r="N1154" i="1"/>
  <c r="O1154" i="1" s="1"/>
  <c r="P1154" i="1" s="1"/>
  <c r="N1220" i="1"/>
  <c r="O1220" i="1" s="1"/>
  <c r="P1220" i="1" s="1"/>
  <c r="N1242" i="1"/>
  <c r="O1242" i="1" s="1"/>
  <c r="P1242" i="1" s="1"/>
  <c r="N1268" i="1"/>
  <c r="O1268" i="1" s="1"/>
  <c r="P1268" i="1" s="1"/>
  <c r="N1274" i="1"/>
  <c r="O1274" i="1" s="1"/>
  <c r="P1274" i="1" s="1"/>
  <c r="N1300" i="1"/>
  <c r="O1300" i="1" s="1"/>
  <c r="P1300" i="1" s="1"/>
  <c r="N1348" i="1"/>
  <c r="O1348" i="1" s="1"/>
  <c r="P1348" i="1" s="1"/>
  <c r="N1370" i="1"/>
  <c r="O1370" i="1" s="1"/>
  <c r="P1370" i="1" s="1"/>
  <c r="N1412" i="1"/>
  <c r="O1412" i="1" s="1"/>
  <c r="P1412" i="1" s="1"/>
  <c r="N1434" i="1"/>
  <c r="O1434" i="1" s="1"/>
  <c r="P1434" i="1" s="1"/>
  <c r="N1476" i="1"/>
  <c r="O1476" i="1" s="1"/>
  <c r="P1476" i="1" s="1"/>
  <c r="N1508" i="1"/>
  <c r="O1508" i="1" s="1"/>
  <c r="P1508" i="1" s="1"/>
  <c r="N1514" i="1"/>
  <c r="O1514" i="1" s="1"/>
  <c r="P1514" i="1" s="1"/>
  <c r="N1575" i="1"/>
  <c r="O1575" i="1" s="1"/>
  <c r="P1575" i="1" s="1"/>
  <c r="N1632" i="1"/>
  <c r="O1632" i="1" s="1"/>
  <c r="P1632" i="1" s="1"/>
  <c r="N1711" i="1"/>
  <c r="O1711" i="1" s="1"/>
  <c r="P1711" i="1" s="1"/>
  <c r="N1695" i="1"/>
  <c r="O1695" i="1" s="1"/>
  <c r="P1695" i="1" s="1"/>
  <c r="N1116" i="1"/>
  <c r="O1116" i="1" s="1"/>
  <c r="P1116" i="1" s="1"/>
  <c r="N1118" i="1"/>
  <c r="O1118" i="1" s="1"/>
  <c r="P1118" i="1" s="1"/>
  <c r="N1122" i="1"/>
  <c r="O1122" i="1" s="1"/>
  <c r="P1122" i="1" s="1"/>
  <c r="N1126" i="1"/>
  <c r="O1126" i="1" s="1"/>
  <c r="P1126" i="1" s="1"/>
  <c r="N1130" i="1"/>
  <c r="O1130" i="1" s="1"/>
  <c r="P1130" i="1" s="1"/>
  <c r="N1234" i="1"/>
  <c r="O1234" i="1" s="1"/>
  <c r="P1234" i="1" s="1"/>
  <c r="N1292" i="1"/>
  <c r="O1292" i="1" s="1"/>
  <c r="P1292" i="1" s="1"/>
  <c r="N1663" i="1"/>
  <c r="O1663" i="1" s="1"/>
  <c r="P1663" i="1" s="1"/>
  <c r="N1696" i="1"/>
  <c r="O1696" i="1" s="1"/>
  <c r="P1696" i="1" s="1"/>
  <c r="N1100" i="1"/>
  <c r="O1100" i="1" s="1"/>
  <c r="P1100" i="1" s="1"/>
  <c r="N1102" i="1"/>
  <c r="O1102" i="1" s="1"/>
  <c r="P1102" i="1" s="1"/>
  <c r="N1106" i="1"/>
  <c r="O1106" i="1" s="1"/>
  <c r="P1106" i="1" s="1"/>
  <c r="N1172" i="1"/>
  <c r="O1172" i="1" s="1"/>
  <c r="P1172" i="1" s="1"/>
  <c r="N1180" i="1"/>
  <c r="O1180" i="1" s="1"/>
  <c r="P1180" i="1" s="1"/>
  <c r="N1188" i="1"/>
  <c r="O1188" i="1" s="1"/>
  <c r="P1188" i="1" s="1"/>
  <c r="N1196" i="1"/>
  <c r="O1196" i="1" s="1"/>
  <c r="P1196" i="1" s="1"/>
  <c r="N1202" i="1"/>
  <c r="O1202" i="1" s="1"/>
  <c r="P1202" i="1" s="1"/>
  <c r="N1228" i="1"/>
  <c r="O1228" i="1" s="1"/>
  <c r="P1228" i="1" s="1"/>
  <c r="N1250" i="1"/>
  <c r="O1250" i="1" s="1"/>
  <c r="P1250" i="1" s="1"/>
  <c r="N1308" i="1"/>
  <c r="O1308" i="1" s="1"/>
  <c r="P1308" i="1" s="1"/>
  <c r="N1314" i="1"/>
  <c r="O1314" i="1" s="1"/>
  <c r="P1314" i="1" s="1"/>
  <c r="N1356" i="1"/>
  <c r="O1356" i="1" s="1"/>
  <c r="P1356" i="1" s="1"/>
  <c r="N1378" i="1"/>
  <c r="O1378" i="1" s="1"/>
  <c r="P1378" i="1" s="1"/>
  <c r="N1420" i="1"/>
  <c r="O1420" i="1" s="1"/>
  <c r="P1420" i="1" s="1"/>
  <c r="N1442" i="1"/>
  <c r="O1442" i="1" s="1"/>
  <c r="P1442" i="1" s="1"/>
  <c r="N1484" i="1"/>
  <c r="O1484" i="1" s="1"/>
  <c r="P1484" i="1" s="1"/>
  <c r="N1535" i="1"/>
  <c r="O1535" i="1" s="1"/>
  <c r="P1535" i="1" s="1"/>
  <c r="N1616" i="1"/>
  <c r="O1616" i="1" s="1"/>
  <c r="P1616" i="1" s="1"/>
  <c r="N1563" i="1"/>
  <c r="O1563" i="1" s="1"/>
  <c r="P1563" i="1" s="1"/>
  <c r="N1579" i="1"/>
  <c r="O1579" i="1" s="1"/>
  <c r="P1579" i="1" s="1"/>
  <c r="N1549" i="1"/>
  <c r="O1549" i="1" s="1"/>
  <c r="P1549" i="1" s="1"/>
  <c r="N1546" i="1"/>
  <c r="O1546" i="1" s="1"/>
  <c r="P1546" i="1" s="1"/>
  <c r="N1557" i="1"/>
  <c r="O1557" i="1" s="1"/>
  <c r="P1557" i="1" s="1"/>
  <c r="N1571" i="1"/>
  <c r="O1571" i="1" s="1"/>
  <c r="P1571" i="1" s="1"/>
  <c r="N1573" i="1"/>
  <c r="O1573" i="1" s="1"/>
  <c r="P1573" i="1" s="1"/>
  <c r="N1906" i="1"/>
  <c r="O1906" i="1" s="1"/>
  <c r="P1906" i="1" s="1"/>
  <c r="N1778" i="1"/>
  <c r="O1778" i="1" s="1"/>
  <c r="P1778" i="1" s="1"/>
  <c r="N1828" i="1"/>
  <c r="O1828" i="1" s="1"/>
  <c r="P1828" i="1" s="1"/>
  <c r="N1762" i="1"/>
  <c r="O1762" i="1" s="1"/>
  <c r="P1762" i="1" s="1"/>
  <c r="N1812" i="1"/>
  <c r="O1812" i="1" s="1"/>
  <c r="P1812" i="1" s="1"/>
  <c r="N1826" i="1"/>
  <c r="O1826" i="1" s="1"/>
  <c r="P1826" i="1" s="1"/>
  <c r="N1876" i="1"/>
  <c r="O1876" i="1" s="1"/>
  <c r="P1876" i="1" s="1"/>
  <c r="N1890" i="1"/>
  <c r="O1890" i="1" s="1"/>
  <c r="P1890" i="1" s="1"/>
  <c r="N1991" i="1"/>
  <c r="O1991" i="1" s="1"/>
  <c r="P1991" i="1" s="1"/>
  <c r="N1796" i="1"/>
  <c r="O1796" i="1" s="1"/>
  <c r="P1796" i="1" s="1"/>
  <c r="N1810" i="1"/>
  <c r="O1810" i="1" s="1"/>
  <c r="P1810" i="1" s="1"/>
  <c r="N1860" i="1"/>
  <c r="O1860" i="1" s="1"/>
  <c r="P1860" i="1" s="1"/>
  <c r="N1874" i="1"/>
  <c r="O1874" i="1" s="1"/>
  <c r="P1874" i="1" s="1"/>
  <c r="N1924" i="1"/>
  <c r="O1924" i="1" s="1"/>
  <c r="P1924" i="1" s="1"/>
  <c r="N1984" i="1"/>
  <c r="O1984" i="1" s="1"/>
  <c r="P1984" i="1" s="1"/>
  <c r="N2063" i="1"/>
  <c r="O2063" i="1" s="1"/>
  <c r="P2063" i="1" s="1"/>
  <c r="N2079" i="1"/>
  <c r="O2079" i="1" s="1"/>
  <c r="P2079" i="1" s="1"/>
  <c r="N2095" i="1"/>
  <c r="O2095" i="1" s="1"/>
  <c r="P2095" i="1" s="1"/>
  <c r="N2111" i="1"/>
  <c r="O2111" i="1" s="1"/>
  <c r="P2111" i="1" s="1"/>
  <c r="N1754" i="1"/>
  <c r="O1754" i="1" s="1"/>
  <c r="P1754" i="1" s="1"/>
  <c r="N1804" i="1"/>
  <c r="O1804" i="1" s="1"/>
  <c r="P1804" i="1" s="1"/>
  <c r="N1818" i="1"/>
  <c r="O1818" i="1" s="1"/>
  <c r="P1818" i="1" s="1"/>
  <c r="N1868" i="1"/>
  <c r="O1868" i="1" s="1"/>
  <c r="P1868" i="1" s="1"/>
  <c r="N1882" i="1"/>
  <c r="O1882" i="1" s="1"/>
  <c r="P1882" i="1" s="1"/>
  <c r="N1956" i="1"/>
  <c r="O1956" i="1" s="1"/>
  <c r="P1956" i="1" s="1"/>
  <c r="N1970" i="1"/>
  <c r="O1970" i="1" s="1"/>
  <c r="P1970" i="1" s="1"/>
  <c r="N1975" i="1"/>
  <c r="O1975" i="1" s="1"/>
  <c r="P1975" i="1" s="1"/>
  <c r="N1987" i="1"/>
  <c r="O1987" i="1" s="1"/>
  <c r="P1987" i="1" s="1"/>
  <c r="N2040" i="1"/>
  <c r="O2040" i="1" s="1"/>
  <c r="P2040" i="1" s="1"/>
  <c r="N2174" i="1"/>
  <c r="O2174" i="1" s="1"/>
  <c r="P2174" i="1" s="1"/>
  <c r="N2205" i="1"/>
  <c r="O2205" i="1" s="1"/>
  <c r="P2205" i="1" s="1"/>
  <c r="N2238" i="1"/>
  <c r="O2238" i="1" s="1"/>
  <c r="P2238" i="1" s="1"/>
  <c r="N2269" i="1"/>
  <c r="O2269" i="1" s="1"/>
  <c r="P2269" i="1" s="1"/>
  <c r="N2118" i="1"/>
  <c r="O2118" i="1" s="1"/>
  <c r="P2118" i="1" s="1"/>
  <c r="N2103" i="1"/>
  <c r="O2103" i="1" s="1"/>
  <c r="P2103" i="1" s="1"/>
  <c r="N2142" i="1"/>
  <c r="O2142" i="1" s="1"/>
  <c r="P2142" i="1" s="1"/>
  <c r="N2170" i="1"/>
  <c r="O2170" i="1" s="1"/>
  <c r="P2170" i="1" s="1"/>
  <c r="N2234" i="1"/>
  <c r="O2234" i="1" s="1"/>
  <c r="P2234" i="1" s="1"/>
  <c r="N2298" i="1"/>
  <c r="O2298" i="1" s="1"/>
  <c r="P2298" i="1" s="1"/>
  <c r="N2194" i="1"/>
  <c r="O2194" i="1" s="1"/>
  <c r="P2194" i="1" s="1"/>
  <c r="N2258" i="1"/>
  <c r="O2258" i="1" s="1"/>
  <c r="P2258" i="1" s="1"/>
  <c r="N2138" i="1"/>
  <c r="O2138" i="1" s="1"/>
  <c r="P2138" i="1" s="1"/>
  <c r="N2149" i="1"/>
  <c r="O2149" i="1" s="1"/>
  <c r="P2149" i="1" s="1"/>
  <c r="N2173" i="1"/>
  <c r="O2173" i="1" s="1"/>
  <c r="P2173" i="1" s="1"/>
  <c r="N2202" i="1"/>
  <c r="O2202" i="1" s="1"/>
  <c r="P2202" i="1" s="1"/>
  <c r="N2237" i="1"/>
  <c r="O2237" i="1" s="1"/>
  <c r="P2237" i="1" s="1"/>
  <c r="N2266" i="1"/>
  <c r="O2266" i="1" s="1"/>
  <c r="P2266" i="1" s="1"/>
  <c r="N2301" i="1"/>
  <c r="O2301" i="1" s="1"/>
  <c r="P2301" i="1" s="1"/>
  <c r="N2317" i="1"/>
  <c r="O2317" i="1" s="1"/>
  <c r="P2317" i="1" s="1"/>
  <c r="N2343" i="1"/>
  <c r="O2343" i="1" s="1"/>
  <c r="P2343" i="1" s="1"/>
  <c r="N2146" i="1"/>
  <c r="O2146" i="1" s="1"/>
  <c r="P2146" i="1" s="1"/>
  <c r="N2181" i="1"/>
  <c r="O2181" i="1" s="1"/>
  <c r="P2181" i="1" s="1"/>
  <c r="N2210" i="1"/>
  <c r="O2210" i="1" s="1"/>
  <c r="P2210" i="1" s="1"/>
  <c r="N2245" i="1"/>
  <c r="O2245" i="1" s="1"/>
  <c r="P2245" i="1" s="1"/>
  <c r="N2274" i="1"/>
  <c r="O2274" i="1" s="1"/>
  <c r="P2274" i="1" s="1"/>
  <c r="N2319" i="1"/>
  <c r="O2319" i="1" s="1"/>
  <c r="P2319" i="1" s="1"/>
  <c r="N2324" i="1"/>
  <c r="O2324" i="1" s="1"/>
  <c r="P2324" i="1" s="1"/>
  <c r="N2332" i="1"/>
  <c r="O2332" i="1" s="1"/>
  <c r="P2332" i="1" s="1"/>
  <c r="N2154" i="1"/>
  <c r="O2154" i="1" s="1"/>
  <c r="P2154" i="1" s="1"/>
  <c r="N2189" i="1"/>
  <c r="O2189" i="1" s="1"/>
  <c r="P2189" i="1" s="1"/>
  <c r="N2218" i="1"/>
  <c r="O2218" i="1" s="1"/>
  <c r="P2218" i="1" s="1"/>
  <c r="N2253" i="1"/>
  <c r="O2253" i="1" s="1"/>
  <c r="P2253" i="1" s="1"/>
  <c r="N2282" i="1"/>
  <c r="O2282" i="1" s="1"/>
  <c r="P2282" i="1" s="1"/>
  <c r="N2328" i="1"/>
  <c r="O2328" i="1" s="1"/>
  <c r="P2328" i="1" s="1"/>
  <c r="N2346" i="1"/>
  <c r="O2346" i="1" s="1"/>
  <c r="P2346" i="1" s="1"/>
  <c r="N2362" i="1"/>
  <c r="O2362" i="1" s="1"/>
  <c r="P2362" i="1" s="1"/>
  <c r="N2378" i="1"/>
  <c r="O2378" i="1" s="1"/>
  <c r="P2378" i="1" s="1"/>
  <c r="N2394" i="1"/>
  <c r="O2394" i="1" s="1"/>
  <c r="P2394" i="1" s="1"/>
  <c r="N2420" i="1"/>
  <c r="O2420" i="1" s="1"/>
  <c r="P2420" i="1" s="1"/>
  <c r="N2436" i="1"/>
  <c r="O2436" i="1" s="1"/>
  <c r="P2436" i="1" s="1"/>
  <c r="N2500" i="1"/>
  <c r="O2500" i="1" s="1"/>
  <c r="P2500" i="1" s="1"/>
  <c r="N2334" i="1"/>
  <c r="O2334" i="1" s="1"/>
  <c r="P2334" i="1" s="1"/>
  <c r="N2364" i="1"/>
  <c r="O2364" i="1" s="1"/>
  <c r="P2364" i="1" s="1"/>
  <c r="N2380" i="1"/>
  <c r="O2380" i="1" s="1"/>
  <c r="P2380" i="1" s="1"/>
  <c r="N2396" i="1"/>
  <c r="O2396" i="1" s="1"/>
  <c r="P2396" i="1" s="1"/>
  <c r="N2444" i="1"/>
  <c r="O2444" i="1" s="1"/>
  <c r="P2444" i="1" s="1"/>
  <c r="N2508" i="1"/>
  <c r="O2508" i="1" s="1"/>
  <c r="P2508" i="1" s="1"/>
  <c r="N2322" i="1"/>
  <c r="O2322" i="1" s="1"/>
  <c r="P2322" i="1" s="1"/>
  <c r="N2423" i="1"/>
  <c r="O2423" i="1" s="1"/>
  <c r="P2423" i="1" s="1"/>
  <c r="N2460" i="1"/>
  <c r="O2460" i="1" s="1"/>
  <c r="P2460" i="1" s="1"/>
  <c r="N2524" i="1"/>
  <c r="O2524" i="1" s="1"/>
  <c r="P2524" i="1" s="1"/>
  <c r="N2532" i="1"/>
  <c r="O2532" i="1" s="1"/>
  <c r="P2532" i="1" s="1"/>
  <c r="N2338" i="1"/>
  <c r="O2338" i="1" s="1"/>
  <c r="P2338" i="1" s="1"/>
  <c r="N2356" i="1"/>
  <c r="O2356" i="1" s="1"/>
  <c r="P2356" i="1" s="1"/>
  <c r="N2372" i="1"/>
  <c r="O2372" i="1" s="1"/>
  <c r="P2372" i="1" s="1"/>
  <c r="N2388" i="1"/>
  <c r="O2388" i="1" s="1"/>
  <c r="P2388" i="1" s="1"/>
  <c r="N2404" i="1"/>
  <c r="O2404" i="1" s="1"/>
  <c r="P2404" i="1" s="1"/>
  <c r="N2476" i="1"/>
  <c r="O2476" i="1" s="1"/>
  <c r="P2476" i="1" s="1"/>
  <c r="N2568" i="1"/>
  <c r="O2568" i="1" s="1"/>
  <c r="P2568" i="1" s="1"/>
  <c r="N2596" i="1"/>
  <c r="O2596" i="1" s="1"/>
  <c r="P2596" i="1" s="1"/>
  <c r="N2838" i="1"/>
  <c r="O2838" i="1" s="1"/>
  <c r="P2838" i="1" s="1"/>
  <c r="N2572" i="1"/>
  <c r="O2572" i="1" s="1"/>
  <c r="P2572" i="1" s="1"/>
  <c r="N2612" i="1"/>
  <c r="O2612" i="1" s="1"/>
  <c r="P2612" i="1" s="1"/>
  <c r="N2767" i="1"/>
  <c r="O2767" i="1" s="1"/>
  <c r="P2767" i="1" s="1"/>
  <c r="N2756" i="1"/>
  <c r="O2756" i="1" s="1"/>
  <c r="P2756" i="1" s="1"/>
  <c r="N2766" i="1"/>
  <c r="O2766" i="1" s="1"/>
  <c r="P2766" i="1" s="1"/>
  <c r="N2910" i="1"/>
  <c r="O2910" i="1" s="1"/>
  <c r="P2910" i="1" s="1"/>
  <c r="N2940" i="1"/>
  <c r="O2940" i="1" s="1"/>
  <c r="P2940" i="1" s="1"/>
  <c r="N2880" i="1"/>
  <c r="O2880" i="1" s="1"/>
  <c r="P2880" i="1" s="1"/>
  <c r="N2902" i="1"/>
  <c r="O2902" i="1" s="1"/>
  <c r="P2902" i="1" s="1"/>
  <c r="N2894" i="1"/>
  <c r="O2894" i="1" s="1"/>
  <c r="P2894" i="1" s="1"/>
  <c r="N2916" i="1"/>
  <c r="O2916" i="1" s="1"/>
  <c r="P2916" i="1" s="1"/>
  <c r="N2980" i="1"/>
  <c r="O2980" i="1" s="1"/>
  <c r="P2980" i="1" s="1"/>
  <c r="N2963" i="1"/>
  <c r="O2963" i="1" s="1"/>
  <c r="P2963" i="1" s="1"/>
  <c r="N3019" i="1"/>
  <c r="O3019" i="1" s="1"/>
  <c r="P3019" i="1" s="1"/>
  <c r="N3094" i="1"/>
  <c r="O3094" i="1" s="1"/>
  <c r="P3094" i="1" s="1"/>
  <c r="N3011" i="1"/>
  <c r="O3011" i="1" s="1"/>
  <c r="P3011" i="1" s="1"/>
  <c r="N2995" i="1"/>
  <c r="O2995" i="1" s="1"/>
  <c r="P2995" i="1" s="1"/>
  <c r="N2945" i="1"/>
  <c r="O2945" i="1" s="1"/>
  <c r="P2945" i="1" s="1"/>
  <c r="N3003" i="1"/>
  <c r="O3003" i="1" s="1"/>
  <c r="P3003" i="1" s="1"/>
  <c r="N3027" i="1"/>
  <c r="O3027" i="1" s="1"/>
  <c r="P3027" i="1" s="1"/>
  <c r="N3105" i="1"/>
  <c r="O3105" i="1" s="1"/>
  <c r="P3105" i="1" s="1"/>
  <c r="N3179" i="1"/>
  <c r="O3179" i="1" s="1"/>
  <c r="P3179" i="1" s="1"/>
  <c r="N3267" i="1"/>
  <c r="O3267" i="1" s="1"/>
  <c r="P3267" i="1" s="1"/>
  <c r="N3120" i="1"/>
  <c r="O3120" i="1" s="1"/>
  <c r="P3120" i="1" s="1"/>
  <c r="N3050" i="1"/>
  <c r="O3050" i="1" s="1"/>
  <c r="P3050" i="1" s="1"/>
  <c r="N3061" i="1"/>
  <c r="O3061" i="1" s="1"/>
  <c r="P3061" i="1" s="1"/>
  <c r="N3067" i="1"/>
  <c r="O3067" i="1" s="1"/>
  <c r="P3067" i="1" s="1"/>
  <c r="N3069" i="1"/>
  <c r="O3069" i="1" s="1"/>
  <c r="P3069" i="1" s="1"/>
  <c r="N3075" i="1"/>
  <c r="O3075" i="1" s="1"/>
  <c r="P3075" i="1" s="1"/>
  <c r="N3077" i="1"/>
  <c r="O3077" i="1" s="1"/>
  <c r="P3077" i="1" s="1"/>
  <c r="N3083" i="1"/>
  <c r="O3083" i="1" s="1"/>
  <c r="P3083" i="1" s="1"/>
  <c r="N3085" i="1"/>
  <c r="O3085" i="1" s="1"/>
  <c r="P3085" i="1" s="1"/>
  <c r="N3159" i="1"/>
  <c r="O3159" i="1" s="1"/>
  <c r="P3159" i="1" s="1"/>
  <c r="N3058" i="1"/>
  <c r="O3058" i="1" s="1"/>
  <c r="P3058" i="1" s="1"/>
  <c r="N3157" i="1"/>
  <c r="O3157" i="1" s="1"/>
  <c r="P3157" i="1" s="1"/>
  <c r="N3114" i="1"/>
  <c r="O3114" i="1" s="1"/>
  <c r="P3114" i="1" s="1"/>
  <c r="N3310" i="1"/>
  <c r="O3310" i="1" s="1"/>
  <c r="P3310" i="1" s="1"/>
  <c r="N3138" i="1"/>
  <c r="O3138" i="1" s="1"/>
  <c r="P3138" i="1" s="1"/>
  <c r="N3154" i="1"/>
  <c r="O3154" i="1" s="1"/>
  <c r="P3154" i="1" s="1"/>
  <c r="N3284" i="1"/>
  <c r="O3284" i="1" s="1"/>
  <c r="P3284" i="1" s="1"/>
  <c r="N3" i="2"/>
  <c r="L18" i="2"/>
  <c r="N19" i="2"/>
  <c r="L10" i="2"/>
  <c r="L75" i="2"/>
  <c r="M75" i="2" s="1"/>
  <c r="N75" i="2" s="1"/>
  <c r="L139" i="2"/>
  <c r="M139" i="2" s="1"/>
  <c r="N139" i="2" s="1"/>
  <c r="L171" i="2"/>
  <c r="M171" i="2" s="1"/>
  <c r="N171" i="2" s="1"/>
  <c r="L196" i="2"/>
  <c r="M196" i="2" s="1"/>
  <c r="N196" i="2" s="1"/>
  <c r="L229" i="2"/>
  <c r="M229" i="2" s="1"/>
  <c r="N229" i="2" s="1"/>
  <c r="L260" i="2"/>
  <c r="M260" i="2" s="1"/>
  <c r="N260" i="2" s="1"/>
  <c r="L115" i="2"/>
  <c r="M115" i="2" s="1"/>
  <c r="N115" i="2" s="1"/>
  <c r="L204" i="2"/>
  <c r="M204" i="2" s="1"/>
  <c r="N204" i="2" s="1"/>
  <c r="L237" i="2"/>
  <c r="M237" i="2" s="1"/>
  <c r="N237" i="2" s="1"/>
  <c r="N246" i="2"/>
  <c r="L268" i="2"/>
  <c r="M268" i="2" s="1"/>
  <c r="N268" i="2" s="1"/>
  <c r="N189" i="2"/>
  <c r="N198" i="2"/>
  <c r="N262" i="2"/>
  <c r="L180" i="2"/>
  <c r="M180" i="2" s="1"/>
  <c r="N180" i="2" s="1"/>
  <c r="L197" i="2"/>
  <c r="M197" i="2" s="1"/>
  <c r="N197" i="2" s="1"/>
  <c r="L228" i="2"/>
  <c r="M228" i="2" s="1"/>
  <c r="N228" i="2" s="1"/>
  <c r="L261" i="2"/>
  <c r="M261" i="2" s="1"/>
  <c r="N261" i="2" s="1"/>
  <c r="L83" i="2"/>
  <c r="M83" i="2" s="1"/>
  <c r="N83" i="2" s="1"/>
  <c r="L172" i="2"/>
  <c r="M172" i="2" s="1"/>
  <c r="N172" i="2" s="1"/>
  <c r="L205" i="2"/>
  <c r="M205" i="2" s="1"/>
  <c r="N205" i="2" s="1"/>
  <c r="N231" i="2"/>
  <c r="L236" i="2"/>
  <c r="M236" i="2" s="1"/>
  <c r="N236" i="2" s="1"/>
  <c r="L269" i="2"/>
  <c r="M269" i="2" s="1"/>
  <c r="N269" i="2" s="1"/>
  <c r="L59" i="2"/>
  <c r="M59" i="2" s="1"/>
  <c r="N59" i="2" s="1"/>
  <c r="L131" i="2"/>
  <c r="M131" i="2" s="1"/>
  <c r="N131" i="2" s="1"/>
  <c r="L163" i="2"/>
  <c r="M163" i="2" s="1"/>
  <c r="N163" i="2" s="1"/>
  <c r="L187" i="2"/>
  <c r="M187" i="2" s="1"/>
  <c r="N187" i="2" s="1"/>
  <c r="L213" i="2"/>
  <c r="M213" i="2" s="1"/>
  <c r="N213" i="2" s="1"/>
  <c r="L244" i="2"/>
  <c r="M244" i="2" s="1"/>
  <c r="N244" i="2" s="1"/>
  <c r="L99" i="2"/>
  <c r="M99" i="2" s="1"/>
  <c r="N99" i="2" s="1"/>
  <c r="N123" i="2"/>
  <c r="L179" i="2"/>
  <c r="M179" i="2" s="1"/>
  <c r="N179" i="2" s="1"/>
  <c r="L221" i="2"/>
  <c r="M221" i="2" s="1"/>
  <c r="N221" i="2" s="1"/>
  <c r="L252" i="2"/>
  <c r="M252" i="2" s="1"/>
  <c r="N252" i="2" s="1"/>
</calcChain>
</file>

<file path=xl/sharedStrings.xml><?xml version="1.0" encoding="utf-8"?>
<sst xmlns="http://schemas.openxmlformats.org/spreadsheetml/2006/main" count="14203" uniqueCount="87">
  <si>
    <t>Fecha</t>
  </si>
  <si>
    <t>Rubro</t>
  </si>
  <si>
    <t>Cosecha/Tarea</t>
  </si>
  <si>
    <t>Frecuencia</t>
  </si>
  <si>
    <t>Cosecha Mensual</t>
  </si>
  <si>
    <t>Producción</t>
  </si>
  <si>
    <t>Unidad de producción</t>
  </si>
  <si>
    <t>Productividad</t>
  </si>
  <si>
    <t>Productividad (kg/TAS)</t>
  </si>
  <si>
    <t>Precio</t>
  </si>
  <si>
    <t>Unidad de precio</t>
  </si>
  <si>
    <t>Precio por kg</t>
  </si>
  <si>
    <t>Costos (En RD$/Tarea)</t>
  </si>
  <si>
    <t>Beneficio Neto  (En RD$/Tarea)</t>
  </si>
  <si>
    <t>Rentabilidad (%)</t>
  </si>
  <si>
    <t>Rentabilidad Mensual (%)</t>
  </si>
  <si>
    <t>Arroz</t>
  </si>
  <si>
    <t>Mensual</t>
  </si>
  <si>
    <t>Quintal</t>
  </si>
  <si>
    <t>Fanela</t>
  </si>
  <si>
    <t>Maíz</t>
  </si>
  <si>
    <t>Batata</t>
  </si>
  <si>
    <t>Ñame</t>
  </si>
  <si>
    <t>Papa</t>
  </si>
  <si>
    <t>Yautía</t>
  </si>
  <si>
    <t>Yuca</t>
  </si>
  <si>
    <t>Auyama</t>
  </si>
  <si>
    <t>Berenjena</t>
  </si>
  <si>
    <t>Aguacate</t>
  </si>
  <si>
    <t>Millar Aguacate</t>
  </si>
  <si>
    <t>Guineo</t>
  </si>
  <si>
    <t>Annual</t>
  </si>
  <si>
    <t>Racimo</t>
  </si>
  <si>
    <t>Plátano</t>
  </si>
  <si>
    <t>Millar Platano</t>
  </si>
  <si>
    <t>Año</t>
  </si>
  <si>
    <t>Unidad de Produccion</t>
  </si>
  <si>
    <t>Productividad kg/tarea</t>
  </si>
  <si>
    <t>Unidad de Precio</t>
  </si>
  <si>
    <t>Costos (En RD$)</t>
  </si>
  <si>
    <t>Ciclo (YearFrac)</t>
  </si>
  <si>
    <t>Beneficio</t>
  </si>
  <si>
    <t>Rentabilidad</t>
  </si>
  <si>
    <t>Rentabilidad Anual</t>
  </si>
  <si>
    <t>Medida</t>
  </si>
  <si>
    <t>Equivalencia en Kg</t>
  </si>
  <si>
    <t>Ciclo</t>
  </si>
  <si>
    <t>Meses</t>
  </si>
  <si>
    <t>YearFrac</t>
  </si>
  <si>
    <t>Fecha de siembra</t>
  </si>
  <si>
    <t>Fecha de cosecha</t>
  </si>
  <si>
    <t>Todo el año</t>
  </si>
  <si>
    <t>**</t>
  </si>
  <si>
    <t>en racimos</t>
  </si>
  <si>
    <t>*</t>
  </si>
  <si>
    <t>millares</t>
  </si>
  <si>
    <t>En QQ a partir de 2015</t>
  </si>
  <si>
    <t>Peso promedio plátano (lb)</t>
  </si>
  <si>
    <t>Peso promedio guineo (lb)</t>
  </si>
  <si>
    <t>Peso promedio plátano (kg)</t>
  </si>
  <si>
    <t>Peso promedio guineo (kg)</t>
  </si>
  <si>
    <t>Peso promedio del racimo de plátano (Supuesto)</t>
  </si>
  <si>
    <t>kg</t>
  </si>
  <si>
    <t>30-50 kg</t>
  </si>
  <si>
    <t>1 lb</t>
  </si>
  <si>
    <t>Racimo de guineo (lb)</t>
  </si>
  <si>
    <t>Racimo de guineo (kg)</t>
  </si>
  <si>
    <t>Peso promedio del aguacate(lb)</t>
  </si>
  <si>
    <t>Peso promedio del aguacate(kg)</t>
  </si>
  <si>
    <t xml:space="preserve"> Arroz Cáscara</t>
  </si>
  <si>
    <t>Fan. 110 kg</t>
  </si>
  <si>
    <t>Se divide entre 110</t>
  </si>
  <si>
    <t>Se divide por 45.36</t>
  </si>
  <si>
    <t>Se divide por 45.37</t>
  </si>
  <si>
    <t>Se divide por 45.38</t>
  </si>
  <si>
    <t>Papa blanca</t>
  </si>
  <si>
    <t>Se divide por 45.39</t>
  </si>
  <si>
    <t>Se divide por 45.40</t>
  </si>
  <si>
    <t>Se divide por 45.41</t>
  </si>
  <si>
    <t>Dulce</t>
  </si>
  <si>
    <t>Se divide por 45.42</t>
  </si>
  <si>
    <t>Se divide por 45.43</t>
  </si>
  <si>
    <t>Millar</t>
  </si>
  <si>
    <t>1000 y luego 0.56234</t>
  </si>
  <si>
    <t>se divide entre 27.21</t>
  </si>
  <si>
    <t>1000 y luego 0.40815</t>
  </si>
  <si>
    <t>Precio_kg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</si>
</sst>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(\$* #,##0.00_);_(\$* \(#,##0.00\);_(\$* \-??_);_(@_)"/>
    <numFmt numFmtId="166" formatCode="0.000%"/>
    <numFmt numFmtId="167" formatCode="mm/dd/yy"/>
    <numFmt numFmtId="168" formatCode="[$-409]General"/>
  </numFmts>
  <fonts count="5" x14ac:knownFonts="1">
    <font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4D4D4D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165" fontId="4" fillId="0" borderId="0" applyBorder="0" applyProtection="0"/>
    <xf numFmtId="9" fontId="4" fillId="0" borderId="0" applyBorder="0" applyProtection="0"/>
    <xf numFmtId="164" fontId="4" fillId="0" borderId="0" applyBorder="0" applyProtection="0"/>
    <xf numFmtId="164" fontId="4" fillId="0" borderId="0" applyBorder="0" applyProtection="0"/>
  </cellStyleXfs>
  <cellXfs count="20">
    <xf numFmtId="0" fontId="0" fillId="0" borderId="0" xfId="0"/>
    <xf numFmtId="14" fontId="0" fillId="0" borderId="0" xfId="0" applyNumberFormat="1"/>
    <xf numFmtId="165" fontId="4" fillId="0" borderId="0" xfId="1" applyBorder="1" applyProtection="1"/>
    <xf numFmtId="0" fontId="0" fillId="2" borderId="0" xfId="0" applyFill="1"/>
    <xf numFmtId="166" fontId="4" fillId="0" borderId="0" xfId="2" applyNumberFormat="1" applyBorder="1" applyProtection="1"/>
    <xf numFmtId="3" fontId="0" fillId="0" borderId="0" xfId="0" applyNumberFormat="1"/>
    <xf numFmtId="10" fontId="4" fillId="0" borderId="0" xfId="2" applyNumberFormat="1" applyBorder="1" applyProtection="1"/>
    <xf numFmtId="0" fontId="1" fillId="0" borderId="0" xfId="0" applyFont="1"/>
    <xf numFmtId="0" fontId="4" fillId="0" borderId="0" xfId="1" applyNumberFormat="1" applyBorder="1" applyProtection="1"/>
    <xf numFmtId="10" fontId="0" fillId="0" borderId="0" xfId="0" applyNumberFormat="1"/>
    <xf numFmtId="0" fontId="2" fillId="3" borderId="1" xfId="0" applyFont="1" applyFill="1" applyBorder="1"/>
    <xf numFmtId="10" fontId="2" fillId="3" borderId="1" xfId="0" applyNumberFormat="1" applyFont="1" applyFill="1" applyBorder="1"/>
    <xf numFmtId="0" fontId="2" fillId="4" borderId="1" xfId="0" applyFont="1" applyFill="1" applyBorder="1"/>
    <xf numFmtId="167" fontId="2" fillId="4" borderId="1" xfId="0" applyNumberFormat="1" applyFont="1" applyFill="1" applyBorder="1"/>
    <xf numFmtId="0" fontId="3" fillId="5" borderId="1" xfId="0" applyFont="1" applyFill="1" applyBorder="1"/>
    <xf numFmtId="168" fontId="3" fillId="5" borderId="1" xfId="0" applyNumberFormat="1" applyFont="1" applyFill="1" applyBorder="1"/>
    <xf numFmtId="10" fontId="3" fillId="5" borderId="1" xfId="0" applyNumberFormat="1" applyFont="1" applyFill="1" applyBorder="1"/>
    <xf numFmtId="10" fontId="3" fillId="6" borderId="1" xfId="0" applyNumberFormat="1" applyFont="1" applyFill="1" applyBorder="1"/>
    <xf numFmtId="0" fontId="3" fillId="6" borderId="1" xfId="0" applyFont="1" applyFill="1" applyBorder="1"/>
    <xf numFmtId="168" fontId="3" fillId="6" borderId="1" xfId="0" applyNumberFormat="1" applyFont="1" applyFill="1" applyBorder="1"/>
  </cellXfs>
  <cellStyles count="5">
    <cellStyle name="Millares 2" xfId="3" xr:uid="{00000000-0005-0000-0000-000006000000}"/>
    <cellStyle name="Millares 3" xfId="4" xr:uid="{00000000-0005-0000-0000-000007000000}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584280</xdr:colOff>
      <xdr:row>4</xdr:row>
      <xdr:rowOff>139680</xdr:rowOff>
    </xdr:from>
    <xdr:to>
      <xdr:col>5</xdr:col>
      <xdr:colOff>589680</xdr:colOff>
      <xdr:row>10</xdr:row>
      <xdr:rowOff>151200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422960" y="863640"/>
          <a:ext cx="4722120" cy="109728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s-DO" sz="1100" b="0" u="none" strike="noStrike">
              <a:solidFill>
                <a:schemeClr val="dk1"/>
              </a:solidFill>
              <a:uFillTx/>
              <a:latin typeface="Aptos Narrow"/>
            </a:rPr>
            <a:t>La productividad de todos los productos se expresaran en kg/TAS. Se sabe que una lb = 0.4536 y que un quintal es 100 lb, con esto, se procede a calcular la productividad por tarea que sería Quintal/tarea * 45.36</a:t>
          </a:r>
          <a:endParaRPr lang="en-US" sz="1100" b="0" u="none" strike="noStrik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s-DO" sz="1100" b="0" u="none" strike="noStrike">
              <a:solidFill>
                <a:schemeClr val="dk1"/>
              </a:solidFill>
              <a:uFillTx/>
              <a:latin typeface="Aptos Narrow"/>
            </a:rPr>
            <a:t>Los precios se expresarán en kg </a:t>
          </a:r>
          <a:endParaRPr lang="en-US" sz="1100" b="0" u="none" strike="noStrike">
            <a:uFillTx/>
            <a:latin typeface="Times New Roman"/>
          </a:endParaRPr>
        </a:p>
      </xdr:txBody>
    </xdr:sp>
    <xdr:clientData/>
  </xdr:twoCellAnchor>
  <xdr:twoCellAnchor>
    <xdr:from>
      <xdr:col>4</xdr:col>
      <xdr:colOff>579960</xdr:colOff>
      <xdr:row>19</xdr:row>
      <xdr:rowOff>165600</xdr:rowOff>
    </xdr:from>
    <xdr:to>
      <xdr:col>11</xdr:col>
      <xdr:colOff>509760</xdr:colOff>
      <xdr:row>28</xdr:row>
      <xdr:rowOff>95400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198640" y="3603960"/>
          <a:ext cx="6486120" cy="15588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s-DO" sz="1100" b="0" u="none" strike="noStrike">
              <a:solidFill>
                <a:schemeClr val="dk1"/>
              </a:solidFill>
              <a:uFillTx/>
              <a:latin typeface="Aptos Narrow"/>
            </a:rPr>
            <a:t>Para septiembre, octubre y noviembre del año 2004, se ulizó el promedio del precio de la auyama en ese año para rellenarlo en los meses faltantes.</a:t>
          </a:r>
          <a:endParaRPr lang="en-US" sz="1100" b="0" u="none" strike="noStrike">
            <a:uFillTx/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P3313" totalsRowShown="0">
  <tableColumns count="16">
    <tableColumn id="1" xr3:uid="{00000000-0010-0000-0000-000001000000}" name="Fecha"/>
    <tableColumn id="2" xr3:uid="{00000000-0010-0000-0000-000002000000}" name="Rubro"/>
    <tableColumn id="3" xr3:uid="{00000000-0010-0000-0000-000003000000}" name="Cosecha/Tarea"/>
    <tableColumn id="4" xr3:uid="{00000000-0010-0000-0000-000004000000}" name="Frecuencia"/>
    <tableColumn id="5" xr3:uid="{00000000-0010-0000-0000-000005000000}" name="Cosecha Mensual"/>
    <tableColumn id="6" xr3:uid="{00000000-0010-0000-0000-000006000000}" name="Producción"/>
    <tableColumn id="7" xr3:uid="{00000000-0010-0000-0000-000007000000}" name="Unidad de producción"/>
    <tableColumn id="8" xr3:uid="{00000000-0010-0000-0000-000008000000}" name="Productividad"/>
    <tableColumn id="9" xr3:uid="{00000000-0010-0000-0000-000009000000}" name="Productividad (kg/TAS)"/>
    <tableColumn id="10" xr3:uid="{00000000-0010-0000-0000-00000A000000}" name="Precio"/>
    <tableColumn id="11" xr3:uid="{00000000-0010-0000-0000-00000B000000}" name="Unidad de precio"/>
    <tableColumn id="12" xr3:uid="{00000000-0010-0000-0000-00000C000000}" name="Precio por kg"/>
    <tableColumn id="13" xr3:uid="{00000000-0010-0000-0000-00000D000000}" name="Costos (En RD$/Tarea)"/>
    <tableColumn id="14" xr3:uid="{00000000-0010-0000-0000-00000E000000}" name="Beneficio Neto  (En RD$/Tarea)"/>
    <tableColumn id="15" xr3:uid="{00000000-0010-0000-0000-00000F000000}" name="Rentabilidad (%)"/>
    <tableColumn id="16" xr3:uid="{00000000-0010-0000-0000-000010000000}" name="Rentabilidad Mensual (%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3" displayName="Tabla3" ref="A1:B6" totalsRowShown="0">
  <autoFilter ref="A1:B6" xr:uid="{00000000-0009-0000-0100-000003000000}"/>
  <tableColumns count="2">
    <tableColumn id="1" xr3:uid="{00000000-0010-0000-0100-000001000000}" name="Medida"/>
    <tableColumn id="2" xr3:uid="{00000000-0010-0000-0100-000002000000}" name="Equivalencia en K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a1" displayName="Tabla1" ref="A1:C13" totalsRowShown="0">
  <autoFilter ref="A1:C13" xr:uid="{00000000-0009-0000-0100-000001000000}"/>
  <tableColumns count="3">
    <tableColumn id="1" xr3:uid="{00000000-0010-0000-0200-000001000000}" name="Rubro"/>
    <tableColumn id="2" xr3:uid="{00000000-0010-0000-0200-000002000000}" name="Ciclo"/>
    <tableColumn id="3" xr3:uid="{00000000-0010-0000-0200-000003000000}" name="Mes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13"/>
  <sheetViews>
    <sheetView zoomScale="93" zoomScaleNormal="93" workbookViewId="0">
      <selection activeCell="I3" activeCellId="1" sqref="C258:C259 I3"/>
    </sheetView>
  </sheetViews>
  <sheetFormatPr baseColWidth="10" defaultColWidth="10.54296875" defaultRowHeight="14.5" x14ac:dyDescent="0.35"/>
  <cols>
    <col min="1" max="1" width="10.90625" style="1" customWidth="1"/>
    <col min="2" max="2" width="9" customWidth="1"/>
    <col min="3" max="4" width="15.7265625" style="2" customWidth="1"/>
    <col min="5" max="5" width="19.1796875" style="2" customWidth="1"/>
    <col min="6" max="6" width="14" style="2" customWidth="1"/>
    <col min="7" max="7" width="21.6328125" customWidth="1"/>
    <col min="8" max="8" width="15.81640625" customWidth="1"/>
    <col min="9" max="9" width="22.26953125" customWidth="1"/>
    <col min="10" max="10" width="11.81640625" customWidth="1"/>
    <col min="11" max="11" width="17.26953125" customWidth="1"/>
    <col min="12" max="12" width="13.7265625" customWidth="1"/>
    <col min="13" max="13" width="21.7265625" customWidth="1"/>
    <col min="14" max="14" width="28.7265625" style="2" customWidth="1"/>
    <col min="15" max="15" width="17.08984375" customWidth="1"/>
    <col min="16" max="16" width="24.7265625" customWidth="1"/>
  </cols>
  <sheetData>
    <row r="1" spans="1:16" x14ac:dyDescent="0.3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s="3" t="s">
        <v>11</v>
      </c>
      <c r="M1" t="s">
        <v>12</v>
      </c>
      <c r="N1" s="2" t="s">
        <v>13</v>
      </c>
      <c r="O1" t="s">
        <v>14</v>
      </c>
      <c r="P1" s="4" t="s">
        <v>15</v>
      </c>
    </row>
    <row r="2" spans="1:16" x14ac:dyDescent="0.35">
      <c r="A2" s="1">
        <v>36526</v>
      </c>
      <c r="B2" t="s">
        <v>16</v>
      </c>
      <c r="C2" s="5">
        <v>67860</v>
      </c>
      <c r="D2" s="5" t="s">
        <v>17</v>
      </c>
      <c r="E2" s="5">
        <f>IF(Tabla2[[#This Row],[Frecuencia]]="Annual", Tabla2[[#This Row],[Cosecha/Tarea]]/12,Tabla2[[#This Row],[Cosecha/Tarea]])</f>
        <v>67860</v>
      </c>
      <c r="F2" s="2">
        <v>170243</v>
      </c>
      <c r="G2" t="s">
        <v>18</v>
      </c>
      <c r="H2">
        <f>F2/Tabla2[[#This Row],[Cosecha Mensual]]</f>
        <v>2.5087385794282344</v>
      </c>
      <c r="I2">
        <f>H2*_xlfn.XLOOKUP(Tabla2[[#This Row],[Unidad de producción]],Tabla3[Medida],Tabla3[Equivalencia en Kg],"ELVIS",0)</f>
        <v>113.79638196286471</v>
      </c>
      <c r="J2">
        <v>1066.8668866886701</v>
      </c>
      <c r="K2" t="s">
        <v>19</v>
      </c>
      <c r="L2">
        <f>J2/_xlfn.XLOOKUP(Tabla2[[#This Row],[Unidad de precio]],Tabla3[Medida],Tabla3[Equivalencia en Kg],"ELVIS",0)</f>
        <v>9.6987898789879097</v>
      </c>
      <c r="N2" s="2">
        <f>(Tabla2[[#This Row],[Productividad (kg/TAS)]]*Tabla2[[#This Row],[Precio por kg]]-Tabla2[[#This Row],[Costos (En RD$/Tarea)]])</f>
        <v>1103.6871976468747</v>
      </c>
      <c r="O2" s="6">
        <f>IF(Tabla2[[#This Row],[Costos (En RD$/Tarea)]]=0,0,Tabla2[[#This Row],[Beneficio Neto  (En RD$/Tarea)]]/Tabla2[[#This Row],[Costos (En RD$/Tarea)]])</f>
        <v>0</v>
      </c>
      <c r="P2" s="4">
        <f>Tabla2[[#This Row],[Rentabilidad (%)]]/12</f>
        <v>0</v>
      </c>
    </row>
    <row r="3" spans="1:16" x14ac:dyDescent="0.35">
      <c r="A3" s="1">
        <v>36526</v>
      </c>
      <c r="B3" t="s">
        <v>20</v>
      </c>
      <c r="C3" s="2">
        <v>28486</v>
      </c>
      <c r="D3" s="5" t="s">
        <v>17</v>
      </c>
      <c r="E3" s="2">
        <f>IF(Tabla2[[#This Row],[Frecuencia]]="Annual", Tabla2[[#This Row],[Cosecha/Tarea]]/12,Tabla2[[#This Row],[Cosecha/Tarea]])</f>
        <v>28486</v>
      </c>
      <c r="F3" s="2">
        <v>47296</v>
      </c>
      <c r="G3" t="s">
        <v>18</v>
      </c>
      <c r="H3">
        <f>F3/Tabla2[[#This Row],[Cosecha Mensual]]</f>
        <v>1.6603243698658989</v>
      </c>
      <c r="I3">
        <f>H3*_xlfn.XLOOKUP(Tabla2[[#This Row],[Unidad de producción]],Tabla3[Medida],Tabla3[Equivalencia en Kg],"ELVIS",0)</f>
        <v>75.312313417117181</v>
      </c>
      <c r="J3">
        <v>102.7445</v>
      </c>
      <c r="K3" t="s">
        <v>18</v>
      </c>
      <c r="L3">
        <f>J3/_xlfn.XLOOKUP(Tabla2[[#This Row],[Unidad de precio]],Tabla3[Medida],Tabla3[Equivalencia en Kg],"ELVIS",0)</f>
        <v>2.2650903880070548</v>
      </c>
      <c r="N3" s="2">
        <f>(Tabla2[[#This Row],[Productividad (kg/TAS)]]*Tabla2[[#This Row],[Precio por kg]]-Tabla2[[#This Row],[Costos (En RD$/Tarea)]])</f>
        <v>170.58919721968687</v>
      </c>
      <c r="O3" s="6">
        <f>IF(Tabla2[[#This Row],[Costos (En RD$/Tarea)]]=0,0,Tabla2[[#This Row],[Beneficio Neto  (En RD$/Tarea)]]/Tabla2[[#This Row],[Costos (En RD$/Tarea)]])</f>
        <v>0</v>
      </c>
      <c r="P3" s="4">
        <f>Tabla2[[#This Row],[Rentabilidad (%)]]/12</f>
        <v>0</v>
      </c>
    </row>
    <row r="4" spans="1:16" x14ac:dyDescent="0.35">
      <c r="A4" s="1">
        <v>36526</v>
      </c>
      <c r="B4" t="s">
        <v>21</v>
      </c>
      <c r="C4" s="2">
        <v>9640</v>
      </c>
      <c r="D4" s="5" t="s">
        <v>17</v>
      </c>
      <c r="E4" s="2">
        <f>IF(Tabla2[[#This Row],[Frecuencia]]="Annual", Tabla2[[#This Row],[Cosecha/Tarea]]/12,Tabla2[[#This Row],[Cosecha/Tarea]])</f>
        <v>9640</v>
      </c>
      <c r="F4" s="2">
        <v>84657</v>
      </c>
      <c r="G4" t="s">
        <v>18</v>
      </c>
      <c r="H4">
        <f>F4/Tabla2[[#This Row],[Cosecha Mensual]]</f>
        <v>8.7818464730290451</v>
      </c>
      <c r="I4">
        <f>H4*_xlfn.XLOOKUP(Tabla2[[#This Row],[Unidad de producción]],Tabla3[Medida],Tabla3[Equivalencia en Kg],"ELVIS",0)</f>
        <v>398.34455601659749</v>
      </c>
      <c r="J4">
        <v>115.5</v>
      </c>
      <c r="K4" t="s">
        <v>18</v>
      </c>
      <c r="L4">
        <f>J4/_xlfn.XLOOKUP(Tabla2[[#This Row],[Unidad de precio]],Tabla3[Medida],Tabla3[Equivalencia en Kg],"ELVIS",0)</f>
        <v>2.5462962962962963</v>
      </c>
      <c r="N4" s="2">
        <f>(Tabla2[[#This Row],[Productividad (kg/TAS)]]*Tabla2[[#This Row],[Precio por kg]]-Tabla2[[#This Row],[Costos (En RD$/Tarea)]])</f>
        <v>1014.3032676348547</v>
      </c>
      <c r="O4" s="6">
        <f>IF(Tabla2[[#This Row],[Costos (En RD$/Tarea)]]=0,0,Tabla2[[#This Row],[Beneficio Neto  (En RD$/Tarea)]]/Tabla2[[#This Row],[Costos (En RD$/Tarea)]])</f>
        <v>0</v>
      </c>
      <c r="P4" s="4">
        <f>Tabla2[[#This Row],[Rentabilidad (%)]]/12</f>
        <v>0</v>
      </c>
    </row>
    <row r="5" spans="1:16" x14ac:dyDescent="0.35">
      <c r="A5" s="1">
        <v>36526</v>
      </c>
      <c r="B5" t="s">
        <v>22</v>
      </c>
      <c r="C5" s="2">
        <v>3329</v>
      </c>
      <c r="D5" s="5" t="s">
        <v>17</v>
      </c>
      <c r="E5" s="2">
        <f>IF(Tabla2[[#This Row],[Frecuencia]]="Annual", Tabla2[[#This Row],[Cosecha/Tarea]]/12,Tabla2[[#This Row],[Cosecha/Tarea]])</f>
        <v>3329</v>
      </c>
      <c r="F5" s="2">
        <v>27225</v>
      </c>
      <c r="G5" t="s">
        <v>18</v>
      </c>
      <c r="H5">
        <f>F5/Tabla2[[#This Row],[Cosecha Mensual]]</f>
        <v>8.1781315710423552</v>
      </c>
      <c r="I5">
        <f>H5*_xlfn.XLOOKUP(Tabla2[[#This Row],[Unidad de producción]],Tabla3[Medida],Tabla3[Equivalencia en Kg],"ELVIS",0)</f>
        <v>370.96004806248123</v>
      </c>
      <c r="J5">
        <v>403.125</v>
      </c>
      <c r="K5" t="s">
        <v>18</v>
      </c>
      <c r="L5">
        <f>J5/_xlfn.XLOOKUP(Tabla2[[#This Row],[Unidad de precio]],Tabla3[Medida],Tabla3[Equivalencia en Kg],"ELVIS",0)</f>
        <v>8.8872354497354493</v>
      </c>
      <c r="N5" s="2">
        <f>(Tabla2[[#This Row],[Productividad (kg/TAS)]]*Tabla2[[#This Row],[Precio por kg]]-Tabla2[[#This Row],[Costos (En RD$/Tarea)]])</f>
        <v>3296.8092895764494</v>
      </c>
      <c r="O5" s="6">
        <f>IF(Tabla2[[#This Row],[Costos (En RD$/Tarea)]]=0,0,Tabla2[[#This Row],[Beneficio Neto  (En RD$/Tarea)]]/Tabla2[[#This Row],[Costos (En RD$/Tarea)]])</f>
        <v>0</v>
      </c>
      <c r="P5" s="4">
        <f>Tabla2[[#This Row],[Rentabilidad (%)]]/12</f>
        <v>0</v>
      </c>
    </row>
    <row r="6" spans="1:16" x14ac:dyDescent="0.35">
      <c r="A6" s="1">
        <v>36526</v>
      </c>
      <c r="B6" t="s">
        <v>23</v>
      </c>
      <c r="C6" s="2">
        <v>2767</v>
      </c>
      <c r="D6" s="5" t="s">
        <v>17</v>
      </c>
      <c r="E6" s="2">
        <f>IF(Tabla2[[#This Row],[Frecuencia]]="Annual", Tabla2[[#This Row],[Cosecha/Tarea]]/12,Tabla2[[#This Row],[Cosecha/Tarea]])</f>
        <v>2767</v>
      </c>
      <c r="F6" s="2">
        <v>41293</v>
      </c>
      <c r="G6" t="s">
        <v>18</v>
      </c>
      <c r="H6">
        <f>F6/Tabla2[[#This Row],[Cosecha Mensual]]</f>
        <v>14.923382724972894</v>
      </c>
      <c r="I6">
        <f>H6*_xlfn.XLOOKUP(Tabla2[[#This Row],[Unidad de producción]],Tabla3[Medida],Tabla3[Equivalencia en Kg],"ELVIS",0)</f>
        <v>676.92464040477046</v>
      </c>
      <c r="J6">
        <v>307.5</v>
      </c>
      <c r="K6" t="s">
        <v>18</v>
      </c>
      <c r="L6">
        <f>J6/_xlfn.XLOOKUP(Tabla2[[#This Row],[Unidad de precio]],Tabla3[Medida],Tabla3[Equivalencia en Kg],"ELVIS",0)</f>
        <v>6.7791005291005293</v>
      </c>
      <c r="N6" s="2">
        <f>(Tabla2[[#This Row],[Productividad (kg/TAS)]]*Tabla2[[#This Row],[Precio por kg]]-Tabla2[[#This Row],[Costos (En RD$/Tarea)]])</f>
        <v>4588.9401879291645</v>
      </c>
      <c r="O6" s="6">
        <f>IF(Tabla2[[#This Row],[Costos (En RD$/Tarea)]]=0,0,Tabla2[[#This Row],[Beneficio Neto  (En RD$/Tarea)]]/Tabla2[[#This Row],[Costos (En RD$/Tarea)]])</f>
        <v>0</v>
      </c>
      <c r="P6" s="4">
        <f>Tabla2[[#This Row],[Rentabilidad (%)]]/12</f>
        <v>0</v>
      </c>
    </row>
    <row r="7" spans="1:16" x14ac:dyDescent="0.35">
      <c r="A7" s="1">
        <v>36526</v>
      </c>
      <c r="B7" t="s">
        <v>24</v>
      </c>
      <c r="C7" s="2">
        <v>9454</v>
      </c>
      <c r="D7" s="5" t="s">
        <v>17</v>
      </c>
      <c r="E7" s="2">
        <f>IF(Tabla2[[#This Row],[Frecuencia]]="Annual", Tabla2[[#This Row],[Cosecha/Tarea]]/12,Tabla2[[#This Row],[Cosecha/Tarea]])</f>
        <v>9454</v>
      </c>
      <c r="F7" s="2">
        <v>139054</v>
      </c>
      <c r="G7" t="s">
        <v>18</v>
      </c>
      <c r="H7">
        <f>F7/Tabla2[[#This Row],[Cosecha Mensual]]</f>
        <v>14.708483181722022</v>
      </c>
      <c r="I7">
        <f>H7*_xlfn.XLOOKUP(Tabla2[[#This Row],[Unidad de producción]],Tabla3[Medida],Tabla3[Equivalencia en Kg],"ELVIS",0)</f>
        <v>667.1767971229109</v>
      </c>
      <c r="J7">
        <v>359.5</v>
      </c>
      <c r="K7" t="s">
        <v>18</v>
      </c>
      <c r="L7">
        <f>J7/_xlfn.XLOOKUP(Tabla2[[#This Row],[Unidad de precio]],Tabla3[Medida],Tabla3[Equivalencia en Kg],"ELVIS",0)</f>
        <v>7.9254850088183426</v>
      </c>
      <c r="N7" s="2">
        <f>(Tabla2[[#This Row],[Productividad (kg/TAS)]]*Tabla2[[#This Row],[Precio por kg]]-Tabla2[[#This Row],[Costos (En RD$/Tarea)]])</f>
        <v>5287.6997038290674</v>
      </c>
      <c r="O7" s="6">
        <f>IF(Tabla2[[#This Row],[Costos (En RD$/Tarea)]]=0,0,Tabla2[[#This Row],[Beneficio Neto  (En RD$/Tarea)]]/Tabla2[[#This Row],[Costos (En RD$/Tarea)]])</f>
        <v>0</v>
      </c>
      <c r="P7" s="4">
        <f>Tabla2[[#This Row],[Rentabilidad (%)]]/12</f>
        <v>0</v>
      </c>
    </row>
    <row r="8" spans="1:16" x14ac:dyDescent="0.35">
      <c r="A8" s="1">
        <v>36526</v>
      </c>
      <c r="B8" t="s">
        <v>25</v>
      </c>
      <c r="C8" s="2">
        <v>30974</v>
      </c>
      <c r="D8" s="5" t="s">
        <v>17</v>
      </c>
      <c r="E8" s="2">
        <f>IF(Tabla2[[#This Row],[Frecuencia]]="Annual", Tabla2[[#This Row],[Cosecha/Tarea]]/12,Tabla2[[#This Row],[Cosecha/Tarea]])</f>
        <v>30974</v>
      </c>
      <c r="F8" s="2">
        <v>265622</v>
      </c>
      <c r="G8" t="s">
        <v>18</v>
      </c>
      <c r="H8">
        <f>F8/Tabla2[[#This Row],[Cosecha Mensual]]</f>
        <v>8.5756440885904315</v>
      </c>
      <c r="I8">
        <f>H8*_xlfn.XLOOKUP(Tabla2[[#This Row],[Unidad de producción]],Tabla3[Medida],Tabla3[Equivalencia en Kg],"ELVIS",0)</f>
        <v>388.99121585846194</v>
      </c>
      <c r="J8">
        <v>117.5975</v>
      </c>
      <c r="K8" t="s">
        <v>18</v>
      </c>
      <c r="L8">
        <f>J8/_xlfn.XLOOKUP(Tabla2[[#This Row],[Unidad de precio]],Tabla3[Medida],Tabla3[Equivalencia en Kg],"ELVIS",0)</f>
        <v>2.5925374779541448</v>
      </c>
      <c r="N8" s="2">
        <f>(Tabla2[[#This Row],[Productividad (kg/TAS)]]*Tabla2[[#This Row],[Precio por kg]]-Tabla2[[#This Row],[Costos (En RD$/Tarea)]])</f>
        <v>1008.4743057080133</v>
      </c>
      <c r="O8" s="6">
        <f>IF(Tabla2[[#This Row],[Costos (En RD$/Tarea)]]=0,0,Tabla2[[#This Row],[Beneficio Neto  (En RD$/Tarea)]]/Tabla2[[#This Row],[Costos (En RD$/Tarea)]])</f>
        <v>0</v>
      </c>
      <c r="P8" s="4">
        <f>Tabla2[[#This Row],[Rentabilidad (%)]]/12</f>
        <v>0</v>
      </c>
    </row>
    <row r="9" spans="1:16" x14ac:dyDescent="0.35">
      <c r="A9" s="1">
        <v>36526</v>
      </c>
      <c r="B9" t="s">
        <v>26</v>
      </c>
      <c r="C9" s="2">
        <v>6739</v>
      </c>
      <c r="D9" s="5" t="s">
        <v>17</v>
      </c>
      <c r="E9" s="2">
        <f>IF(Tabla2[[#This Row],[Frecuencia]]="Annual", Tabla2[[#This Row],[Cosecha/Tarea]]/12,Tabla2[[#This Row],[Cosecha/Tarea]])</f>
        <v>6739</v>
      </c>
      <c r="F9" s="2">
        <v>36842</v>
      </c>
      <c r="G9" t="s">
        <v>18</v>
      </c>
      <c r="H9">
        <f>F9/Tabla2[[#This Row],[Cosecha Mensual]]</f>
        <v>5.4669832319335212</v>
      </c>
      <c r="I9">
        <f>H9*_xlfn.XLOOKUP(Tabla2[[#This Row],[Unidad de producción]],Tabla3[Medida],Tabla3[Equivalencia en Kg],"ELVIS",0)</f>
        <v>247.98235940050452</v>
      </c>
      <c r="J9">
        <v>220.85</v>
      </c>
      <c r="K9" t="s">
        <v>18</v>
      </c>
      <c r="L9">
        <f>J9/_xlfn.XLOOKUP(Tabla2[[#This Row],[Unidad de precio]],Tabla3[Medida],Tabla3[Equivalencia en Kg],"ELVIS",0)</f>
        <v>4.8688271604938267</v>
      </c>
      <c r="N9" s="2">
        <f>(Tabla2[[#This Row],[Productividad (kg/TAS)]]*Tabla2[[#This Row],[Precio por kg]]-Tabla2[[#This Row],[Costos (En RD$/Tarea)]])</f>
        <v>1207.3832467725181</v>
      </c>
      <c r="O9" s="6">
        <f>IF(Tabla2[[#This Row],[Costos (En RD$/Tarea)]]=0,0,Tabla2[[#This Row],[Beneficio Neto  (En RD$/Tarea)]]/Tabla2[[#This Row],[Costos (En RD$/Tarea)]])</f>
        <v>0</v>
      </c>
      <c r="P9" s="4">
        <f>Tabla2[[#This Row],[Rentabilidad (%)]]/12</f>
        <v>0</v>
      </c>
    </row>
    <row r="10" spans="1:16" x14ac:dyDescent="0.35">
      <c r="A10" s="1">
        <v>36526</v>
      </c>
      <c r="B10" t="s">
        <v>27</v>
      </c>
      <c r="C10" s="2">
        <v>2017</v>
      </c>
      <c r="D10" s="5" t="s">
        <v>17</v>
      </c>
      <c r="E10" s="2">
        <f>IF(Tabla2[[#This Row],[Frecuencia]]="Annual", Tabla2[[#This Row],[Cosecha/Tarea]]/12,Tabla2[[#This Row],[Cosecha/Tarea]])</f>
        <v>2017</v>
      </c>
      <c r="F10" s="2">
        <v>14764</v>
      </c>
      <c r="G10" t="s">
        <v>18</v>
      </c>
      <c r="H10">
        <f>F10/Tabla2[[#This Row],[Cosecha Mensual]]</f>
        <v>7.3197818542389683</v>
      </c>
      <c r="I10">
        <f>H10*_xlfn.XLOOKUP(Tabla2[[#This Row],[Unidad de producción]],Tabla3[Medida],Tabla3[Equivalencia en Kg],"ELVIS",0)</f>
        <v>332.02530490827962</v>
      </c>
      <c r="J10">
        <v>146.75</v>
      </c>
      <c r="K10" t="s">
        <v>18</v>
      </c>
      <c r="L10">
        <f>J10/_xlfn.XLOOKUP(Tabla2[[#This Row],[Unidad de precio]],Tabla3[Medida],Tabla3[Equivalencia en Kg],"ELVIS",0)</f>
        <v>3.2352292768959434</v>
      </c>
      <c r="N10" s="2">
        <f>(Tabla2[[#This Row],[Productividad (kg/TAS)]]*Tabla2[[#This Row],[Precio por kg]]-Tabla2[[#This Row],[Costos (En RD$/Tarea)]])</f>
        <v>1074.1779871095687</v>
      </c>
      <c r="O10" s="6">
        <f>IF(Tabla2[[#This Row],[Costos (En RD$/Tarea)]]=0,0,Tabla2[[#This Row],[Beneficio Neto  (En RD$/Tarea)]]/Tabla2[[#This Row],[Costos (En RD$/Tarea)]])</f>
        <v>0</v>
      </c>
      <c r="P10" s="4">
        <f>Tabla2[[#This Row],[Rentabilidad (%)]]/12</f>
        <v>0</v>
      </c>
    </row>
    <row r="11" spans="1:16" x14ac:dyDescent="0.35">
      <c r="A11" s="1">
        <v>36526</v>
      </c>
      <c r="B11" t="s">
        <v>28</v>
      </c>
      <c r="C11" s="2">
        <v>6878</v>
      </c>
      <c r="D11" s="5" t="s">
        <v>17</v>
      </c>
      <c r="E11" s="2">
        <f>IF(Tabla2[[#This Row],[Frecuencia]]="Annual", Tabla2[[#This Row],[Cosecha/Tarea]]/12,Tabla2[[#This Row],[Cosecha/Tarea]])</f>
        <v>6878</v>
      </c>
      <c r="F11" s="2">
        <v>7434</v>
      </c>
      <c r="G11" t="s">
        <v>18</v>
      </c>
      <c r="H11">
        <f>F11/Tabla2[[#This Row],[Cosecha Mensual]]</f>
        <v>1.0808374527478919</v>
      </c>
      <c r="I11">
        <f>H11*_xlfn.XLOOKUP(Tabla2[[#This Row],[Unidad de producción]],Tabla3[Medida],Tabla3[Equivalencia en Kg],"ELVIS",0)</f>
        <v>49.026786856644378</v>
      </c>
      <c r="J11">
        <v>1262.5</v>
      </c>
      <c r="K11" t="s">
        <v>29</v>
      </c>
      <c r="L11">
        <f>J11/_xlfn.XLOOKUP(Tabla2[[#This Row],[Unidad de precio]],Tabla3[Medida],Tabla3[Equivalencia en Kg],"ELVIS",0)</f>
        <v>2.2450830458441513</v>
      </c>
      <c r="N11" s="2">
        <f>(Tabla2[[#This Row],[Productividad (kg/TAS)]]*Tabla2[[#This Row],[Precio por kg]]-Tabla2[[#This Row],[Costos (En RD$/Tarea)]])</f>
        <v>110.06920796406716</v>
      </c>
      <c r="O11" s="6">
        <f>IF(Tabla2[[#This Row],[Costos (En RD$/Tarea)]]=0,0,Tabla2[[#This Row],[Beneficio Neto  (En RD$/Tarea)]]/Tabla2[[#This Row],[Costos (En RD$/Tarea)]])</f>
        <v>0</v>
      </c>
      <c r="P11" s="4">
        <f>Tabla2[[#This Row],[Rentabilidad (%)]]/12</f>
        <v>0</v>
      </c>
    </row>
    <row r="12" spans="1:16" x14ac:dyDescent="0.35">
      <c r="A12" s="1">
        <v>36526</v>
      </c>
      <c r="B12" t="s">
        <v>30</v>
      </c>
      <c r="C12" s="2">
        <v>213160</v>
      </c>
      <c r="D12" s="2" t="s">
        <v>31</v>
      </c>
      <c r="E12" s="2">
        <f>IF(Tabla2[[#This Row],[Frecuencia]]="Annual", Tabla2[[#This Row],[Cosecha/Tarea]]/12,Tabla2[[#This Row],[Cosecha/Tarea]])</f>
        <v>17763.333333333332</v>
      </c>
      <c r="F12" s="2">
        <v>1394241</v>
      </c>
      <c r="G12" t="s">
        <v>32</v>
      </c>
      <c r="H12">
        <f>F12/Tabla2[[#This Row],[Cosecha Mensual]]</f>
        <v>78.489829236254465</v>
      </c>
      <c r="I12">
        <f>H12*_xlfn.XLOOKUP(Tabla2[[#This Row],[Unidad de producción]],Tabla3[Medida],Tabla3[Equivalencia en Kg],"ELVIS",0)</f>
        <v>2135.7082535184841</v>
      </c>
      <c r="J12">
        <v>18.625</v>
      </c>
      <c r="K12" t="s">
        <v>32</v>
      </c>
      <c r="L12">
        <f>J12/_xlfn.XLOOKUP(Tabla2[[#This Row],[Unidad de precio]],Tabla3[Medida],Tabla3[Equivalencia en Kg],"ELVIS",0)</f>
        <v>0.68449099595736862</v>
      </c>
      <c r="M12" s="2"/>
      <c r="N12" s="2">
        <f>(Tabla2[[#This Row],[Productividad (kg/TAS)]]*Tabla2[[#This Row],[Precio por kg]]-Tabla2[[#This Row],[Costos (En RD$/Tarea)]])</f>
        <v>1461.8730695252395</v>
      </c>
      <c r="O12" s="6">
        <f>IF(Tabla2[[#This Row],[Costos (En RD$/Tarea)]]=0,0,Tabla2[[#This Row],[Beneficio Neto  (En RD$/Tarea)]]/Tabla2[[#This Row],[Costos (En RD$/Tarea)]])</f>
        <v>0</v>
      </c>
      <c r="P12" s="4">
        <f>Tabla2[[#This Row],[Rentabilidad (%)]]/12</f>
        <v>0</v>
      </c>
    </row>
    <row r="13" spans="1:16" x14ac:dyDescent="0.35">
      <c r="A13" s="1">
        <v>36526</v>
      </c>
      <c r="B13" t="s">
        <v>33</v>
      </c>
      <c r="C13" s="2">
        <v>539995</v>
      </c>
      <c r="D13" s="2" t="s">
        <v>31</v>
      </c>
      <c r="E13" s="2">
        <f>IF(Tabla2[[#This Row],[Frecuencia]]="Annual", Tabla2[[#This Row],[Cosecha/Tarea]]/12,Tabla2[[#This Row],[Cosecha/Tarea]])</f>
        <v>44999.583333333336</v>
      </c>
      <c r="F13" s="2">
        <v>90274</v>
      </c>
      <c r="G13" t="s">
        <v>34</v>
      </c>
      <c r="H13">
        <f>F13/Tabla2[[#This Row],[Cosecha Mensual]]</f>
        <v>2.0061074639579997</v>
      </c>
      <c r="I13">
        <f>H13*_xlfn.XLOOKUP(Tabla2[[#This Row],[Unidad de producción]],Tabla3[Medida],Tabla3[Equivalencia en Kg],"ELVIS",0)</f>
        <v>818.79276141445746</v>
      </c>
      <c r="J13">
        <v>918</v>
      </c>
      <c r="K13" t="s">
        <v>34</v>
      </c>
      <c r="L13">
        <f>J13/_xlfn.XLOOKUP(Tabla2[[#This Row],[Unidad de precio]],Tabla3[Medida],Tabla3[Equivalencia en Kg],"ELVIS",0)</f>
        <v>2.2491730981256892</v>
      </c>
      <c r="M13" s="2"/>
      <c r="N13" s="2">
        <f>(Tabla2[[#This Row],[Productividad (kg/TAS)]]*Tabla2[[#This Row],[Precio por kg]]-Tabla2[[#This Row],[Costos (En RD$/Tarea)]])</f>
        <v>1841.6066519134436</v>
      </c>
      <c r="O13" s="6">
        <f>IF(Tabla2[[#This Row],[Costos (En RD$/Tarea)]]=0,0,Tabla2[[#This Row],[Beneficio Neto  (En RD$/Tarea)]]/Tabla2[[#This Row],[Costos (En RD$/Tarea)]])</f>
        <v>0</v>
      </c>
      <c r="P13" s="4">
        <f>Tabla2[[#This Row],[Rentabilidad (%)]]/12</f>
        <v>0</v>
      </c>
    </row>
    <row r="14" spans="1:16" x14ac:dyDescent="0.35">
      <c r="A14" s="1">
        <v>36557</v>
      </c>
      <c r="B14" t="s">
        <v>16</v>
      </c>
      <c r="C14" s="5">
        <v>15498</v>
      </c>
      <c r="D14" s="5" t="s">
        <v>17</v>
      </c>
      <c r="E14" s="5">
        <f>IF(Tabla2[[#This Row],[Frecuencia]]="Annual", Tabla2[[#This Row],[Cosecha/Tarea]]/12,Tabla2[[#This Row],[Cosecha/Tarea]])</f>
        <v>15498</v>
      </c>
      <c r="F14" s="2">
        <v>35642</v>
      </c>
      <c r="G14" t="s">
        <v>18</v>
      </c>
      <c r="H14">
        <f>F14/Tabla2[[#This Row],[Cosecha Mensual]]</f>
        <v>2.2997806168537878</v>
      </c>
      <c r="I14">
        <f>H14*_xlfn.XLOOKUP(Tabla2[[#This Row],[Unidad de producción]],Tabla3[Medida],Tabla3[Equivalencia en Kg],"ELVIS",0)</f>
        <v>104.31804878048781</v>
      </c>
      <c r="J14">
        <v>956.45544554455398</v>
      </c>
      <c r="K14" t="s">
        <v>19</v>
      </c>
      <c r="L14">
        <f>J14/_xlfn.XLOOKUP(Tabla2[[#This Row],[Unidad de precio]],Tabla3[Medida],Tabla3[Equivalencia en Kg],"ELVIS",0)</f>
        <v>8.6950495049504912</v>
      </c>
      <c r="N14" s="2">
        <f>(Tabla2[[#This Row],[Productividad (kg/TAS)]]*Tabla2[[#This Row],[Precio por kg]]-Tabla2[[#This Row],[Costos (En RD$/Tarea)]])</f>
        <v>907.05059840618173</v>
      </c>
      <c r="O14" s="6">
        <f>IF(Tabla2[[#This Row],[Costos (En RD$/Tarea)]]=0,0,Tabla2[[#This Row],[Beneficio Neto  (En RD$/Tarea)]]/Tabla2[[#This Row],[Costos (En RD$/Tarea)]])</f>
        <v>0</v>
      </c>
      <c r="P14" s="4">
        <f>Tabla2[[#This Row],[Rentabilidad (%)]]/12</f>
        <v>0</v>
      </c>
    </row>
    <row r="15" spans="1:16" x14ac:dyDescent="0.35">
      <c r="A15" s="1">
        <v>36557</v>
      </c>
      <c r="B15" t="s">
        <v>20</v>
      </c>
      <c r="C15" s="2">
        <v>32095</v>
      </c>
      <c r="D15" s="5" t="s">
        <v>17</v>
      </c>
      <c r="E15" s="2">
        <f>IF(Tabla2[[#This Row],[Frecuencia]]="Annual", Tabla2[[#This Row],[Cosecha/Tarea]]/12,Tabla2[[#This Row],[Cosecha/Tarea]])</f>
        <v>32095</v>
      </c>
      <c r="F15" s="2">
        <v>59991</v>
      </c>
      <c r="G15" t="s">
        <v>18</v>
      </c>
      <c r="H15">
        <f>F15/Tabla2[[#This Row],[Cosecha Mensual]]</f>
        <v>1.8691696525938619</v>
      </c>
      <c r="I15">
        <f>H15*_xlfn.XLOOKUP(Tabla2[[#This Row],[Unidad de producción]],Tabla3[Medida],Tabla3[Equivalencia en Kg],"ELVIS",0)</f>
        <v>84.785535441657572</v>
      </c>
      <c r="J15">
        <v>117.71299999999999</v>
      </c>
      <c r="K15" t="s">
        <v>18</v>
      </c>
      <c r="L15">
        <f>J15/_xlfn.XLOOKUP(Tabla2[[#This Row],[Unidad de precio]],Tabla3[Medida],Tabla3[Equivalencia en Kg],"ELVIS",0)</f>
        <v>2.5950837742504409</v>
      </c>
      <c r="N15" s="2">
        <f>(Tabla2[[#This Row],[Productividad (kg/TAS)]]*Tabla2[[#This Row],[Precio por kg]]-Tabla2[[#This Row],[Costos (En RD$/Tarea)]])</f>
        <v>220.02556731578125</v>
      </c>
      <c r="O15" s="6">
        <f>IF(Tabla2[[#This Row],[Costos (En RD$/Tarea)]]=0,0,Tabla2[[#This Row],[Beneficio Neto  (En RD$/Tarea)]]/Tabla2[[#This Row],[Costos (En RD$/Tarea)]])</f>
        <v>0</v>
      </c>
      <c r="P15" s="4">
        <f>Tabla2[[#This Row],[Rentabilidad (%)]]/12</f>
        <v>0</v>
      </c>
    </row>
    <row r="16" spans="1:16" x14ac:dyDescent="0.35">
      <c r="A16" s="1">
        <v>36557</v>
      </c>
      <c r="B16" t="s">
        <v>21</v>
      </c>
      <c r="C16" s="2">
        <v>11399</v>
      </c>
      <c r="D16" s="5" t="s">
        <v>17</v>
      </c>
      <c r="E16" s="2">
        <f>IF(Tabla2[[#This Row],[Frecuencia]]="Annual", Tabla2[[#This Row],[Cosecha/Tarea]]/12,Tabla2[[#This Row],[Cosecha/Tarea]])</f>
        <v>11399</v>
      </c>
      <c r="F16" s="2">
        <v>91106</v>
      </c>
      <c r="G16" t="s">
        <v>18</v>
      </c>
      <c r="H16">
        <f>F16/Tabla2[[#This Row],[Cosecha Mensual]]</f>
        <v>7.9924554785507498</v>
      </c>
      <c r="I16">
        <f>H16*_xlfn.XLOOKUP(Tabla2[[#This Row],[Unidad de producción]],Tabla3[Medida],Tabla3[Equivalencia en Kg],"ELVIS",0)</f>
        <v>362.537780507062</v>
      </c>
      <c r="J16">
        <v>107.81874999999999</v>
      </c>
      <c r="K16" t="s">
        <v>18</v>
      </c>
      <c r="L16">
        <f>J16/_xlfn.XLOOKUP(Tabla2[[#This Row],[Unidad de precio]],Tabla3[Medida],Tabla3[Equivalencia en Kg],"ELVIS",0)</f>
        <v>2.3769565696649031</v>
      </c>
      <c r="N16" s="2">
        <f>(Tabla2[[#This Row],[Productividad (kg/TAS)]]*Tabla2[[#This Row],[Precio por kg]]-Tabla2[[#This Row],[Costos (En RD$/Tarea)]])</f>
        <v>861.7365591279937</v>
      </c>
      <c r="O16" s="6">
        <f>IF(Tabla2[[#This Row],[Costos (En RD$/Tarea)]]=0,0,Tabla2[[#This Row],[Beneficio Neto  (En RD$/Tarea)]]/Tabla2[[#This Row],[Costos (En RD$/Tarea)]])</f>
        <v>0</v>
      </c>
      <c r="P16" s="4">
        <f>Tabla2[[#This Row],[Rentabilidad (%)]]/12</f>
        <v>0</v>
      </c>
    </row>
    <row r="17" spans="1:16" x14ac:dyDescent="0.35">
      <c r="A17" s="1">
        <v>36557</v>
      </c>
      <c r="B17" t="s">
        <v>22</v>
      </c>
      <c r="C17" s="2">
        <v>2835</v>
      </c>
      <c r="D17" s="5" t="s">
        <v>17</v>
      </c>
      <c r="E17" s="2">
        <f>IF(Tabla2[[#This Row],[Frecuencia]]="Annual", Tabla2[[#This Row],[Cosecha/Tarea]]/12,Tabla2[[#This Row],[Cosecha/Tarea]])</f>
        <v>2835</v>
      </c>
      <c r="F17" s="2">
        <v>22330</v>
      </c>
      <c r="G17" t="s">
        <v>18</v>
      </c>
      <c r="H17">
        <f>F17/Tabla2[[#This Row],[Cosecha Mensual]]</f>
        <v>7.8765432098765435</v>
      </c>
      <c r="I17">
        <f>H17*_xlfn.XLOOKUP(Tabla2[[#This Row],[Unidad de producción]],Tabla3[Medida],Tabla3[Equivalencia en Kg],"ELVIS",0)</f>
        <v>357.28000000000003</v>
      </c>
      <c r="J17">
        <v>276.51428571428602</v>
      </c>
      <c r="K17" t="s">
        <v>18</v>
      </c>
      <c r="L17">
        <f>J17/_xlfn.XLOOKUP(Tabla2[[#This Row],[Unidad de precio]],Tabla3[Medida],Tabla3[Equivalencia en Kg],"ELVIS",0)</f>
        <v>6.0959939531368175</v>
      </c>
      <c r="N17" s="2">
        <f>(Tabla2[[#This Row],[Productividad (kg/TAS)]]*Tabla2[[#This Row],[Precio por kg]]-Tabla2[[#This Row],[Costos (En RD$/Tarea)]])</f>
        <v>2177.9767195767222</v>
      </c>
      <c r="O17" s="6">
        <f>IF(Tabla2[[#This Row],[Costos (En RD$/Tarea)]]=0,0,Tabla2[[#This Row],[Beneficio Neto  (En RD$/Tarea)]]/Tabla2[[#This Row],[Costos (En RD$/Tarea)]])</f>
        <v>0</v>
      </c>
      <c r="P17" s="4">
        <f>Tabla2[[#This Row],[Rentabilidad (%)]]/12</f>
        <v>0</v>
      </c>
    </row>
    <row r="18" spans="1:16" x14ac:dyDescent="0.35">
      <c r="A18" s="1">
        <v>36557</v>
      </c>
      <c r="B18" t="s">
        <v>23</v>
      </c>
      <c r="C18" s="2">
        <v>5755</v>
      </c>
      <c r="D18" s="5" t="s">
        <v>17</v>
      </c>
      <c r="E18" s="2">
        <f>IF(Tabla2[[#This Row],[Frecuencia]]="Annual", Tabla2[[#This Row],[Cosecha/Tarea]]/12,Tabla2[[#This Row],[Cosecha/Tarea]])</f>
        <v>5755</v>
      </c>
      <c r="F18" s="2">
        <v>132689</v>
      </c>
      <c r="G18" t="s">
        <v>18</v>
      </c>
      <c r="H18">
        <f>F18/Tabla2[[#This Row],[Cosecha Mensual]]</f>
        <v>23.056298870547351</v>
      </c>
      <c r="I18">
        <f>H18*_xlfn.XLOOKUP(Tabla2[[#This Row],[Unidad de producción]],Tabla3[Medida],Tabla3[Equivalencia en Kg],"ELVIS",0)</f>
        <v>1045.8337167680279</v>
      </c>
      <c r="J18">
        <v>332.8</v>
      </c>
      <c r="K18" t="s">
        <v>18</v>
      </c>
      <c r="L18">
        <f>J18/_xlfn.XLOOKUP(Tabla2[[#This Row],[Unidad de precio]],Tabla3[Medida],Tabla3[Equivalencia en Kg],"ELVIS",0)</f>
        <v>7.336860670194004</v>
      </c>
      <c r="N18" s="2">
        <f>(Tabla2[[#This Row],[Productividad (kg/TAS)]]*Tabla2[[#This Row],[Precio por kg]]-Tabla2[[#This Row],[Costos (En RD$/Tarea)]])</f>
        <v>7673.1362641181595</v>
      </c>
      <c r="O18" s="6">
        <f>IF(Tabla2[[#This Row],[Costos (En RD$/Tarea)]]=0,0,Tabla2[[#This Row],[Beneficio Neto  (En RD$/Tarea)]]/Tabla2[[#This Row],[Costos (En RD$/Tarea)]])</f>
        <v>0</v>
      </c>
      <c r="P18" s="4">
        <f>Tabla2[[#This Row],[Rentabilidad (%)]]/12</f>
        <v>0</v>
      </c>
    </row>
    <row r="19" spans="1:16" x14ac:dyDescent="0.35">
      <c r="A19" s="1">
        <v>36557</v>
      </c>
      <c r="B19" t="s">
        <v>24</v>
      </c>
      <c r="C19" s="2">
        <v>10903</v>
      </c>
      <c r="D19" s="5" t="s">
        <v>17</v>
      </c>
      <c r="E19" s="2">
        <f>IF(Tabla2[[#This Row],[Frecuencia]]="Annual", Tabla2[[#This Row],[Cosecha/Tarea]]/12,Tabla2[[#This Row],[Cosecha/Tarea]])</f>
        <v>10903</v>
      </c>
      <c r="F19" s="2">
        <v>154124</v>
      </c>
      <c r="G19" t="s">
        <v>18</v>
      </c>
      <c r="H19">
        <f>F19/Tabla2[[#This Row],[Cosecha Mensual]]</f>
        <v>14.135925891956342</v>
      </c>
      <c r="I19">
        <f>H19*_xlfn.XLOOKUP(Tabla2[[#This Row],[Unidad de producción]],Tabla3[Medida],Tabla3[Equivalencia en Kg],"ELVIS",0)</f>
        <v>641.20559845913965</v>
      </c>
      <c r="J19">
        <v>346.87571428571403</v>
      </c>
      <c r="K19" t="s">
        <v>18</v>
      </c>
      <c r="L19">
        <f>J19/_xlfn.XLOOKUP(Tabla2[[#This Row],[Unidad de precio]],Tabla3[Medida],Tabla3[Equivalencia en Kg],"ELVIS",0)</f>
        <v>7.6471718316956352</v>
      </c>
      <c r="N19" s="2">
        <f>(Tabla2[[#This Row],[Productividad (kg/TAS)]]*Tabla2[[#This Row],[Precio por kg]]-Tabla2[[#This Row],[Costos (En RD$/Tarea)]])</f>
        <v>4903.4093908622754</v>
      </c>
      <c r="O19" s="6">
        <f>IF(Tabla2[[#This Row],[Costos (En RD$/Tarea)]]=0,0,Tabla2[[#This Row],[Beneficio Neto  (En RD$/Tarea)]]/Tabla2[[#This Row],[Costos (En RD$/Tarea)]])</f>
        <v>0</v>
      </c>
      <c r="P19" s="4">
        <f>Tabla2[[#This Row],[Rentabilidad (%)]]/12</f>
        <v>0</v>
      </c>
    </row>
    <row r="20" spans="1:16" x14ac:dyDescent="0.35">
      <c r="A20" s="1">
        <v>36557</v>
      </c>
      <c r="B20" t="s">
        <v>25</v>
      </c>
      <c r="C20" s="2">
        <v>37142</v>
      </c>
      <c r="D20" s="5" t="s">
        <v>17</v>
      </c>
      <c r="E20" s="2">
        <f>IF(Tabla2[[#This Row],[Frecuencia]]="Annual", Tabla2[[#This Row],[Cosecha/Tarea]]/12,Tabla2[[#This Row],[Cosecha/Tarea]])</f>
        <v>37142</v>
      </c>
      <c r="F20" s="2">
        <v>338748</v>
      </c>
      <c r="G20" t="s">
        <v>18</v>
      </c>
      <c r="H20">
        <f>F20/Tabla2[[#This Row],[Cosecha Mensual]]</f>
        <v>9.1203489311291808</v>
      </c>
      <c r="I20">
        <f>H20*_xlfn.XLOOKUP(Tabla2[[#This Row],[Unidad de producción]],Tabla3[Medida],Tabla3[Equivalencia en Kg],"ELVIS",0)</f>
        <v>413.69902751601961</v>
      </c>
      <c r="J20">
        <v>115.8666875</v>
      </c>
      <c r="K20" t="s">
        <v>18</v>
      </c>
      <c r="L20">
        <f>J20/_xlfn.XLOOKUP(Tabla2[[#This Row],[Unidad de precio]],Tabla3[Medida],Tabla3[Equivalencia en Kg],"ELVIS",0)</f>
        <v>2.5543802358906524</v>
      </c>
      <c r="N20" s="2">
        <f>(Tabla2[[#This Row],[Productividad (kg/TAS)]]*Tabla2[[#This Row],[Precio por kg]]-Tabla2[[#This Row],[Costos (En RD$/Tarea)]])</f>
        <v>1056.7446194941037</v>
      </c>
      <c r="O20" s="6">
        <f>IF(Tabla2[[#This Row],[Costos (En RD$/Tarea)]]=0,0,Tabla2[[#This Row],[Beneficio Neto  (En RD$/Tarea)]]/Tabla2[[#This Row],[Costos (En RD$/Tarea)]])</f>
        <v>0</v>
      </c>
      <c r="P20" s="4">
        <f>Tabla2[[#This Row],[Rentabilidad (%)]]/12</f>
        <v>0</v>
      </c>
    </row>
    <row r="21" spans="1:16" x14ac:dyDescent="0.35">
      <c r="A21" s="1">
        <v>36557</v>
      </c>
      <c r="B21" t="s">
        <v>26</v>
      </c>
      <c r="C21" s="2">
        <v>8155</v>
      </c>
      <c r="D21" s="5" t="s">
        <v>17</v>
      </c>
      <c r="E21" s="2">
        <f>IF(Tabla2[[#This Row],[Frecuencia]]="Annual", Tabla2[[#This Row],[Cosecha/Tarea]]/12,Tabla2[[#This Row],[Cosecha/Tarea]])</f>
        <v>8155</v>
      </c>
      <c r="F21" s="2">
        <v>67208</v>
      </c>
      <c r="G21" t="s">
        <v>18</v>
      </c>
      <c r="H21">
        <f>F21/Tabla2[[#This Row],[Cosecha Mensual]]</f>
        <v>8.2413243408951562</v>
      </c>
      <c r="I21">
        <f>H21*_xlfn.XLOOKUP(Tabla2[[#This Row],[Unidad de producción]],Tabla3[Medida],Tabla3[Equivalencia en Kg],"ELVIS",0)</f>
        <v>373.82647210300428</v>
      </c>
      <c r="J21">
        <v>259.90750000000003</v>
      </c>
      <c r="K21" t="s">
        <v>18</v>
      </c>
      <c r="L21">
        <f>J21/_xlfn.XLOOKUP(Tabla2[[#This Row],[Unidad de precio]],Tabla3[Medida],Tabla3[Equivalencia en Kg],"ELVIS",0)</f>
        <v>5.7298831569664905</v>
      </c>
      <c r="N21" s="2">
        <f>(Tabla2[[#This Row],[Productividad (kg/TAS)]]*Tabla2[[#This Row],[Precio por kg]]-Tabla2[[#This Row],[Costos (En RD$/Tarea)]])</f>
        <v>2141.982006131208</v>
      </c>
      <c r="O21" s="6">
        <f>IF(Tabla2[[#This Row],[Costos (En RD$/Tarea)]]=0,0,Tabla2[[#This Row],[Beneficio Neto  (En RD$/Tarea)]]/Tabla2[[#This Row],[Costos (En RD$/Tarea)]])</f>
        <v>0</v>
      </c>
      <c r="P21" s="4">
        <f>Tabla2[[#This Row],[Rentabilidad (%)]]/12</f>
        <v>0</v>
      </c>
    </row>
    <row r="22" spans="1:16" x14ac:dyDescent="0.35">
      <c r="A22" s="1">
        <v>36557</v>
      </c>
      <c r="B22" t="s">
        <v>27</v>
      </c>
      <c r="C22" s="2">
        <v>2203</v>
      </c>
      <c r="D22" s="5" t="s">
        <v>17</v>
      </c>
      <c r="E22" s="2">
        <f>IF(Tabla2[[#This Row],[Frecuencia]]="Annual", Tabla2[[#This Row],[Cosecha/Tarea]]/12,Tabla2[[#This Row],[Cosecha/Tarea]])</f>
        <v>2203</v>
      </c>
      <c r="F22" s="2">
        <v>18654</v>
      </c>
      <c r="G22" t="s">
        <v>18</v>
      </c>
      <c r="H22">
        <f>F22/Tabla2[[#This Row],[Cosecha Mensual]]</f>
        <v>8.467544257830232</v>
      </c>
      <c r="I22">
        <f>H22*_xlfn.XLOOKUP(Tabla2[[#This Row],[Unidad de producción]],Tabla3[Medida],Tabla3[Equivalencia en Kg],"ELVIS",0)</f>
        <v>384.08780753517931</v>
      </c>
      <c r="J22">
        <v>185.27375000000001</v>
      </c>
      <c r="K22" t="s">
        <v>18</v>
      </c>
      <c r="L22">
        <f>J22/_xlfn.XLOOKUP(Tabla2[[#This Row],[Unidad de precio]],Tabla3[Medida],Tabla3[Equivalencia en Kg],"ELVIS",0)</f>
        <v>4.0845182980599652</v>
      </c>
      <c r="N22" s="2">
        <f>(Tabla2[[#This Row],[Productividad (kg/TAS)]]*Tabla2[[#This Row],[Precio por kg]]-Tabla2[[#This Row],[Costos (En RD$/Tarea)]])</f>
        <v>1568.8136779391741</v>
      </c>
      <c r="O22" s="6">
        <f>IF(Tabla2[[#This Row],[Costos (En RD$/Tarea)]]=0,0,Tabla2[[#This Row],[Beneficio Neto  (En RD$/Tarea)]]/Tabla2[[#This Row],[Costos (En RD$/Tarea)]])</f>
        <v>0</v>
      </c>
      <c r="P22" s="4">
        <f>Tabla2[[#This Row],[Rentabilidad (%)]]/12</f>
        <v>0</v>
      </c>
    </row>
    <row r="23" spans="1:16" x14ac:dyDescent="0.35">
      <c r="A23" s="1">
        <v>36557</v>
      </c>
      <c r="B23" t="s">
        <v>28</v>
      </c>
      <c r="C23" s="2">
        <v>1157</v>
      </c>
      <c r="D23" s="5" t="s">
        <v>17</v>
      </c>
      <c r="E23" s="2">
        <f>IF(Tabla2[[#This Row],[Frecuencia]]="Annual", Tabla2[[#This Row],[Cosecha/Tarea]]/12,Tabla2[[#This Row],[Cosecha/Tarea]])</f>
        <v>1157</v>
      </c>
      <c r="F23" s="2">
        <v>1610</v>
      </c>
      <c r="G23" t="s">
        <v>18</v>
      </c>
      <c r="H23">
        <f>F23/Tabla2[[#This Row],[Cosecha Mensual]]</f>
        <v>1.3915298184961107</v>
      </c>
      <c r="I23">
        <f>H23*_xlfn.XLOOKUP(Tabla2[[#This Row],[Unidad de producción]],Tabla3[Medida],Tabla3[Equivalencia en Kg],"ELVIS",0)</f>
        <v>63.119792566983577</v>
      </c>
      <c r="J23">
        <v>1840</v>
      </c>
      <c r="K23" t="s">
        <v>29</v>
      </c>
      <c r="L23">
        <f>J23/_xlfn.XLOOKUP(Tabla2[[#This Row],[Unidad de precio]],Tabla3[Medida],Tabla3[Equivalencia en Kg],"ELVIS",0)</f>
        <v>3.2720418252302874</v>
      </c>
      <c r="N23" s="2">
        <f>(Tabla2[[#This Row],[Productividad (kg/TAS)]]*Tabla2[[#This Row],[Precio por kg]]-Tabla2[[#This Row],[Costos (En RD$/Tarea)]])</f>
        <v>206.53060127903007</v>
      </c>
      <c r="O23" s="6">
        <f>IF(Tabla2[[#This Row],[Costos (En RD$/Tarea)]]=0,0,Tabla2[[#This Row],[Beneficio Neto  (En RD$/Tarea)]]/Tabla2[[#This Row],[Costos (En RD$/Tarea)]])</f>
        <v>0</v>
      </c>
      <c r="P23" s="4">
        <f>Tabla2[[#This Row],[Rentabilidad (%)]]/12</f>
        <v>0</v>
      </c>
    </row>
    <row r="24" spans="1:16" x14ac:dyDescent="0.35">
      <c r="A24" s="1">
        <v>36557</v>
      </c>
      <c r="B24" t="s">
        <v>30</v>
      </c>
      <c r="C24" s="2">
        <v>212414</v>
      </c>
      <c r="D24" s="2" t="s">
        <v>31</v>
      </c>
      <c r="E24" s="2">
        <f>IF(Tabla2[[#This Row],[Frecuencia]]="Annual", Tabla2[[#This Row],[Cosecha/Tarea]]/12,Tabla2[[#This Row],[Cosecha/Tarea]])</f>
        <v>17701.166666666668</v>
      </c>
      <c r="F24" s="2">
        <v>1123980</v>
      </c>
      <c r="G24" t="s">
        <v>32</v>
      </c>
      <c r="H24">
        <f>F24/Tabla2[[#This Row],[Cosecha Mensual]]</f>
        <v>63.49750958034781</v>
      </c>
      <c r="I24">
        <f>H24*_xlfn.XLOOKUP(Tabla2[[#This Row],[Unidad de producción]],Tabla3[Medida],Tabla3[Equivalencia en Kg],"ELVIS",0)</f>
        <v>1727.7672356812639</v>
      </c>
      <c r="J24">
        <v>21.46125</v>
      </c>
      <c r="K24" t="s">
        <v>32</v>
      </c>
      <c r="L24">
        <f>J24/_xlfn.XLOOKUP(Tabla2[[#This Row],[Unidad de precio]],Tabla3[Medida],Tabla3[Equivalencia en Kg],"ELVIS",0)</f>
        <v>0.78872657111356115</v>
      </c>
      <c r="M24" s="2"/>
      <c r="N24" s="2">
        <f>(Tabla2[[#This Row],[Productividad (kg/TAS)]]*Tabla2[[#This Row],[Precio por kg]]-Tabla2[[#This Row],[Costos (En RD$/Tarea)]])</f>
        <v>1362.7359274812393</v>
      </c>
      <c r="O24" s="6">
        <f>IF(Tabla2[[#This Row],[Costos (En RD$/Tarea)]]=0,0,Tabla2[[#This Row],[Beneficio Neto  (En RD$/Tarea)]]/Tabla2[[#This Row],[Costos (En RD$/Tarea)]])</f>
        <v>0</v>
      </c>
      <c r="P24" s="4">
        <f>Tabla2[[#This Row],[Rentabilidad (%)]]/12</f>
        <v>0</v>
      </c>
    </row>
    <row r="25" spans="1:16" x14ac:dyDescent="0.35">
      <c r="A25" s="1">
        <v>36557</v>
      </c>
      <c r="B25" t="s">
        <v>33</v>
      </c>
      <c r="C25" s="2">
        <v>472088</v>
      </c>
      <c r="D25" s="2" t="s">
        <v>31</v>
      </c>
      <c r="E25" s="2">
        <f>IF(Tabla2[[#This Row],[Frecuencia]]="Annual", Tabla2[[#This Row],[Cosecha/Tarea]]/12,Tabla2[[#This Row],[Cosecha/Tarea]])</f>
        <v>39340.666666666664</v>
      </c>
      <c r="F25" s="2">
        <v>91179</v>
      </c>
      <c r="G25" t="s">
        <v>34</v>
      </c>
      <c r="H25">
        <f>F25/Tabla2[[#This Row],[Cosecha Mensual]]</f>
        <v>2.3176780600227076</v>
      </c>
      <c r="I25">
        <f>H25*_xlfn.XLOOKUP(Tabla2[[#This Row],[Unidad de producción]],Tabla3[Medida],Tabla3[Equivalencia en Kg],"ELVIS",0)</f>
        <v>945.9603001982681</v>
      </c>
      <c r="J25">
        <v>1075.31375</v>
      </c>
      <c r="K25" t="s">
        <v>34</v>
      </c>
      <c r="L25">
        <f>J25/_xlfn.XLOOKUP(Tabla2[[#This Row],[Unidad de precio]],Tabla3[Medida],Tabla3[Equivalencia en Kg],"ELVIS",0)</f>
        <v>2.6346043121401448</v>
      </c>
      <c r="M25" s="2"/>
      <c r="N25" s="2">
        <f>(Tabla2[[#This Row],[Productividad (kg/TAS)]]*Tabla2[[#This Row],[Precio por kg]]-Tabla2[[#This Row],[Costos (En RD$/Tarea)]])</f>
        <v>2492.2310860157431</v>
      </c>
      <c r="O25" s="6">
        <f>IF(Tabla2[[#This Row],[Costos (En RD$/Tarea)]]=0,0,Tabla2[[#This Row],[Beneficio Neto  (En RD$/Tarea)]]/Tabla2[[#This Row],[Costos (En RD$/Tarea)]])</f>
        <v>0</v>
      </c>
      <c r="P25" s="4">
        <f>Tabla2[[#This Row],[Rentabilidad (%)]]/12</f>
        <v>0</v>
      </c>
    </row>
    <row r="26" spans="1:16" x14ac:dyDescent="0.35">
      <c r="A26" s="1">
        <v>36586</v>
      </c>
      <c r="B26" t="s">
        <v>16</v>
      </c>
      <c r="C26" s="5">
        <v>7902</v>
      </c>
      <c r="D26" s="5" t="s">
        <v>17</v>
      </c>
      <c r="E26" s="5">
        <f>IF(Tabla2[[#This Row],[Frecuencia]]="Annual", Tabla2[[#This Row],[Cosecha/Tarea]]/12,Tabla2[[#This Row],[Cosecha/Tarea]])</f>
        <v>7902</v>
      </c>
      <c r="F26" s="2">
        <v>23368</v>
      </c>
      <c r="G26" t="s">
        <v>18</v>
      </c>
      <c r="H26">
        <f>F26/Tabla2[[#This Row],[Cosecha Mensual]]</f>
        <v>2.9572260187294357</v>
      </c>
      <c r="I26">
        <f>H26*_xlfn.XLOOKUP(Tabla2[[#This Row],[Unidad de producción]],Tabla3[Medida],Tabla3[Equivalencia en Kg],"ELVIS",0)</f>
        <v>134.13977220956721</v>
      </c>
      <c r="J26">
        <v>1156.0770077007701</v>
      </c>
      <c r="K26" t="s">
        <v>19</v>
      </c>
      <c r="L26">
        <f>J26/_xlfn.XLOOKUP(Tabla2[[#This Row],[Unidad de precio]],Tabla3[Medida],Tabla3[Equivalencia en Kg],"ELVIS",0)</f>
        <v>10.509790979097909</v>
      </c>
      <c r="N26" s="2">
        <f>(Tabla2[[#This Row],[Productividad (kg/TAS)]]*Tabla2[[#This Row],[Precio por kg]]-Tabla2[[#This Row],[Costos (En RD$/Tarea)]])</f>
        <v>1409.780967906358</v>
      </c>
      <c r="O26" s="6">
        <f>IF(Tabla2[[#This Row],[Costos (En RD$/Tarea)]]=0,0,Tabla2[[#This Row],[Beneficio Neto  (En RD$/Tarea)]]/Tabla2[[#This Row],[Costos (En RD$/Tarea)]])</f>
        <v>0</v>
      </c>
      <c r="P26" s="4">
        <f>Tabla2[[#This Row],[Rentabilidad (%)]]/12</f>
        <v>0</v>
      </c>
    </row>
    <row r="27" spans="1:16" x14ac:dyDescent="0.35">
      <c r="A27" s="1">
        <v>36586</v>
      </c>
      <c r="B27" t="s">
        <v>20</v>
      </c>
      <c r="C27" s="5">
        <v>16370</v>
      </c>
      <c r="D27" s="5" t="s">
        <v>17</v>
      </c>
      <c r="E27" s="5">
        <f>IF(Tabla2[[#This Row],[Frecuencia]]="Annual", Tabla2[[#This Row],[Cosecha/Tarea]]/12,Tabla2[[#This Row],[Cosecha/Tarea]])</f>
        <v>16370</v>
      </c>
      <c r="F27" s="5">
        <v>28986</v>
      </c>
      <c r="G27" t="s">
        <v>18</v>
      </c>
      <c r="H27">
        <f>F27/Tabla2[[#This Row],[Cosecha Mensual]]</f>
        <v>1.7706780696395845</v>
      </c>
      <c r="I27">
        <f>H27*_xlfn.XLOOKUP(Tabla2[[#This Row],[Unidad de producción]],Tabla3[Medida],Tabla3[Equivalencia en Kg],"ELVIS",0)</f>
        <v>80.317957238851548</v>
      </c>
      <c r="J27">
        <v>124.8009</v>
      </c>
      <c r="K27" t="s">
        <v>18</v>
      </c>
      <c r="L27">
        <f>J27/_xlfn.XLOOKUP(Tabla2[[#This Row],[Unidad de precio]],Tabla3[Medida],Tabla3[Equivalencia en Kg],"ELVIS",0)</f>
        <v>2.7513425925925925</v>
      </c>
      <c r="N27" s="2">
        <f>(Tabla2[[#This Row],[Productividad (kg/TAS)]]*Tabla2[[#This Row],[Precio por kg]]-Tabla2[[#This Row],[Costos (En RD$/Tarea)]])</f>
        <v>220.98221670128279</v>
      </c>
      <c r="O27" s="6">
        <f>IF(Tabla2[[#This Row],[Costos (En RD$/Tarea)]]=0,0,Tabla2[[#This Row],[Beneficio Neto  (En RD$/Tarea)]]/Tabla2[[#This Row],[Costos (En RD$/Tarea)]])</f>
        <v>0</v>
      </c>
      <c r="P27" s="4">
        <f>Tabla2[[#This Row],[Rentabilidad (%)]]/12</f>
        <v>0</v>
      </c>
    </row>
    <row r="28" spans="1:16" x14ac:dyDescent="0.35">
      <c r="A28" s="1">
        <v>36586</v>
      </c>
      <c r="B28" t="s">
        <v>21</v>
      </c>
      <c r="C28" s="2">
        <v>13867</v>
      </c>
      <c r="D28" s="5" t="s">
        <v>17</v>
      </c>
      <c r="E28" s="2">
        <f>IF(Tabla2[[#This Row],[Frecuencia]]="Annual", Tabla2[[#This Row],[Cosecha/Tarea]]/12,Tabla2[[#This Row],[Cosecha/Tarea]])</f>
        <v>13867</v>
      </c>
      <c r="F28" s="2">
        <v>91297</v>
      </c>
      <c r="G28" t="s">
        <v>18</v>
      </c>
      <c r="H28">
        <f>F28/Tabla2[[#This Row],[Cosecha Mensual]]</f>
        <v>6.5837600057690917</v>
      </c>
      <c r="I28">
        <f>H28*_xlfn.XLOOKUP(Tabla2[[#This Row],[Unidad de producción]],Tabla3[Medida],Tabla3[Equivalencia en Kg],"ELVIS",0)</f>
        <v>298.639353861686</v>
      </c>
      <c r="J28">
        <v>115.083333333333</v>
      </c>
      <c r="K28" t="s">
        <v>18</v>
      </c>
      <c r="L28">
        <f>J28/_xlfn.XLOOKUP(Tabla2[[#This Row],[Unidad de precio]],Tabla3[Medida],Tabla3[Equivalencia en Kg],"ELVIS",0)</f>
        <v>2.5371105232216271</v>
      </c>
      <c r="N28" s="2">
        <f>(Tabla2[[#This Row],[Productividad (kg/TAS)]]*Tabla2[[#This Row],[Precio por kg]]-Tabla2[[#This Row],[Costos (En RD$/Tarea)]])</f>
        <v>757.68104733059079</v>
      </c>
      <c r="O28" s="6">
        <f>IF(Tabla2[[#This Row],[Costos (En RD$/Tarea)]]=0,0,Tabla2[[#This Row],[Beneficio Neto  (En RD$/Tarea)]]/Tabla2[[#This Row],[Costos (En RD$/Tarea)]])</f>
        <v>0</v>
      </c>
      <c r="P28" s="4">
        <f>Tabla2[[#This Row],[Rentabilidad (%)]]/12</f>
        <v>0</v>
      </c>
    </row>
    <row r="29" spans="1:16" x14ac:dyDescent="0.35">
      <c r="A29" s="1">
        <v>36586</v>
      </c>
      <c r="B29" t="s">
        <v>22</v>
      </c>
      <c r="C29" s="2">
        <v>3221</v>
      </c>
      <c r="D29" s="5" t="s">
        <v>17</v>
      </c>
      <c r="E29" s="2">
        <f>IF(Tabla2[[#This Row],[Frecuencia]]="Annual", Tabla2[[#This Row],[Cosecha/Tarea]]/12,Tabla2[[#This Row],[Cosecha/Tarea]])</f>
        <v>3221</v>
      </c>
      <c r="F29" s="2">
        <v>28232</v>
      </c>
      <c r="G29" t="s">
        <v>18</v>
      </c>
      <c r="H29">
        <f>F29/Tabla2[[#This Row],[Cosecha Mensual]]</f>
        <v>8.7649798199316979</v>
      </c>
      <c r="I29">
        <f>H29*_xlfn.XLOOKUP(Tabla2[[#This Row],[Unidad de producción]],Tabla3[Medida],Tabla3[Equivalencia en Kg],"ELVIS",0)</f>
        <v>397.57948463210181</v>
      </c>
      <c r="J29">
        <v>274.26799999999997</v>
      </c>
      <c r="K29" t="s">
        <v>18</v>
      </c>
      <c r="L29">
        <f>J29/_xlfn.XLOOKUP(Tabla2[[#This Row],[Unidad de precio]],Tabla3[Medida],Tabla3[Equivalencia en Kg],"ELVIS",0)</f>
        <v>6.0464726631393289</v>
      </c>
      <c r="N29" s="2">
        <f>(Tabla2[[#This Row],[Productividad (kg/TAS)]]*Tabla2[[#This Row],[Precio por kg]]-Tabla2[[#This Row],[Costos (En RD$/Tarea)]])</f>
        <v>2403.9534852530264</v>
      </c>
      <c r="O29" s="6">
        <f>IF(Tabla2[[#This Row],[Costos (En RD$/Tarea)]]=0,0,Tabla2[[#This Row],[Beneficio Neto  (En RD$/Tarea)]]/Tabla2[[#This Row],[Costos (En RD$/Tarea)]])</f>
        <v>0</v>
      </c>
      <c r="P29" s="4">
        <f>Tabla2[[#This Row],[Rentabilidad (%)]]/12</f>
        <v>0</v>
      </c>
    </row>
    <row r="30" spans="1:16" x14ac:dyDescent="0.35">
      <c r="A30" s="1">
        <v>36586</v>
      </c>
      <c r="B30" t="s">
        <v>23</v>
      </c>
      <c r="C30" s="2">
        <v>1566</v>
      </c>
      <c r="D30" s="5" t="s">
        <v>17</v>
      </c>
      <c r="E30" s="2">
        <f>IF(Tabla2[[#This Row],[Frecuencia]]="Annual", Tabla2[[#This Row],[Cosecha/Tarea]]/12,Tabla2[[#This Row],[Cosecha/Tarea]])</f>
        <v>1566</v>
      </c>
      <c r="F30" s="2">
        <v>25493</v>
      </c>
      <c r="G30" t="s">
        <v>18</v>
      </c>
      <c r="H30">
        <f>F30/Tabla2[[#This Row],[Cosecha Mensual]]</f>
        <v>16.279054916985952</v>
      </c>
      <c r="I30">
        <f>H30*_xlfn.XLOOKUP(Tabla2[[#This Row],[Unidad de producción]],Tabla3[Medida],Tabla3[Equivalencia en Kg],"ELVIS",0)</f>
        <v>738.41793103448276</v>
      </c>
      <c r="J30">
        <v>288.22500000000002</v>
      </c>
      <c r="K30" t="s">
        <v>18</v>
      </c>
      <c r="L30">
        <f>J30/_xlfn.XLOOKUP(Tabla2[[#This Row],[Unidad de precio]],Tabla3[Medida],Tabla3[Equivalencia en Kg],"ELVIS",0)</f>
        <v>6.354166666666667</v>
      </c>
      <c r="N30" s="2">
        <f>(Tabla2[[#This Row],[Productividad (kg/TAS)]]*Tabla2[[#This Row],[Precio por kg]]-Tabla2[[#This Row],[Costos (En RD$/Tarea)]])</f>
        <v>4692.0306034482765</v>
      </c>
      <c r="O30" s="6">
        <f>IF(Tabla2[[#This Row],[Costos (En RD$/Tarea)]]=0,0,Tabla2[[#This Row],[Beneficio Neto  (En RD$/Tarea)]]/Tabla2[[#This Row],[Costos (En RD$/Tarea)]])</f>
        <v>0</v>
      </c>
      <c r="P30" s="4">
        <f>Tabla2[[#This Row],[Rentabilidad (%)]]/12</f>
        <v>0</v>
      </c>
    </row>
    <row r="31" spans="1:16" x14ac:dyDescent="0.35">
      <c r="A31" s="1">
        <v>36586</v>
      </c>
      <c r="B31" t="s">
        <v>24</v>
      </c>
      <c r="C31" s="2">
        <v>11749</v>
      </c>
      <c r="D31" s="5" t="s">
        <v>17</v>
      </c>
      <c r="E31" s="2">
        <f>IF(Tabla2[[#This Row],[Frecuencia]]="Annual", Tabla2[[#This Row],[Cosecha/Tarea]]/12,Tabla2[[#This Row],[Cosecha/Tarea]])</f>
        <v>11749</v>
      </c>
      <c r="F31" s="2">
        <v>92784</v>
      </c>
      <c r="G31" t="s">
        <v>18</v>
      </c>
      <c r="H31">
        <f>F31/Tabla2[[#This Row],[Cosecha Mensual]]</f>
        <v>7.8971827389565066</v>
      </c>
      <c r="I31">
        <f>H31*_xlfn.XLOOKUP(Tabla2[[#This Row],[Unidad de producción]],Tabla3[Medida],Tabla3[Equivalencia en Kg],"ELVIS",0)</f>
        <v>358.21620903906711</v>
      </c>
      <c r="J31">
        <v>298.60000000000002</v>
      </c>
      <c r="K31" t="s">
        <v>18</v>
      </c>
      <c r="L31">
        <f>J31/_xlfn.XLOOKUP(Tabla2[[#This Row],[Unidad de precio]],Tabla3[Medida],Tabla3[Equivalencia en Kg],"ELVIS",0)</f>
        <v>6.5828924162257501</v>
      </c>
      <c r="N31" s="2">
        <f>(Tabla2[[#This Row],[Productividad (kg/TAS)]]*Tabla2[[#This Row],[Precio por kg]]-Tabla2[[#This Row],[Costos (En RD$/Tarea)]])</f>
        <v>2358.0987658524127</v>
      </c>
      <c r="O31" s="6">
        <f>IF(Tabla2[[#This Row],[Costos (En RD$/Tarea)]]=0,0,Tabla2[[#This Row],[Beneficio Neto  (En RD$/Tarea)]]/Tabla2[[#This Row],[Costos (En RD$/Tarea)]])</f>
        <v>0</v>
      </c>
      <c r="P31" s="4">
        <f>Tabla2[[#This Row],[Rentabilidad (%)]]/12</f>
        <v>0</v>
      </c>
    </row>
    <row r="32" spans="1:16" x14ac:dyDescent="0.35">
      <c r="A32" s="1">
        <v>36586</v>
      </c>
      <c r="B32" t="s">
        <v>25</v>
      </c>
      <c r="C32" s="2">
        <v>24871</v>
      </c>
      <c r="D32" s="5" t="s">
        <v>17</v>
      </c>
      <c r="E32" s="2">
        <f>IF(Tabla2[[#This Row],[Frecuencia]]="Annual", Tabla2[[#This Row],[Cosecha/Tarea]]/12,Tabla2[[#This Row],[Cosecha/Tarea]])</f>
        <v>24871</v>
      </c>
      <c r="F32" s="2">
        <v>221327</v>
      </c>
      <c r="G32" t="s">
        <v>18</v>
      </c>
      <c r="H32">
        <f>F32/Tabla2[[#This Row],[Cosecha Mensual]]</f>
        <v>8.8989988339833541</v>
      </c>
      <c r="I32">
        <f>H32*_xlfn.XLOOKUP(Tabla2[[#This Row],[Unidad de producción]],Tabla3[Medida],Tabla3[Equivalencia en Kg],"ELVIS",0)</f>
        <v>403.65858710948493</v>
      </c>
      <c r="J32">
        <v>119.53125</v>
      </c>
      <c r="K32" t="s">
        <v>18</v>
      </c>
      <c r="L32">
        <f>J32/_xlfn.XLOOKUP(Tabla2[[#This Row],[Unidad de precio]],Tabla3[Medida],Tabla3[Equivalencia en Kg],"ELVIS",0)</f>
        <v>2.6351686507936507</v>
      </c>
      <c r="N32" s="2">
        <f>(Tabla2[[#This Row],[Productividad (kg/TAS)]]*Tabla2[[#This Row],[Precio por kg]]-Tabla2[[#This Row],[Costos (En RD$/Tarea)]])</f>
        <v>1063.7084543745727</v>
      </c>
      <c r="O32" s="6">
        <f>IF(Tabla2[[#This Row],[Costos (En RD$/Tarea)]]=0,0,Tabla2[[#This Row],[Beneficio Neto  (En RD$/Tarea)]]/Tabla2[[#This Row],[Costos (En RD$/Tarea)]])</f>
        <v>0</v>
      </c>
      <c r="P32" s="4">
        <f>Tabla2[[#This Row],[Rentabilidad (%)]]/12</f>
        <v>0</v>
      </c>
    </row>
    <row r="33" spans="1:16" x14ac:dyDescent="0.35">
      <c r="A33" s="1">
        <v>36586</v>
      </c>
      <c r="B33" t="s">
        <v>26</v>
      </c>
      <c r="C33" s="2">
        <v>7968</v>
      </c>
      <c r="D33" s="5" t="s">
        <v>17</v>
      </c>
      <c r="E33" s="2">
        <f>IF(Tabla2[[#This Row],[Frecuencia]]="Annual", Tabla2[[#This Row],[Cosecha/Tarea]]/12,Tabla2[[#This Row],[Cosecha/Tarea]])</f>
        <v>7968</v>
      </c>
      <c r="F33" s="2">
        <v>50813</v>
      </c>
      <c r="G33" t="s">
        <v>18</v>
      </c>
      <c r="H33">
        <f>F33/Tabla2[[#This Row],[Cosecha Mensual]]</f>
        <v>6.3771335341365463</v>
      </c>
      <c r="I33">
        <f>H33*_xlfn.XLOOKUP(Tabla2[[#This Row],[Unidad de producción]],Tabla3[Medida],Tabla3[Equivalencia en Kg],"ELVIS",0)</f>
        <v>289.26677710843376</v>
      </c>
      <c r="J33">
        <v>247.6</v>
      </c>
      <c r="K33" t="s">
        <v>18</v>
      </c>
      <c r="L33">
        <f>J33/_xlfn.XLOOKUP(Tabla2[[#This Row],[Unidad de precio]],Tabla3[Medida],Tabla3[Equivalencia en Kg],"ELVIS",0)</f>
        <v>5.458553791887125</v>
      </c>
      <c r="N33" s="2">
        <f>(Tabla2[[#This Row],[Productividad (kg/TAS)]]*Tabla2[[#This Row],[Precio por kg]]-Tabla2[[#This Row],[Costos (En RD$/Tarea)]])</f>
        <v>1578.9782630522088</v>
      </c>
      <c r="O33" s="6">
        <f>IF(Tabla2[[#This Row],[Costos (En RD$/Tarea)]]=0,0,Tabla2[[#This Row],[Beneficio Neto  (En RD$/Tarea)]]/Tabla2[[#This Row],[Costos (En RD$/Tarea)]])</f>
        <v>0</v>
      </c>
      <c r="P33" s="4">
        <f>Tabla2[[#This Row],[Rentabilidad (%)]]/12</f>
        <v>0</v>
      </c>
    </row>
    <row r="34" spans="1:16" x14ac:dyDescent="0.35">
      <c r="A34" s="1">
        <v>36586</v>
      </c>
      <c r="B34" t="s">
        <v>27</v>
      </c>
      <c r="C34" s="2">
        <v>2320</v>
      </c>
      <c r="D34" s="5" t="s">
        <v>17</v>
      </c>
      <c r="E34" s="2">
        <f>IF(Tabla2[[#This Row],[Frecuencia]]="Annual", Tabla2[[#This Row],[Cosecha/Tarea]]/12,Tabla2[[#This Row],[Cosecha/Tarea]])</f>
        <v>2320</v>
      </c>
      <c r="F34" s="2">
        <v>22697</v>
      </c>
      <c r="G34" t="s">
        <v>18</v>
      </c>
      <c r="H34">
        <f>F34/Tabla2[[#This Row],[Cosecha Mensual]]</f>
        <v>9.7831896551724142</v>
      </c>
      <c r="I34">
        <f>H34*_xlfn.XLOOKUP(Tabla2[[#This Row],[Unidad de producción]],Tabla3[Medida],Tabla3[Equivalencia en Kg],"ELVIS",0)</f>
        <v>443.76548275862069</v>
      </c>
      <c r="J34">
        <v>187.6</v>
      </c>
      <c r="K34" t="s">
        <v>18</v>
      </c>
      <c r="L34">
        <f>J34/_xlfn.XLOOKUP(Tabla2[[#This Row],[Unidad de precio]],Tabla3[Medida],Tabla3[Equivalencia en Kg],"ELVIS",0)</f>
        <v>4.1358024691358022</v>
      </c>
      <c r="N34" s="2">
        <f>(Tabla2[[#This Row],[Productividad (kg/TAS)]]*Tabla2[[#This Row],[Precio por kg]]-Tabla2[[#This Row],[Costos (En RD$/Tarea)]])</f>
        <v>1835.3263793103447</v>
      </c>
      <c r="O34" s="6">
        <f>IF(Tabla2[[#This Row],[Costos (En RD$/Tarea)]]=0,0,Tabla2[[#This Row],[Beneficio Neto  (En RD$/Tarea)]]/Tabla2[[#This Row],[Costos (En RD$/Tarea)]])</f>
        <v>0</v>
      </c>
      <c r="P34" s="4">
        <f>Tabla2[[#This Row],[Rentabilidad (%)]]/12</f>
        <v>0</v>
      </c>
    </row>
    <row r="35" spans="1:16" x14ac:dyDescent="0.35">
      <c r="A35" s="1">
        <v>36586</v>
      </c>
      <c r="B35" t="s">
        <v>28</v>
      </c>
      <c r="C35" s="2">
        <v>356</v>
      </c>
      <c r="D35" s="5" t="s">
        <v>17</v>
      </c>
      <c r="E35" s="2">
        <f>IF(Tabla2[[#This Row],[Frecuencia]]="Annual", Tabla2[[#This Row],[Cosecha/Tarea]]/12,Tabla2[[#This Row],[Cosecha/Tarea]])</f>
        <v>356</v>
      </c>
      <c r="F35" s="2">
        <v>367</v>
      </c>
      <c r="G35" t="s">
        <v>18</v>
      </c>
      <c r="H35">
        <f>F35/Tabla2[[#This Row],[Cosecha Mensual]]</f>
        <v>1.0308988764044944</v>
      </c>
      <c r="I35">
        <f>H35*_xlfn.XLOOKUP(Tabla2[[#This Row],[Unidad de producción]],Tabla3[Medida],Tabla3[Equivalencia en Kg],"ELVIS",0)</f>
        <v>46.761573033707869</v>
      </c>
      <c r="J35">
        <v>1917.38</v>
      </c>
      <c r="K35" t="s">
        <v>29</v>
      </c>
      <c r="L35">
        <f>J35/_xlfn.XLOOKUP(Tabla2[[#This Row],[Unidad de precio]],Tabla3[Medida],Tabla3[Equivalencia en Kg],"ELVIS",0)</f>
        <v>3.4096454102500267</v>
      </c>
      <c r="N35" s="2">
        <f>(Tabla2[[#This Row],[Productividad (kg/TAS)]]*Tabla2[[#This Row],[Precio por kg]]-Tabla2[[#This Row],[Costos (En RD$/Tarea)]])</f>
        <v>159.44038287045345</v>
      </c>
      <c r="O35" s="6">
        <f>IF(Tabla2[[#This Row],[Costos (En RD$/Tarea)]]=0,0,Tabla2[[#This Row],[Beneficio Neto  (En RD$/Tarea)]]/Tabla2[[#This Row],[Costos (En RD$/Tarea)]])</f>
        <v>0</v>
      </c>
      <c r="P35" s="4">
        <f>Tabla2[[#This Row],[Rentabilidad (%)]]/12</f>
        <v>0</v>
      </c>
    </row>
    <row r="36" spans="1:16" x14ac:dyDescent="0.35">
      <c r="A36" s="1">
        <v>36586</v>
      </c>
      <c r="B36" t="s">
        <v>30</v>
      </c>
      <c r="C36" s="2">
        <v>207839</v>
      </c>
      <c r="D36" s="2" t="s">
        <v>31</v>
      </c>
      <c r="E36" s="2">
        <f>IF(Tabla2[[#This Row],[Frecuencia]]="Annual", Tabla2[[#This Row],[Cosecha/Tarea]]/12,Tabla2[[#This Row],[Cosecha/Tarea]])</f>
        <v>17319.916666666668</v>
      </c>
      <c r="F36" s="2">
        <v>1205187</v>
      </c>
      <c r="G36" t="s">
        <v>32</v>
      </c>
      <c r="H36">
        <f>F36/Tabla2[[#This Row],[Cosecha Mensual]]</f>
        <v>69.583879830060766</v>
      </c>
      <c r="I36">
        <f>H36*_xlfn.XLOOKUP(Tabla2[[#This Row],[Unidad de producción]],Tabla3[Medida],Tabla3[Equivalencia en Kg],"ELVIS",0)</f>
        <v>1893.3773701759535</v>
      </c>
      <c r="J36">
        <v>21.4866666666667</v>
      </c>
      <c r="K36" t="s">
        <v>32</v>
      </c>
      <c r="L36">
        <f>J36/_xlfn.XLOOKUP(Tabla2[[#This Row],[Unidad de precio]],Tabla3[Medida],Tabla3[Equivalencia en Kg],"ELVIS",0)</f>
        <v>0.7896606639715803</v>
      </c>
      <c r="M36" s="2"/>
      <c r="N36" s="2">
        <f>(Tabla2[[#This Row],[Productividad (kg/TAS)]]*Tabla2[[#This Row],[Precio por kg]]-Tabla2[[#This Row],[Costos (En RD$/Tarea)]])</f>
        <v>1495.125631281908</v>
      </c>
      <c r="O36" s="6">
        <f>IF(Tabla2[[#This Row],[Costos (En RD$/Tarea)]]=0,0,Tabla2[[#This Row],[Beneficio Neto  (En RD$/Tarea)]]/Tabla2[[#This Row],[Costos (En RD$/Tarea)]])</f>
        <v>0</v>
      </c>
      <c r="P36" s="4">
        <f>Tabla2[[#This Row],[Rentabilidad (%)]]/12</f>
        <v>0</v>
      </c>
    </row>
    <row r="37" spans="1:16" x14ac:dyDescent="0.35">
      <c r="A37" s="1">
        <v>36586</v>
      </c>
      <c r="B37" t="s">
        <v>33</v>
      </c>
      <c r="C37" s="2">
        <v>556635</v>
      </c>
      <c r="D37" s="2" t="s">
        <v>31</v>
      </c>
      <c r="E37" s="2">
        <f>IF(Tabla2[[#This Row],[Frecuencia]]="Annual", Tabla2[[#This Row],[Cosecha/Tarea]]/12,Tabla2[[#This Row],[Cosecha/Tarea]])</f>
        <v>46386.25</v>
      </c>
      <c r="F37" s="2">
        <v>91839</v>
      </c>
      <c r="G37" t="s">
        <v>34</v>
      </c>
      <c r="H37">
        <f>F37/Tabla2[[#This Row],[Cosecha Mensual]]</f>
        <v>1.9798755018998087</v>
      </c>
      <c r="I37">
        <f>H37*_xlfn.XLOOKUP(Tabla2[[#This Row],[Unidad de producción]],Tabla3[Medida],Tabla3[Equivalencia en Kg],"ELVIS",0)</f>
        <v>808.08618610040685</v>
      </c>
      <c r="J37">
        <v>1229.8616666666701</v>
      </c>
      <c r="K37" t="s">
        <v>34</v>
      </c>
      <c r="L37">
        <f>J37/_xlfn.XLOOKUP(Tabla2[[#This Row],[Unidad de precio]],Tabla3[Medida],Tabla3[Equivalencia en Kg],"ELVIS",0)</f>
        <v>3.0132590142513052</v>
      </c>
      <c r="M37" s="2"/>
      <c r="N37" s="2">
        <f>(Tabla2[[#This Row],[Productividad (kg/TAS)]]*Tabla2[[#This Row],[Precio por kg]]-Tabla2[[#This Row],[Costos (En RD$/Tarea)]])</f>
        <v>2434.9729845590086</v>
      </c>
      <c r="O37" s="6">
        <f>IF(Tabla2[[#This Row],[Costos (En RD$/Tarea)]]=0,0,Tabla2[[#This Row],[Beneficio Neto  (En RD$/Tarea)]]/Tabla2[[#This Row],[Costos (En RD$/Tarea)]])</f>
        <v>0</v>
      </c>
      <c r="P37" s="4">
        <f>Tabla2[[#This Row],[Rentabilidad (%)]]/12</f>
        <v>0</v>
      </c>
    </row>
    <row r="38" spans="1:16" x14ac:dyDescent="0.35">
      <c r="A38" s="1">
        <v>36617</v>
      </c>
      <c r="B38" t="s">
        <v>16</v>
      </c>
      <c r="C38" s="5">
        <v>37236</v>
      </c>
      <c r="D38" s="5" t="s">
        <v>17</v>
      </c>
      <c r="E38" s="5">
        <f>IF(Tabla2[[#This Row],[Frecuencia]]="Annual", Tabla2[[#This Row],[Cosecha/Tarea]]/12,Tabla2[[#This Row],[Cosecha/Tarea]])</f>
        <v>37236</v>
      </c>
      <c r="F38" s="2">
        <v>139693</v>
      </c>
      <c r="G38" t="s">
        <v>18</v>
      </c>
      <c r="H38">
        <f>F38/Tabla2[[#This Row],[Cosecha Mensual]]</f>
        <v>3.7515576323987538</v>
      </c>
      <c r="I38">
        <f>H38*_xlfn.XLOOKUP(Tabla2[[#This Row],[Unidad de producción]],Tabla3[Medida],Tabla3[Equivalencia en Kg],"ELVIS",0)</f>
        <v>170.17065420560746</v>
      </c>
      <c r="J38">
        <v>1093.4895489549001</v>
      </c>
      <c r="K38" t="s">
        <v>19</v>
      </c>
      <c r="L38">
        <f>J38/_xlfn.XLOOKUP(Tabla2[[#This Row],[Unidad de precio]],Tabla3[Medida],Tabla3[Equivalencia en Kg],"ELVIS",0)</f>
        <v>9.9408140814081829</v>
      </c>
      <c r="N38" s="2">
        <f>(Tabla2[[#This Row],[Productividad (kg/TAS)]]*Tabla2[[#This Row],[Precio por kg]]-Tabla2[[#This Row],[Costos (En RD$/Tarea)]])</f>
        <v>1691.6348355695452</v>
      </c>
      <c r="O38" s="6">
        <f>IF(Tabla2[[#This Row],[Costos (En RD$/Tarea)]]=0,0,Tabla2[[#This Row],[Beneficio Neto  (En RD$/Tarea)]]/Tabla2[[#This Row],[Costos (En RD$/Tarea)]])</f>
        <v>0</v>
      </c>
      <c r="P38" s="4">
        <f>Tabla2[[#This Row],[Rentabilidad (%)]]/12</f>
        <v>0</v>
      </c>
    </row>
    <row r="39" spans="1:16" x14ac:dyDescent="0.35">
      <c r="A39" s="1">
        <v>36617</v>
      </c>
      <c r="B39" t="s">
        <v>20</v>
      </c>
      <c r="C39" s="2">
        <v>21666</v>
      </c>
      <c r="D39" s="5" t="s">
        <v>17</v>
      </c>
      <c r="E39" s="2">
        <f>IF(Tabla2[[#This Row],[Frecuencia]]="Annual", Tabla2[[#This Row],[Cosecha/Tarea]]/12,Tabla2[[#This Row],[Cosecha/Tarea]])</f>
        <v>21666</v>
      </c>
      <c r="F39" s="2">
        <v>40527</v>
      </c>
      <c r="G39" t="s">
        <v>18</v>
      </c>
      <c r="H39">
        <f>F39/Tabla2[[#This Row],[Cosecha Mensual]]</f>
        <v>1.8705344779839379</v>
      </c>
      <c r="I39">
        <f>H39*_xlfn.XLOOKUP(Tabla2[[#This Row],[Unidad de producción]],Tabla3[Medida],Tabla3[Equivalencia en Kg],"ELVIS",0)</f>
        <v>84.847443921351427</v>
      </c>
      <c r="J39">
        <v>155.20685714285699</v>
      </c>
      <c r="K39" t="s">
        <v>18</v>
      </c>
      <c r="L39">
        <f>J39/_xlfn.XLOOKUP(Tabla2[[#This Row],[Unidad de precio]],Tabla3[Medida],Tabla3[Equivalencia en Kg],"ELVIS",0)</f>
        <v>3.4216679264298278</v>
      </c>
      <c r="N39" s="2">
        <f>(Tabla2[[#This Row],[Productividad (kg/TAS)]]*Tabla2[[#This Row],[Precio por kg]]-Tabla2[[#This Row],[Costos (En RD$/Tarea)]])</f>
        <v>290.31977750524163</v>
      </c>
      <c r="O39" s="6">
        <f>IF(Tabla2[[#This Row],[Costos (En RD$/Tarea)]]=0,0,Tabla2[[#This Row],[Beneficio Neto  (En RD$/Tarea)]]/Tabla2[[#This Row],[Costos (En RD$/Tarea)]])</f>
        <v>0</v>
      </c>
      <c r="P39" s="4">
        <f>Tabla2[[#This Row],[Rentabilidad (%)]]/12</f>
        <v>0</v>
      </c>
    </row>
    <row r="40" spans="1:16" x14ac:dyDescent="0.35">
      <c r="A40" s="1">
        <v>36617</v>
      </c>
      <c r="B40" t="s">
        <v>21</v>
      </c>
      <c r="C40" s="2">
        <v>14368</v>
      </c>
      <c r="D40" s="5" t="s">
        <v>17</v>
      </c>
      <c r="E40" s="2">
        <f>IF(Tabla2[[#This Row],[Frecuencia]]="Annual", Tabla2[[#This Row],[Cosecha/Tarea]]/12,Tabla2[[#This Row],[Cosecha/Tarea]])</f>
        <v>14368</v>
      </c>
      <c r="F40" s="2">
        <v>121113</v>
      </c>
      <c r="G40" t="s">
        <v>18</v>
      </c>
      <c r="H40">
        <f>F40/Tabla2[[#This Row],[Cosecha Mensual]]</f>
        <v>8.429356904231625</v>
      </c>
      <c r="I40">
        <f>H40*_xlfn.XLOOKUP(Tabla2[[#This Row],[Unidad de producción]],Tabla3[Medida],Tabla3[Equivalencia en Kg],"ELVIS",0)</f>
        <v>382.35562917594649</v>
      </c>
      <c r="J40">
        <v>123.71875</v>
      </c>
      <c r="K40" t="s">
        <v>18</v>
      </c>
      <c r="L40">
        <f>J40/_xlfn.XLOOKUP(Tabla2[[#This Row],[Unidad de precio]],Tabla3[Medida],Tabla3[Equivalencia en Kg],"ELVIS",0)</f>
        <v>2.7274856701940036</v>
      </c>
      <c r="N40" s="2">
        <f>(Tabla2[[#This Row],[Productividad (kg/TAS)]]*Tabla2[[#This Row],[Precio por kg]]-Tabla2[[#This Row],[Costos (En RD$/Tarea)]])</f>
        <v>1042.8694994954062</v>
      </c>
      <c r="O40" s="6">
        <f>IF(Tabla2[[#This Row],[Costos (En RD$/Tarea)]]=0,0,Tabla2[[#This Row],[Beneficio Neto  (En RD$/Tarea)]]/Tabla2[[#This Row],[Costos (En RD$/Tarea)]])</f>
        <v>0</v>
      </c>
      <c r="P40" s="4">
        <f>Tabla2[[#This Row],[Rentabilidad (%)]]/12</f>
        <v>0</v>
      </c>
    </row>
    <row r="41" spans="1:16" x14ac:dyDescent="0.35">
      <c r="A41" s="1">
        <v>36617</v>
      </c>
      <c r="B41" t="s">
        <v>22</v>
      </c>
      <c r="C41" s="2">
        <v>1498</v>
      </c>
      <c r="D41" s="5" t="s">
        <v>17</v>
      </c>
      <c r="E41" s="2">
        <f>IF(Tabla2[[#This Row],[Frecuencia]]="Annual", Tabla2[[#This Row],[Cosecha/Tarea]]/12,Tabla2[[#This Row],[Cosecha/Tarea]])</f>
        <v>1498</v>
      </c>
      <c r="F41" s="2">
        <v>11835</v>
      </c>
      <c r="G41" t="s">
        <v>18</v>
      </c>
      <c r="H41">
        <f>F41/Tabla2[[#This Row],[Cosecha Mensual]]</f>
        <v>7.9005340453938588</v>
      </c>
      <c r="I41">
        <f>H41*_xlfn.XLOOKUP(Tabla2[[#This Row],[Unidad de producción]],Tabla3[Medida],Tabla3[Equivalencia en Kg],"ELVIS",0)</f>
        <v>358.36822429906545</v>
      </c>
      <c r="J41">
        <v>278.22166666666698</v>
      </c>
      <c r="K41" t="s">
        <v>18</v>
      </c>
      <c r="L41">
        <f>J41/_xlfn.XLOOKUP(Tabla2[[#This Row],[Unidad de precio]],Tabla3[Medida],Tabla3[Equivalencia en Kg],"ELVIS",0)</f>
        <v>6.1336346266901893</v>
      </c>
      <c r="N41" s="2">
        <f>(Tabla2[[#This Row],[Productividad (kg/TAS)]]*Tabla2[[#This Row],[Precio por kg]]-Tabla2[[#This Row],[Costos (En RD$/Tarea)]])</f>
        <v>2198.0997496662244</v>
      </c>
      <c r="O41" s="6">
        <f>IF(Tabla2[[#This Row],[Costos (En RD$/Tarea)]]=0,0,Tabla2[[#This Row],[Beneficio Neto  (En RD$/Tarea)]]/Tabla2[[#This Row],[Costos (En RD$/Tarea)]])</f>
        <v>0</v>
      </c>
      <c r="P41" s="4">
        <f>Tabla2[[#This Row],[Rentabilidad (%)]]/12</f>
        <v>0</v>
      </c>
    </row>
    <row r="42" spans="1:16" x14ac:dyDescent="0.35">
      <c r="A42" s="1">
        <v>36617</v>
      </c>
      <c r="B42" t="s">
        <v>23</v>
      </c>
      <c r="C42" s="2">
        <v>2281</v>
      </c>
      <c r="D42" s="5" t="s">
        <v>17</v>
      </c>
      <c r="E42" s="2">
        <f>IF(Tabla2[[#This Row],[Frecuencia]]="Annual", Tabla2[[#This Row],[Cosecha/Tarea]]/12,Tabla2[[#This Row],[Cosecha/Tarea]])</f>
        <v>2281</v>
      </c>
      <c r="F42" s="2">
        <v>39891</v>
      </c>
      <c r="G42" t="s">
        <v>18</v>
      </c>
      <c r="H42">
        <f>F42/Tabla2[[#This Row],[Cosecha Mensual]]</f>
        <v>17.488382288469968</v>
      </c>
      <c r="I42">
        <f>H42*_xlfn.XLOOKUP(Tabla2[[#This Row],[Unidad de producción]],Tabla3[Medida],Tabla3[Equivalencia en Kg],"ELVIS",0)</f>
        <v>793.27302060499767</v>
      </c>
      <c r="J42">
        <v>302.40985000000001</v>
      </c>
      <c r="K42" t="s">
        <v>18</v>
      </c>
      <c r="L42">
        <f>J42/_xlfn.XLOOKUP(Tabla2[[#This Row],[Unidad de precio]],Tabla3[Medida],Tabla3[Equivalencia en Kg],"ELVIS",0)</f>
        <v>6.6668838183421517</v>
      </c>
      <c r="N42" s="2">
        <f>(Tabla2[[#This Row],[Productividad (kg/TAS)]]*Tabla2[[#This Row],[Precio por kg]]-Tabla2[[#This Row],[Costos (En RD$/Tarea)]])</f>
        <v>5288.659064598859</v>
      </c>
      <c r="O42" s="6">
        <f>IF(Tabla2[[#This Row],[Costos (En RD$/Tarea)]]=0,0,Tabla2[[#This Row],[Beneficio Neto  (En RD$/Tarea)]]/Tabla2[[#This Row],[Costos (En RD$/Tarea)]])</f>
        <v>0</v>
      </c>
      <c r="P42" s="4">
        <f>Tabla2[[#This Row],[Rentabilidad (%)]]/12</f>
        <v>0</v>
      </c>
    </row>
    <row r="43" spans="1:16" x14ac:dyDescent="0.35">
      <c r="A43" s="1">
        <v>36617</v>
      </c>
      <c r="B43" t="s">
        <v>24</v>
      </c>
      <c r="C43" s="2">
        <v>10103</v>
      </c>
      <c r="D43" s="5" t="s">
        <v>17</v>
      </c>
      <c r="E43" s="2">
        <f>IF(Tabla2[[#This Row],[Frecuencia]]="Annual", Tabla2[[#This Row],[Cosecha/Tarea]]/12,Tabla2[[#This Row],[Cosecha/Tarea]])</f>
        <v>10103</v>
      </c>
      <c r="F43" s="2">
        <v>94959</v>
      </c>
      <c r="G43" t="s">
        <v>18</v>
      </c>
      <c r="H43">
        <f>F43/Tabla2[[#This Row],[Cosecha Mensual]]</f>
        <v>9.3990893793922599</v>
      </c>
      <c r="I43">
        <f>H43*_xlfn.XLOOKUP(Tabla2[[#This Row],[Unidad de producción]],Tabla3[Medida],Tabla3[Equivalencia en Kg],"ELVIS",0)</f>
        <v>426.34269424923292</v>
      </c>
      <c r="J43">
        <v>396.857142857143</v>
      </c>
      <c r="K43" t="s">
        <v>18</v>
      </c>
      <c r="L43">
        <f>J43/_xlfn.XLOOKUP(Tabla2[[#This Row],[Unidad de precio]],Tabla3[Medida],Tabla3[Equivalencia en Kg],"ELVIS",0)</f>
        <v>8.7490551776266088</v>
      </c>
      <c r="N43" s="2">
        <f>(Tabla2[[#This Row],[Productividad (kg/TAS)]]*Tabla2[[#This Row],[Precio por kg]]-Tabla2[[#This Row],[Costos (En RD$/Tarea)]])</f>
        <v>3730.0957565645294</v>
      </c>
      <c r="O43" s="6">
        <f>IF(Tabla2[[#This Row],[Costos (En RD$/Tarea)]]=0,0,Tabla2[[#This Row],[Beneficio Neto  (En RD$/Tarea)]]/Tabla2[[#This Row],[Costos (En RD$/Tarea)]])</f>
        <v>0</v>
      </c>
      <c r="P43" s="4">
        <f>Tabla2[[#This Row],[Rentabilidad (%)]]/12</f>
        <v>0</v>
      </c>
    </row>
    <row r="44" spans="1:16" x14ac:dyDescent="0.35">
      <c r="A44" s="1">
        <v>36617</v>
      </c>
      <c r="B44" t="s">
        <v>25</v>
      </c>
      <c r="C44" s="2">
        <v>28209</v>
      </c>
      <c r="D44" s="5" t="s">
        <v>17</v>
      </c>
      <c r="E44" s="2">
        <f>IF(Tabla2[[#This Row],[Frecuencia]]="Annual", Tabla2[[#This Row],[Cosecha/Tarea]]/12,Tabla2[[#This Row],[Cosecha/Tarea]])</f>
        <v>28209</v>
      </c>
      <c r="F44" s="2">
        <v>245067</v>
      </c>
      <c r="G44" t="s">
        <v>18</v>
      </c>
      <c r="H44">
        <f>F44/Tabla2[[#This Row],[Cosecha Mensual]]</f>
        <v>8.6875465277039243</v>
      </c>
      <c r="I44">
        <f>H44*_xlfn.XLOOKUP(Tabla2[[#This Row],[Unidad de producción]],Tabla3[Medida],Tabla3[Equivalencia en Kg],"ELVIS",0)</f>
        <v>394.06711049665</v>
      </c>
      <c r="J44">
        <v>122.188</v>
      </c>
      <c r="K44" t="s">
        <v>18</v>
      </c>
      <c r="L44">
        <f>J44/_xlfn.XLOOKUP(Tabla2[[#This Row],[Unidad de precio]],Tabla3[Medida],Tabla3[Equivalencia en Kg],"ELVIS",0)</f>
        <v>2.6937389770723104</v>
      </c>
      <c r="N44" s="2">
        <f>(Tabla2[[#This Row],[Productividad (kg/TAS)]]*Tabla2[[#This Row],[Precio por kg]]-Tabla2[[#This Row],[Costos (En RD$/Tarea)]])</f>
        <v>1061.5139351270871</v>
      </c>
      <c r="O44" s="6">
        <f>IF(Tabla2[[#This Row],[Costos (En RD$/Tarea)]]=0,0,Tabla2[[#This Row],[Beneficio Neto  (En RD$/Tarea)]]/Tabla2[[#This Row],[Costos (En RD$/Tarea)]])</f>
        <v>0</v>
      </c>
      <c r="P44" s="4">
        <f>Tabla2[[#This Row],[Rentabilidad (%)]]/12</f>
        <v>0</v>
      </c>
    </row>
    <row r="45" spans="1:16" x14ac:dyDescent="0.35">
      <c r="A45" s="1">
        <v>36617</v>
      </c>
      <c r="B45" t="s">
        <v>26</v>
      </c>
      <c r="C45" s="2">
        <v>6741</v>
      </c>
      <c r="D45" s="5" t="s">
        <v>17</v>
      </c>
      <c r="E45" s="2">
        <f>IF(Tabla2[[#This Row],[Frecuencia]]="Annual", Tabla2[[#This Row],[Cosecha/Tarea]]/12,Tabla2[[#This Row],[Cosecha/Tarea]])</f>
        <v>6741</v>
      </c>
      <c r="F45" s="2">
        <v>47481</v>
      </c>
      <c r="G45" t="s">
        <v>18</v>
      </c>
      <c r="H45">
        <f>F45/Tabla2[[#This Row],[Cosecha Mensual]]</f>
        <v>7.0436137071651093</v>
      </c>
      <c r="I45">
        <f>H45*_xlfn.XLOOKUP(Tabla2[[#This Row],[Unidad de producción]],Tabla3[Medida],Tabla3[Equivalencia en Kg],"ELVIS",0)</f>
        <v>319.49831775700937</v>
      </c>
      <c r="J45">
        <v>257.77166666666699</v>
      </c>
      <c r="K45" t="s">
        <v>18</v>
      </c>
      <c r="L45">
        <f>J45/_xlfn.XLOOKUP(Tabla2[[#This Row],[Unidad de precio]],Tabla3[Medida],Tabla3[Equivalencia en Kg],"ELVIS",0)</f>
        <v>5.6827968841857803</v>
      </c>
      <c r="N45" s="2">
        <f>(Tabla2[[#This Row],[Productividad (kg/TAS)]]*Tabla2[[#This Row],[Precio por kg]]-Tabla2[[#This Row],[Costos (En RD$/Tarea)]])</f>
        <v>1815.6440446521312</v>
      </c>
      <c r="O45" s="6">
        <f>IF(Tabla2[[#This Row],[Costos (En RD$/Tarea)]]=0,0,Tabla2[[#This Row],[Beneficio Neto  (En RD$/Tarea)]]/Tabla2[[#This Row],[Costos (En RD$/Tarea)]])</f>
        <v>0</v>
      </c>
      <c r="P45" s="4">
        <f>Tabla2[[#This Row],[Rentabilidad (%)]]/12</f>
        <v>0</v>
      </c>
    </row>
    <row r="46" spans="1:16" x14ac:dyDescent="0.35">
      <c r="A46" s="1">
        <v>36617</v>
      </c>
      <c r="B46" t="s">
        <v>27</v>
      </c>
      <c r="C46" s="2">
        <v>3181</v>
      </c>
      <c r="D46" s="5" t="s">
        <v>17</v>
      </c>
      <c r="E46" s="2">
        <f>IF(Tabla2[[#This Row],[Frecuencia]]="Annual", Tabla2[[#This Row],[Cosecha/Tarea]]/12,Tabla2[[#This Row],[Cosecha/Tarea]])</f>
        <v>3181</v>
      </c>
      <c r="F46" s="2">
        <v>36044</v>
      </c>
      <c r="G46" t="s">
        <v>18</v>
      </c>
      <c r="H46">
        <f>F46/Tabla2[[#This Row],[Cosecha Mensual]]</f>
        <v>11.331027978623075</v>
      </c>
      <c r="I46">
        <f>H46*_xlfn.XLOOKUP(Tabla2[[#This Row],[Unidad de producción]],Tabla3[Medida],Tabla3[Equivalencia en Kg],"ELVIS",0)</f>
        <v>513.9754291103427</v>
      </c>
      <c r="J46">
        <v>137.31285714285701</v>
      </c>
      <c r="K46" t="s">
        <v>18</v>
      </c>
      <c r="L46">
        <f>J46/_xlfn.XLOOKUP(Tabla2[[#This Row],[Unidad de precio]],Tabla3[Medida],Tabla3[Equivalencia en Kg],"ELVIS",0)</f>
        <v>3.0271793902746253</v>
      </c>
      <c r="N46" s="2">
        <f>(Tabla2[[#This Row],[Productividad (kg/TAS)]]*Tabla2[[#This Row],[Precio por kg]]-Tabla2[[#This Row],[Costos (En RD$/Tarea)]])</f>
        <v>1555.8958261103862</v>
      </c>
      <c r="O46" s="6">
        <f>IF(Tabla2[[#This Row],[Costos (En RD$/Tarea)]]=0,0,Tabla2[[#This Row],[Beneficio Neto  (En RD$/Tarea)]]/Tabla2[[#This Row],[Costos (En RD$/Tarea)]])</f>
        <v>0</v>
      </c>
      <c r="P46" s="4">
        <f>Tabla2[[#This Row],[Rentabilidad (%)]]/12</f>
        <v>0</v>
      </c>
    </row>
    <row r="47" spans="1:16" x14ac:dyDescent="0.35">
      <c r="A47" s="1">
        <v>36617</v>
      </c>
      <c r="B47" t="s">
        <v>28</v>
      </c>
      <c r="C47" s="2">
        <v>113</v>
      </c>
      <c r="D47" s="5" t="s">
        <v>17</v>
      </c>
      <c r="E47" s="2">
        <f>IF(Tabla2[[#This Row],[Frecuencia]]="Annual", Tabla2[[#This Row],[Cosecha/Tarea]]/12,Tabla2[[#This Row],[Cosecha/Tarea]])</f>
        <v>113</v>
      </c>
      <c r="F47" s="2">
        <v>36</v>
      </c>
      <c r="G47" t="s">
        <v>18</v>
      </c>
      <c r="H47">
        <f>F47/Tabla2[[#This Row],[Cosecha Mensual]]</f>
        <v>0.31858407079646017</v>
      </c>
      <c r="I47">
        <f>H47*_xlfn.XLOOKUP(Tabla2[[#This Row],[Unidad de producción]],Tabla3[Medida],Tabla3[Equivalencia en Kg],"ELVIS",0)</f>
        <v>14.450973451327433</v>
      </c>
      <c r="J47">
        <v>1325</v>
      </c>
      <c r="K47" t="s">
        <v>29</v>
      </c>
      <c r="L47">
        <f>J47/_xlfn.XLOOKUP(Tabla2[[#This Row],[Unidad de precio]],Tabla3[Medida],Tabla3[Equivalencia en Kg],"ELVIS",0)</f>
        <v>2.3562257708859407</v>
      </c>
      <c r="N47" s="2">
        <f>(Tabla2[[#This Row],[Productividad (kg/TAS)]]*Tabla2[[#This Row],[Precio por kg]]-Tabla2[[#This Row],[Costos (En RD$/Tarea)]])</f>
        <v>34.049756060406246</v>
      </c>
      <c r="O47" s="6">
        <f>IF(Tabla2[[#This Row],[Costos (En RD$/Tarea)]]=0,0,Tabla2[[#This Row],[Beneficio Neto  (En RD$/Tarea)]]/Tabla2[[#This Row],[Costos (En RD$/Tarea)]])</f>
        <v>0</v>
      </c>
      <c r="P47" s="4">
        <f>Tabla2[[#This Row],[Rentabilidad (%)]]/12</f>
        <v>0</v>
      </c>
    </row>
    <row r="48" spans="1:16" x14ac:dyDescent="0.35">
      <c r="A48" s="1">
        <v>36617</v>
      </c>
      <c r="B48" t="s">
        <v>30</v>
      </c>
      <c r="C48" s="2">
        <v>213090</v>
      </c>
      <c r="D48" s="2" t="s">
        <v>31</v>
      </c>
      <c r="E48" s="2">
        <f>IF(Tabla2[[#This Row],[Frecuencia]]="Annual", Tabla2[[#This Row],[Cosecha/Tarea]]/12,Tabla2[[#This Row],[Cosecha/Tarea]])</f>
        <v>17757.5</v>
      </c>
      <c r="F48" s="2">
        <v>954582</v>
      </c>
      <c r="G48" t="s">
        <v>32</v>
      </c>
      <c r="H48">
        <f>F48/Tabla2[[#This Row],[Cosecha Mensual]]</f>
        <v>53.756553568914541</v>
      </c>
      <c r="I48">
        <f>H48*_xlfn.XLOOKUP(Tabla2[[#This Row],[Unidad de producción]],Tabla3[Medida],Tabla3[Equivalencia en Kg],"ELVIS",0)</f>
        <v>1462.7158226101647</v>
      </c>
      <c r="J48">
        <v>21.3642857142857</v>
      </c>
      <c r="K48" t="s">
        <v>32</v>
      </c>
      <c r="L48">
        <f>J48/_xlfn.XLOOKUP(Tabla2[[#This Row],[Unidad de precio]],Tabla3[Medida],Tabla3[Equivalencia en Kg],"ELVIS",0)</f>
        <v>0.78516301779807784</v>
      </c>
      <c r="M48" s="2"/>
      <c r="N48" s="2">
        <f>(Tabla2[[#This Row],[Productividad (kg/TAS)]]*Tabla2[[#This Row],[Precio por kg]]-Tabla2[[#This Row],[Costos (En RD$/Tarea)]])</f>
        <v>1148.4703694615948</v>
      </c>
      <c r="O48" s="6">
        <f>IF(Tabla2[[#This Row],[Costos (En RD$/Tarea)]]=0,0,Tabla2[[#This Row],[Beneficio Neto  (En RD$/Tarea)]]/Tabla2[[#This Row],[Costos (En RD$/Tarea)]])</f>
        <v>0</v>
      </c>
      <c r="P48" s="4">
        <f>Tabla2[[#This Row],[Rentabilidad (%)]]/12</f>
        <v>0</v>
      </c>
    </row>
    <row r="49" spans="1:16" x14ac:dyDescent="0.35">
      <c r="A49" s="1">
        <v>36617</v>
      </c>
      <c r="B49" t="s">
        <v>33</v>
      </c>
      <c r="C49" s="2">
        <v>572998</v>
      </c>
      <c r="D49" s="2" t="s">
        <v>31</v>
      </c>
      <c r="E49" s="2">
        <f>IF(Tabla2[[#This Row],[Frecuencia]]="Annual", Tabla2[[#This Row],[Cosecha/Tarea]]/12,Tabla2[[#This Row],[Cosecha/Tarea]])</f>
        <v>47749.833333333336</v>
      </c>
      <c r="F49" s="2">
        <v>101244</v>
      </c>
      <c r="G49" t="s">
        <v>34</v>
      </c>
      <c r="H49">
        <f>F49/Tabla2[[#This Row],[Cosecha Mensual]]</f>
        <v>2.1203005944174325</v>
      </c>
      <c r="I49">
        <f>H49*_xlfn.XLOOKUP(Tabla2[[#This Row],[Unidad de producción]],Tabla3[Medida],Tabla3[Equivalencia en Kg],"ELVIS",0)</f>
        <v>865.40068761147506</v>
      </c>
      <c r="J49">
        <v>1013.885</v>
      </c>
      <c r="K49" t="s">
        <v>34</v>
      </c>
      <c r="L49">
        <f>J49/_xlfn.XLOOKUP(Tabla2[[#This Row],[Unidad de precio]],Tabla3[Medida],Tabla3[Equivalencia en Kg],"ELVIS",0)</f>
        <v>2.4840989832169549</v>
      </c>
      <c r="M49" s="2"/>
      <c r="N49" s="2">
        <f>(Tabla2[[#This Row],[Productividad (kg/TAS)]]*Tabla2[[#This Row],[Precio por kg]]-Tabla2[[#This Row],[Costos (En RD$/Tarea)]])</f>
        <v>2149.7409681709187</v>
      </c>
      <c r="O49" s="6">
        <f>IF(Tabla2[[#This Row],[Costos (En RD$/Tarea)]]=0,0,Tabla2[[#This Row],[Beneficio Neto  (En RD$/Tarea)]]/Tabla2[[#This Row],[Costos (En RD$/Tarea)]])</f>
        <v>0</v>
      </c>
      <c r="P49" s="4">
        <f>Tabla2[[#This Row],[Rentabilidad (%)]]/12</f>
        <v>0</v>
      </c>
    </row>
    <row r="50" spans="1:16" x14ac:dyDescent="0.35">
      <c r="A50" s="1">
        <v>36647</v>
      </c>
      <c r="B50" t="s">
        <v>16</v>
      </c>
      <c r="C50" s="5">
        <v>222362</v>
      </c>
      <c r="D50" s="5" t="s">
        <v>17</v>
      </c>
      <c r="E50" s="5">
        <f>IF(Tabla2[[#This Row],[Frecuencia]]="Annual", Tabla2[[#This Row],[Cosecha/Tarea]]/12,Tabla2[[#This Row],[Cosecha/Tarea]])</f>
        <v>222362</v>
      </c>
      <c r="F50" s="2">
        <v>1031097</v>
      </c>
      <c r="G50" t="s">
        <v>18</v>
      </c>
      <c r="H50">
        <f>F50/Tabla2[[#This Row],[Cosecha Mensual]]</f>
        <v>4.6370198145366563</v>
      </c>
      <c r="I50">
        <f>H50*_xlfn.XLOOKUP(Tabla2[[#This Row],[Unidad de producción]],Tabla3[Medida],Tabla3[Equivalencia en Kg],"ELVIS",0)</f>
        <v>210.33521878738273</v>
      </c>
      <c r="J50">
        <v>1163.5313531353099</v>
      </c>
      <c r="K50" t="s">
        <v>19</v>
      </c>
      <c r="L50">
        <f>J50/_xlfn.XLOOKUP(Tabla2[[#This Row],[Unidad de precio]],Tabla3[Medida],Tabla3[Equivalencia en Kg],"ELVIS",0)</f>
        <v>10.577557755775544</v>
      </c>
      <c r="N50" s="2">
        <f>(Tabla2[[#This Row],[Productividad (kg/TAS)]]*Tabla2[[#This Row],[Precio por kg]]-Tabla2[[#This Row],[Costos (En RD$/Tarea)]])</f>
        <v>2224.832924797226</v>
      </c>
      <c r="O50" s="6">
        <f>IF(Tabla2[[#This Row],[Costos (En RD$/Tarea)]]=0,0,Tabla2[[#This Row],[Beneficio Neto  (En RD$/Tarea)]]/Tabla2[[#This Row],[Costos (En RD$/Tarea)]])</f>
        <v>0</v>
      </c>
      <c r="P50" s="4">
        <f>Tabla2[[#This Row],[Rentabilidad (%)]]/12</f>
        <v>0</v>
      </c>
    </row>
    <row r="51" spans="1:16" x14ac:dyDescent="0.35">
      <c r="A51" s="1">
        <v>36647</v>
      </c>
      <c r="B51" t="s">
        <v>20</v>
      </c>
      <c r="C51" s="2">
        <v>15499</v>
      </c>
      <c r="D51" s="5" t="s">
        <v>17</v>
      </c>
      <c r="E51" s="2">
        <f>IF(Tabla2[[#This Row],[Frecuencia]]="Annual", Tabla2[[#This Row],[Cosecha/Tarea]]/12,Tabla2[[#This Row],[Cosecha/Tarea]])</f>
        <v>15499</v>
      </c>
      <c r="F51" s="2">
        <v>30310</v>
      </c>
      <c r="G51" t="s">
        <v>18</v>
      </c>
      <c r="H51">
        <f>F51/Tabla2[[#This Row],[Cosecha Mensual]]</f>
        <v>1.9556100393573779</v>
      </c>
      <c r="I51">
        <f>H51*_xlfn.XLOOKUP(Tabla2[[#This Row],[Unidad de producción]],Tabla3[Medida],Tabla3[Equivalencia en Kg],"ELVIS",0)</f>
        <v>88.706471385250666</v>
      </c>
      <c r="J51">
        <v>161.376</v>
      </c>
      <c r="K51" t="s">
        <v>18</v>
      </c>
      <c r="L51">
        <f>J51/_xlfn.XLOOKUP(Tabla2[[#This Row],[Unidad de precio]],Tabla3[Medida],Tabla3[Equivalencia en Kg],"ELVIS",0)</f>
        <v>3.5576719576719578</v>
      </c>
      <c r="N51" s="2">
        <f>(Tabla2[[#This Row],[Productividad (kg/TAS)]]*Tabla2[[#This Row],[Precio por kg]]-Tabla2[[#This Row],[Costos (En RD$/Tarea)]])</f>
        <v>315.58852571133622</v>
      </c>
      <c r="O51" s="6">
        <f>IF(Tabla2[[#This Row],[Costos (En RD$/Tarea)]]=0,0,Tabla2[[#This Row],[Beneficio Neto  (En RD$/Tarea)]]/Tabla2[[#This Row],[Costos (En RD$/Tarea)]])</f>
        <v>0</v>
      </c>
      <c r="P51" s="4">
        <f>Tabla2[[#This Row],[Rentabilidad (%)]]/12</f>
        <v>0</v>
      </c>
    </row>
    <row r="52" spans="1:16" x14ac:dyDescent="0.35">
      <c r="A52" s="1">
        <v>36647</v>
      </c>
      <c r="B52" t="s">
        <v>21</v>
      </c>
      <c r="C52" s="2">
        <v>9374</v>
      </c>
      <c r="D52" s="5" t="s">
        <v>17</v>
      </c>
      <c r="E52" s="2">
        <f>IF(Tabla2[[#This Row],[Frecuencia]]="Annual", Tabla2[[#This Row],[Cosecha/Tarea]]/12,Tabla2[[#This Row],[Cosecha/Tarea]])</f>
        <v>9374</v>
      </c>
      <c r="F52" s="2">
        <v>84337</v>
      </c>
      <c r="G52" t="s">
        <v>18</v>
      </c>
      <c r="H52">
        <f>F52/Tabla2[[#This Row],[Cosecha Mensual]]</f>
        <v>8.9969063366759112</v>
      </c>
      <c r="I52">
        <f>H52*_xlfn.XLOOKUP(Tabla2[[#This Row],[Unidad de producción]],Tabla3[Medida],Tabla3[Equivalencia en Kg],"ELVIS",0)</f>
        <v>408.09967143161936</v>
      </c>
      <c r="J52">
        <v>134.25</v>
      </c>
      <c r="K52" t="s">
        <v>18</v>
      </c>
      <c r="L52">
        <f>J52/_xlfn.XLOOKUP(Tabla2[[#This Row],[Unidad de precio]],Tabla3[Medida],Tabla3[Equivalencia en Kg],"ELVIS",0)</f>
        <v>2.9596560846560847</v>
      </c>
      <c r="N52" s="2">
        <f>(Tabla2[[#This Row],[Productividad (kg/TAS)]]*Tabla2[[#This Row],[Precio por kg]]-Tabla2[[#This Row],[Costos (En RD$/Tarea)]])</f>
        <v>1207.8346756987412</v>
      </c>
      <c r="O52" s="6">
        <f>IF(Tabla2[[#This Row],[Costos (En RD$/Tarea)]]=0,0,Tabla2[[#This Row],[Beneficio Neto  (En RD$/Tarea)]]/Tabla2[[#This Row],[Costos (En RD$/Tarea)]])</f>
        <v>0</v>
      </c>
      <c r="P52" s="4">
        <f>Tabla2[[#This Row],[Rentabilidad (%)]]/12</f>
        <v>0</v>
      </c>
    </row>
    <row r="53" spans="1:16" x14ac:dyDescent="0.35">
      <c r="A53" s="1">
        <v>36647</v>
      </c>
      <c r="B53" t="s">
        <v>22</v>
      </c>
      <c r="C53" s="2">
        <v>6458</v>
      </c>
      <c r="D53" s="5" t="s">
        <v>17</v>
      </c>
      <c r="E53" s="2">
        <f>IF(Tabla2[[#This Row],[Frecuencia]]="Annual", Tabla2[[#This Row],[Cosecha/Tarea]]/12,Tabla2[[#This Row],[Cosecha/Tarea]])</f>
        <v>6458</v>
      </c>
      <c r="F53" s="2">
        <v>62292</v>
      </c>
      <c r="G53" t="s">
        <v>18</v>
      </c>
      <c r="H53">
        <f>F53/Tabla2[[#This Row],[Cosecha Mensual]]</f>
        <v>9.645710746361102</v>
      </c>
      <c r="I53">
        <f>H53*_xlfn.XLOOKUP(Tabla2[[#This Row],[Unidad de producción]],Tabla3[Medida],Tabla3[Equivalencia en Kg],"ELVIS",0)</f>
        <v>437.52943945493956</v>
      </c>
      <c r="J53">
        <v>378.875</v>
      </c>
      <c r="K53" t="s">
        <v>18</v>
      </c>
      <c r="L53">
        <f>J53/_xlfn.XLOOKUP(Tabla2[[#This Row],[Unidad de precio]],Tabla3[Medida],Tabla3[Equivalencia en Kg],"ELVIS",0)</f>
        <v>8.3526234567901234</v>
      </c>
      <c r="N53" s="2">
        <f>(Tabla2[[#This Row],[Productividad (kg/TAS)]]*Tabla2[[#This Row],[Precio por kg]]-Tabla2[[#This Row],[Costos (En RD$/Tarea)]])</f>
        <v>3654.5186590275621</v>
      </c>
      <c r="O53" s="6">
        <f>IF(Tabla2[[#This Row],[Costos (En RD$/Tarea)]]=0,0,Tabla2[[#This Row],[Beneficio Neto  (En RD$/Tarea)]]/Tabla2[[#This Row],[Costos (En RD$/Tarea)]])</f>
        <v>0</v>
      </c>
      <c r="P53" s="4">
        <f>Tabla2[[#This Row],[Rentabilidad (%)]]/12</f>
        <v>0</v>
      </c>
    </row>
    <row r="54" spans="1:16" x14ac:dyDescent="0.35">
      <c r="A54" s="1">
        <v>36647</v>
      </c>
      <c r="B54" t="s">
        <v>23</v>
      </c>
      <c r="C54" s="2">
        <v>2773</v>
      </c>
      <c r="D54" s="5" t="s">
        <v>17</v>
      </c>
      <c r="E54" s="2">
        <f>IF(Tabla2[[#This Row],[Frecuencia]]="Annual", Tabla2[[#This Row],[Cosecha/Tarea]]/12,Tabla2[[#This Row],[Cosecha/Tarea]])</f>
        <v>2773</v>
      </c>
      <c r="F54" s="2">
        <v>59185</v>
      </c>
      <c r="G54" t="s">
        <v>18</v>
      </c>
      <c r="H54">
        <f>F54/Tabla2[[#This Row],[Cosecha Mensual]]</f>
        <v>21.343310494049767</v>
      </c>
      <c r="I54">
        <f>H54*_xlfn.XLOOKUP(Tabla2[[#This Row],[Unidad de producción]],Tabla3[Medida],Tabla3[Equivalencia en Kg],"ELVIS",0)</f>
        <v>968.13256401009744</v>
      </c>
      <c r="J54">
        <v>269.77999999999997</v>
      </c>
      <c r="K54" t="s">
        <v>18</v>
      </c>
      <c r="L54">
        <f>J54/_xlfn.XLOOKUP(Tabla2[[#This Row],[Unidad de precio]],Tabla3[Medida],Tabla3[Equivalencia en Kg],"ELVIS",0)</f>
        <v>5.94753086419753</v>
      </c>
      <c r="N54" s="2">
        <f>(Tabla2[[#This Row],[Productividad (kg/TAS)]]*Tabla2[[#This Row],[Precio por kg]]-Tabla2[[#This Row],[Costos (En RD$/Tarea)]])</f>
        <v>5757.998305084745</v>
      </c>
      <c r="O54" s="6">
        <f>IF(Tabla2[[#This Row],[Costos (En RD$/Tarea)]]=0,0,Tabla2[[#This Row],[Beneficio Neto  (En RD$/Tarea)]]/Tabla2[[#This Row],[Costos (En RD$/Tarea)]])</f>
        <v>0</v>
      </c>
      <c r="P54" s="4">
        <f>Tabla2[[#This Row],[Rentabilidad (%)]]/12</f>
        <v>0</v>
      </c>
    </row>
    <row r="55" spans="1:16" x14ac:dyDescent="0.35">
      <c r="A55" s="1">
        <v>36647</v>
      </c>
      <c r="B55" t="s">
        <v>24</v>
      </c>
      <c r="C55" s="2">
        <v>7340</v>
      </c>
      <c r="D55" s="5" t="s">
        <v>17</v>
      </c>
      <c r="E55" s="2">
        <f>IF(Tabla2[[#This Row],[Frecuencia]]="Annual", Tabla2[[#This Row],[Cosecha/Tarea]]/12,Tabla2[[#This Row],[Cosecha/Tarea]])</f>
        <v>7340</v>
      </c>
      <c r="F55" s="2">
        <v>71602</v>
      </c>
      <c r="G55" t="s">
        <v>18</v>
      </c>
      <c r="H55">
        <f>F55/Tabla2[[#This Row],[Cosecha Mensual]]</f>
        <v>9.7550408719346056</v>
      </c>
      <c r="I55">
        <f>H55*_xlfn.XLOOKUP(Tabla2[[#This Row],[Unidad de producción]],Tabla3[Medida],Tabla3[Equivalencia en Kg],"ELVIS",0)</f>
        <v>442.48865395095368</v>
      </c>
      <c r="J55">
        <v>334.8</v>
      </c>
      <c r="K55" t="s">
        <v>18</v>
      </c>
      <c r="L55">
        <f>J55/_xlfn.XLOOKUP(Tabla2[[#This Row],[Unidad de precio]],Tabla3[Medida],Tabla3[Equivalencia en Kg],"ELVIS",0)</f>
        <v>7.3809523809523814</v>
      </c>
      <c r="N55" s="2">
        <f>(Tabla2[[#This Row],[Productividad (kg/TAS)]]*Tabla2[[#This Row],[Precio por kg]]-Tabla2[[#This Row],[Costos (En RD$/Tarea)]])</f>
        <v>3265.9876839237058</v>
      </c>
      <c r="O55" s="6">
        <f>IF(Tabla2[[#This Row],[Costos (En RD$/Tarea)]]=0,0,Tabla2[[#This Row],[Beneficio Neto  (En RD$/Tarea)]]/Tabla2[[#This Row],[Costos (En RD$/Tarea)]])</f>
        <v>0</v>
      </c>
      <c r="P55" s="4">
        <f>Tabla2[[#This Row],[Rentabilidad (%)]]/12</f>
        <v>0</v>
      </c>
    </row>
    <row r="56" spans="1:16" x14ac:dyDescent="0.35">
      <c r="A56" s="1">
        <v>36647</v>
      </c>
      <c r="B56" t="s">
        <v>25</v>
      </c>
      <c r="C56" s="2">
        <v>26089</v>
      </c>
      <c r="D56" s="5" t="s">
        <v>17</v>
      </c>
      <c r="E56" s="2">
        <f>IF(Tabla2[[#This Row],[Frecuencia]]="Annual", Tabla2[[#This Row],[Cosecha/Tarea]]/12,Tabla2[[#This Row],[Cosecha/Tarea]])</f>
        <v>26089</v>
      </c>
      <c r="F56" s="2">
        <v>240472</v>
      </c>
      <c r="G56" t="s">
        <v>18</v>
      </c>
      <c r="H56">
        <f>F56/Tabla2[[#This Row],[Cosecha Mensual]]</f>
        <v>9.2173713059143694</v>
      </c>
      <c r="I56">
        <f>H56*_xlfn.XLOOKUP(Tabla2[[#This Row],[Unidad de producción]],Tabla3[Medida],Tabla3[Equivalencia en Kg],"ELVIS",0)</f>
        <v>418.0999624362758</v>
      </c>
      <c r="J56">
        <v>110.4</v>
      </c>
      <c r="K56" t="s">
        <v>18</v>
      </c>
      <c r="L56">
        <f>J56/_xlfn.XLOOKUP(Tabla2[[#This Row],[Unidad de precio]],Tabla3[Medida],Tabla3[Equivalencia en Kg],"ELVIS",0)</f>
        <v>2.4338624338624339</v>
      </c>
      <c r="N56" s="2">
        <f>(Tabla2[[#This Row],[Productividad (kg/TAS)]]*Tabla2[[#This Row],[Precio por kg]]-Tabla2[[#This Row],[Costos (En RD$/Tarea)]])</f>
        <v>1017.5977921729465</v>
      </c>
      <c r="O56" s="6">
        <f>IF(Tabla2[[#This Row],[Costos (En RD$/Tarea)]]=0,0,Tabla2[[#This Row],[Beneficio Neto  (En RD$/Tarea)]]/Tabla2[[#This Row],[Costos (En RD$/Tarea)]])</f>
        <v>0</v>
      </c>
      <c r="P56" s="4">
        <f>Tabla2[[#This Row],[Rentabilidad (%)]]/12</f>
        <v>0</v>
      </c>
    </row>
    <row r="57" spans="1:16" x14ac:dyDescent="0.35">
      <c r="A57" s="1">
        <v>36647</v>
      </c>
      <c r="B57" t="s">
        <v>26</v>
      </c>
      <c r="C57" s="2">
        <v>3370</v>
      </c>
      <c r="D57" s="5" t="s">
        <v>17</v>
      </c>
      <c r="E57" s="2">
        <f>IF(Tabla2[[#This Row],[Frecuencia]]="Annual", Tabla2[[#This Row],[Cosecha/Tarea]]/12,Tabla2[[#This Row],[Cosecha/Tarea]])</f>
        <v>3370</v>
      </c>
      <c r="F57" s="2">
        <v>20037</v>
      </c>
      <c r="G57" t="s">
        <v>18</v>
      </c>
      <c r="H57">
        <f>F57/Tabla2[[#This Row],[Cosecha Mensual]]</f>
        <v>5.9456973293768547</v>
      </c>
      <c r="I57">
        <f>H57*_xlfn.XLOOKUP(Tabla2[[#This Row],[Unidad de producción]],Tabla3[Medida],Tabla3[Equivalencia en Kg],"ELVIS",0)</f>
        <v>269.69683086053413</v>
      </c>
      <c r="J57">
        <v>235</v>
      </c>
      <c r="K57" t="s">
        <v>18</v>
      </c>
      <c r="L57">
        <f>J57/_xlfn.XLOOKUP(Tabla2[[#This Row],[Unidad de precio]],Tabla3[Medida],Tabla3[Equivalencia en Kg],"ELVIS",0)</f>
        <v>5.1807760141093473</v>
      </c>
      <c r="N57" s="2">
        <f>(Tabla2[[#This Row],[Productividad (kg/TAS)]]*Tabla2[[#This Row],[Precio por kg]]-Tabla2[[#This Row],[Costos (En RD$/Tarea)]])</f>
        <v>1397.2388724035609</v>
      </c>
      <c r="O57" s="6">
        <f>IF(Tabla2[[#This Row],[Costos (En RD$/Tarea)]]=0,0,Tabla2[[#This Row],[Beneficio Neto  (En RD$/Tarea)]]/Tabla2[[#This Row],[Costos (En RD$/Tarea)]])</f>
        <v>0</v>
      </c>
      <c r="P57" s="4">
        <f>Tabla2[[#This Row],[Rentabilidad (%)]]/12</f>
        <v>0</v>
      </c>
    </row>
    <row r="58" spans="1:16" x14ac:dyDescent="0.35">
      <c r="A58" s="1">
        <v>36647</v>
      </c>
      <c r="B58" t="s">
        <v>27</v>
      </c>
      <c r="C58" s="2">
        <v>2534</v>
      </c>
      <c r="D58" s="5" t="s">
        <v>17</v>
      </c>
      <c r="E58" s="2">
        <f>IF(Tabla2[[#This Row],[Frecuencia]]="Annual", Tabla2[[#This Row],[Cosecha/Tarea]]/12,Tabla2[[#This Row],[Cosecha/Tarea]])</f>
        <v>2534</v>
      </c>
      <c r="F58" s="2">
        <v>26423</v>
      </c>
      <c r="G58" t="s">
        <v>18</v>
      </c>
      <c r="H58">
        <f>F58/Tabla2[[#This Row],[Cosecha Mensual]]</f>
        <v>10.427387529597475</v>
      </c>
      <c r="I58">
        <f>H58*_xlfn.XLOOKUP(Tabla2[[#This Row],[Unidad de producción]],Tabla3[Medida],Tabla3[Equivalencia en Kg],"ELVIS",0)</f>
        <v>472.98629834254143</v>
      </c>
      <c r="J58">
        <v>144.1</v>
      </c>
      <c r="K58" t="s">
        <v>18</v>
      </c>
      <c r="L58">
        <f>J58/_xlfn.XLOOKUP(Tabla2[[#This Row],[Unidad de precio]],Tabla3[Medida],Tabla3[Equivalencia en Kg],"ELVIS",0)</f>
        <v>3.1768077601410933</v>
      </c>
      <c r="N58" s="2">
        <f>(Tabla2[[#This Row],[Productividad (kg/TAS)]]*Tabla2[[#This Row],[Precio por kg]]-Tabla2[[#This Row],[Costos (En RD$/Tarea)]])</f>
        <v>1502.5865430149959</v>
      </c>
      <c r="O58" s="6">
        <f>IF(Tabla2[[#This Row],[Costos (En RD$/Tarea)]]=0,0,Tabla2[[#This Row],[Beneficio Neto  (En RD$/Tarea)]]/Tabla2[[#This Row],[Costos (En RD$/Tarea)]])</f>
        <v>0</v>
      </c>
      <c r="P58" s="4">
        <f>Tabla2[[#This Row],[Rentabilidad (%)]]/12</f>
        <v>0</v>
      </c>
    </row>
    <row r="59" spans="1:16" x14ac:dyDescent="0.35">
      <c r="A59" s="1">
        <v>36647</v>
      </c>
      <c r="B59" t="s">
        <v>28</v>
      </c>
      <c r="C59" s="2">
        <v>79</v>
      </c>
      <c r="D59" s="5" t="s">
        <v>17</v>
      </c>
      <c r="E59" s="2">
        <f>IF(Tabla2[[#This Row],[Frecuencia]]="Annual", Tabla2[[#This Row],[Cosecha/Tarea]]/12,Tabla2[[#This Row],[Cosecha/Tarea]])</f>
        <v>79</v>
      </c>
      <c r="F59" s="2">
        <v>46</v>
      </c>
      <c r="G59" t="s">
        <v>18</v>
      </c>
      <c r="H59">
        <f>F59/Tabla2[[#This Row],[Cosecha Mensual]]</f>
        <v>0.58227848101265822</v>
      </c>
      <c r="I59">
        <f>H59*_xlfn.XLOOKUP(Tabla2[[#This Row],[Unidad de producción]],Tabla3[Medida],Tabla3[Equivalencia en Kg],"ELVIS",0)</f>
        <v>26.412151898734177</v>
      </c>
      <c r="J59">
        <v>1924.1</v>
      </c>
      <c r="K59" t="s">
        <v>29</v>
      </c>
      <c r="L59">
        <f>J59/_xlfn.XLOOKUP(Tabla2[[#This Row],[Unidad de precio]],Tabla3[Medida],Tabla3[Equivalencia en Kg],"ELVIS",0)</f>
        <v>3.4215954760465195</v>
      </c>
      <c r="N59" s="2">
        <f>(Tabla2[[#This Row],[Productividad (kg/TAS)]]*Tabla2[[#This Row],[Precio por kg]]-Tabla2[[#This Row],[Costos (En RD$/Tarea)]])</f>
        <v>90.371699449362353</v>
      </c>
      <c r="O59" s="6">
        <f>IF(Tabla2[[#This Row],[Costos (En RD$/Tarea)]]=0,0,Tabla2[[#This Row],[Beneficio Neto  (En RD$/Tarea)]]/Tabla2[[#This Row],[Costos (En RD$/Tarea)]])</f>
        <v>0</v>
      </c>
      <c r="P59" s="4">
        <f>Tabla2[[#This Row],[Rentabilidad (%)]]/12</f>
        <v>0</v>
      </c>
    </row>
    <row r="60" spans="1:16" x14ac:dyDescent="0.35">
      <c r="A60" s="1">
        <v>36647</v>
      </c>
      <c r="B60" t="s">
        <v>30</v>
      </c>
      <c r="C60" s="2">
        <v>225717</v>
      </c>
      <c r="D60" s="2" t="s">
        <v>31</v>
      </c>
      <c r="E60" s="2">
        <f>IF(Tabla2[[#This Row],[Frecuencia]]="Annual", Tabla2[[#This Row],[Cosecha/Tarea]]/12,Tabla2[[#This Row],[Cosecha/Tarea]])</f>
        <v>18809.75</v>
      </c>
      <c r="F60" s="2">
        <v>1405260</v>
      </c>
      <c r="G60" t="s">
        <v>32</v>
      </c>
      <c r="H60">
        <f>F60/Tabla2[[#This Row],[Cosecha Mensual]]</f>
        <v>74.709126915562408</v>
      </c>
      <c r="I60">
        <f>H60*_xlfn.XLOOKUP(Tabla2[[#This Row],[Unidad de producción]],Tabla3[Medida],Tabla3[Equivalencia en Kg],"ELVIS",0)</f>
        <v>2032.8353433724533</v>
      </c>
      <c r="J60">
        <v>19.239999999999998</v>
      </c>
      <c r="K60" t="s">
        <v>32</v>
      </c>
      <c r="L60">
        <f>J60/_xlfn.XLOOKUP(Tabla2[[#This Row],[Unidad de precio]],Tabla3[Medida],Tabla3[Equivalencia en Kg],"ELVIS",0)</f>
        <v>0.70709298052186687</v>
      </c>
      <c r="M60" s="2"/>
      <c r="N60" s="2">
        <f>(Tabla2[[#This Row],[Productividad (kg/TAS)]]*Tabla2[[#This Row],[Precio por kg]]-Tabla2[[#This Row],[Costos (En RD$/Tarea)]])</f>
        <v>1437.4036018554207</v>
      </c>
      <c r="O60" s="6">
        <f>IF(Tabla2[[#This Row],[Costos (En RD$/Tarea)]]=0,0,Tabla2[[#This Row],[Beneficio Neto  (En RD$/Tarea)]]/Tabla2[[#This Row],[Costos (En RD$/Tarea)]])</f>
        <v>0</v>
      </c>
      <c r="P60" s="4">
        <f>Tabla2[[#This Row],[Rentabilidad (%)]]/12</f>
        <v>0</v>
      </c>
    </row>
    <row r="61" spans="1:16" x14ac:dyDescent="0.35">
      <c r="A61" s="1">
        <v>36647</v>
      </c>
      <c r="B61" t="s">
        <v>33</v>
      </c>
      <c r="C61" s="2">
        <v>595034</v>
      </c>
      <c r="D61" s="2" t="s">
        <v>31</v>
      </c>
      <c r="E61" s="2">
        <f>IF(Tabla2[[#This Row],[Frecuencia]]="Annual", Tabla2[[#This Row],[Cosecha/Tarea]]/12,Tabla2[[#This Row],[Cosecha/Tarea]])</f>
        <v>49586.166666666664</v>
      </c>
      <c r="F61" s="2">
        <v>120962</v>
      </c>
      <c r="G61" t="s">
        <v>34</v>
      </c>
      <c r="H61">
        <f>F61/Tabla2[[#This Row],[Cosecha Mensual]]</f>
        <v>2.4394303518790523</v>
      </c>
      <c r="I61">
        <f>H61*_xlfn.XLOOKUP(Tabla2[[#This Row],[Unidad de producción]],Tabla3[Medida],Tabla3[Equivalencia en Kg],"ELVIS",0)</f>
        <v>995.6534981194352</v>
      </c>
      <c r="J61">
        <v>725.9</v>
      </c>
      <c r="K61" t="s">
        <v>34</v>
      </c>
      <c r="L61">
        <f>J61/_xlfn.XLOOKUP(Tabla2[[#This Row],[Unidad de precio]],Tabla3[Medida],Tabla3[Equivalencia en Kg],"ELVIS",0)</f>
        <v>1.7785128016660543</v>
      </c>
      <c r="M61" s="2"/>
      <c r="N61" s="2">
        <f>(Tabla2[[#This Row],[Productividad (kg/TAS)]]*Tabla2[[#This Row],[Precio por kg]]-Tabla2[[#This Row],[Costos (En RD$/Tarea)]])</f>
        <v>1770.7824924290042</v>
      </c>
      <c r="O61" s="6">
        <f>IF(Tabla2[[#This Row],[Costos (En RD$/Tarea)]]=0,0,Tabla2[[#This Row],[Beneficio Neto  (En RD$/Tarea)]]/Tabla2[[#This Row],[Costos (En RD$/Tarea)]])</f>
        <v>0</v>
      </c>
      <c r="P61" s="4">
        <f>Tabla2[[#This Row],[Rentabilidad (%)]]/12</f>
        <v>0</v>
      </c>
    </row>
    <row r="62" spans="1:16" x14ac:dyDescent="0.35">
      <c r="A62" s="1">
        <v>36678</v>
      </c>
      <c r="B62" t="s">
        <v>16</v>
      </c>
      <c r="C62" s="5">
        <v>340330</v>
      </c>
      <c r="D62" s="5" t="s">
        <v>17</v>
      </c>
      <c r="E62" s="5">
        <f>IF(Tabla2[[#This Row],[Frecuencia]]="Annual", Tabla2[[#This Row],[Cosecha/Tarea]]/12,Tabla2[[#This Row],[Cosecha/Tarea]])</f>
        <v>340330</v>
      </c>
      <c r="F62" s="2">
        <v>1745864</v>
      </c>
      <c r="G62" t="s">
        <v>18</v>
      </c>
      <c r="H62">
        <f>F62/Tabla2[[#This Row],[Cosecha Mensual]]</f>
        <v>5.1299150824200037</v>
      </c>
      <c r="I62">
        <f>H62*_xlfn.XLOOKUP(Tabla2[[#This Row],[Unidad de producción]],Tabla3[Medida],Tabla3[Equivalencia en Kg],"ELVIS",0)</f>
        <v>232.69294813857135</v>
      </c>
      <c r="J62">
        <v>1022.79427942794</v>
      </c>
      <c r="K62" t="s">
        <v>19</v>
      </c>
      <c r="L62">
        <f>J62/_xlfn.XLOOKUP(Tabla2[[#This Row],[Unidad de precio]],Tabla3[Medida],Tabla3[Equivalencia en Kg],"ELVIS",0)</f>
        <v>9.2981298129812728</v>
      </c>
      <c r="N62" s="2">
        <f>(Tabla2[[#This Row],[Productividad (kg/TAS)]]*Tabla2[[#This Row],[Precio por kg]]-Tabla2[[#This Row],[Costos (En RD$/Tarea)]])</f>
        <v>2163.6092383577557</v>
      </c>
      <c r="O62" s="6">
        <f>IF(Tabla2[[#This Row],[Costos (En RD$/Tarea)]]=0,0,Tabla2[[#This Row],[Beneficio Neto  (En RD$/Tarea)]]/Tabla2[[#This Row],[Costos (En RD$/Tarea)]])</f>
        <v>0</v>
      </c>
      <c r="P62" s="4">
        <f>Tabla2[[#This Row],[Rentabilidad (%)]]/12</f>
        <v>0</v>
      </c>
    </row>
    <row r="63" spans="1:16" x14ac:dyDescent="0.35">
      <c r="A63" s="1">
        <v>36678</v>
      </c>
      <c r="B63" t="s">
        <v>20</v>
      </c>
      <c r="C63" s="2">
        <v>20946</v>
      </c>
      <c r="D63" s="5" t="s">
        <v>17</v>
      </c>
      <c r="E63" s="2">
        <f>IF(Tabla2[[#This Row],[Frecuencia]]="Annual", Tabla2[[#This Row],[Cosecha/Tarea]]/12,Tabla2[[#This Row],[Cosecha/Tarea]])</f>
        <v>20946</v>
      </c>
      <c r="F63" s="2">
        <v>35647</v>
      </c>
      <c r="G63" t="s">
        <v>18</v>
      </c>
      <c r="H63">
        <f>F63/Tabla2[[#This Row],[Cosecha Mensual]]</f>
        <v>1.7018523823164327</v>
      </c>
      <c r="I63">
        <f>H63*_xlfn.XLOOKUP(Tabla2[[#This Row],[Unidad de producción]],Tabla3[Medida],Tabla3[Equivalencia en Kg],"ELVIS",0)</f>
        <v>77.196024061873388</v>
      </c>
      <c r="J63">
        <v>143.10516000000001</v>
      </c>
      <c r="K63" t="s">
        <v>18</v>
      </c>
      <c r="L63">
        <f>J63/_xlfn.XLOOKUP(Tabla2[[#This Row],[Unidad de precio]],Tabla3[Medida],Tabla3[Equivalencia en Kg],"ELVIS",0)</f>
        <v>3.1548756613756619</v>
      </c>
      <c r="N63" s="2">
        <f>(Tabla2[[#This Row],[Productividad (kg/TAS)]]*Tabla2[[#This Row],[Precio por kg]]-Tabla2[[#This Row],[Costos (En RD$/Tarea)]])</f>
        <v>243.5438574677743</v>
      </c>
      <c r="O63" s="6">
        <f>IF(Tabla2[[#This Row],[Costos (En RD$/Tarea)]]=0,0,Tabla2[[#This Row],[Beneficio Neto  (En RD$/Tarea)]]/Tabla2[[#This Row],[Costos (En RD$/Tarea)]])</f>
        <v>0</v>
      </c>
      <c r="P63" s="4">
        <f>Tabla2[[#This Row],[Rentabilidad (%)]]/12</f>
        <v>0</v>
      </c>
    </row>
    <row r="64" spans="1:16" x14ac:dyDescent="0.35">
      <c r="A64" s="1">
        <v>36678</v>
      </c>
      <c r="B64" t="s">
        <v>21</v>
      </c>
      <c r="C64" s="2">
        <v>6013</v>
      </c>
      <c r="D64" s="5" t="s">
        <v>17</v>
      </c>
      <c r="E64" s="2">
        <f>IF(Tabla2[[#This Row],[Frecuencia]]="Annual", Tabla2[[#This Row],[Cosecha/Tarea]]/12,Tabla2[[#This Row],[Cosecha/Tarea]])</f>
        <v>6013</v>
      </c>
      <c r="F64" s="2">
        <v>51372</v>
      </c>
      <c r="G64" t="s">
        <v>18</v>
      </c>
      <c r="H64">
        <f>F64/Tabla2[[#This Row],[Cosecha Mensual]]</f>
        <v>8.5434891069349739</v>
      </c>
      <c r="I64">
        <f>H64*_xlfn.XLOOKUP(Tabla2[[#This Row],[Unidad de producción]],Tabla3[Medida],Tabla3[Equivalencia en Kg],"ELVIS",0)</f>
        <v>387.5326658905704</v>
      </c>
      <c r="J64">
        <v>123.75</v>
      </c>
      <c r="K64" t="s">
        <v>18</v>
      </c>
      <c r="L64">
        <f>J64/_xlfn.XLOOKUP(Tabla2[[#This Row],[Unidad de precio]],Tabla3[Medida],Tabla3[Equivalencia en Kg],"ELVIS",0)</f>
        <v>2.7281746031746033</v>
      </c>
      <c r="N64" s="2">
        <f>(Tabla2[[#This Row],[Productividad (kg/TAS)]]*Tabla2[[#This Row],[Precio por kg]]-Tabla2[[#This Row],[Costos (En RD$/Tarea)]])</f>
        <v>1057.2567769832031</v>
      </c>
      <c r="O64" s="6">
        <f>IF(Tabla2[[#This Row],[Costos (En RD$/Tarea)]]=0,0,Tabla2[[#This Row],[Beneficio Neto  (En RD$/Tarea)]]/Tabla2[[#This Row],[Costos (En RD$/Tarea)]])</f>
        <v>0</v>
      </c>
      <c r="P64" s="4">
        <f>Tabla2[[#This Row],[Rentabilidad (%)]]/12</f>
        <v>0</v>
      </c>
    </row>
    <row r="65" spans="1:16" x14ac:dyDescent="0.35">
      <c r="A65" s="1">
        <v>36678</v>
      </c>
      <c r="B65" t="s">
        <v>22</v>
      </c>
      <c r="C65" s="2">
        <v>2583</v>
      </c>
      <c r="D65" s="5" t="s">
        <v>17</v>
      </c>
      <c r="E65" s="2">
        <f>IF(Tabla2[[#This Row],[Frecuencia]]="Annual", Tabla2[[#This Row],[Cosecha/Tarea]]/12,Tabla2[[#This Row],[Cosecha/Tarea]])</f>
        <v>2583</v>
      </c>
      <c r="F65" s="2">
        <v>23404</v>
      </c>
      <c r="G65" t="s">
        <v>18</v>
      </c>
      <c r="H65">
        <f>F65/Tabla2[[#This Row],[Cosecha Mensual]]</f>
        <v>9.0607820363917924</v>
      </c>
      <c r="I65">
        <f>H65*_xlfn.XLOOKUP(Tabla2[[#This Row],[Unidad de producción]],Tabla3[Medida],Tabla3[Equivalencia en Kg],"ELVIS",0)</f>
        <v>410.99707317073171</v>
      </c>
      <c r="J65">
        <v>329.125</v>
      </c>
      <c r="K65" t="s">
        <v>18</v>
      </c>
      <c r="L65">
        <f>J65/_xlfn.XLOOKUP(Tabla2[[#This Row],[Unidad de precio]],Tabla3[Medida],Tabla3[Equivalencia en Kg],"ELVIS",0)</f>
        <v>7.255842151675485</v>
      </c>
      <c r="N65" s="2">
        <f>(Tabla2[[#This Row],[Productividad (kg/TAS)]]*Tabla2[[#This Row],[Precio por kg]]-Tabla2[[#This Row],[Costos (En RD$/Tarea)]])</f>
        <v>2982.1298877274485</v>
      </c>
      <c r="O65" s="6">
        <f>IF(Tabla2[[#This Row],[Costos (En RD$/Tarea)]]=0,0,Tabla2[[#This Row],[Beneficio Neto  (En RD$/Tarea)]]/Tabla2[[#This Row],[Costos (En RD$/Tarea)]])</f>
        <v>0</v>
      </c>
      <c r="P65" s="4">
        <f>Tabla2[[#This Row],[Rentabilidad (%)]]/12</f>
        <v>0</v>
      </c>
    </row>
    <row r="66" spans="1:16" x14ac:dyDescent="0.35">
      <c r="A66" s="1">
        <v>36678</v>
      </c>
      <c r="B66" t="s">
        <v>23</v>
      </c>
      <c r="C66" s="2">
        <v>2589</v>
      </c>
      <c r="D66" s="5" t="s">
        <v>17</v>
      </c>
      <c r="E66" s="2">
        <f>IF(Tabla2[[#This Row],[Frecuencia]]="Annual", Tabla2[[#This Row],[Cosecha/Tarea]]/12,Tabla2[[#This Row],[Cosecha/Tarea]])</f>
        <v>2589</v>
      </c>
      <c r="F66" s="2">
        <v>51034</v>
      </c>
      <c r="G66" t="s">
        <v>18</v>
      </c>
      <c r="H66">
        <f>F66/Tabla2[[#This Row],[Cosecha Mensual]]</f>
        <v>19.711857860177673</v>
      </c>
      <c r="I66">
        <f>H66*_xlfn.XLOOKUP(Tabla2[[#This Row],[Unidad de producción]],Tabla3[Medida],Tabla3[Equivalencia en Kg],"ELVIS",0)</f>
        <v>894.12987253765925</v>
      </c>
      <c r="J66">
        <v>296.10000000000002</v>
      </c>
      <c r="K66" t="s">
        <v>18</v>
      </c>
      <c r="L66">
        <f>J66/_xlfn.XLOOKUP(Tabla2[[#This Row],[Unidad de precio]],Tabla3[Medida],Tabla3[Equivalencia en Kg],"ELVIS",0)</f>
        <v>6.5277777777777786</v>
      </c>
      <c r="N66" s="2">
        <f>(Tabla2[[#This Row],[Productividad (kg/TAS)]]*Tabla2[[#This Row],[Precio por kg]]-Tabla2[[#This Row],[Costos (En RD$/Tarea)]])</f>
        <v>5836.6811123986099</v>
      </c>
      <c r="O66" s="6">
        <f>IF(Tabla2[[#This Row],[Costos (En RD$/Tarea)]]=0,0,Tabla2[[#This Row],[Beneficio Neto  (En RD$/Tarea)]]/Tabla2[[#This Row],[Costos (En RD$/Tarea)]])</f>
        <v>0</v>
      </c>
      <c r="P66" s="4">
        <f>Tabla2[[#This Row],[Rentabilidad (%)]]/12</f>
        <v>0</v>
      </c>
    </row>
    <row r="67" spans="1:16" x14ac:dyDescent="0.35">
      <c r="A67" s="1">
        <v>36678</v>
      </c>
      <c r="B67" t="s">
        <v>24</v>
      </c>
      <c r="C67" s="2">
        <v>7647</v>
      </c>
      <c r="D67" s="5" t="s">
        <v>17</v>
      </c>
      <c r="E67" s="2">
        <f>IF(Tabla2[[#This Row],[Frecuencia]]="Annual", Tabla2[[#This Row],[Cosecha/Tarea]]/12,Tabla2[[#This Row],[Cosecha/Tarea]])</f>
        <v>7647</v>
      </c>
      <c r="F67" s="2">
        <v>94721</v>
      </c>
      <c r="G67" t="s">
        <v>18</v>
      </c>
      <c r="H67">
        <f>F67/Tabla2[[#This Row],[Cosecha Mensual]]</f>
        <v>12.386687589904538</v>
      </c>
      <c r="I67">
        <f>H67*_xlfn.XLOOKUP(Tabla2[[#This Row],[Unidad de producción]],Tabla3[Medida],Tabla3[Equivalencia en Kg],"ELVIS",0)</f>
        <v>561.86014907806987</v>
      </c>
      <c r="J67">
        <v>336.3</v>
      </c>
      <c r="K67" t="s">
        <v>18</v>
      </c>
      <c r="L67">
        <f>J67/_xlfn.XLOOKUP(Tabla2[[#This Row],[Unidad de precio]],Tabla3[Medida],Tabla3[Equivalencia en Kg],"ELVIS",0)</f>
        <v>7.4140211640211646</v>
      </c>
      <c r="N67" s="2">
        <f>(Tabla2[[#This Row],[Productividad (kg/TAS)]]*Tabla2[[#This Row],[Precio por kg]]-Tabla2[[#This Row],[Costos (En RD$/Tarea)]])</f>
        <v>4165.6430364848966</v>
      </c>
      <c r="O67" s="6">
        <f>IF(Tabla2[[#This Row],[Costos (En RD$/Tarea)]]=0,0,Tabla2[[#This Row],[Beneficio Neto  (En RD$/Tarea)]]/Tabla2[[#This Row],[Costos (En RD$/Tarea)]])</f>
        <v>0</v>
      </c>
      <c r="P67" s="4">
        <f>Tabla2[[#This Row],[Rentabilidad (%)]]/12</f>
        <v>0</v>
      </c>
    </row>
    <row r="68" spans="1:16" x14ac:dyDescent="0.35">
      <c r="A68" s="1">
        <v>36678</v>
      </c>
      <c r="B68" t="s">
        <v>25</v>
      </c>
      <c r="C68" s="2">
        <v>21360</v>
      </c>
      <c r="D68" s="5" t="s">
        <v>17</v>
      </c>
      <c r="E68" s="2">
        <f>IF(Tabla2[[#This Row],[Frecuencia]]="Annual", Tabla2[[#This Row],[Cosecha/Tarea]]/12,Tabla2[[#This Row],[Cosecha/Tarea]])</f>
        <v>21360</v>
      </c>
      <c r="F68" s="2">
        <v>200573</v>
      </c>
      <c r="G68" t="s">
        <v>18</v>
      </c>
      <c r="H68">
        <f>F68/Tabla2[[#This Row],[Cosecha Mensual]]</f>
        <v>9.3901217228464411</v>
      </c>
      <c r="I68">
        <f>H68*_xlfn.XLOOKUP(Tabla2[[#This Row],[Unidad de producción]],Tabla3[Medida],Tabla3[Equivalencia en Kg],"ELVIS",0)</f>
        <v>425.93592134831454</v>
      </c>
      <c r="J68">
        <v>119.47499999999999</v>
      </c>
      <c r="K68" t="s">
        <v>18</v>
      </c>
      <c r="L68">
        <f>J68/_xlfn.XLOOKUP(Tabla2[[#This Row],[Unidad de precio]],Tabla3[Medida],Tabla3[Equivalencia en Kg],"ELVIS",0)</f>
        <v>2.6339285714285712</v>
      </c>
      <c r="N68" s="2">
        <f>(Tabla2[[#This Row],[Productividad (kg/TAS)]]*Tabla2[[#This Row],[Precio por kg]]-Tabla2[[#This Row],[Costos (En RD$/Tarea)]])</f>
        <v>1121.8847928370783</v>
      </c>
      <c r="O68" s="6">
        <f>IF(Tabla2[[#This Row],[Costos (En RD$/Tarea)]]=0,0,Tabla2[[#This Row],[Beneficio Neto  (En RD$/Tarea)]]/Tabla2[[#This Row],[Costos (En RD$/Tarea)]])</f>
        <v>0</v>
      </c>
      <c r="P68" s="4">
        <f>Tabla2[[#This Row],[Rentabilidad (%)]]/12</f>
        <v>0</v>
      </c>
    </row>
    <row r="69" spans="1:16" x14ac:dyDescent="0.35">
      <c r="A69" s="1">
        <v>36678</v>
      </c>
      <c r="B69" t="s">
        <v>26</v>
      </c>
      <c r="C69" s="2">
        <v>7286</v>
      </c>
      <c r="D69" s="5" t="s">
        <v>17</v>
      </c>
      <c r="E69" s="2">
        <f>IF(Tabla2[[#This Row],[Frecuencia]]="Annual", Tabla2[[#This Row],[Cosecha/Tarea]]/12,Tabla2[[#This Row],[Cosecha/Tarea]])</f>
        <v>7286</v>
      </c>
      <c r="F69" s="2">
        <v>39484</v>
      </c>
      <c r="G69" t="s">
        <v>18</v>
      </c>
      <c r="H69">
        <f>F69/Tabla2[[#This Row],[Cosecha Mensual]]</f>
        <v>5.4191600329398844</v>
      </c>
      <c r="I69">
        <f>H69*_xlfn.XLOOKUP(Tabla2[[#This Row],[Unidad de producción]],Tabla3[Medida],Tabla3[Equivalencia en Kg],"ELVIS",0)</f>
        <v>245.81309909415316</v>
      </c>
      <c r="J69">
        <v>273.8</v>
      </c>
      <c r="K69" t="s">
        <v>18</v>
      </c>
      <c r="L69">
        <f>J69/_xlfn.XLOOKUP(Tabla2[[#This Row],[Unidad de precio]],Tabla3[Medida],Tabla3[Equivalencia en Kg],"ELVIS",0)</f>
        <v>6.0361552028218695</v>
      </c>
      <c r="N69" s="2">
        <f>(Tabla2[[#This Row],[Productividad (kg/TAS)]]*Tabla2[[#This Row],[Precio por kg]]-Tabla2[[#This Row],[Costos (En RD$/Tarea)]])</f>
        <v>1483.7660170189404</v>
      </c>
      <c r="O69" s="6">
        <f>IF(Tabla2[[#This Row],[Costos (En RD$/Tarea)]]=0,0,Tabla2[[#This Row],[Beneficio Neto  (En RD$/Tarea)]]/Tabla2[[#This Row],[Costos (En RD$/Tarea)]])</f>
        <v>0</v>
      </c>
      <c r="P69" s="4">
        <f>Tabla2[[#This Row],[Rentabilidad (%)]]/12</f>
        <v>0</v>
      </c>
    </row>
    <row r="70" spans="1:16" x14ac:dyDescent="0.35">
      <c r="A70" s="1">
        <v>36678</v>
      </c>
      <c r="B70" t="s">
        <v>27</v>
      </c>
      <c r="C70" s="2">
        <v>1827</v>
      </c>
      <c r="D70" s="5" t="s">
        <v>17</v>
      </c>
      <c r="E70" s="2">
        <f>IF(Tabla2[[#This Row],[Frecuencia]]="Annual", Tabla2[[#This Row],[Cosecha/Tarea]]/12,Tabla2[[#This Row],[Cosecha/Tarea]])</f>
        <v>1827</v>
      </c>
      <c r="F70" s="2">
        <v>18059</v>
      </c>
      <c r="G70" t="s">
        <v>18</v>
      </c>
      <c r="H70">
        <f>F70/Tabla2[[#This Row],[Cosecha Mensual]]</f>
        <v>9.8845101258894363</v>
      </c>
      <c r="I70">
        <f>H70*_xlfn.XLOOKUP(Tabla2[[#This Row],[Unidad de producción]],Tabla3[Medida],Tabla3[Equivalencia en Kg],"ELVIS",0)</f>
        <v>448.36137931034483</v>
      </c>
      <c r="J70">
        <v>129.30000000000001</v>
      </c>
      <c r="K70" t="s">
        <v>18</v>
      </c>
      <c r="L70">
        <f>J70/_xlfn.XLOOKUP(Tabla2[[#This Row],[Unidad de precio]],Tabla3[Medida],Tabla3[Equivalencia en Kg],"ELVIS",0)</f>
        <v>2.8505291005291009</v>
      </c>
      <c r="N70" s="2">
        <f>(Tabla2[[#This Row],[Productividad (kg/TAS)]]*Tabla2[[#This Row],[Precio por kg]]-Tabla2[[#This Row],[Costos (En RD$/Tarea)]])</f>
        <v>1278.0671592775043</v>
      </c>
      <c r="O70" s="6">
        <f>IF(Tabla2[[#This Row],[Costos (En RD$/Tarea)]]=0,0,Tabla2[[#This Row],[Beneficio Neto  (En RD$/Tarea)]]/Tabla2[[#This Row],[Costos (En RD$/Tarea)]])</f>
        <v>0</v>
      </c>
      <c r="P70" s="4">
        <f>Tabla2[[#This Row],[Rentabilidad (%)]]/12</f>
        <v>0</v>
      </c>
    </row>
    <row r="71" spans="1:16" x14ac:dyDescent="0.35">
      <c r="A71" s="1">
        <v>36678</v>
      </c>
      <c r="B71" t="s">
        <v>28</v>
      </c>
      <c r="C71" s="2">
        <v>70</v>
      </c>
      <c r="D71" s="5" t="s">
        <v>17</v>
      </c>
      <c r="E71" s="2">
        <f>IF(Tabla2[[#This Row],[Frecuencia]]="Annual", Tabla2[[#This Row],[Cosecha/Tarea]]/12,Tabla2[[#This Row],[Cosecha/Tarea]])</f>
        <v>70</v>
      </c>
      <c r="F71" s="2">
        <v>112</v>
      </c>
      <c r="G71" t="s">
        <v>18</v>
      </c>
      <c r="H71">
        <f>F71/Tabla2[[#This Row],[Cosecha Mensual]]</f>
        <v>1.6</v>
      </c>
      <c r="I71">
        <f>H71*_xlfn.XLOOKUP(Tabla2[[#This Row],[Unidad de producción]],Tabla3[Medida],Tabla3[Equivalencia en Kg],"ELVIS",0)</f>
        <v>72.576000000000008</v>
      </c>
      <c r="J71">
        <v>1716.5</v>
      </c>
      <c r="K71" t="s">
        <v>29</v>
      </c>
      <c r="L71">
        <f>J71/_xlfn.XLOOKUP(Tabla2[[#This Row],[Unidad de precio]],Tabla3[Medida],Tabla3[Equivalencia en Kg],"ELVIS",0)</f>
        <v>3.0524238005477113</v>
      </c>
      <c r="N71" s="2">
        <f>(Tabla2[[#This Row],[Productividad (kg/TAS)]]*Tabla2[[#This Row],[Precio por kg]]-Tabla2[[#This Row],[Costos (En RD$/Tarea)]])</f>
        <v>221.53270974855073</v>
      </c>
      <c r="O71" s="6">
        <f>IF(Tabla2[[#This Row],[Costos (En RD$/Tarea)]]=0,0,Tabla2[[#This Row],[Beneficio Neto  (En RD$/Tarea)]]/Tabla2[[#This Row],[Costos (En RD$/Tarea)]])</f>
        <v>0</v>
      </c>
      <c r="P71" s="4">
        <f>Tabla2[[#This Row],[Rentabilidad (%)]]/12</f>
        <v>0</v>
      </c>
    </row>
    <row r="72" spans="1:16" x14ac:dyDescent="0.35">
      <c r="A72" s="1">
        <v>36678</v>
      </c>
      <c r="B72" t="s">
        <v>30</v>
      </c>
      <c r="C72" s="2">
        <v>232389</v>
      </c>
      <c r="D72" s="2" t="s">
        <v>31</v>
      </c>
      <c r="E72" s="2">
        <f>IF(Tabla2[[#This Row],[Frecuencia]]="Annual", Tabla2[[#This Row],[Cosecha/Tarea]]/12,Tabla2[[#This Row],[Cosecha/Tarea]])</f>
        <v>19365.75</v>
      </c>
      <c r="F72" s="2">
        <v>1622628</v>
      </c>
      <c r="G72" t="s">
        <v>32</v>
      </c>
      <c r="H72">
        <f>F72/Tabla2[[#This Row],[Cosecha Mensual]]</f>
        <v>83.788544208202623</v>
      </c>
      <c r="I72">
        <f>H72*_xlfn.XLOOKUP(Tabla2[[#This Row],[Unidad de producción]],Tabla3[Medida],Tabla3[Equivalencia en Kg],"ELVIS",0)</f>
        <v>2279.8862879051935</v>
      </c>
      <c r="J72">
        <v>15.8</v>
      </c>
      <c r="K72" t="s">
        <v>32</v>
      </c>
      <c r="L72">
        <f>J72/_xlfn.XLOOKUP(Tabla2[[#This Row],[Unidad de precio]],Tabla3[Medida],Tabla3[Equivalencia en Kg],"ELVIS",0)</f>
        <v>0.58066887173833148</v>
      </c>
      <c r="M72" s="2"/>
      <c r="N72" s="2">
        <f>(Tabla2[[#This Row],[Productividad (kg/TAS)]]*Tabla2[[#This Row],[Precio por kg]]-Tabla2[[#This Row],[Costos (En RD$/Tarea)]])</f>
        <v>1323.8589984896014</v>
      </c>
      <c r="O72" s="6">
        <f>IF(Tabla2[[#This Row],[Costos (En RD$/Tarea)]]=0,0,Tabla2[[#This Row],[Beneficio Neto  (En RD$/Tarea)]]/Tabla2[[#This Row],[Costos (En RD$/Tarea)]])</f>
        <v>0</v>
      </c>
      <c r="P72" s="4">
        <f>Tabla2[[#This Row],[Rentabilidad (%)]]/12</f>
        <v>0</v>
      </c>
    </row>
    <row r="73" spans="1:16" x14ac:dyDescent="0.35">
      <c r="A73" s="1">
        <v>36678</v>
      </c>
      <c r="B73" t="s">
        <v>33</v>
      </c>
      <c r="C73" s="2">
        <v>579293</v>
      </c>
      <c r="D73" s="2" t="s">
        <v>31</v>
      </c>
      <c r="E73" s="2">
        <f>IF(Tabla2[[#This Row],[Frecuencia]]="Annual", Tabla2[[#This Row],[Cosecha/Tarea]]/12,Tabla2[[#This Row],[Cosecha/Tarea]])</f>
        <v>48274.416666666664</v>
      </c>
      <c r="F73" s="2">
        <v>123619</v>
      </c>
      <c r="G73" t="s">
        <v>34</v>
      </c>
      <c r="H73">
        <f>F73/Tabla2[[#This Row],[Cosecha Mensual]]</f>
        <v>2.5607559559670152</v>
      </c>
      <c r="I73">
        <f>H73*_xlfn.XLOOKUP(Tabla2[[#This Row],[Unidad de producción]],Tabla3[Medida],Tabla3[Equivalencia en Kg],"ELVIS",0)</f>
        <v>1045.1725434279372</v>
      </c>
      <c r="J73">
        <v>471</v>
      </c>
      <c r="K73" t="s">
        <v>34</v>
      </c>
      <c r="L73">
        <f>J73/_xlfn.XLOOKUP(Tabla2[[#This Row],[Unidad de precio]],Tabla3[Medida],Tabla3[Equivalencia en Kg],"ELVIS",0)</f>
        <v>1.1539875045938994</v>
      </c>
      <c r="M73" s="2"/>
      <c r="N73" s="2">
        <f>(Tabla2[[#This Row],[Productividad (kg/TAS)]]*Tabla2[[#This Row],[Precio por kg]]-Tabla2[[#This Row],[Costos (En RD$/Tarea)]])</f>
        <v>1206.1160552604642</v>
      </c>
      <c r="O73" s="6">
        <f>IF(Tabla2[[#This Row],[Costos (En RD$/Tarea)]]=0,0,Tabla2[[#This Row],[Beneficio Neto  (En RD$/Tarea)]]/Tabla2[[#This Row],[Costos (En RD$/Tarea)]])</f>
        <v>0</v>
      </c>
      <c r="P73" s="4">
        <f>Tabla2[[#This Row],[Rentabilidad (%)]]/12</f>
        <v>0</v>
      </c>
    </row>
    <row r="74" spans="1:16" x14ac:dyDescent="0.35">
      <c r="A74" s="1">
        <v>36708</v>
      </c>
      <c r="B74" t="s">
        <v>16</v>
      </c>
      <c r="C74" s="5">
        <v>197810</v>
      </c>
      <c r="D74" s="5" t="s">
        <v>17</v>
      </c>
      <c r="E74" s="5">
        <f>IF(Tabla2[[#This Row],[Frecuencia]]="Annual", Tabla2[[#This Row],[Cosecha/Tarea]]/12,Tabla2[[#This Row],[Cosecha/Tarea]])</f>
        <v>197810</v>
      </c>
      <c r="F74" s="2">
        <v>1051585</v>
      </c>
      <c r="G74" t="s">
        <v>18</v>
      </c>
      <c r="H74">
        <f>F74/Tabla2[[#This Row],[Cosecha Mensual]]</f>
        <v>5.3161366968302914</v>
      </c>
      <c r="I74">
        <f>H74*_xlfn.XLOOKUP(Tabla2[[#This Row],[Unidad de producción]],Tabla3[Medida],Tabla3[Equivalencia en Kg],"ELVIS",0)</f>
        <v>241.13996056822202</v>
      </c>
      <c r="J74">
        <v>1087.8019801980199</v>
      </c>
      <c r="K74" t="s">
        <v>19</v>
      </c>
      <c r="L74">
        <f>J74/_xlfn.XLOOKUP(Tabla2[[#This Row],[Unidad de precio]],Tabla3[Medida],Tabla3[Equivalencia en Kg],"ELVIS",0)</f>
        <v>9.8891089108910908</v>
      </c>
      <c r="N74" s="2">
        <f>(Tabla2[[#This Row],[Productividad (kg/TAS)]]*Tabla2[[#This Row],[Precio por kg]]-Tabla2[[#This Row],[Costos (En RD$/Tarea)]])</f>
        <v>2384.6593328271306</v>
      </c>
      <c r="O74" s="6">
        <f>IF(Tabla2[[#This Row],[Costos (En RD$/Tarea)]]=0,0,Tabla2[[#This Row],[Beneficio Neto  (En RD$/Tarea)]]/Tabla2[[#This Row],[Costos (En RD$/Tarea)]])</f>
        <v>0</v>
      </c>
      <c r="P74" s="4">
        <f>Tabla2[[#This Row],[Rentabilidad (%)]]/12</f>
        <v>0</v>
      </c>
    </row>
    <row r="75" spans="1:16" x14ac:dyDescent="0.35">
      <c r="A75" s="1">
        <v>36708</v>
      </c>
      <c r="B75" t="s">
        <v>20</v>
      </c>
      <c r="C75" s="2">
        <v>20492</v>
      </c>
      <c r="D75" s="5" t="s">
        <v>17</v>
      </c>
      <c r="E75" s="2">
        <f>IF(Tabla2[[#This Row],[Frecuencia]]="Annual", Tabla2[[#This Row],[Cosecha/Tarea]]/12,Tabla2[[#This Row],[Cosecha/Tarea]])</f>
        <v>20492</v>
      </c>
      <c r="F75" s="2">
        <v>33257</v>
      </c>
      <c r="G75" t="s">
        <v>18</v>
      </c>
      <c r="H75">
        <f>F75/Tabla2[[#This Row],[Cosecha Mensual]]</f>
        <v>1.6229260199102089</v>
      </c>
      <c r="I75">
        <f>H75*_xlfn.XLOOKUP(Tabla2[[#This Row],[Unidad de producción]],Tabla3[Medida],Tabla3[Equivalencia en Kg],"ELVIS",0)</f>
        <v>73.61592426312707</v>
      </c>
      <c r="J75">
        <v>120.24</v>
      </c>
      <c r="K75" t="s">
        <v>18</v>
      </c>
      <c r="L75">
        <f>J75/_xlfn.XLOOKUP(Tabla2[[#This Row],[Unidad de precio]],Tabla3[Medida],Tabla3[Equivalencia en Kg],"ELVIS",0)</f>
        <v>2.6507936507936507</v>
      </c>
      <c r="N75" s="2">
        <f>(Tabla2[[#This Row],[Productividad (kg/TAS)]]*Tabla2[[#This Row],[Precio por kg]]-Tabla2[[#This Row],[Costos (En RD$/Tarea)]])</f>
        <v>195.1406246340035</v>
      </c>
      <c r="O75" s="6">
        <f>IF(Tabla2[[#This Row],[Costos (En RD$/Tarea)]]=0,0,Tabla2[[#This Row],[Beneficio Neto  (En RD$/Tarea)]]/Tabla2[[#This Row],[Costos (En RD$/Tarea)]])</f>
        <v>0</v>
      </c>
      <c r="P75" s="4">
        <f>Tabla2[[#This Row],[Rentabilidad (%)]]/12</f>
        <v>0</v>
      </c>
    </row>
    <row r="76" spans="1:16" x14ac:dyDescent="0.35">
      <c r="A76" s="1">
        <v>36708</v>
      </c>
      <c r="B76" t="s">
        <v>21</v>
      </c>
      <c r="C76" s="2">
        <v>6060</v>
      </c>
      <c r="D76" s="5" t="s">
        <v>17</v>
      </c>
      <c r="E76" s="2">
        <f>IF(Tabla2[[#This Row],[Frecuencia]]="Annual", Tabla2[[#This Row],[Cosecha/Tarea]]/12,Tabla2[[#This Row],[Cosecha/Tarea]])</f>
        <v>6060</v>
      </c>
      <c r="F76" s="2">
        <v>56115</v>
      </c>
      <c r="G76" t="s">
        <v>18</v>
      </c>
      <c r="H76">
        <f>F76/Tabla2[[#This Row],[Cosecha Mensual]]</f>
        <v>9.259900990099009</v>
      </c>
      <c r="I76">
        <f>H76*_xlfn.XLOOKUP(Tabla2[[#This Row],[Unidad de producción]],Tabla3[Medida],Tabla3[Equivalencia en Kg],"ELVIS",0)</f>
        <v>420.02910891089107</v>
      </c>
      <c r="J76">
        <v>137</v>
      </c>
      <c r="K76" t="s">
        <v>18</v>
      </c>
      <c r="L76">
        <f>J76/_xlfn.XLOOKUP(Tabla2[[#This Row],[Unidad de precio]],Tabla3[Medida],Tabla3[Equivalencia en Kg],"ELVIS",0)</f>
        <v>3.0202821869488536</v>
      </c>
      <c r="N76" s="2">
        <f>(Tabla2[[#This Row],[Productividad (kg/TAS)]]*Tabla2[[#This Row],[Precio por kg]]-Tabla2[[#This Row],[Costos (En RD$/Tarea)]])</f>
        <v>1268.6064356435643</v>
      </c>
      <c r="O76" s="6">
        <f>IF(Tabla2[[#This Row],[Costos (En RD$/Tarea)]]=0,0,Tabla2[[#This Row],[Beneficio Neto  (En RD$/Tarea)]]/Tabla2[[#This Row],[Costos (En RD$/Tarea)]])</f>
        <v>0</v>
      </c>
      <c r="P76" s="4">
        <f>Tabla2[[#This Row],[Rentabilidad (%)]]/12</f>
        <v>0</v>
      </c>
    </row>
    <row r="77" spans="1:16" x14ac:dyDescent="0.35">
      <c r="A77" s="1">
        <v>36708</v>
      </c>
      <c r="B77" t="s">
        <v>22</v>
      </c>
      <c r="C77" s="2">
        <v>1378</v>
      </c>
      <c r="D77" s="5" t="s">
        <v>17</v>
      </c>
      <c r="E77" s="2">
        <f>IF(Tabla2[[#This Row],[Frecuencia]]="Annual", Tabla2[[#This Row],[Cosecha/Tarea]]/12,Tabla2[[#This Row],[Cosecha/Tarea]])</f>
        <v>1378</v>
      </c>
      <c r="F77" s="2">
        <v>12338</v>
      </c>
      <c r="G77" t="s">
        <v>18</v>
      </c>
      <c r="H77">
        <f>F77/Tabla2[[#This Row],[Cosecha Mensual]]</f>
        <v>8.9535558780841793</v>
      </c>
      <c r="I77">
        <f>H77*_xlfn.XLOOKUP(Tabla2[[#This Row],[Unidad de producción]],Tabla3[Medida],Tabla3[Equivalencia en Kg],"ELVIS",0)</f>
        <v>406.13329462989839</v>
      </c>
      <c r="J77">
        <v>344.77833333333302</v>
      </c>
      <c r="K77" t="s">
        <v>18</v>
      </c>
      <c r="L77">
        <f>J77/_xlfn.XLOOKUP(Tabla2[[#This Row],[Unidad de precio]],Tabla3[Medida],Tabla3[Equivalencia en Kg],"ELVIS",0)</f>
        <v>7.6009332745443787</v>
      </c>
      <c r="N77" s="2">
        <f>(Tabla2[[#This Row],[Productividad (kg/TAS)]]*Tabla2[[#This Row],[Precio por kg]]-Tabla2[[#This Row],[Costos (En RD$/Tarea)]])</f>
        <v>3086.9920730527306</v>
      </c>
      <c r="O77" s="6">
        <f>IF(Tabla2[[#This Row],[Costos (En RD$/Tarea)]]=0,0,Tabla2[[#This Row],[Beneficio Neto  (En RD$/Tarea)]]/Tabla2[[#This Row],[Costos (En RD$/Tarea)]])</f>
        <v>0</v>
      </c>
      <c r="P77" s="4">
        <f>Tabla2[[#This Row],[Rentabilidad (%)]]/12</f>
        <v>0</v>
      </c>
    </row>
    <row r="78" spans="1:16" x14ac:dyDescent="0.35">
      <c r="A78" s="1">
        <v>36708</v>
      </c>
      <c r="B78" t="s">
        <v>23</v>
      </c>
      <c r="C78" s="2">
        <v>1426</v>
      </c>
      <c r="D78" s="5" t="s">
        <v>17</v>
      </c>
      <c r="E78" s="2">
        <f>IF(Tabla2[[#This Row],[Frecuencia]]="Annual", Tabla2[[#This Row],[Cosecha/Tarea]]/12,Tabla2[[#This Row],[Cosecha/Tarea]])</f>
        <v>1426</v>
      </c>
      <c r="F78" s="2">
        <v>28465</v>
      </c>
      <c r="G78" t="s">
        <v>18</v>
      </c>
      <c r="H78">
        <f>F78/Tabla2[[#This Row],[Cosecha Mensual]]</f>
        <v>19.961430575035063</v>
      </c>
      <c r="I78">
        <f>H78*_xlfn.XLOOKUP(Tabla2[[#This Row],[Unidad de producción]],Tabla3[Medida],Tabla3[Equivalencia en Kg],"ELVIS",0)</f>
        <v>905.45049088359042</v>
      </c>
      <c r="J78">
        <v>241.9</v>
      </c>
      <c r="K78" t="s">
        <v>18</v>
      </c>
      <c r="L78">
        <f>J78/_xlfn.XLOOKUP(Tabla2[[#This Row],[Unidad de precio]],Tabla3[Medida],Tabla3[Equivalencia en Kg],"ELVIS",0)</f>
        <v>5.3328924162257501</v>
      </c>
      <c r="N78" s="2">
        <f>(Tabla2[[#This Row],[Productividad (kg/TAS)]]*Tabla2[[#This Row],[Precio por kg]]-Tabla2[[#This Row],[Costos (En RD$/Tarea)]])</f>
        <v>4828.670056100982</v>
      </c>
      <c r="O78" s="6">
        <f>IF(Tabla2[[#This Row],[Costos (En RD$/Tarea)]]=0,0,Tabla2[[#This Row],[Beneficio Neto  (En RD$/Tarea)]]/Tabla2[[#This Row],[Costos (En RD$/Tarea)]])</f>
        <v>0</v>
      </c>
      <c r="P78" s="4">
        <f>Tabla2[[#This Row],[Rentabilidad (%)]]/12</f>
        <v>0</v>
      </c>
    </row>
    <row r="79" spans="1:16" x14ac:dyDescent="0.35">
      <c r="A79" s="1">
        <v>36708</v>
      </c>
      <c r="B79" t="s">
        <v>24</v>
      </c>
      <c r="C79" s="2">
        <v>5546</v>
      </c>
      <c r="D79" s="5" t="s">
        <v>17</v>
      </c>
      <c r="E79" s="2">
        <f>IF(Tabla2[[#This Row],[Frecuencia]]="Annual", Tabla2[[#This Row],[Cosecha/Tarea]]/12,Tabla2[[#This Row],[Cosecha/Tarea]])</f>
        <v>5546</v>
      </c>
      <c r="F79" s="2">
        <v>75441</v>
      </c>
      <c r="G79" t="s">
        <v>18</v>
      </c>
      <c r="H79">
        <f>F79/Tabla2[[#This Row],[Cosecha Mensual]]</f>
        <v>13.602776776054814</v>
      </c>
      <c r="I79">
        <f>H79*_xlfn.XLOOKUP(Tabla2[[#This Row],[Unidad de producción]],Tabla3[Medida],Tabla3[Equivalencia en Kg],"ELVIS",0)</f>
        <v>617.02195456184631</v>
      </c>
      <c r="J79">
        <v>358</v>
      </c>
      <c r="K79" t="s">
        <v>18</v>
      </c>
      <c r="L79">
        <f>J79/_xlfn.XLOOKUP(Tabla2[[#This Row],[Unidad de precio]],Tabla3[Medida],Tabla3[Equivalencia en Kg],"ELVIS",0)</f>
        <v>7.8924162257495594</v>
      </c>
      <c r="N79" s="2">
        <f>(Tabla2[[#This Row],[Productividad (kg/TAS)]]*Tabla2[[#This Row],[Precio por kg]]-Tabla2[[#This Row],[Costos (En RD$/Tarea)]])</f>
        <v>4869.7940858276233</v>
      </c>
      <c r="O79" s="6">
        <f>IF(Tabla2[[#This Row],[Costos (En RD$/Tarea)]]=0,0,Tabla2[[#This Row],[Beneficio Neto  (En RD$/Tarea)]]/Tabla2[[#This Row],[Costos (En RD$/Tarea)]])</f>
        <v>0</v>
      </c>
      <c r="P79" s="4">
        <f>Tabla2[[#This Row],[Rentabilidad (%)]]/12</f>
        <v>0</v>
      </c>
    </row>
    <row r="80" spans="1:16" x14ac:dyDescent="0.35">
      <c r="A80" s="1">
        <v>36708</v>
      </c>
      <c r="B80" t="s">
        <v>25</v>
      </c>
      <c r="C80" s="2">
        <v>18408</v>
      </c>
      <c r="D80" s="5" t="s">
        <v>17</v>
      </c>
      <c r="E80" s="2">
        <f>IF(Tabla2[[#This Row],[Frecuencia]]="Annual", Tabla2[[#This Row],[Cosecha/Tarea]]/12,Tabla2[[#This Row],[Cosecha/Tarea]])</f>
        <v>18408</v>
      </c>
      <c r="F80" s="2">
        <v>170147</v>
      </c>
      <c r="G80" t="s">
        <v>18</v>
      </c>
      <c r="H80">
        <f>F80/Tabla2[[#This Row],[Cosecha Mensual]]</f>
        <v>9.2431008257279448</v>
      </c>
      <c r="I80">
        <f>H80*_xlfn.XLOOKUP(Tabla2[[#This Row],[Unidad de producción]],Tabla3[Medida],Tabla3[Equivalencia en Kg],"ELVIS",0)</f>
        <v>419.26705345501955</v>
      </c>
      <c r="J80">
        <v>136</v>
      </c>
      <c r="K80" t="s">
        <v>18</v>
      </c>
      <c r="L80">
        <f>J80/_xlfn.XLOOKUP(Tabla2[[#This Row],[Unidad de precio]],Tabla3[Medida],Tabla3[Equivalencia en Kg],"ELVIS",0)</f>
        <v>2.998236331569665</v>
      </c>
      <c r="N80" s="2">
        <f>(Tabla2[[#This Row],[Productividad (kg/TAS)]]*Tabla2[[#This Row],[Precio por kg]]-Tabla2[[#This Row],[Costos (En RD$/Tarea)]])</f>
        <v>1257.0617122990004</v>
      </c>
      <c r="O80" s="6">
        <f>IF(Tabla2[[#This Row],[Costos (En RD$/Tarea)]]=0,0,Tabla2[[#This Row],[Beneficio Neto  (En RD$/Tarea)]]/Tabla2[[#This Row],[Costos (En RD$/Tarea)]])</f>
        <v>0</v>
      </c>
      <c r="P80" s="4">
        <f>Tabla2[[#This Row],[Rentabilidad (%)]]/12</f>
        <v>0</v>
      </c>
    </row>
    <row r="81" spans="1:16" x14ac:dyDescent="0.35">
      <c r="A81" s="1">
        <v>36708</v>
      </c>
      <c r="B81" t="s">
        <v>26</v>
      </c>
      <c r="C81" s="2">
        <v>6384</v>
      </c>
      <c r="D81" s="5" t="s">
        <v>17</v>
      </c>
      <c r="E81" s="2">
        <f>IF(Tabla2[[#This Row],[Frecuencia]]="Annual", Tabla2[[#This Row],[Cosecha/Tarea]]/12,Tabla2[[#This Row],[Cosecha/Tarea]])</f>
        <v>6384</v>
      </c>
      <c r="F81" s="2">
        <v>32832</v>
      </c>
      <c r="G81" t="s">
        <v>18</v>
      </c>
      <c r="H81">
        <f>F81/Tabla2[[#This Row],[Cosecha Mensual]]</f>
        <v>5.1428571428571432</v>
      </c>
      <c r="I81">
        <f>H81*_xlfn.XLOOKUP(Tabla2[[#This Row],[Unidad de producción]],Tabla3[Medida],Tabla3[Equivalencia en Kg],"ELVIS",0)</f>
        <v>233.28</v>
      </c>
      <c r="J81">
        <v>258.76600000000002</v>
      </c>
      <c r="K81" t="s">
        <v>18</v>
      </c>
      <c r="L81">
        <f>J81/_xlfn.XLOOKUP(Tabla2[[#This Row],[Unidad de precio]],Tabla3[Medida],Tabla3[Equivalencia en Kg],"ELVIS",0)</f>
        <v>5.7047178130511469</v>
      </c>
      <c r="N81" s="2">
        <f>(Tabla2[[#This Row],[Productividad (kg/TAS)]]*Tabla2[[#This Row],[Precio por kg]]-Tabla2[[#This Row],[Costos (En RD$/Tarea)]])</f>
        <v>1330.7965714285715</v>
      </c>
      <c r="O81" s="6">
        <f>IF(Tabla2[[#This Row],[Costos (En RD$/Tarea)]]=0,0,Tabla2[[#This Row],[Beneficio Neto  (En RD$/Tarea)]]/Tabla2[[#This Row],[Costos (En RD$/Tarea)]])</f>
        <v>0</v>
      </c>
      <c r="P81" s="4">
        <f>Tabla2[[#This Row],[Rentabilidad (%)]]/12</f>
        <v>0</v>
      </c>
    </row>
    <row r="82" spans="1:16" x14ac:dyDescent="0.35">
      <c r="A82" s="1">
        <v>36708</v>
      </c>
      <c r="B82" t="s">
        <v>27</v>
      </c>
      <c r="C82" s="2">
        <v>2130</v>
      </c>
      <c r="D82" s="5" t="s">
        <v>17</v>
      </c>
      <c r="E82" s="2">
        <f>IF(Tabla2[[#This Row],[Frecuencia]]="Annual", Tabla2[[#This Row],[Cosecha/Tarea]]/12,Tabla2[[#This Row],[Cosecha/Tarea]])</f>
        <v>2130</v>
      </c>
      <c r="F82" s="2">
        <v>16578</v>
      </c>
      <c r="G82" t="s">
        <v>18</v>
      </c>
      <c r="H82">
        <f>F82/Tabla2[[#This Row],[Cosecha Mensual]]</f>
        <v>7.7830985915492956</v>
      </c>
      <c r="I82">
        <f>H82*_xlfn.XLOOKUP(Tabla2[[#This Row],[Unidad de producción]],Tabla3[Medida],Tabla3[Equivalencia en Kg],"ELVIS",0)</f>
        <v>353.04135211267607</v>
      </c>
      <c r="J82">
        <v>147.65</v>
      </c>
      <c r="K82" t="s">
        <v>18</v>
      </c>
      <c r="L82">
        <f>J82/_xlfn.XLOOKUP(Tabla2[[#This Row],[Unidad de precio]],Tabla3[Medida],Tabla3[Equivalencia en Kg],"ELVIS",0)</f>
        <v>3.2550705467372136</v>
      </c>
      <c r="N82" s="2">
        <f>(Tabla2[[#This Row],[Productividad (kg/TAS)]]*Tabla2[[#This Row],[Precio por kg]]-Tabla2[[#This Row],[Costos (En RD$/Tarea)]])</f>
        <v>1149.1745070422537</v>
      </c>
      <c r="O82" s="6">
        <f>IF(Tabla2[[#This Row],[Costos (En RD$/Tarea)]]=0,0,Tabla2[[#This Row],[Beneficio Neto  (En RD$/Tarea)]]/Tabla2[[#This Row],[Costos (En RD$/Tarea)]])</f>
        <v>0</v>
      </c>
      <c r="P82" s="4">
        <f>Tabla2[[#This Row],[Rentabilidad (%)]]/12</f>
        <v>0</v>
      </c>
    </row>
    <row r="83" spans="1:16" x14ac:dyDescent="0.35">
      <c r="A83" s="1">
        <v>36708</v>
      </c>
      <c r="B83" t="s">
        <v>28</v>
      </c>
      <c r="C83" s="2">
        <v>5988</v>
      </c>
      <c r="D83" s="5" t="s">
        <v>17</v>
      </c>
      <c r="E83" s="2">
        <f>IF(Tabla2[[#This Row],[Frecuencia]]="Annual", Tabla2[[#This Row],[Cosecha/Tarea]]/12,Tabla2[[#This Row],[Cosecha/Tarea]])</f>
        <v>5988</v>
      </c>
      <c r="F83" s="2">
        <v>5178</v>
      </c>
      <c r="G83" t="s">
        <v>18</v>
      </c>
      <c r="H83">
        <f>F83/Tabla2[[#This Row],[Cosecha Mensual]]</f>
        <v>0.8647294589178357</v>
      </c>
      <c r="I83">
        <f>H83*_xlfn.XLOOKUP(Tabla2[[#This Row],[Unidad de producción]],Tabla3[Medida],Tabla3[Equivalencia en Kg],"ELVIS",0)</f>
        <v>39.224128256513026</v>
      </c>
      <c r="J83">
        <v>953.39</v>
      </c>
      <c r="K83" t="s">
        <v>29</v>
      </c>
      <c r="L83">
        <f>J83/_xlfn.XLOOKUP(Tabla2[[#This Row],[Unidad de precio]],Tabla3[Medida],Tabla3[Equivalencia en Kg],"ELVIS",0)</f>
        <v>1.6953978020414695</v>
      </c>
      <c r="N83" s="2">
        <f>(Tabla2[[#This Row],[Productividad (kg/TAS)]]*Tabla2[[#This Row],[Precio por kg]]-Tabla2[[#This Row],[Costos (En RD$/Tarea)]])</f>
        <v>66.500500833084885</v>
      </c>
      <c r="O83" s="6">
        <f>IF(Tabla2[[#This Row],[Costos (En RD$/Tarea)]]=0,0,Tabla2[[#This Row],[Beneficio Neto  (En RD$/Tarea)]]/Tabla2[[#This Row],[Costos (En RD$/Tarea)]])</f>
        <v>0</v>
      </c>
      <c r="P83" s="4">
        <f>Tabla2[[#This Row],[Rentabilidad (%)]]/12</f>
        <v>0</v>
      </c>
    </row>
    <row r="84" spans="1:16" x14ac:dyDescent="0.35">
      <c r="A84" s="1">
        <v>36708</v>
      </c>
      <c r="B84" t="s">
        <v>30</v>
      </c>
      <c r="C84" s="2">
        <v>239144</v>
      </c>
      <c r="D84" s="2" t="s">
        <v>31</v>
      </c>
      <c r="E84" s="2">
        <f>IF(Tabla2[[#This Row],[Frecuencia]]="Annual", Tabla2[[#This Row],[Cosecha/Tarea]]/12,Tabla2[[#This Row],[Cosecha/Tarea]])</f>
        <v>19928.666666666668</v>
      </c>
      <c r="F84" s="2">
        <v>1720290</v>
      </c>
      <c r="G84" t="s">
        <v>32</v>
      </c>
      <c r="H84">
        <f>F84/Tabla2[[#This Row],[Cosecha Mensual]]</f>
        <v>86.322383166627631</v>
      </c>
      <c r="I84">
        <f>H84*_xlfn.XLOOKUP(Tabla2[[#This Row],[Unidad de producción]],Tabla3[Medida],Tabla3[Equivalencia en Kg],"ELVIS",0)</f>
        <v>2348.8320459639381</v>
      </c>
      <c r="J84">
        <v>13.9166666666667</v>
      </c>
      <c r="K84" t="s">
        <v>32</v>
      </c>
      <c r="L84">
        <f>J84/_xlfn.XLOOKUP(Tabla2[[#This Row],[Unidad de precio]],Tabla3[Medida],Tabla3[Equivalencia en Kg],"ELVIS",0)</f>
        <v>0.51145412225897458</v>
      </c>
      <c r="M84" s="2"/>
      <c r="N84" s="2">
        <f>(Tabla2[[#This Row],[Productividad (kg/TAS)]]*Tabla2[[#This Row],[Precio por kg]]-Tabla2[[#This Row],[Costos (En RD$/Tarea)]])</f>
        <v>1201.3198324022374</v>
      </c>
      <c r="O84" s="6">
        <f>IF(Tabla2[[#This Row],[Costos (En RD$/Tarea)]]=0,0,Tabla2[[#This Row],[Beneficio Neto  (En RD$/Tarea)]]/Tabla2[[#This Row],[Costos (En RD$/Tarea)]])</f>
        <v>0</v>
      </c>
      <c r="P84" s="4">
        <f>Tabla2[[#This Row],[Rentabilidad (%)]]/12</f>
        <v>0</v>
      </c>
    </row>
    <row r="85" spans="1:16" x14ac:dyDescent="0.35">
      <c r="A85" s="1">
        <v>36708</v>
      </c>
      <c r="B85" t="s">
        <v>33</v>
      </c>
      <c r="C85" s="2">
        <v>592826</v>
      </c>
      <c r="D85" s="2" t="s">
        <v>31</v>
      </c>
      <c r="E85" s="2">
        <f>IF(Tabla2[[#This Row],[Frecuencia]]="Annual", Tabla2[[#This Row],[Cosecha/Tarea]]/12,Tabla2[[#This Row],[Cosecha/Tarea]])</f>
        <v>49402.166666666664</v>
      </c>
      <c r="F85" s="2">
        <v>140447</v>
      </c>
      <c r="G85" t="s">
        <v>34</v>
      </c>
      <c r="H85">
        <f>F85/Tabla2[[#This Row],[Cosecha Mensual]]</f>
        <v>2.8429319901623749</v>
      </c>
      <c r="I85">
        <f>H85*_xlfn.XLOOKUP(Tabla2[[#This Row],[Unidad de producción]],Tabla3[Medida],Tabla3[Equivalencia en Kg],"ELVIS",0)</f>
        <v>1160.3426917847733</v>
      </c>
      <c r="J85">
        <v>490.83333333333297</v>
      </c>
      <c r="K85" t="s">
        <v>34</v>
      </c>
      <c r="L85">
        <f>J85/_xlfn.XLOOKUP(Tabla2[[#This Row],[Unidad de precio]],Tabla3[Medida],Tabla3[Equivalencia en Kg],"ELVIS",0)</f>
        <v>1.2025807505410584</v>
      </c>
      <c r="M85" s="2"/>
      <c r="N85" s="2">
        <f>(Tabla2[[#This Row],[Productividad (kg/TAS)]]*Tabla2[[#This Row],[Precio por kg]]-Tabla2[[#This Row],[Costos (En RD$/Tarea)]])</f>
        <v>1395.4057851713646</v>
      </c>
      <c r="O85" s="6">
        <f>IF(Tabla2[[#This Row],[Costos (En RD$/Tarea)]]=0,0,Tabla2[[#This Row],[Beneficio Neto  (En RD$/Tarea)]]/Tabla2[[#This Row],[Costos (En RD$/Tarea)]])</f>
        <v>0</v>
      </c>
      <c r="P85" s="4">
        <f>Tabla2[[#This Row],[Rentabilidad (%)]]/12</f>
        <v>0</v>
      </c>
    </row>
    <row r="86" spans="1:16" x14ac:dyDescent="0.35">
      <c r="A86" s="1">
        <v>36739</v>
      </c>
      <c r="B86" t="s">
        <v>16</v>
      </c>
      <c r="C86" s="5">
        <v>126214</v>
      </c>
      <c r="D86" s="5" t="s">
        <v>17</v>
      </c>
      <c r="E86" s="5">
        <f>IF(Tabla2[[#This Row],[Frecuencia]]="Annual", Tabla2[[#This Row],[Cosecha/Tarea]]/12,Tabla2[[#This Row],[Cosecha/Tarea]])</f>
        <v>126214</v>
      </c>
      <c r="F86" s="2">
        <v>612099</v>
      </c>
      <c r="G86" t="s">
        <v>18</v>
      </c>
      <c r="H86">
        <f>F86/Tabla2[[#This Row],[Cosecha Mensual]]</f>
        <v>4.8496917933034371</v>
      </c>
      <c r="I86">
        <f>H86*_xlfn.XLOOKUP(Tabla2[[#This Row],[Unidad de producción]],Tabla3[Medida],Tabla3[Equivalencia en Kg],"ELVIS",0)</f>
        <v>219.9820197442439</v>
      </c>
      <c r="J86">
        <v>980.80308030803099</v>
      </c>
      <c r="K86" t="s">
        <v>19</v>
      </c>
      <c r="L86">
        <f>J86/_xlfn.XLOOKUP(Tabla2[[#This Row],[Unidad de precio]],Tabla3[Medida],Tabla3[Equivalencia en Kg],"ELVIS",0)</f>
        <v>8.9163916391639173</v>
      </c>
      <c r="N86" s="2">
        <f>(Tabla2[[#This Row],[Productividad (kg/TAS)]]*Tabla2[[#This Row],[Precio por kg]]-Tabla2[[#This Row],[Costos (En RD$/Tarea)]])</f>
        <v>1961.445841613968</v>
      </c>
      <c r="O86" s="6">
        <f>IF(Tabla2[[#This Row],[Costos (En RD$/Tarea)]]=0,0,Tabla2[[#This Row],[Beneficio Neto  (En RD$/Tarea)]]/Tabla2[[#This Row],[Costos (En RD$/Tarea)]])</f>
        <v>0</v>
      </c>
      <c r="P86" s="4">
        <f>Tabla2[[#This Row],[Rentabilidad (%)]]/12</f>
        <v>0</v>
      </c>
    </row>
    <row r="87" spans="1:16" x14ac:dyDescent="0.35">
      <c r="A87" s="1">
        <v>36739</v>
      </c>
      <c r="B87" t="s">
        <v>20</v>
      </c>
      <c r="C87" s="2">
        <v>34200</v>
      </c>
      <c r="D87" s="5" t="s">
        <v>17</v>
      </c>
      <c r="E87" s="2">
        <f>IF(Tabla2[[#This Row],[Frecuencia]]="Annual", Tabla2[[#This Row],[Cosecha/Tarea]]/12,Tabla2[[#This Row],[Cosecha/Tarea]])</f>
        <v>34200</v>
      </c>
      <c r="F87" s="2">
        <v>57065</v>
      </c>
      <c r="G87" t="s">
        <v>18</v>
      </c>
      <c r="H87">
        <f>F87/Tabla2[[#This Row],[Cosecha Mensual]]</f>
        <v>1.6685672514619883</v>
      </c>
      <c r="I87">
        <f>H87*_xlfn.XLOOKUP(Tabla2[[#This Row],[Unidad de producción]],Tabla3[Medida],Tabla3[Equivalencia en Kg],"ELVIS",0)</f>
        <v>75.68621052631579</v>
      </c>
      <c r="J87">
        <v>114.8976</v>
      </c>
      <c r="K87" t="s">
        <v>18</v>
      </c>
      <c r="L87">
        <f>J87/_xlfn.XLOOKUP(Tabla2[[#This Row],[Unidad de precio]],Tabla3[Medida],Tabla3[Equivalencia en Kg],"ELVIS",0)</f>
        <v>2.5330158730158732</v>
      </c>
      <c r="N87" s="2">
        <f>(Tabla2[[#This Row],[Productividad (kg/TAS)]]*Tabla2[[#This Row],[Precio por kg]]-Tabla2[[#This Row],[Costos (En RD$/Tarea)]])</f>
        <v>191.71437263157895</v>
      </c>
      <c r="O87" s="6">
        <f>IF(Tabla2[[#This Row],[Costos (En RD$/Tarea)]]=0,0,Tabla2[[#This Row],[Beneficio Neto  (En RD$/Tarea)]]/Tabla2[[#This Row],[Costos (En RD$/Tarea)]])</f>
        <v>0</v>
      </c>
      <c r="P87" s="4">
        <f>Tabla2[[#This Row],[Rentabilidad (%)]]/12</f>
        <v>0</v>
      </c>
    </row>
    <row r="88" spans="1:16" x14ac:dyDescent="0.35">
      <c r="A88" s="1">
        <v>36739</v>
      </c>
      <c r="B88" t="s">
        <v>21</v>
      </c>
      <c r="C88" s="2">
        <v>3293</v>
      </c>
      <c r="D88" s="5" t="s">
        <v>17</v>
      </c>
      <c r="E88" s="2">
        <f>IF(Tabla2[[#This Row],[Frecuencia]]="Annual", Tabla2[[#This Row],[Cosecha/Tarea]]/12,Tabla2[[#This Row],[Cosecha/Tarea]])</f>
        <v>3293</v>
      </c>
      <c r="F88" s="2">
        <v>32040</v>
      </c>
      <c r="G88" t="s">
        <v>18</v>
      </c>
      <c r="H88">
        <f>F88/Tabla2[[#This Row],[Cosecha Mensual]]</f>
        <v>9.7297297297297298</v>
      </c>
      <c r="I88">
        <f>H88*_xlfn.XLOOKUP(Tabla2[[#This Row],[Unidad de producción]],Tabla3[Medida],Tabla3[Equivalencia en Kg],"ELVIS",0)</f>
        <v>441.34054054054053</v>
      </c>
      <c r="J88">
        <v>165.023333333333</v>
      </c>
      <c r="K88" t="s">
        <v>18</v>
      </c>
      <c r="L88">
        <f>J88/_xlfn.XLOOKUP(Tabla2[[#This Row],[Unidad de precio]],Tabla3[Medida],Tabla3[Equivalencia en Kg],"ELVIS",0)</f>
        <v>3.6380805408583115</v>
      </c>
      <c r="N88" s="2">
        <f>(Tabla2[[#This Row],[Productividad (kg/TAS)]]*Tabla2[[#This Row],[Precio por kg]]-Tabla2[[#This Row],[Costos (En RD$/Tarea)]])</f>
        <v>1605.6324324324291</v>
      </c>
      <c r="O88" s="6">
        <f>IF(Tabla2[[#This Row],[Costos (En RD$/Tarea)]]=0,0,Tabla2[[#This Row],[Beneficio Neto  (En RD$/Tarea)]]/Tabla2[[#This Row],[Costos (En RD$/Tarea)]])</f>
        <v>0</v>
      </c>
      <c r="P88" s="4">
        <f>Tabla2[[#This Row],[Rentabilidad (%)]]/12</f>
        <v>0</v>
      </c>
    </row>
    <row r="89" spans="1:16" x14ac:dyDescent="0.35">
      <c r="A89" s="1">
        <v>36739</v>
      </c>
      <c r="B89" t="s">
        <v>22</v>
      </c>
      <c r="C89" s="2">
        <v>4119</v>
      </c>
      <c r="D89" s="5" t="s">
        <v>17</v>
      </c>
      <c r="E89" s="2">
        <f>IF(Tabla2[[#This Row],[Frecuencia]]="Annual", Tabla2[[#This Row],[Cosecha/Tarea]]/12,Tabla2[[#This Row],[Cosecha/Tarea]])</f>
        <v>4119</v>
      </c>
      <c r="F89" s="2">
        <v>40208</v>
      </c>
      <c r="G89" t="s">
        <v>18</v>
      </c>
      <c r="H89">
        <f>F89/Tabla2[[#This Row],[Cosecha Mensual]]</f>
        <v>9.7615926195678568</v>
      </c>
      <c r="I89">
        <f>H89*_xlfn.XLOOKUP(Tabla2[[#This Row],[Unidad de producción]],Tabla3[Medida],Tabla3[Equivalencia en Kg],"ELVIS",0)</f>
        <v>442.78584122359797</v>
      </c>
      <c r="J89">
        <v>338.14400000000001</v>
      </c>
      <c r="K89" t="s">
        <v>18</v>
      </c>
      <c r="L89">
        <f>J89/_xlfn.XLOOKUP(Tabla2[[#This Row],[Unidad de precio]],Tabla3[Medida],Tabla3[Equivalencia en Kg],"ELVIS",0)</f>
        <v>7.454673721340388</v>
      </c>
      <c r="N89" s="2">
        <f>(Tabla2[[#This Row],[Productividad (kg/TAS)]]*Tabla2[[#This Row],[Precio por kg]]-Tabla2[[#This Row],[Costos (En RD$/Tarea)]])</f>
        <v>3300.8239747511534</v>
      </c>
      <c r="O89" s="6">
        <f>IF(Tabla2[[#This Row],[Costos (En RD$/Tarea)]]=0,0,Tabla2[[#This Row],[Beneficio Neto  (En RD$/Tarea)]]/Tabla2[[#This Row],[Costos (En RD$/Tarea)]])</f>
        <v>0</v>
      </c>
      <c r="P89" s="4">
        <f>Tabla2[[#This Row],[Rentabilidad (%)]]/12</f>
        <v>0</v>
      </c>
    </row>
    <row r="90" spans="1:16" x14ac:dyDescent="0.35">
      <c r="A90" s="1">
        <v>36739</v>
      </c>
      <c r="B90" t="s">
        <v>23</v>
      </c>
      <c r="C90" s="2">
        <v>1269</v>
      </c>
      <c r="D90" s="5" t="s">
        <v>17</v>
      </c>
      <c r="E90" s="2">
        <f>IF(Tabla2[[#This Row],[Frecuencia]]="Annual", Tabla2[[#This Row],[Cosecha/Tarea]]/12,Tabla2[[#This Row],[Cosecha/Tarea]])</f>
        <v>1269</v>
      </c>
      <c r="F90" s="2">
        <v>23192</v>
      </c>
      <c r="G90" t="s">
        <v>18</v>
      </c>
      <c r="H90">
        <f>F90/Tabla2[[#This Row],[Cosecha Mensual]]</f>
        <v>18.275807722616232</v>
      </c>
      <c r="I90">
        <f>H90*_xlfn.XLOOKUP(Tabla2[[#This Row],[Unidad de producción]],Tabla3[Medida],Tabla3[Equivalencia en Kg],"ELVIS",0)</f>
        <v>828.99063829787224</v>
      </c>
      <c r="J90">
        <v>280.60649999999998</v>
      </c>
      <c r="K90" t="s">
        <v>18</v>
      </c>
      <c r="L90">
        <f>J90/_xlfn.XLOOKUP(Tabla2[[#This Row],[Unidad de precio]],Tabla3[Medida],Tabla3[Equivalencia en Kg],"ELVIS",0)</f>
        <v>6.1862103174603176</v>
      </c>
      <c r="N90" s="2">
        <f>(Tabla2[[#This Row],[Productividad (kg/TAS)]]*Tabla2[[#This Row],[Precio por kg]]-Tabla2[[#This Row],[Costos (En RD$/Tarea)]])</f>
        <v>5128.3104397163115</v>
      </c>
      <c r="O90" s="6">
        <f>IF(Tabla2[[#This Row],[Costos (En RD$/Tarea)]]=0,0,Tabla2[[#This Row],[Beneficio Neto  (En RD$/Tarea)]]/Tabla2[[#This Row],[Costos (En RD$/Tarea)]])</f>
        <v>0</v>
      </c>
      <c r="P90" s="4">
        <f>Tabla2[[#This Row],[Rentabilidad (%)]]/12</f>
        <v>0</v>
      </c>
    </row>
    <row r="91" spans="1:16" x14ac:dyDescent="0.35">
      <c r="A91" s="1">
        <v>36739</v>
      </c>
      <c r="B91" t="s">
        <v>24</v>
      </c>
      <c r="C91" s="2">
        <v>6194</v>
      </c>
      <c r="D91" s="5" t="s">
        <v>17</v>
      </c>
      <c r="E91" s="2">
        <f>IF(Tabla2[[#This Row],[Frecuencia]]="Annual", Tabla2[[#This Row],[Cosecha/Tarea]]/12,Tabla2[[#This Row],[Cosecha/Tarea]])</f>
        <v>6194</v>
      </c>
      <c r="F91" s="2">
        <v>60013</v>
      </c>
      <c r="G91" t="s">
        <v>18</v>
      </c>
      <c r="H91">
        <f>F91/Tabla2[[#This Row],[Cosecha Mensual]]</f>
        <v>9.6888924765902491</v>
      </c>
      <c r="I91">
        <f>H91*_xlfn.XLOOKUP(Tabla2[[#This Row],[Unidad de producción]],Tabla3[Medida],Tabla3[Equivalencia en Kg],"ELVIS",0)</f>
        <v>439.48816273813367</v>
      </c>
      <c r="J91">
        <v>438.03500000000003</v>
      </c>
      <c r="K91" t="s">
        <v>18</v>
      </c>
      <c r="L91">
        <f>J91/_xlfn.XLOOKUP(Tabla2[[#This Row],[Unidad de precio]],Tabla3[Medida],Tabla3[Equivalencia en Kg],"ELVIS",0)</f>
        <v>9.6568562610229289</v>
      </c>
      <c r="N91" s="2">
        <f>(Tabla2[[#This Row],[Productividad (kg/TAS)]]*Tabla2[[#This Row],[Precio por kg]]-Tabla2[[#This Row],[Costos (En RD$/Tarea)]])</f>
        <v>4244.0740159832103</v>
      </c>
      <c r="O91" s="6">
        <f>IF(Tabla2[[#This Row],[Costos (En RD$/Tarea)]]=0,0,Tabla2[[#This Row],[Beneficio Neto  (En RD$/Tarea)]]/Tabla2[[#This Row],[Costos (En RD$/Tarea)]])</f>
        <v>0</v>
      </c>
      <c r="P91" s="4">
        <f>Tabla2[[#This Row],[Rentabilidad (%)]]/12</f>
        <v>0</v>
      </c>
    </row>
    <row r="92" spans="1:16" x14ac:dyDescent="0.35">
      <c r="A92" s="1">
        <v>36739</v>
      </c>
      <c r="B92" t="s">
        <v>25</v>
      </c>
      <c r="C92" s="2">
        <v>19070</v>
      </c>
      <c r="D92" s="5" t="s">
        <v>17</v>
      </c>
      <c r="E92" s="2">
        <f>IF(Tabla2[[#This Row],[Frecuencia]]="Annual", Tabla2[[#This Row],[Cosecha/Tarea]]/12,Tabla2[[#This Row],[Cosecha/Tarea]])</f>
        <v>19070</v>
      </c>
      <c r="F92" s="2">
        <v>171834</v>
      </c>
      <c r="G92" t="s">
        <v>18</v>
      </c>
      <c r="H92">
        <f>F92/Tabla2[[#This Row],[Cosecha Mensual]]</f>
        <v>9.0106974305191407</v>
      </c>
      <c r="I92">
        <f>H92*_xlfn.XLOOKUP(Tabla2[[#This Row],[Unidad de producción]],Tabla3[Medida],Tabla3[Equivalencia en Kg],"ELVIS",0)</f>
        <v>408.7252354483482</v>
      </c>
      <c r="J92">
        <v>131.28149999999999</v>
      </c>
      <c r="K92" t="s">
        <v>18</v>
      </c>
      <c r="L92">
        <f>J92/_xlfn.XLOOKUP(Tabla2[[#This Row],[Unidad de precio]],Tabla3[Medida],Tabla3[Equivalencia en Kg],"ELVIS",0)</f>
        <v>2.8942129629629627</v>
      </c>
      <c r="N92" s="2">
        <f>(Tabla2[[#This Row],[Productividad (kg/TAS)]]*Tabla2[[#This Row],[Precio por kg]]-Tabla2[[#This Row],[Costos (En RD$/Tarea)]])</f>
        <v>1182.9378747246983</v>
      </c>
      <c r="O92" s="6">
        <f>IF(Tabla2[[#This Row],[Costos (En RD$/Tarea)]]=0,0,Tabla2[[#This Row],[Beneficio Neto  (En RD$/Tarea)]]/Tabla2[[#This Row],[Costos (En RD$/Tarea)]])</f>
        <v>0</v>
      </c>
      <c r="P92" s="4">
        <f>Tabla2[[#This Row],[Rentabilidad (%)]]/12</f>
        <v>0</v>
      </c>
    </row>
    <row r="93" spans="1:16" x14ac:dyDescent="0.35">
      <c r="A93" s="1">
        <v>36739</v>
      </c>
      <c r="B93" t="s">
        <v>26</v>
      </c>
      <c r="C93" s="2">
        <v>7191</v>
      </c>
      <c r="D93" s="5" t="s">
        <v>17</v>
      </c>
      <c r="E93" s="2">
        <f>IF(Tabla2[[#This Row],[Frecuencia]]="Annual", Tabla2[[#This Row],[Cosecha/Tarea]]/12,Tabla2[[#This Row],[Cosecha/Tarea]])</f>
        <v>7191</v>
      </c>
      <c r="F93" s="2">
        <v>33959</v>
      </c>
      <c r="G93" t="s">
        <v>18</v>
      </c>
      <c r="H93">
        <f>F93/Tabla2[[#This Row],[Cosecha Mensual]]</f>
        <v>4.7224308162981501</v>
      </c>
      <c r="I93">
        <f>H93*_xlfn.XLOOKUP(Tabla2[[#This Row],[Unidad de producción]],Tabla3[Medida],Tabla3[Equivalencia en Kg],"ELVIS",0)</f>
        <v>214.20946182728409</v>
      </c>
      <c r="J93">
        <v>226.25</v>
      </c>
      <c r="K93" t="s">
        <v>18</v>
      </c>
      <c r="L93">
        <f>J93/_xlfn.XLOOKUP(Tabla2[[#This Row],[Unidad de precio]],Tabla3[Medida],Tabla3[Equivalencia en Kg],"ELVIS",0)</f>
        <v>4.9878747795414462</v>
      </c>
      <c r="N93" s="2">
        <f>(Tabla2[[#This Row],[Productividad (kg/TAS)]]*Tabla2[[#This Row],[Precio por kg]]-Tabla2[[#This Row],[Costos (En RD$/Tarea)]])</f>
        <v>1068.4499721874565</v>
      </c>
      <c r="O93" s="6">
        <f>IF(Tabla2[[#This Row],[Costos (En RD$/Tarea)]]=0,0,Tabla2[[#This Row],[Beneficio Neto  (En RD$/Tarea)]]/Tabla2[[#This Row],[Costos (En RD$/Tarea)]])</f>
        <v>0</v>
      </c>
      <c r="P93" s="4">
        <f>Tabla2[[#This Row],[Rentabilidad (%)]]/12</f>
        <v>0</v>
      </c>
    </row>
    <row r="94" spans="1:16" x14ac:dyDescent="0.35">
      <c r="A94" s="1">
        <v>36739</v>
      </c>
      <c r="B94" t="s">
        <v>27</v>
      </c>
      <c r="C94" s="2">
        <v>1614</v>
      </c>
      <c r="D94" s="5" t="s">
        <v>17</v>
      </c>
      <c r="E94" s="2">
        <f>IF(Tabla2[[#This Row],[Frecuencia]]="Annual", Tabla2[[#This Row],[Cosecha/Tarea]]/12,Tabla2[[#This Row],[Cosecha/Tarea]])</f>
        <v>1614</v>
      </c>
      <c r="F94" s="2">
        <v>11938</v>
      </c>
      <c r="G94" t="s">
        <v>18</v>
      </c>
      <c r="H94">
        <f>F94/Tabla2[[#This Row],[Cosecha Mensual]]</f>
        <v>7.396530359355638</v>
      </c>
      <c r="I94">
        <f>H94*_xlfn.XLOOKUP(Tabla2[[#This Row],[Unidad de producción]],Tabla3[Medida],Tabla3[Equivalencia en Kg],"ELVIS",0)</f>
        <v>335.50661710037173</v>
      </c>
      <c r="J94">
        <v>155.166666666667</v>
      </c>
      <c r="K94" t="s">
        <v>18</v>
      </c>
      <c r="L94">
        <f>J94/_xlfn.XLOOKUP(Tabla2[[#This Row],[Unidad de precio]],Tabla3[Medida],Tabla3[Equivalencia en Kg],"ELVIS",0)</f>
        <v>3.4207818930041225</v>
      </c>
      <c r="N94" s="2">
        <f>(Tabla2[[#This Row],[Productividad (kg/TAS)]]*Tabla2[[#This Row],[Precio por kg]]-Tabla2[[#This Row],[Costos (En RD$/Tarea)]])</f>
        <v>1147.6949607600188</v>
      </c>
      <c r="O94" s="6">
        <f>IF(Tabla2[[#This Row],[Costos (En RD$/Tarea)]]=0,0,Tabla2[[#This Row],[Beneficio Neto  (En RD$/Tarea)]]/Tabla2[[#This Row],[Costos (En RD$/Tarea)]])</f>
        <v>0</v>
      </c>
      <c r="P94" s="4">
        <f>Tabla2[[#This Row],[Rentabilidad (%)]]/12</f>
        <v>0</v>
      </c>
    </row>
    <row r="95" spans="1:16" x14ac:dyDescent="0.35">
      <c r="A95" s="1">
        <v>36739</v>
      </c>
      <c r="B95" t="s">
        <v>28</v>
      </c>
      <c r="C95" s="2">
        <v>12066</v>
      </c>
      <c r="D95" s="5" t="s">
        <v>17</v>
      </c>
      <c r="E95" s="2">
        <f>IF(Tabla2[[#This Row],[Frecuencia]]="Annual", Tabla2[[#This Row],[Cosecha/Tarea]]/12,Tabla2[[#This Row],[Cosecha/Tarea]])</f>
        <v>12066</v>
      </c>
      <c r="F95" s="2">
        <v>22422</v>
      </c>
      <c r="G95" t="s">
        <v>18</v>
      </c>
      <c r="H95">
        <f>F95/Tabla2[[#This Row],[Cosecha Mensual]]</f>
        <v>1.8582794629537545</v>
      </c>
      <c r="I95">
        <f>H95*_xlfn.XLOOKUP(Tabla2[[#This Row],[Unidad de producción]],Tabla3[Medida],Tabla3[Equivalencia en Kg],"ELVIS",0)</f>
        <v>84.291556439582294</v>
      </c>
      <c r="J95">
        <v>954.13</v>
      </c>
      <c r="K95" t="s">
        <v>29</v>
      </c>
      <c r="L95">
        <f>J95/_xlfn.XLOOKUP(Tabla2[[#This Row],[Unidad de precio]],Tabla3[Medida],Tabla3[Equivalencia en Kg],"ELVIS",0)</f>
        <v>1.6967137319059642</v>
      </c>
      <c r="N95" s="2">
        <f>(Tabla2[[#This Row],[Productividad (kg/TAS)]]*Tabla2[[#This Row],[Precio por kg]]-Tabla2[[#This Row],[Costos (En RD$/Tarea)]])</f>
        <v>143.01864129476587</v>
      </c>
      <c r="O95" s="6">
        <f>IF(Tabla2[[#This Row],[Costos (En RD$/Tarea)]]=0,0,Tabla2[[#This Row],[Beneficio Neto  (En RD$/Tarea)]]/Tabla2[[#This Row],[Costos (En RD$/Tarea)]])</f>
        <v>0</v>
      </c>
      <c r="P95" s="4">
        <f>Tabla2[[#This Row],[Rentabilidad (%)]]/12</f>
        <v>0</v>
      </c>
    </row>
    <row r="96" spans="1:16" x14ac:dyDescent="0.35">
      <c r="A96" s="1">
        <v>36739</v>
      </c>
      <c r="B96" t="s">
        <v>30</v>
      </c>
      <c r="C96" s="2">
        <v>235687</v>
      </c>
      <c r="D96" s="2" t="s">
        <v>31</v>
      </c>
      <c r="E96" s="2">
        <f>IF(Tabla2[[#This Row],[Frecuencia]]="Annual", Tabla2[[#This Row],[Cosecha/Tarea]]/12,Tabla2[[#This Row],[Cosecha/Tarea]])</f>
        <v>19640.583333333332</v>
      </c>
      <c r="F96" s="2">
        <v>1704829</v>
      </c>
      <c r="G96" t="s">
        <v>32</v>
      </c>
      <c r="H96">
        <f>F96/Tabla2[[#This Row],[Cosecha Mensual]]</f>
        <v>86.801342458430042</v>
      </c>
      <c r="I96">
        <f>H96*_xlfn.XLOOKUP(Tabla2[[#This Row],[Unidad de producción]],Tabla3[Medida],Tabla3[Equivalencia en Kg],"ELVIS",0)</f>
        <v>2361.8645282938814</v>
      </c>
      <c r="J96">
        <v>15.0833333333333</v>
      </c>
      <c r="K96" t="s">
        <v>32</v>
      </c>
      <c r="L96">
        <f>J96/_xlfn.XLOOKUP(Tabla2[[#This Row],[Unidad de precio]],Tabla3[Medida],Tabla3[Equivalencia en Kg],"ELVIS",0)</f>
        <v>0.5543305157417604</v>
      </c>
      <c r="M96" s="2"/>
      <c r="N96" s="2">
        <f>(Tabla2[[#This Row],[Productividad (kg/TAS)]]*Tabla2[[#This Row],[Precio por kg]]-Tabla2[[#This Row],[Costos (En RD$/Tarea)]])</f>
        <v>1309.2535820813171</v>
      </c>
      <c r="O96" s="6">
        <f>IF(Tabla2[[#This Row],[Costos (En RD$/Tarea)]]=0,0,Tabla2[[#This Row],[Beneficio Neto  (En RD$/Tarea)]]/Tabla2[[#This Row],[Costos (En RD$/Tarea)]])</f>
        <v>0</v>
      </c>
      <c r="P96" s="4">
        <f>Tabla2[[#This Row],[Rentabilidad (%)]]/12</f>
        <v>0</v>
      </c>
    </row>
    <row r="97" spans="1:16" x14ac:dyDescent="0.35">
      <c r="A97" s="1">
        <v>36739</v>
      </c>
      <c r="B97" t="s">
        <v>33</v>
      </c>
      <c r="C97" s="2">
        <v>565020</v>
      </c>
      <c r="D97" s="2" t="s">
        <v>31</v>
      </c>
      <c r="E97" s="2">
        <f>IF(Tabla2[[#This Row],[Frecuencia]]="Annual", Tabla2[[#This Row],[Cosecha/Tarea]]/12,Tabla2[[#This Row],[Cosecha/Tarea]])</f>
        <v>47085</v>
      </c>
      <c r="F97" s="2">
        <v>116357</v>
      </c>
      <c r="G97" t="s">
        <v>34</v>
      </c>
      <c r="H97">
        <f>F97/Tabla2[[#This Row],[Cosecha Mensual]]</f>
        <v>2.4712116385260701</v>
      </c>
      <c r="I97">
        <f>H97*_xlfn.XLOOKUP(Tabla2[[#This Row],[Unidad de producción]],Tabla3[Medida],Tabla3[Equivalencia en Kg],"ELVIS",0)</f>
        <v>1008.6250302644154</v>
      </c>
      <c r="J97">
        <v>575.08333333333303</v>
      </c>
      <c r="K97" t="s">
        <v>34</v>
      </c>
      <c r="L97">
        <f>J97/_xlfn.XLOOKUP(Tabla2[[#This Row],[Unidad de precio]],Tabla3[Medida],Tabla3[Equivalencia en Kg],"ELVIS",0)</f>
        <v>1.4089999591653388</v>
      </c>
      <c r="M97" s="2"/>
      <c r="N97" s="2">
        <f>(Tabla2[[#This Row],[Productividad (kg/TAS)]]*Tabla2[[#This Row],[Precio por kg]]-Tabla2[[#This Row],[Costos (En RD$/Tarea)]])</f>
        <v>1421.1526264556999</v>
      </c>
      <c r="O97" s="6">
        <f>IF(Tabla2[[#This Row],[Costos (En RD$/Tarea)]]=0,0,Tabla2[[#This Row],[Beneficio Neto  (En RD$/Tarea)]]/Tabla2[[#This Row],[Costos (En RD$/Tarea)]])</f>
        <v>0</v>
      </c>
      <c r="P97" s="4">
        <f>Tabla2[[#This Row],[Rentabilidad (%)]]/12</f>
        <v>0</v>
      </c>
    </row>
    <row r="98" spans="1:16" x14ac:dyDescent="0.35">
      <c r="A98" s="1">
        <v>36770</v>
      </c>
      <c r="B98" t="s">
        <v>16</v>
      </c>
      <c r="C98" s="5">
        <v>191615</v>
      </c>
      <c r="D98" s="5" t="s">
        <v>17</v>
      </c>
      <c r="E98" s="5">
        <f>IF(Tabla2[[#This Row],[Frecuencia]]="Annual", Tabla2[[#This Row],[Cosecha/Tarea]]/12,Tabla2[[#This Row],[Cosecha/Tarea]])</f>
        <v>191615</v>
      </c>
      <c r="F98" s="2">
        <v>750970</v>
      </c>
      <c r="G98" t="s">
        <v>18</v>
      </c>
      <c r="H98">
        <f>F98/Tabla2[[#This Row],[Cosecha Mensual]]</f>
        <v>3.919160817263784</v>
      </c>
      <c r="I98">
        <f>H98*_xlfn.XLOOKUP(Tabla2[[#This Row],[Unidad de producción]],Tabla3[Medida],Tabla3[Equivalencia en Kg],"ELVIS",0)</f>
        <v>177.77313467108524</v>
      </c>
      <c r="J98">
        <v>1007.2321232123199</v>
      </c>
      <c r="K98" t="s">
        <v>19</v>
      </c>
      <c r="L98">
        <f>J98/_xlfn.XLOOKUP(Tabla2[[#This Row],[Unidad de precio]],Tabla3[Medida],Tabla3[Equivalencia en Kg],"ELVIS",0)</f>
        <v>9.1566556655665448</v>
      </c>
      <c r="N98" s="2">
        <f>(Tabla2[[#This Row],[Productividad (kg/TAS)]]*Tabla2[[#This Row],[Precio por kg]]-Tabla2[[#This Row],[Costos (En RD$/Tarea)]])</f>
        <v>1627.807380771517</v>
      </c>
      <c r="O98" s="6">
        <f>IF(Tabla2[[#This Row],[Costos (En RD$/Tarea)]]=0,0,Tabla2[[#This Row],[Beneficio Neto  (En RD$/Tarea)]]/Tabla2[[#This Row],[Costos (En RD$/Tarea)]])</f>
        <v>0</v>
      </c>
      <c r="P98" s="4">
        <f>Tabla2[[#This Row],[Rentabilidad (%)]]/12</f>
        <v>0</v>
      </c>
    </row>
    <row r="99" spans="1:16" x14ac:dyDescent="0.35">
      <c r="A99" s="1">
        <v>36770</v>
      </c>
      <c r="B99" t="s">
        <v>20</v>
      </c>
      <c r="C99" s="2">
        <v>24151</v>
      </c>
      <c r="D99" s="5" t="s">
        <v>17</v>
      </c>
      <c r="E99" s="2">
        <f>IF(Tabla2[[#This Row],[Frecuencia]]="Annual", Tabla2[[#This Row],[Cosecha/Tarea]]/12,Tabla2[[#This Row],[Cosecha/Tarea]])</f>
        <v>24151</v>
      </c>
      <c r="F99" s="2">
        <v>39667</v>
      </c>
      <c r="G99" t="s">
        <v>18</v>
      </c>
      <c r="H99">
        <f>F99/Tabla2[[#This Row],[Cosecha Mensual]]</f>
        <v>1.642457869239369</v>
      </c>
      <c r="I99">
        <f>H99*_xlfn.XLOOKUP(Tabla2[[#This Row],[Unidad de producción]],Tabla3[Medida],Tabla3[Equivalencia en Kg],"ELVIS",0)</f>
        <v>74.501888948697783</v>
      </c>
      <c r="J99">
        <v>130.06774999999999</v>
      </c>
      <c r="K99" t="s">
        <v>18</v>
      </c>
      <c r="L99">
        <f>J99/_xlfn.XLOOKUP(Tabla2[[#This Row],[Unidad de precio]],Tabla3[Medida],Tabla3[Equivalencia en Kg],"ELVIS",0)</f>
        <v>2.8674548059964726</v>
      </c>
      <c r="N99" s="2">
        <f>(Tabla2[[#This Row],[Productividad (kg/TAS)]]*Tabla2[[#This Row],[Precio por kg]]-Tabla2[[#This Row],[Costos (En RD$/Tarea)]])</f>
        <v>213.63079952175895</v>
      </c>
      <c r="O99" s="6">
        <f>IF(Tabla2[[#This Row],[Costos (En RD$/Tarea)]]=0,0,Tabla2[[#This Row],[Beneficio Neto  (En RD$/Tarea)]]/Tabla2[[#This Row],[Costos (En RD$/Tarea)]])</f>
        <v>0</v>
      </c>
      <c r="P99" s="4">
        <f>Tabla2[[#This Row],[Rentabilidad (%)]]/12</f>
        <v>0</v>
      </c>
    </row>
    <row r="100" spans="1:16" x14ac:dyDescent="0.35">
      <c r="A100" s="1">
        <v>36770</v>
      </c>
      <c r="B100" t="s">
        <v>21</v>
      </c>
      <c r="C100" s="2">
        <v>5172</v>
      </c>
      <c r="D100" s="5" t="s">
        <v>17</v>
      </c>
      <c r="E100" s="2">
        <f>IF(Tabla2[[#This Row],[Frecuencia]]="Annual", Tabla2[[#This Row],[Cosecha/Tarea]]/12,Tabla2[[#This Row],[Cosecha/Tarea]])</f>
        <v>5172</v>
      </c>
      <c r="F100" s="2">
        <v>48392</v>
      </c>
      <c r="G100" t="s">
        <v>18</v>
      </c>
      <c r="H100">
        <f>F100/Tabla2[[#This Row],[Cosecha Mensual]]</f>
        <v>9.3565351894818249</v>
      </c>
      <c r="I100">
        <f>H100*_xlfn.XLOOKUP(Tabla2[[#This Row],[Unidad de producción]],Tabla3[Medida],Tabla3[Equivalencia en Kg],"ELVIS",0)</f>
        <v>424.41243619489558</v>
      </c>
      <c r="J100">
        <v>164.791666666667</v>
      </c>
      <c r="K100" t="s">
        <v>18</v>
      </c>
      <c r="L100">
        <f>J100/_xlfn.XLOOKUP(Tabla2[[#This Row],[Unidad de precio]],Tabla3[Medida],Tabla3[Equivalencia en Kg],"ELVIS",0)</f>
        <v>3.632973251028814</v>
      </c>
      <c r="N100" s="2">
        <f>(Tabla2[[#This Row],[Productividad (kg/TAS)]]*Tabla2[[#This Row],[Precio por kg]]-Tabla2[[#This Row],[Costos (En RD$/Tarea)]])</f>
        <v>1541.8790281000288</v>
      </c>
      <c r="O100" s="6">
        <f>IF(Tabla2[[#This Row],[Costos (En RD$/Tarea)]]=0,0,Tabla2[[#This Row],[Beneficio Neto  (En RD$/Tarea)]]/Tabla2[[#This Row],[Costos (En RD$/Tarea)]])</f>
        <v>0</v>
      </c>
      <c r="P100" s="4">
        <f>Tabla2[[#This Row],[Rentabilidad (%)]]/12</f>
        <v>0</v>
      </c>
    </row>
    <row r="101" spans="1:16" x14ac:dyDescent="0.35">
      <c r="A101" s="1">
        <v>36770</v>
      </c>
      <c r="B101" t="s">
        <v>22</v>
      </c>
      <c r="C101" s="2">
        <v>3482</v>
      </c>
      <c r="D101" s="5" t="s">
        <v>17</v>
      </c>
      <c r="E101" s="2">
        <f>IF(Tabla2[[#This Row],[Frecuencia]]="Annual", Tabla2[[#This Row],[Cosecha/Tarea]]/12,Tabla2[[#This Row],[Cosecha/Tarea]])</f>
        <v>3482</v>
      </c>
      <c r="F101" s="2">
        <v>33645</v>
      </c>
      <c r="G101" t="s">
        <v>18</v>
      </c>
      <c r="H101">
        <f>F101/Tabla2[[#This Row],[Cosecha Mensual]]</f>
        <v>9.6625502584721428</v>
      </c>
      <c r="I101">
        <f>H101*_xlfn.XLOOKUP(Tabla2[[#This Row],[Unidad de producción]],Tabla3[Medida],Tabla3[Equivalencia en Kg],"ELVIS",0)</f>
        <v>438.29327972429638</v>
      </c>
      <c r="J101">
        <v>270.3125</v>
      </c>
      <c r="K101" t="s">
        <v>18</v>
      </c>
      <c r="L101">
        <f>J101/_xlfn.XLOOKUP(Tabla2[[#This Row],[Unidad de precio]],Tabla3[Medida],Tabla3[Equivalencia en Kg],"ELVIS",0)</f>
        <v>5.9592702821869485</v>
      </c>
      <c r="N101" s="2">
        <f>(Tabla2[[#This Row],[Productividad (kg/TAS)]]*Tabla2[[#This Row],[Precio por kg]]-Tabla2[[#This Row],[Costos (En RD$/Tarea)]])</f>
        <v>2611.908116743251</v>
      </c>
      <c r="O101" s="6">
        <f>IF(Tabla2[[#This Row],[Costos (En RD$/Tarea)]]=0,0,Tabla2[[#This Row],[Beneficio Neto  (En RD$/Tarea)]]/Tabla2[[#This Row],[Costos (En RD$/Tarea)]])</f>
        <v>0</v>
      </c>
      <c r="P101" s="4">
        <f>Tabla2[[#This Row],[Rentabilidad (%)]]/12</f>
        <v>0</v>
      </c>
    </row>
    <row r="102" spans="1:16" x14ac:dyDescent="0.35">
      <c r="A102" s="1">
        <v>36770</v>
      </c>
      <c r="B102" t="s">
        <v>23</v>
      </c>
      <c r="C102" s="2">
        <v>2130</v>
      </c>
      <c r="D102" s="5" t="s">
        <v>17</v>
      </c>
      <c r="E102" s="2">
        <f>IF(Tabla2[[#This Row],[Frecuencia]]="Annual", Tabla2[[#This Row],[Cosecha/Tarea]]/12,Tabla2[[#This Row],[Cosecha/Tarea]])</f>
        <v>2130</v>
      </c>
      <c r="F102" s="2">
        <v>40834</v>
      </c>
      <c r="G102" t="s">
        <v>18</v>
      </c>
      <c r="H102">
        <f>F102/Tabla2[[#This Row],[Cosecha Mensual]]</f>
        <v>19.170892018779341</v>
      </c>
      <c r="I102">
        <f>H102*_xlfn.XLOOKUP(Tabla2[[#This Row],[Unidad de producción]],Tabla3[Medida],Tabla3[Equivalencia en Kg],"ELVIS",0)</f>
        <v>869.59166197183094</v>
      </c>
      <c r="J102">
        <v>213.0641875</v>
      </c>
      <c r="K102" t="s">
        <v>18</v>
      </c>
      <c r="L102">
        <f>J102/_xlfn.XLOOKUP(Tabla2[[#This Row],[Unidad de precio]],Tabla3[Medida],Tabla3[Equivalencia en Kg],"ELVIS",0)</f>
        <v>4.6971822641093475</v>
      </c>
      <c r="N102" s="2">
        <f>(Tabla2[[#This Row],[Productividad (kg/TAS)]]*Tabla2[[#This Row],[Precio por kg]]-Tabla2[[#This Row],[Costos (En RD$/Tarea)]])</f>
        <v>4084.6305316314551</v>
      </c>
      <c r="O102" s="6">
        <f>IF(Tabla2[[#This Row],[Costos (En RD$/Tarea)]]=0,0,Tabla2[[#This Row],[Beneficio Neto  (En RD$/Tarea)]]/Tabla2[[#This Row],[Costos (En RD$/Tarea)]])</f>
        <v>0</v>
      </c>
      <c r="P102" s="4">
        <f>Tabla2[[#This Row],[Rentabilidad (%)]]/12</f>
        <v>0</v>
      </c>
    </row>
    <row r="103" spans="1:16" x14ac:dyDescent="0.35">
      <c r="A103" s="1">
        <v>36770</v>
      </c>
      <c r="B103" t="s">
        <v>24</v>
      </c>
      <c r="C103" s="2">
        <v>5700</v>
      </c>
      <c r="D103" s="5" t="s">
        <v>17</v>
      </c>
      <c r="E103" s="2">
        <f>IF(Tabla2[[#This Row],[Frecuencia]]="Annual", Tabla2[[#This Row],[Cosecha/Tarea]]/12,Tabla2[[#This Row],[Cosecha/Tarea]])</f>
        <v>5700</v>
      </c>
      <c r="F103" s="2">
        <v>51975</v>
      </c>
      <c r="G103" t="s">
        <v>18</v>
      </c>
      <c r="H103">
        <f>F103/Tabla2[[#This Row],[Cosecha Mensual]]</f>
        <v>9.1184210526315788</v>
      </c>
      <c r="I103">
        <f>H103*_xlfn.XLOOKUP(Tabla2[[#This Row],[Unidad de producción]],Tabla3[Medida],Tabla3[Equivalencia en Kg],"ELVIS",0)</f>
        <v>413.6115789473684</v>
      </c>
      <c r="J103">
        <v>525.3125</v>
      </c>
      <c r="K103" t="s">
        <v>18</v>
      </c>
      <c r="L103">
        <f>J103/_xlfn.XLOOKUP(Tabla2[[#This Row],[Unidad de precio]],Tabla3[Medida],Tabla3[Equivalencia en Kg],"ELVIS",0)</f>
        <v>11.580963403880071</v>
      </c>
      <c r="N103" s="2">
        <f>(Tabla2[[#This Row],[Productividad (kg/TAS)]]*Tabla2[[#This Row],[Precio por kg]]-Tabla2[[#This Row],[Costos (En RD$/Tarea)]])</f>
        <v>4790.0205592105267</v>
      </c>
      <c r="O103" s="6">
        <f>IF(Tabla2[[#This Row],[Costos (En RD$/Tarea)]]=0,0,Tabla2[[#This Row],[Beneficio Neto  (En RD$/Tarea)]]/Tabla2[[#This Row],[Costos (En RD$/Tarea)]])</f>
        <v>0</v>
      </c>
      <c r="P103" s="4">
        <f>Tabla2[[#This Row],[Rentabilidad (%)]]/12</f>
        <v>0</v>
      </c>
    </row>
    <row r="104" spans="1:16" x14ac:dyDescent="0.35">
      <c r="A104" s="1">
        <v>36770</v>
      </c>
      <c r="B104" t="s">
        <v>25</v>
      </c>
      <c r="C104" s="2">
        <v>26072</v>
      </c>
      <c r="D104" s="5" t="s">
        <v>17</v>
      </c>
      <c r="E104" s="2">
        <f>IF(Tabla2[[#This Row],[Frecuencia]]="Annual", Tabla2[[#This Row],[Cosecha/Tarea]]/12,Tabla2[[#This Row],[Cosecha/Tarea]])</f>
        <v>26072</v>
      </c>
      <c r="F104" s="2">
        <v>217348</v>
      </c>
      <c r="G104" t="s">
        <v>18</v>
      </c>
      <c r="H104">
        <f>F104/Tabla2[[#This Row],[Cosecha Mensual]]</f>
        <v>8.3364528996624738</v>
      </c>
      <c r="I104">
        <f>H104*_xlfn.XLOOKUP(Tabla2[[#This Row],[Unidad de producción]],Tabla3[Medida],Tabla3[Equivalencia en Kg],"ELVIS",0)</f>
        <v>378.14150352868978</v>
      </c>
      <c r="J104">
        <v>136</v>
      </c>
      <c r="K104" t="s">
        <v>18</v>
      </c>
      <c r="L104">
        <f>J104/_xlfn.XLOOKUP(Tabla2[[#This Row],[Unidad de precio]],Tabla3[Medida],Tabla3[Equivalencia en Kg],"ELVIS",0)</f>
        <v>2.998236331569665</v>
      </c>
      <c r="N104" s="2">
        <f>(Tabla2[[#This Row],[Productividad (kg/TAS)]]*Tabla2[[#This Row],[Precio por kg]]-Tabla2[[#This Row],[Costos (En RD$/Tarea)]])</f>
        <v>1133.7575943540965</v>
      </c>
      <c r="O104" s="6">
        <f>IF(Tabla2[[#This Row],[Costos (En RD$/Tarea)]]=0,0,Tabla2[[#This Row],[Beneficio Neto  (En RD$/Tarea)]]/Tabla2[[#This Row],[Costos (En RD$/Tarea)]])</f>
        <v>0</v>
      </c>
      <c r="P104" s="4">
        <f>Tabla2[[#This Row],[Rentabilidad (%)]]/12</f>
        <v>0</v>
      </c>
    </row>
    <row r="105" spans="1:16" x14ac:dyDescent="0.35">
      <c r="A105" s="1">
        <v>36770</v>
      </c>
      <c r="B105" t="s">
        <v>26</v>
      </c>
      <c r="C105" s="2">
        <v>8580</v>
      </c>
      <c r="D105" s="5" t="s">
        <v>17</v>
      </c>
      <c r="E105" s="2">
        <f>IF(Tabla2[[#This Row],[Frecuencia]]="Annual", Tabla2[[#This Row],[Cosecha/Tarea]]/12,Tabla2[[#This Row],[Cosecha/Tarea]])</f>
        <v>8580</v>
      </c>
      <c r="F105" s="2">
        <v>56090</v>
      </c>
      <c r="G105" t="s">
        <v>18</v>
      </c>
      <c r="H105">
        <f>F105/Tabla2[[#This Row],[Cosecha Mensual]]</f>
        <v>6.5372960372960369</v>
      </c>
      <c r="I105">
        <f>H105*_xlfn.XLOOKUP(Tabla2[[#This Row],[Unidad de producción]],Tabla3[Medida],Tabla3[Equivalencia en Kg],"ELVIS",0)</f>
        <v>296.53174825174824</v>
      </c>
      <c r="J105">
        <v>266.33333333333297</v>
      </c>
      <c r="K105" t="s">
        <v>18</v>
      </c>
      <c r="L105">
        <f>J105/_xlfn.XLOOKUP(Tabla2[[#This Row],[Unidad de precio]],Tabla3[Medida],Tabla3[Equivalencia en Kg],"ELVIS",0)</f>
        <v>5.8715461493239189</v>
      </c>
      <c r="N105" s="2">
        <f>(Tabla2[[#This Row],[Productividad (kg/TAS)]]*Tabla2[[#This Row],[Precio por kg]]-Tabla2[[#This Row],[Costos (En RD$/Tarea)]])</f>
        <v>1741.0998445998421</v>
      </c>
      <c r="O105" s="6">
        <f>IF(Tabla2[[#This Row],[Costos (En RD$/Tarea)]]=0,0,Tabla2[[#This Row],[Beneficio Neto  (En RD$/Tarea)]]/Tabla2[[#This Row],[Costos (En RD$/Tarea)]])</f>
        <v>0</v>
      </c>
      <c r="P105" s="4">
        <f>Tabla2[[#This Row],[Rentabilidad (%)]]/12</f>
        <v>0</v>
      </c>
    </row>
    <row r="106" spans="1:16" x14ac:dyDescent="0.35">
      <c r="A106" s="1">
        <v>36770</v>
      </c>
      <c r="B106" t="s">
        <v>27</v>
      </c>
      <c r="C106" s="2">
        <v>1447</v>
      </c>
      <c r="D106" s="5" t="s">
        <v>17</v>
      </c>
      <c r="E106" s="2">
        <f>IF(Tabla2[[#This Row],[Frecuencia]]="Annual", Tabla2[[#This Row],[Cosecha/Tarea]]/12,Tabla2[[#This Row],[Cosecha/Tarea]])</f>
        <v>1447</v>
      </c>
      <c r="F106" s="2">
        <v>13622</v>
      </c>
      <c r="G106" t="s">
        <v>18</v>
      </c>
      <c r="H106">
        <f>F106/Tabla2[[#This Row],[Cosecha Mensual]]</f>
        <v>9.4139599170697998</v>
      </c>
      <c r="I106">
        <f>H106*_xlfn.XLOOKUP(Tabla2[[#This Row],[Unidad de producción]],Tabla3[Medida],Tabla3[Equivalencia en Kg],"ELVIS",0)</f>
        <v>427.0172218382861</v>
      </c>
      <c r="J106">
        <v>181.13399999999999</v>
      </c>
      <c r="K106" t="s">
        <v>18</v>
      </c>
      <c r="L106">
        <f>J106/_xlfn.XLOOKUP(Tabla2[[#This Row],[Unidad de precio]],Tabla3[Medida],Tabla3[Equivalencia en Kg],"ELVIS",0)</f>
        <v>3.9932539682539678</v>
      </c>
      <c r="N106" s="2">
        <f>(Tabla2[[#This Row],[Productividad (kg/TAS)]]*Tabla2[[#This Row],[Precio por kg]]-Tabla2[[#This Row],[Costos (En RD$/Tarea)]])</f>
        <v>1705.1882156185209</v>
      </c>
      <c r="O106" s="6">
        <f>IF(Tabla2[[#This Row],[Costos (En RD$/Tarea)]]=0,0,Tabla2[[#This Row],[Beneficio Neto  (En RD$/Tarea)]]/Tabla2[[#This Row],[Costos (En RD$/Tarea)]])</f>
        <v>0</v>
      </c>
      <c r="P106" s="4">
        <f>Tabla2[[#This Row],[Rentabilidad (%)]]/12</f>
        <v>0</v>
      </c>
    </row>
    <row r="107" spans="1:16" x14ac:dyDescent="0.35">
      <c r="A107" s="1">
        <v>36770</v>
      </c>
      <c r="B107" t="s">
        <v>28</v>
      </c>
      <c r="C107" s="2">
        <v>21733</v>
      </c>
      <c r="D107" s="5" t="s">
        <v>17</v>
      </c>
      <c r="E107" s="2">
        <f>IF(Tabla2[[#This Row],[Frecuencia]]="Annual", Tabla2[[#This Row],[Cosecha/Tarea]]/12,Tabla2[[#This Row],[Cosecha/Tarea]])</f>
        <v>21733</v>
      </c>
      <c r="F107" s="2">
        <v>45092</v>
      </c>
      <c r="G107" t="s">
        <v>18</v>
      </c>
      <c r="H107">
        <f>F107/Tabla2[[#This Row],[Cosecha Mensual]]</f>
        <v>2.0748170984217551</v>
      </c>
      <c r="I107">
        <f>H107*_xlfn.XLOOKUP(Tabla2[[#This Row],[Unidad de producción]],Tabla3[Medida],Tabla3[Equivalencia en Kg],"ELVIS",0)</f>
        <v>94.113703584410814</v>
      </c>
      <c r="J107">
        <v>927.18</v>
      </c>
      <c r="K107" t="s">
        <v>29</v>
      </c>
      <c r="L107">
        <f>J107/_xlfn.XLOOKUP(Tabla2[[#This Row],[Unidad de precio]],Tabla3[Medida],Tabla3[Equivalencia en Kg],"ELVIS",0)</f>
        <v>1.6487889888679446</v>
      </c>
      <c r="N107" s="2">
        <f>(Tabla2[[#This Row],[Productividad (kg/TAS)]]*Tabla2[[#This Row],[Precio por kg]]-Tabla2[[#This Row],[Costos (En RD$/Tarea)]])</f>
        <v>155.17363817155817</v>
      </c>
      <c r="O107" s="6">
        <f>IF(Tabla2[[#This Row],[Costos (En RD$/Tarea)]]=0,0,Tabla2[[#This Row],[Beneficio Neto  (En RD$/Tarea)]]/Tabla2[[#This Row],[Costos (En RD$/Tarea)]])</f>
        <v>0</v>
      </c>
      <c r="P107" s="4">
        <f>Tabla2[[#This Row],[Rentabilidad (%)]]/12</f>
        <v>0</v>
      </c>
    </row>
    <row r="108" spans="1:16" x14ac:dyDescent="0.35">
      <c r="A108" s="1">
        <v>36770</v>
      </c>
      <c r="B108" t="s">
        <v>30</v>
      </c>
      <c r="C108" s="2">
        <v>236876</v>
      </c>
      <c r="D108" s="2" t="s">
        <v>31</v>
      </c>
      <c r="E108" s="2">
        <f>IF(Tabla2[[#This Row],[Frecuencia]]="Annual", Tabla2[[#This Row],[Cosecha/Tarea]]/12,Tabla2[[#This Row],[Cosecha/Tarea]])</f>
        <v>19739.666666666668</v>
      </c>
      <c r="F108" s="2">
        <v>1514718</v>
      </c>
      <c r="G108" t="s">
        <v>32</v>
      </c>
      <c r="H108">
        <f>F108/Tabla2[[#This Row],[Cosecha Mensual]]</f>
        <v>76.734730407470565</v>
      </c>
      <c r="I108">
        <f>H108*_xlfn.XLOOKUP(Tabla2[[#This Row],[Unidad de producción]],Tabla3[Medida],Tabla3[Equivalencia en Kg],"ELVIS",0)</f>
        <v>2087.9520143872742</v>
      </c>
      <c r="J108">
        <v>24.9166666666667</v>
      </c>
      <c r="K108" t="s">
        <v>32</v>
      </c>
      <c r="L108">
        <f>J108/_xlfn.XLOOKUP(Tabla2[[#This Row],[Unidad de precio]],Tabla3[Medida],Tabla3[Equivalencia en Kg],"ELVIS",0)</f>
        <v>0.9157172608109776</v>
      </c>
      <c r="M108" s="2"/>
      <c r="N108" s="2">
        <f>(Tabla2[[#This Row],[Productividad (kg/TAS)]]*Tabla2[[#This Row],[Precio por kg]]-Tabla2[[#This Row],[Costos (En RD$/Tarea)]])</f>
        <v>1911.9736993194776</v>
      </c>
      <c r="O108" s="6">
        <f>IF(Tabla2[[#This Row],[Costos (En RD$/Tarea)]]=0,0,Tabla2[[#This Row],[Beneficio Neto  (En RD$/Tarea)]]/Tabla2[[#This Row],[Costos (En RD$/Tarea)]])</f>
        <v>0</v>
      </c>
      <c r="P108" s="4">
        <f>Tabla2[[#This Row],[Rentabilidad (%)]]/12</f>
        <v>0</v>
      </c>
    </row>
    <row r="109" spans="1:16" x14ac:dyDescent="0.35">
      <c r="A109" s="1">
        <v>36770</v>
      </c>
      <c r="B109" t="s">
        <v>33</v>
      </c>
      <c r="C109" s="2">
        <v>541982</v>
      </c>
      <c r="D109" s="2" t="s">
        <v>31</v>
      </c>
      <c r="E109" s="2">
        <f>IF(Tabla2[[#This Row],[Frecuencia]]="Annual", Tabla2[[#This Row],[Cosecha/Tarea]]/12,Tabla2[[#This Row],[Cosecha/Tarea]])</f>
        <v>45165.166666666664</v>
      </c>
      <c r="F109" s="2">
        <v>103566</v>
      </c>
      <c r="G109" t="s">
        <v>34</v>
      </c>
      <c r="H109">
        <f>F109/Tabla2[[#This Row],[Cosecha Mensual]]</f>
        <v>2.2930503227044441</v>
      </c>
      <c r="I109">
        <f>H109*_xlfn.XLOOKUP(Tabla2[[#This Row],[Unidad de producción]],Tabla3[Medida],Tabla3[Equivalencia en Kg],"ELVIS",0)</f>
        <v>935.90848921181885</v>
      </c>
      <c r="J109">
        <v>1278.34666666667</v>
      </c>
      <c r="K109" t="s">
        <v>34</v>
      </c>
      <c r="L109">
        <f>J109/_xlfn.XLOOKUP(Tabla2[[#This Row],[Unidad de precio]],Tabla3[Medida],Tabla3[Equivalencia en Kg],"ELVIS",0)</f>
        <v>3.1320511249949039</v>
      </c>
      <c r="M109" s="2"/>
      <c r="N109" s="2">
        <f>(Tabla2[[#This Row],[Productividad (kg/TAS)]]*Tabla2[[#This Row],[Precio por kg]]-Tabla2[[#This Row],[Costos (En RD$/Tarea)]])</f>
        <v>2931.3132365281581</v>
      </c>
      <c r="O109" s="6">
        <f>IF(Tabla2[[#This Row],[Costos (En RD$/Tarea)]]=0,0,Tabla2[[#This Row],[Beneficio Neto  (En RD$/Tarea)]]/Tabla2[[#This Row],[Costos (En RD$/Tarea)]])</f>
        <v>0</v>
      </c>
      <c r="P109" s="4">
        <f>Tabla2[[#This Row],[Rentabilidad (%)]]/12</f>
        <v>0</v>
      </c>
    </row>
    <row r="110" spans="1:16" x14ac:dyDescent="0.35">
      <c r="A110" s="1">
        <v>36800</v>
      </c>
      <c r="B110" t="s">
        <v>16</v>
      </c>
      <c r="C110" s="5">
        <v>322266</v>
      </c>
      <c r="D110" s="5" t="s">
        <v>17</v>
      </c>
      <c r="E110" s="5">
        <f>IF(Tabla2[[#This Row],[Frecuencia]]="Annual", Tabla2[[#This Row],[Cosecha/Tarea]]/12,Tabla2[[#This Row],[Cosecha/Tarea]])</f>
        <v>322266</v>
      </c>
      <c r="F110" s="2">
        <v>1171356</v>
      </c>
      <c r="G110" t="s">
        <v>18</v>
      </c>
      <c r="H110">
        <f>F110/Tabla2[[#This Row],[Cosecha Mensual]]</f>
        <v>3.6347489341103314</v>
      </c>
      <c r="I110">
        <f>H110*_xlfn.XLOOKUP(Tabla2[[#This Row],[Unidad de producción]],Tabla3[Medida],Tabla3[Equivalencia en Kg],"ELVIS",0)</f>
        <v>164.87221165124464</v>
      </c>
      <c r="J110">
        <v>944.81408140814096</v>
      </c>
      <c r="K110" t="s">
        <v>19</v>
      </c>
      <c r="L110">
        <f>J110/_xlfn.XLOOKUP(Tabla2[[#This Row],[Unidad de precio]],Tabla3[Medida],Tabla3[Equivalencia en Kg],"ELVIS",0)</f>
        <v>8.5892189218921899</v>
      </c>
      <c r="N110" s="2">
        <f>(Tabla2[[#This Row],[Productividad (kg/TAS)]]*Tabla2[[#This Row],[Precio por kg]]-Tabla2[[#This Row],[Costos (En RD$/Tarea)]])</f>
        <v>1416.1235200090844</v>
      </c>
      <c r="O110" s="6">
        <f>IF(Tabla2[[#This Row],[Costos (En RD$/Tarea)]]=0,0,Tabla2[[#This Row],[Beneficio Neto  (En RD$/Tarea)]]/Tabla2[[#This Row],[Costos (En RD$/Tarea)]])</f>
        <v>0</v>
      </c>
      <c r="P110" s="4">
        <f>Tabla2[[#This Row],[Rentabilidad (%)]]/12</f>
        <v>0</v>
      </c>
    </row>
    <row r="111" spans="1:16" x14ac:dyDescent="0.35">
      <c r="A111" s="1">
        <v>36800</v>
      </c>
      <c r="B111" t="s">
        <v>20</v>
      </c>
      <c r="C111" s="2">
        <v>29711</v>
      </c>
      <c r="D111" s="5" t="s">
        <v>17</v>
      </c>
      <c r="E111" s="2">
        <f>IF(Tabla2[[#This Row],[Frecuencia]]="Annual", Tabla2[[#This Row],[Cosecha/Tarea]]/12,Tabla2[[#This Row],[Cosecha/Tarea]])</f>
        <v>29711</v>
      </c>
      <c r="F111" s="2">
        <v>50863</v>
      </c>
      <c r="G111" t="s">
        <v>18</v>
      </c>
      <c r="H111">
        <f>F111/Tabla2[[#This Row],[Cosecha Mensual]]</f>
        <v>1.711924876308438</v>
      </c>
      <c r="I111">
        <f>H111*_xlfn.XLOOKUP(Tabla2[[#This Row],[Unidad de producción]],Tabla3[Medida],Tabla3[Equivalencia en Kg],"ELVIS",0)</f>
        <v>77.652912389350746</v>
      </c>
      <c r="J111">
        <v>107.06399999999999</v>
      </c>
      <c r="K111" t="s">
        <v>18</v>
      </c>
      <c r="L111">
        <f>J111/_xlfn.XLOOKUP(Tabla2[[#This Row],[Unidad de precio]],Tabla3[Medida],Tabla3[Equivalencia en Kg],"ELVIS",0)</f>
        <v>2.3603174603174604</v>
      </c>
      <c r="N111" s="2">
        <f>(Tabla2[[#This Row],[Productividad (kg/TAS)]]*Tabla2[[#This Row],[Precio por kg]]-Tabla2[[#This Row],[Costos (En RD$/Tarea)]])</f>
        <v>183.28552495708661</v>
      </c>
      <c r="O111" s="6">
        <f>IF(Tabla2[[#This Row],[Costos (En RD$/Tarea)]]=0,0,Tabla2[[#This Row],[Beneficio Neto  (En RD$/Tarea)]]/Tabla2[[#This Row],[Costos (En RD$/Tarea)]])</f>
        <v>0</v>
      </c>
      <c r="P111" s="4">
        <f>Tabla2[[#This Row],[Rentabilidad (%)]]/12</f>
        <v>0</v>
      </c>
    </row>
    <row r="112" spans="1:16" x14ac:dyDescent="0.35">
      <c r="A112" s="1">
        <v>36800</v>
      </c>
      <c r="B112" t="s">
        <v>21</v>
      </c>
      <c r="C112" s="2">
        <v>5534</v>
      </c>
      <c r="D112" s="5" t="s">
        <v>17</v>
      </c>
      <c r="E112" s="2">
        <f>IF(Tabla2[[#This Row],[Frecuencia]]="Annual", Tabla2[[#This Row],[Cosecha/Tarea]]/12,Tabla2[[#This Row],[Cosecha/Tarea]])</f>
        <v>5534</v>
      </c>
      <c r="F112" s="2">
        <v>52684</v>
      </c>
      <c r="G112" t="s">
        <v>18</v>
      </c>
      <c r="H112">
        <f>F112/Tabla2[[#This Row],[Cosecha Mensual]]</f>
        <v>9.5200578243585117</v>
      </c>
      <c r="I112">
        <f>H112*_xlfn.XLOOKUP(Tabla2[[#This Row],[Unidad de producción]],Tabla3[Medida],Tabla3[Equivalencia en Kg],"ELVIS",0)</f>
        <v>431.8298229129021</v>
      </c>
      <c r="J112">
        <v>175.91749999999999</v>
      </c>
      <c r="K112" t="s">
        <v>18</v>
      </c>
      <c r="L112">
        <f>J112/_xlfn.XLOOKUP(Tabla2[[#This Row],[Unidad de precio]],Tabla3[Medida],Tabla3[Equivalencia en Kg],"ELVIS",0)</f>
        <v>3.8782517636684299</v>
      </c>
      <c r="N112" s="2">
        <f>(Tabla2[[#This Row],[Productividad (kg/TAS)]]*Tabla2[[#This Row],[Precio por kg]]-Tabla2[[#This Row],[Costos (En RD$/Tarea)]])</f>
        <v>1674.7447723165883</v>
      </c>
      <c r="O112" s="6">
        <f>IF(Tabla2[[#This Row],[Costos (En RD$/Tarea)]]=0,0,Tabla2[[#This Row],[Beneficio Neto  (En RD$/Tarea)]]/Tabla2[[#This Row],[Costos (En RD$/Tarea)]])</f>
        <v>0</v>
      </c>
      <c r="P112" s="4">
        <f>Tabla2[[#This Row],[Rentabilidad (%)]]/12</f>
        <v>0</v>
      </c>
    </row>
    <row r="113" spans="1:16" x14ac:dyDescent="0.35">
      <c r="A113" s="1">
        <v>36800</v>
      </c>
      <c r="B113" t="s">
        <v>22</v>
      </c>
      <c r="C113" s="2">
        <v>896</v>
      </c>
      <c r="D113" s="5" t="s">
        <v>17</v>
      </c>
      <c r="E113" s="2">
        <f>IF(Tabla2[[#This Row],[Frecuencia]]="Annual", Tabla2[[#This Row],[Cosecha/Tarea]]/12,Tabla2[[#This Row],[Cosecha/Tarea]])</f>
        <v>896</v>
      </c>
      <c r="F113" s="2">
        <v>7952</v>
      </c>
      <c r="G113" t="s">
        <v>18</v>
      </c>
      <c r="H113">
        <f>F113/Tabla2[[#This Row],[Cosecha Mensual]]</f>
        <v>8.875</v>
      </c>
      <c r="I113">
        <f>H113*_xlfn.XLOOKUP(Tabla2[[#This Row],[Unidad de producción]],Tabla3[Medida],Tabla3[Equivalencia en Kg],"ELVIS",0)</f>
        <v>402.57</v>
      </c>
      <c r="J113">
        <v>248.58500000000001</v>
      </c>
      <c r="K113" t="s">
        <v>18</v>
      </c>
      <c r="L113">
        <f>J113/_xlfn.XLOOKUP(Tabla2[[#This Row],[Unidad de precio]],Tabla3[Medida],Tabla3[Equivalencia en Kg],"ELVIS",0)</f>
        <v>5.4802689594356266</v>
      </c>
      <c r="N113" s="2">
        <f>(Tabla2[[#This Row],[Productividad (kg/TAS)]]*Tabla2[[#This Row],[Precio por kg]]-Tabla2[[#This Row],[Costos (En RD$/Tarea)]])</f>
        <v>2206.191875</v>
      </c>
      <c r="O113" s="6">
        <f>IF(Tabla2[[#This Row],[Costos (En RD$/Tarea)]]=0,0,Tabla2[[#This Row],[Beneficio Neto  (En RD$/Tarea)]]/Tabla2[[#This Row],[Costos (En RD$/Tarea)]])</f>
        <v>0</v>
      </c>
      <c r="P113" s="4">
        <f>Tabla2[[#This Row],[Rentabilidad (%)]]/12</f>
        <v>0</v>
      </c>
    </row>
    <row r="114" spans="1:16" x14ac:dyDescent="0.35">
      <c r="A114" s="1">
        <v>36800</v>
      </c>
      <c r="B114" t="s">
        <v>23</v>
      </c>
      <c r="C114" s="2">
        <v>2303</v>
      </c>
      <c r="D114" s="5" t="s">
        <v>17</v>
      </c>
      <c r="E114" s="2">
        <f>IF(Tabla2[[#This Row],[Frecuencia]]="Annual", Tabla2[[#This Row],[Cosecha/Tarea]]/12,Tabla2[[#This Row],[Cosecha/Tarea]])</f>
        <v>2303</v>
      </c>
      <c r="F114" s="2">
        <v>48566</v>
      </c>
      <c r="G114" t="s">
        <v>18</v>
      </c>
      <c r="H114">
        <f>F114/Tabla2[[#This Row],[Cosecha Mensual]]</f>
        <v>21.088145896656535</v>
      </c>
      <c r="I114">
        <f>H114*_xlfn.XLOOKUP(Tabla2[[#This Row],[Unidad de producción]],Tabla3[Medida],Tabla3[Equivalencia en Kg],"ELVIS",0)</f>
        <v>956.5582978723404</v>
      </c>
      <c r="J114">
        <v>231.65</v>
      </c>
      <c r="K114" t="s">
        <v>18</v>
      </c>
      <c r="L114">
        <f>J114/_xlfn.XLOOKUP(Tabla2[[#This Row],[Unidad de precio]],Tabla3[Medida],Tabla3[Equivalencia en Kg],"ELVIS",0)</f>
        <v>5.1069223985890657</v>
      </c>
      <c r="N114" s="2">
        <f>(Tabla2[[#This Row],[Productividad (kg/TAS)]]*Tabla2[[#This Row],[Precio por kg]]-Tabla2[[#This Row],[Costos (En RD$/Tarea)]])</f>
        <v>4885.0689969604864</v>
      </c>
      <c r="O114" s="6">
        <f>IF(Tabla2[[#This Row],[Costos (En RD$/Tarea)]]=0,0,Tabla2[[#This Row],[Beneficio Neto  (En RD$/Tarea)]]/Tabla2[[#This Row],[Costos (En RD$/Tarea)]])</f>
        <v>0</v>
      </c>
      <c r="P114" s="4">
        <f>Tabla2[[#This Row],[Rentabilidad (%)]]/12</f>
        <v>0</v>
      </c>
    </row>
    <row r="115" spans="1:16" x14ac:dyDescent="0.35">
      <c r="A115" s="1">
        <v>36800</v>
      </c>
      <c r="B115" t="s">
        <v>24</v>
      </c>
      <c r="C115" s="2">
        <v>7268</v>
      </c>
      <c r="D115" s="5" t="s">
        <v>17</v>
      </c>
      <c r="E115" s="2">
        <f>IF(Tabla2[[#This Row],[Frecuencia]]="Annual", Tabla2[[#This Row],[Cosecha/Tarea]]/12,Tabla2[[#This Row],[Cosecha/Tarea]])</f>
        <v>7268</v>
      </c>
      <c r="F115" s="2">
        <v>72067</v>
      </c>
      <c r="G115" t="s">
        <v>18</v>
      </c>
      <c r="H115">
        <f>F115/Tabla2[[#This Row],[Cosecha Mensual]]</f>
        <v>9.9156576774903691</v>
      </c>
      <c r="I115">
        <f>H115*_xlfn.XLOOKUP(Tabla2[[#This Row],[Unidad de producción]],Tabla3[Medida],Tabla3[Equivalencia en Kg],"ELVIS",0)</f>
        <v>449.77423225096311</v>
      </c>
      <c r="J115">
        <v>491.35</v>
      </c>
      <c r="K115" t="s">
        <v>18</v>
      </c>
      <c r="L115">
        <f>J115/_xlfn.XLOOKUP(Tabla2[[#This Row],[Unidad de precio]],Tabla3[Medida],Tabla3[Equivalencia en Kg],"ELVIS",0)</f>
        <v>10.832231040564375</v>
      </c>
      <c r="N115" s="2">
        <f>(Tabla2[[#This Row],[Productividad (kg/TAS)]]*Tabla2[[#This Row],[Precio por kg]]-Tabla2[[#This Row],[Costos (En RD$/Tarea)]])</f>
        <v>4872.058399834893</v>
      </c>
      <c r="O115" s="6">
        <f>IF(Tabla2[[#This Row],[Costos (En RD$/Tarea)]]=0,0,Tabla2[[#This Row],[Beneficio Neto  (En RD$/Tarea)]]/Tabla2[[#This Row],[Costos (En RD$/Tarea)]])</f>
        <v>0</v>
      </c>
      <c r="P115" s="4">
        <f>Tabla2[[#This Row],[Rentabilidad (%)]]/12</f>
        <v>0</v>
      </c>
    </row>
    <row r="116" spans="1:16" x14ac:dyDescent="0.35">
      <c r="A116" s="1">
        <v>36800</v>
      </c>
      <c r="B116" t="s">
        <v>25</v>
      </c>
      <c r="C116" s="2">
        <v>22130</v>
      </c>
      <c r="D116" s="5" t="s">
        <v>17</v>
      </c>
      <c r="E116" s="2">
        <f>IF(Tabla2[[#This Row],[Frecuencia]]="Annual", Tabla2[[#This Row],[Cosecha/Tarea]]/12,Tabla2[[#This Row],[Cosecha/Tarea]])</f>
        <v>22130</v>
      </c>
      <c r="F116" s="2">
        <v>197559</v>
      </c>
      <c r="G116" t="s">
        <v>18</v>
      </c>
      <c r="H116">
        <f>F116/Tabla2[[#This Row],[Cosecha Mensual]]</f>
        <v>8.9272028920018069</v>
      </c>
      <c r="I116">
        <f>H116*_xlfn.XLOOKUP(Tabla2[[#This Row],[Unidad de producción]],Tabla3[Medida],Tabla3[Equivalencia en Kg],"ELVIS",0)</f>
        <v>404.93792318120194</v>
      </c>
      <c r="J116">
        <v>129.71250000000001</v>
      </c>
      <c r="K116" t="s">
        <v>18</v>
      </c>
      <c r="L116">
        <f>J116/_xlfn.XLOOKUP(Tabla2[[#This Row],[Unidad de precio]],Tabla3[Medida],Tabla3[Equivalencia en Kg],"ELVIS",0)</f>
        <v>2.8596230158730158</v>
      </c>
      <c r="N116" s="2">
        <f>(Tabla2[[#This Row],[Productividad (kg/TAS)]]*Tabla2[[#This Row],[Precio por kg]]-Tabla2[[#This Row],[Costos (En RD$/Tarea)]])</f>
        <v>1157.9698051287844</v>
      </c>
      <c r="O116" s="6">
        <f>IF(Tabla2[[#This Row],[Costos (En RD$/Tarea)]]=0,0,Tabla2[[#This Row],[Beneficio Neto  (En RD$/Tarea)]]/Tabla2[[#This Row],[Costos (En RD$/Tarea)]])</f>
        <v>0</v>
      </c>
      <c r="P116" s="4">
        <f>Tabla2[[#This Row],[Rentabilidad (%)]]/12</f>
        <v>0</v>
      </c>
    </row>
    <row r="117" spans="1:16" x14ac:dyDescent="0.35">
      <c r="A117" s="1">
        <v>36800</v>
      </c>
      <c r="B117" t="s">
        <v>26</v>
      </c>
      <c r="C117" s="2">
        <v>8835</v>
      </c>
      <c r="D117" s="5" t="s">
        <v>17</v>
      </c>
      <c r="E117" s="2">
        <f>IF(Tabla2[[#This Row],[Frecuencia]]="Annual", Tabla2[[#This Row],[Cosecha/Tarea]]/12,Tabla2[[#This Row],[Cosecha/Tarea]])</f>
        <v>8835</v>
      </c>
      <c r="F117" s="2">
        <v>41294</v>
      </c>
      <c r="G117" t="s">
        <v>18</v>
      </c>
      <c r="H117">
        <f>F117/Tabla2[[#This Row],[Cosecha Mensual]]</f>
        <v>4.6739105829088849</v>
      </c>
      <c r="I117">
        <f>H117*_xlfn.XLOOKUP(Tabla2[[#This Row],[Unidad de producción]],Tabla3[Medida],Tabla3[Equivalencia en Kg],"ELVIS",0)</f>
        <v>212.00858404074702</v>
      </c>
      <c r="J117">
        <v>188.09200000000001</v>
      </c>
      <c r="K117" t="s">
        <v>18</v>
      </c>
      <c r="L117">
        <f>J117/_xlfn.XLOOKUP(Tabla2[[#This Row],[Unidad de precio]],Tabla3[Medida],Tabla3[Equivalencia en Kg],"ELVIS",0)</f>
        <v>4.1466490299823633</v>
      </c>
      <c r="N117" s="2">
        <f>(Tabla2[[#This Row],[Productividad (kg/TAS)]]*Tabla2[[#This Row],[Precio por kg]]-Tabla2[[#This Row],[Costos (En RD$/Tarea)]])</f>
        <v>879.12518936049798</v>
      </c>
      <c r="O117" s="6">
        <f>IF(Tabla2[[#This Row],[Costos (En RD$/Tarea)]]=0,0,Tabla2[[#This Row],[Beneficio Neto  (En RD$/Tarea)]]/Tabla2[[#This Row],[Costos (En RD$/Tarea)]])</f>
        <v>0</v>
      </c>
      <c r="P117" s="4">
        <f>Tabla2[[#This Row],[Rentabilidad (%)]]/12</f>
        <v>0</v>
      </c>
    </row>
    <row r="118" spans="1:16" x14ac:dyDescent="0.35">
      <c r="A118" s="1">
        <v>36800</v>
      </c>
      <c r="B118" t="s">
        <v>27</v>
      </c>
      <c r="C118" s="2">
        <v>2235</v>
      </c>
      <c r="D118" s="5" t="s">
        <v>17</v>
      </c>
      <c r="E118" s="2">
        <f>IF(Tabla2[[#This Row],[Frecuencia]]="Annual", Tabla2[[#This Row],[Cosecha/Tarea]]/12,Tabla2[[#This Row],[Cosecha/Tarea]])</f>
        <v>2235</v>
      </c>
      <c r="F118" s="2">
        <v>17199</v>
      </c>
      <c r="G118" t="s">
        <v>18</v>
      </c>
      <c r="H118">
        <f>F118/Tabla2[[#This Row],[Cosecha Mensual]]</f>
        <v>7.6953020134228192</v>
      </c>
      <c r="I118">
        <f>H118*_xlfn.XLOOKUP(Tabla2[[#This Row],[Unidad de producción]],Tabla3[Medida],Tabla3[Equivalencia en Kg],"ELVIS",0)</f>
        <v>349.05889932885907</v>
      </c>
      <c r="J118">
        <v>179.815</v>
      </c>
      <c r="K118" t="s">
        <v>18</v>
      </c>
      <c r="L118">
        <f>J118/_xlfn.XLOOKUP(Tabla2[[#This Row],[Unidad de precio]],Tabla3[Medida],Tabla3[Equivalencia en Kg],"ELVIS",0)</f>
        <v>3.9641754850088184</v>
      </c>
      <c r="N118" s="2">
        <f>(Tabla2[[#This Row],[Productividad (kg/TAS)]]*Tabla2[[#This Row],[Precio por kg]]-Tabla2[[#This Row],[Costos (En RD$/Tarea)]])</f>
        <v>1383.7307315436242</v>
      </c>
      <c r="O118" s="6">
        <f>IF(Tabla2[[#This Row],[Costos (En RD$/Tarea)]]=0,0,Tabla2[[#This Row],[Beneficio Neto  (En RD$/Tarea)]]/Tabla2[[#This Row],[Costos (En RD$/Tarea)]])</f>
        <v>0</v>
      </c>
      <c r="P118" s="4">
        <f>Tabla2[[#This Row],[Rentabilidad (%)]]/12</f>
        <v>0</v>
      </c>
    </row>
    <row r="119" spans="1:16" x14ac:dyDescent="0.35">
      <c r="A119" s="1">
        <v>36800</v>
      </c>
      <c r="B119" t="s">
        <v>28</v>
      </c>
      <c r="C119" s="2">
        <v>18849</v>
      </c>
      <c r="D119" s="5" t="s">
        <v>17</v>
      </c>
      <c r="E119" s="2">
        <f>IF(Tabla2[[#This Row],[Frecuencia]]="Annual", Tabla2[[#This Row],[Cosecha/Tarea]]/12,Tabla2[[#This Row],[Cosecha/Tarea]])</f>
        <v>18849</v>
      </c>
      <c r="F119" s="2">
        <v>34864</v>
      </c>
      <c r="G119" t="s">
        <v>18</v>
      </c>
      <c r="H119">
        <f>F119/Tabla2[[#This Row],[Cosecha Mensual]]</f>
        <v>1.8496471961377261</v>
      </c>
      <c r="I119">
        <f>H119*_xlfn.XLOOKUP(Tabla2[[#This Row],[Unidad de producción]],Tabla3[Medida],Tabla3[Equivalencia en Kg],"ELVIS",0)</f>
        <v>83.89999681680726</v>
      </c>
      <c r="J119">
        <v>943.33399999999995</v>
      </c>
      <c r="K119" t="s">
        <v>29</v>
      </c>
      <c r="L119">
        <f>J119/_xlfn.XLOOKUP(Tabla2[[#This Row],[Unidad de precio]],Tabla3[Medida],Tabla3[Equivalencia en Kg],"ELVIS",0)</f>
        <v>1.6775153821531457</v>
      </c>
      <c r="N119" s="2">
        <f>(Tabla2[[#This Row],[Productividad (kg/TAS)]]*Tabla2[[#This Row],[Precio por kg]]-Tabla2[[#This Row],[Costos (En RD$/Tarea)]])</f>
        <v>140.74353522279412</v>
      </c>
      <c r="O119" s="6">
        <f>IF(Tabla2[[#This Row],[Costos (En RD$/Tarea)]]=0,0,Tabla2[[#This Row],[Beneficio Neto  (En RD$/Tarea)]]/Tabla2[[#This Row],[Costos (En RD$/Tarea)]])</f>
        <v>0</v>
      </c>
      <c r="P119" s="4">
        <f>Tabla2[[#This Row],[Rentabilidad (%)]]/12</f>
        <v>0</v>
      </c>
    </row>
    <row r="120" spans="1:16" x14ac:dyDescent="0.35">
      <c r="A120" s="1">
        <v>36800</v>
      </c>
      <c r="B120" t="s">
        <v>30</v>
      </c>
      <c r="C120" s="2">
        <v>235362</v>
      </c>
      <c r="D120" s="2" t="s">
        <v>31</v>
      </c>
      <c r="E120" s="2">
        <f>IF(Tabla2[[#This Row],[Frecuencia]]="Annual", Tabla2[[#This Row],[Cosecha/Tarea]]/12,Tabla2[[#This Row],[Cosecha/Tarea]])</f>
        <v>19613.5</v>
      </c>
      <c r="F120" s="2">
        <v>1479204</v>
      </c>
      <c r="G120" t="s">
        <v>32</v>
      </c>
      <c r="H120">
        <f>F120/Tabla2[[#This Row],[Cosecha Mensual]]</f>
        <v>75.417646009126372</v>
      </c>
      <c r="I120">
        <f>H120*_xlfn.XLOOKUP(Tabla2[[#This Row],[Unidad de producción]],Tabla3[Medida],Tabla3[Equivalencia en Kg],"ELVIS",0)</f>
        <v>2052.1141479083285</v>
      </c>
      <c r="J120">
        <v>23.442</v>
      </c>
      <c r="K120" t="s">
        <v>32</v>
      </c>
      <c r="L120">
        <f>J120/_xlfn.XLOOKUP(Tabla2[[#This Row],[Unidad de precio]],Tabla3[Medida],Tabla3[Equivalencia en Kg],"ELVIS",0)</f>
        <v>0.86152149944873202</v>
      </c>
      <c r="M120" s="2"/>
      <c r="N120" s="2">
        <f>(Tabla2[[#This Row],[Productividad (kg/TAS)]]*Tabla2[[#This Row],[Precio por kg]]-Tabla2[[#This Row],[Costos (En RD$/Tarea)]])</f>
        <v>1767.9404577459402</v>
      </c>
      <c r="O120" s="6">
        <f>IF(Tabla2[[#This Row],[Costos (En RD$/Tarea)]]=0,0,Tabla2[[#This Row],[Beneficio Neto  (En RD$/Tarea)]]/Tabla2[[#This Row],[Costos (En RD$/Tarea)]])</f>
        <v>0</v>
      </c>
      <c r="P120" s="4">
        <f>Tabla2[[#This Row],[Rentabilidad (%)]]/12</f>
        <v>0</v>
      </c>
    </row>
    <row r="121" spans="1:16" x14ac:dyDescent="0.35">
      <c r="A121" s="1">
        <v>36800</v>
      </c>
      <c r="B121" t="s">
        <v>33</v>
      </c>
      <c r="C121" s="2">
        <v>570834</v>
      </c>
      <c r="D121" s="2" t="s">
        <v>31</v>
      </c>
      <c r="E121" s="2">
        <f>IF(Tabla2[[#This Row],[Frecuencia]]="Annual", Tabla2[[#This Row],[Cosecha/Tarea]]/12,Tabla2[[#This Row],[Cosecha/Tarea]])</f>
        <v>47569.5</v>
      </c>
      <c r="F121" s="2">
        <v>107808</v>
      </c>
      <c r="G121" t="s">
        <v>34</v>
      </c>
      <c r="H121">
        <f>F121/Tabla2[[#This Row],[Cosecha Mensual]]</f>
        <v>2.2663261123198688</v>
      </c>
      <c r="I121">
        <f>H121*_xlfn.XLOOKUP(Tabla2[[#This Row],[Unidad de producción]],Tabla3[Medida],Tabla3[Equivalencia en Kg],"ELVIS",0)</f>
        <v>925.00100274335443</v>
      </c>
      <c r="J121">
        <v>1266.5160000000001</v>
      </c>
      <c r="K121" t="s">
        <v>34</v>
      </c>
      <c r="L121">
        <f>J121/_xlfn.XLOOKUP(Tabla2[[#This Row],[Unidad de precio]],Tabla3[Medida],Tabla3[Equivalencia en Kg],"ELVIS",0)</f>
        <v>3.1030650496141128</v>
      </c>
      <c r="M121" s="2"/>
      <c r="N121" s="2">
        <f>(Tabla2[[#This Row],[Productividad (kg/TAS)]]*Tabla2[[#This Row],[Precio por kg]]-Tabla2[[#This Row],[Costos (En RD$/Tarea)]])</f>
        <v>2870.3382824709111</v>
      </c>
      <c r="O121" s="6">
        <f>IF(Tabla2[[#This Row],[Costos (En RD$/Tarea)]]=0,0,Tabla2[[#This Row],[Beneficio Neto  (En RD$/Tarea)]]/Tabla2[[#This Row],[Costos (En RD$/Tarea)]])</f>
        <v>0</v>
      </c>
      <c r="P121" s="4">
        <f>Tabla2[[#This Row],[Rentabilidad (%)]]/12</f>
        <v>0</v>
      </c>
    </row>
    <row r="122" spans="1:16" x14ac:dyDescent="0.35">
      <c r="A122" s="1">
        <v>36831</v>
      </c>
      <c r="B122" t="s">
        <v>16</v>
      </c>
      <c r="C122" s="5">
        <v>300096</v>
      </c>
      <c r="D122" s="5" t="s">
        <v>17</v>
      </c>
      <c r="E122" s="5">
        <f>IF(Tabla2[[#This Row],[Frecuencia]]="Annual", Tabla2[[#This Row],[Cosecha/Tarea]]/12,Tabla2[[#This Row],[Cosecha/Tarea]])</f>
        <v>300096</v>
      </c>
      <c r="F122" s="2">
        <v>1038734</v>
      </c>
      <c r="G122" t="s">
        <v>18</v>
      </c>
      <c r="H122">
        <f>F122/Tabla2[[#This Row],[Cosecha Mensual]]</f>
        <v>3.4613390381744509</v>
      </c>
      <c r="I122">
        <f>H122*_xlfn.XLOOKUP(Tabla2[[#This Row],[Unidad de producción]],Tabla3[Medida],Tabla3[Equivalencia en Kg],"ELVIS",0)</f>
        <v>157.00633877159308</v>
      </c>
      <c r="J122">
        <v>996.65566556655699</v>
      </c>
      <c r="K122" t="s">
        <v>19</v>
      </c>
      <c r="L122">
        <f>J122/_xlfn.XLOOKUP(Tabla2[[#This Row],[Unidad de precio]],Tabla3[Medida],Tabla3[Equivalencia en Kg],"ELVIS",0)</f>
        <v>9.0605060506050634</v>
      </c>
      <c r="N122" s="2">
        <f>(Tabla2[[#This Row],[Productividad (kg/TAS)]]*Tabla2[[#This Row],[Precio por kg]]-Tabla2[[#This Row],[Costos (En RD$/Tarea)]])</f>
        <v>1422.5568824233674</v>
      </c>
      <c r="O122" s="6">
        <f>IF(Tabla2[[#This Row],[Costos (En RD$/Tarea)]]=0,0,Tabla2[[#This Row],[Beneficio Neto  (En RD$/Tarea)]]/Tabla2[[#This Row],[Costos (En RD$/Tarea)]])</f>
        <v>0</v>
      </c>
      <c r="P122" s="4">
        <f>Tabla2[[#This Row],[Rentabilidad (%)]]/12</f>
        <v>0</v>
      </c>
    </row>
    <row r="123" spans="1:16" x14ac:dyDescent="0.35">
      <c r="A123" s="1">
        <v>36831</v>
      </c>
      <c r="B123" t="s">
        <v>20</v>
      </c>
      <c r="C123" s="2">
        <v>36728</v>
      </c>
      <c r="D123" s="5" t="s">
        <v>17</v>
      </c>
      <c r="E123" s="2">
        <f>IF(Tabla2[[#This Row],[Frecuencia]]="Annual", Tabla2[[#This Row],[Cosecha/Tarea]]/12,Tabla2[[#This Row],[Cosecha/Tarea]])</f>
        <v>36728</v>
      </c>
      <c r="F123" s="2">
        <v>63486</v>
      </c>
      <c r="G123" t="s">
        <v>18</v>
      </c>
      <c r="H123">
        <f>F123/Tabla2[[#This Row],[Cosecha Mensual]]</f>
        <v>1.7285449793073404</v>
      </c>
      <c r="I123">
        <f>H123*_xlfn.XLOOKUP(Tabla2[[#This Row],[Unidad de producción]],Tabla3[Medida],Tabla3[Equivalencia en Kg],"ELVIS",0)</f>
        <v>78.406800261380965</v>
      </c>
      <c r="J123">
        <v>118.041</v>
      </c>
      <c r="K123" t="s">
        <v>18</v>
      </c>
      <c r="L123">
        <f>J123/_xlfn.XLOOKUP(Tabla2[[#This Row],[Unidad de precio]],Tabla3[Medida],Tabla3[Equivalencia en Kg],"ELVIS",0)</f>
        <v>2.602314814814815</v>
      </c>
      <c r="N123" s="2">
        <f>(Tabla2[[#This Row],[Productividad (kg/TAS)]]*Tabla2[[#This Row],[Precio por kg]]-Tabla2[[#This Row],[Costos (En RD$/Tarea)]])</f>
        <v>204.0391779024178</v>
      </c>
      <c r="O123" s="6">
        <f>IF(Tabla2[[#This Row],[Costos (En RD$/Tarea)]]=0,0,Tabla2[[#This Row],[Beneficio Neto  (En RD$/Tarea)]]/Tabla2[[#This Row],[Costos (En RD$/Tarea)]])</f>
        <v>0</v>
      </c>
      <c r="P123" s="4">
        <f>Tabla2[[#This Row],[Rentabilidad (%)]]/12</f>
        <v>0</v>
      </c>
    </row>
    <row r="124" spans="1:16" x14ac:dyDescent="0.35">
      <c r="A124" s="1">
        <v>36831</v>
      </c>
      <c r="B124" t="s">
        <v>21</v>
      </c>
      <c r="C124" s="2">
        <v>5259</v>
      </c>
      <c r="D124" s="5" t="s">
        <v>17</v>
      </c>
      <c r="E124" s="2">
        <f>IF(Tabla2[[#This Row],[Frecuencia]]="Annual", Tabla2[[#This Row],[Cosecha/Tarea]]/12,Tabla2[[#This Row],[Cosecha/Tarea]])</f>
        <v>5259</v>
      </c>
      <c r="F124" s="2">
        <v>48016</v>
      </c>
      <c r="G124" t="s">
        <v>18</v>
      </c>
      <c r="H124">
        <f>F124/Tabla2[[#This Row],[Cosecha Mensual]]</f>
        <v>9.1302528997908343</v>
      </c>
      <c r="I124">
        <f>H124*_xlfn.XLOOKUP(Tabla2[[#This Row],[Unidad de producción]],Tabla3[Medida],Tabla3[Equivalencia en Kg],"ELVIS",0)</f>
        <v>414.14827153451222</v>
      </c>
      <c r="J124">
        <v>168.36600000000001</v>
      </c>
      <c r="K124" t="s">
        <v>18</v>
      </c>
      <c r="L124">
        <f>J124/_xlfn.XLOOKUP(Tabla2[[#This Row],[Unidad de precio]],Tabla3[Medida],Tabla3[Equivalencia en Kg],"ELVIS",0)</f>
        <v>3.7117724867724871</v>
      </c>
      <c r="N124" s="2">
        <f>(Tabla2[[#This Row],[Productividad (kg/TAS)]]*Tabla2[[#This Row],[Precio por kg]]-Tabla2[[#This Row],[Costos (En RD$/Tarea)]])</f>
        <v>1537.2241597261836</v>
      </c>
      <c r="O124" s="6">
        <f>IF(Tabla2[[#This Row],[Costos (En RD$/Tarea)]]=0,0,Tabla2[[#This Row],[Beneficio Neto  (En RD$/Tarea)]]/Tabla2[[#This Row],[Costos (En RD$/Tarea)]])</f>
        <v>0</v>
      </c>
      <c r="P124" s="4">
        <f>Tabla2[[#This Row],[Rentabilidad (%)]]/12</f>
        <v>0</v>
      </c>
    </row>
    <row r="125" spans="1:16" x14ac:dyDescent="0.35">
      <c r="A125" s="1">
        <v>36831</v>
      </c>
      <c r="B125" t="s">
        <v>22</v>
      </c>
      <c r="C125" s="2">
        <v>1685</v>
      </c>
      <c r="D125" s="5" t="s">
        <v>17</v>
      </c>
      <c r="E125" s="2">
        <f>IF(Tabla2[[#This Row],[Frecuencia]]="Annual", Tabla2[[#This Row],[Cosecha/Tarea]]/12,Tabla2[[#This Row],[Cosecha/Tarea]])</f>
        <v>1685</v>
      </c>
      <c r="F125" s="2">
        <v>14424</v>
      </c>
      <c r="G125" t="s">
        <v>18</v>
      </c>
      <c r="H125">
        <f>F125/Tabla2[[#This Row],[Cosecha Mensual]]</f>
        <v>8.5602373887240351</v>
      </c>
      <c r="I125">
        <f>H125*_xlfn.XLOOKUP(Tabla2[[#This Row],[Unidad de producción]],Tabla3[Medida],Tabla3[Equivalencia en Kg],"ELVIS",0)</f>
        <v>388.29236795252223</v>
      </c>
      <c r="J125">
        <v>195.9375</v>
      </c>
      <c r="K125" t="s">
        <v>18</v>
      </c>
      <c r="L125">
        <f>J125/_xlfn.XLOOKUP(Tabla2[[#This Row],[Unidad de precio]],Tabla3[Medida],Tabla3[Equivalencia en Kg],"ELVIS",0)</f>
        <v>4.3196097883597888</v>
      </c>
      <c r="N125" s="2">
        <f>(Tabla2[[#This Row],[Productividad (kg/TAS)]]*Tabla2[[#This Row],[Precio por kg]]-Tabla2[[#This Row],[Costos (En RD$/Tarea)]])</f>
        <v>1677.2715133531158</v>
      </c>
      <c r="O125" s="6">
        <f>IF(Tabla2[[#This Row],[Costos (En RD$/Tarea)]]=0,0,Tabla2[[#This Row],[Beneficio Neto  (En RD$/Tarea)]]/Tabla2[[#This Row],[Costos (En RD$/Tarea)]])</f>
        <v>0</v>
      </c>
      <c r="P125" s="4">
        <f>Tabla2[[#This Row],[Rentabilidad (%)]]/12</f>
        <v>0</v>
      </c>
    </row>
    <row r="126" spans="1:16" x14ac:dyDescent="0.35">
      <c r="A126" s="1">
        <v>36831</v>
      </c>
      <c r="B126" t="s">
        <v>23</v>
      </c>
      <c r="C126" s="2">
        <v>1066</v>
      </c>
      <c r="D126" s="5" t="s">
        <v>17</v>
      </c>
      <c r="E126" s="2">
        <f>IF(Tabla2[[#This Row],[Frecuencia]]="Annual", Tabla2[[#This Row],[Cosecha/Tarea]]/12,Tabla2[[#This Row],[Cosecha/Tarea]])</f>
        <v>1066</v>
      </c>
      <c r="F126" s="2">
        <v>19142</v>
      </c>
      <c r="G126" t="s">
        <v>18</v>
      </c>
      <c r="H126">
        <f>F126/Tabla2[[#This Row],[Cosecha Mensual]]</f>
        <v>17.956848030018762</v>
      </c>
      <c r="I126">
        <f>H126*_xlfn.XLOOKUP(Tabla2[[#This Row],[Unidad de producción]],Tabla3[Medida],Tabla3[Equivalencia en Kg],"ELVIS",0)</f>
        <v>814.52262664165107</v>
      </c>
      <c r="J126">
        <v>321.25</v>
      </c>
      <c r="K126" t="s">
        <v>18</v>
      </c>
      <c r="L126">
        <f>J126/_xlfn.XLOOKUP(Tabla2[[#This Row],[Unidad de precio]],Tabla3[Medida],Tabla3[Equivalencia en Kg],"ELVIS",0)</f>
        <v>7.0822310405643742</v>
      </c>
      <c r="N126" s="2">
        <f>(Tabla2[[#This Row],[Productividad (kg/TAS)]]*Tabla2[[#This Row],[Precio por kg]]-Tabla2[[#This Row],[Costos (En RD$/Tarea)]])</f>
        <v>5768.6374296435279</v>
      </c>
      <c r="O126" s="6">
        <f>IF(Tabla2[[#This Row],[Costos (En RD$/Tarea)]]=0,0,Tabla2[[#This Row],[Beneficio Neto  (En RD$/Tarea)]]/Tabla2[[#This Row],[Costos (En RD$/Tarea)]])</f>
        <v>0</v>
      </c>
      <c r="P126" s="4">
        <f>Tabla2[[#This Row],[Rentabilidad (%)]]/12</f>
        <v>0</v>
      </c>
    </row>
    <row r="127" spans="1:16" x14ac:dyDescent="0.35">
      <c r="A127" s="1">
        <v>36831</v>
      </c>
      <c r="B127" t="s">
        <v>24</v>
      </c>
      <c r="C127" s="2">
        <v>7460</v>
      </c>
      <c r="D127" s="5" t="s">
        <v>17</v>
      </c>
      <c r="E127" s="2">
        <f>IF(Tabla2[[#This Row],[Frecuencia]]="Annual", Tabla2[[#This Row],[Cosecha/Tarea]]/12,Tabla2[[#This Row],[Cosecha/Tarea]])</f>
        <v>7460</v>
      </c>
      <c r="F127" s="2">
        <v>80290</v>
      </c>
      <c r="G127" t="s">
        <v>18</v>
      </c>
      <c r="H127">
        <f>F127/Tabla2[[#This Row],[Cosecha Mensual]]</f>
        <v>10.762734584450403</v>
      </c>
      <c r="I127">
        <f>H127*_xlfn.XLOOKUP(Tabla2[[#This Row],[Unidad de producción]],Tabla3[Medida],Tabla3[Equivalencia en Kg],"ELVIS",0)</f>
        <v>488.19764075067025</v>
      </c>
      <c r="J127">
        <v>594.41666666666697</v>
      </c>
      <c r="K127" t="s">
        <v>18</v>
      </c>
      <c r="L127">
        <f>J127/_xlfn.XLOOKUP(Tabla2[[#This Row],[Unidad de precio]],Tabla3[Medida],Tabla3[Equivalencia en Kg],"ELVIS",0)</f>
        <v>13.104423868312765</v>
      </c>
      <c r="N127" s="2">
        <f>(Tabla2[[#This Row],[Productividad (kg/TAS)]]*Tabla2[[#This Row],[Precio por kg]]-Tabla2[[#This Row],[Costos (En RD$/Tarea)]])</f>
        <v>6397.5488159070637</v>
      </c>
      <c r="O127" s="6">
        <f>IF(Tabla2[[#This Row],[Costos (En RD$/Tarea)]]=0,0,Tabla2[[#This Row],[Beneficio Neto  (En RD$/Tarea)]]/Tabla2[[#This Row],[Costos (En RD$/Tarea)]])</f>
        <v>0</v>
      </c>
      <c r="P127" s="4">
        <f>Tabla2[[#This Row],[Rentabilidad (%)]]/12</f>
        <v>0</v>
      </c>
    </row>
    <row r="128" spans="1:16" x14ac:dyDescent="0.35">
      <c r="A128" s="1">
        <v>36831</v>
      </c>
      <c r="B128" t="s">
        <v>25</v>
      </c>
      <c r="C128" s="2">
        <v>24844</v>
      </c>
      <c r="D128" s="5" t="s">
        <v>17</v>
      </c>
      <c r="E128" s="2">
        <f>IF(Tabla2[[#This Row],[Frecuencia]]="Annual", Tabla2[[#This Row],[Cosecha/Tarea]]/12,Tabla2[[#This Row],[Cosecha/Tarea]])</f>
        <v>24844</v>
      </c>
      <c r="F128" s="2">
        <v>246411</v>
      </c>
      <c r="G128" t="s">
        <v>18</v>
      </c>
      <c r="H128">
        <f>F128/Tabla2[[#This Row],[Cosecha Mensual]]</f>
        <v>9.9183303815810664</v>
      </c>
      <c r="I128">
        <f>H128*_xlfn.XLOOKUP(Tabla2[[#This Row],[Unidad de producción]],Tabla3[Medida],Tabla3[Equivalencia en Kg],"ELVIS",0)</f>
        <v>449.89546610851716</v>
      </c>
      <c r="J128">
        <v>117.125</v>
      </c>
      <c r="K128" t="s">
        <v>18</v>
      </c>
      <c r="L128">
        <f>J128/_xlfn.XLOOKUP(Tabla2[[#This Row],[Unidad de precio]],Tabla3[Medida],Tabla3[Equivalencia en Kg],"ELVIS",0)</f>
        <v>2.5821208112874778</v>
      </c>
      <c r="N128" s="2">
        <f>(Tabla2[[#This Row],[Productividad (kg/TAS)]]*Tabla2[[#This Row],[Precio por kg]]-Tabla2[[#This Row],[Costos (En RD$/Tarea)]])</f>
        <v>1161.6844459426823</v>
      </c>
      <c r="O128" s="6">
        <f>IF(Tabla2[[#This Row],[Costos (En RD$/Tarea)]]=0,0,Tabla2[[#This Row],[Beneficio Neto  (En RD$/Tarea)]]/Tabla2[[#This Row],[Costos (En RD$/Tarea)]])</f>
        <v>0</v>
      </c>
      <c r="P128" s="4">
        <f>Tabla2[[#This Row],[Rentabilidad (%)]]/12</f>
        <v>0</v>
      </c>
    </row>
    <row r="129" spans="1:16" x14ac:dyDescent="0.35">
      <c r="A129" s="1">
        <v>36831</v>
      </c>
      <c r="B129" t="s">
        <v>26</v>
      </c>
      <c r="C129" s="2">
        <v>8240</v>
      </c>
      <c r="D129" s="5" t="s">
        <v>17</v>
      </c>
      <c r="E129" s="2">
        <f>IF(Tabla2[[#This Row],[Frecuencia]]="Annual", Tabla2[[#This Row],[Cosecha/Tarea]]/12,Tabla2[[#This Row],[Cosecha/Tarea]])</f>
        <v>8240</v>
      </c>
      <c r="F129" s="2">
        <v>44695</v>
      </c>
      <c r="G129" t="s">
        <v>18</v>
      </c>
      <c r="H129">
        <f>F129/Tabla2[[#This Row],[Cosecha Mensual]]</f>
        <v>5.4241504854368934</v>
      </c>
      <c r="I129">
        <f>H129*_xlfn.XLOOKUP(Tabla2[[#This Row],[Unidad de producción]],Tabla3[Medida],Tabla3[Equivalencia en Kg],"ELVIS",0)</f>
        <v>246.03946601941749</v>
      </c>
      <c r="J129">
        <v>198.52428571428601</v>
      </c>
      <c r="K129" t="s">
        <v>18</v>
      </c>
      <c r="L129">
        <f>J129/_xlfn.XLOOKUP(Tabla2[[#This Row],[Unidad de precio]],Tabla3[Medida],Tabla3[Equivalencia en Kg],"ELVIS",0)</f>
        <v>4.3766376921138894</v>
      </c>
      <c r="N129" s="2">
        <f>(Tabla2[[#This Row],[Productividad (kg/TAS)]]*Tabla2[[#This Row],[Precio por kg]]-Tabla2[[#This Row],[Costos (En RD$/Tarea)]])</f>
        <v>1076.825600728157</v>
      </c>
      <c r="O129" s="6">
        <f>IF(Tabla2[[#This Row],[Costos (En RD$/Tarea)]]=0,0,Tabla2[[#This Row],[Beneficio Neto  (En RD$/Tarea)]]/Tabla2[[#This Row],[Costos (En RD$/Tarea)]])</f>
        <v>0</v>
      </c>
      <c r="P129" s="4">
        <f>Tabla2[[#This Row],[Rentabilidad (%)]]/12</f>
        <v>0</v>
      </c>
    </row>
    <row r="130" spans="1:16" x14ac:dyDescent="0.35">
      <c r="A130" s="1">
        <v>36831</v>
      </c>
      <c r="B130" t="s">
        <v>27</v>
      </c>
      <c r="C130" s="2">
        <v>1954</v>
      </c>
      <c r="D130" s="5" t="s">
        <v>17</v>
      </c>
      <c r="E130" s="2">
        <f>IF(Tabla2[[#This Row],[Frecuencia]]="Annual", Tabla2[[#This Row],[Cosecha/Tarea]]/12,Tabla2[[#This Row],[Cosecha/Tarea]])</f>
        <v>1954</v>
      </c>
      <c r="F130" s="2">
        <v>12127</v>
      </c>
      <c r="G130" t="s">
        <v>18</v>
      </c>
      <c r="H130">
        <f>F130/Tabla2[[#This Row],[Cosecha Mensual]]</f>
        <v>6.206243602865916</v>
      </c>
      <c r="I130">
        <f>H130*_xlfn.XLOOKUP(Tabla2[[#This Row],[Unidad de producción]],Tabla3[Medida],Tabla3[Equivalencia en Kg],"ELVIS",0)</f>
        <v>281.51520982599794</v>
      </c>
      <c r="J130">
        <v>164.583333333333</v>
      </c>
      <c r="K130" t="s">
        <v>18</v>
      </c>
      <c r="L130">
        <f>J130/_xlfn.XLOOKUP(Tabla2[[#This Row],[Unidad de precio]],Tabla3[Medida],Tabla3[Equivalencia en Kg],"ELVIS",0)</f>
        <v>3.6283803644914685</v>
      </c>
      <c r="N130" s="2">
        <f>(Tabla2[[#This Row],[Productividad (kg/TAS)]]*Tabla2[[#This Row],[Precio por kg]]-Tabla2[[#This Row],[Costos (En RD$/Tarea)]])</f>
        <v>1021.4442596383467</v>
      </c>
      <c r="O130" s="6">
        <f>IF(Tabla2[[#This Row],[Costos (En RD$/Tarea)]]=0,0,Tabla2[[#This Row],[Beneficio Neto  (En RD$/Tarea)]]/Tabla2[[#This Row],[Costos (En RD$/Tarea)]])</f>
        <v>0</v>
      </c>
      <c r="P130" s="4">
        <f>Tabla2[[#This Row],[Rentabilidad (%)]]/12</f>
        <v>0</v>
      </c>
    </row>
    <row r="131" spans="1:16" x14ac:dyDescent="0.35">
      <c r="A131" s="1">
        <v>36831</v>
      </c>
      <c r="B131" t="s">
        <v>28</v>
      </c>
      <c r="C131" s="2">
        <v>14085</v>
      </c>
      <c r="D131" s="5" t="s">
        <v>17</v>
      </c>
      <c r="E131" s="2">
        <f>IF(Tabla2[[#This Row],[Frecuencia]]="Annual", Tabla2[[#This Row],[Cosecha/Tarea]]/12,Tabla2[[#This Row],[Cosecha/Tarea]])</f>
        <v>14085</v>
      </c>
      <c r="F131" s="2">
        <v>25207</v>
      </c>
      <c r="G131" t="s">
        <v>18</v>
      </c>
      <c r="H131">
        <f>F131/Tabla2[[#This Row],[Cosecha Mensual]]</f>
        <v>1.7896343627973021</v>
      </c>
      <c r="I131">
        <f>H131*_xlfn.XLOOKUP(Tabla2[[#This Row],[Unidad de producción]],Tabla3[Medida],Tabla3[Equivalencia en Kg],"ELVIS",0)</f>
        <v>81.177814696485626</v>
      </c>
      <c r="J131">
        <v>1960</v>
      </c>
      <c r="K131" t="s">
        <v>29</v>
      </c>
      <c r="L131">
        <f>J131/_xlfn.XLOOKUP(Tabla2[[#This Row],[Unidad de precio]],Tabla3[Medida],Tabla3[Equivalencia en Kg],"ELVIS",0)</f>
        <v>3.4854358573105237</v>
      </c>
      <c r="N131" s="2">
        <f>(Tabla2[[#This Row],[Productividad (kg/TAS)]]*Tabla2[[#This Row],[Precio por kg]]-Tabla2[[#This Row],[Costos (En RD$/Tarea)]])</f>
        <v>282.94006616124022</v>
      </c>
      <c r="O131" s="6">
        <f>IF(Tabla2[[#This Row],[Costos (En RD$/Tarea)]]=0,0,Tabla2[[#This Row],[Beneficio Neto  (En RD$/Tarea)]]/Tabla2[[#This Row],[Costos (En RD$/Tarea)]])</f>
        <v>0</v>
      </c>
      <c r="P131" s="4">
        <f>Tabla2[[#This Row],[Rentabilidad (%)]]/12</f>
        <v>0</v>
      </c>
    </row>
    <row r="132" spans="1:16" x14ac:dyDescent="0.35">
      <c r="A132" s="1">
        <v>36831</v>
      </c>
      <c r="B132" t="s">
        <v>30</v>
      </c>
      <c r="C132" s="2">
        <v>324794</v>
      </c>
      <c r="D132" s="2" t="s">
        <v>31</v>
      </c>
      <c r="E132" s="2">
        <f>IF(Tabla2[[#This Row],[Frecuencia]]="Annual", Tabla2[[#This Row],[Cosecha/Tarea]]/12,Tabla2[[#This Row],[Cosecha/Tarea]])</f>
        <v>27066.166666666668</v>
      </c>
      <c r="F132" s="2">
        <v>1583062</v>
      </c>
      <c r="G132" t="s">
        <v>32</v>
      </c>
      <c r="H132">
        <f>F132/Tabla2[[#This Row],[Cosecha Mensual]]</f>
        <v>58.488592769570865</v>
      </c>
      <c r="I132">
        <f>H132*_xlfn.XLOOKUP(Tabla2[[#This Row],[Unidad de producción]],Tabla3[Medida],Tabla3[Equivalencia en Kg],"ELVIS",0)</f>
        <v>1591.4746092600233</v>
      </c>
      <c r="J132">
        <v>23.011428571428599</v>
      </c>
      <c r="K132" t="s">
        <v>32</v>
      </c>
      <c r="L132">
        <f>J132/_xlfn.XLOOKUP(Tabla2[[#This Row],[Unidad de precio]],Tabla3[Medida],Tabla3[Equivalencia en Kg],"ELVIS",0)</f>
        <v>0.84569748516826893</v>
      </c>
      <c r="M132" s="2"/>
      <c r="N132" s="2">
        <f>(Tabla2[[#This Row],[Productividad (kg/TAS)]]*Tabla2[[#This Row],[Precio por kg]]-Tabla2[[#This Row],[Costos (En RD$/Tarea)]])</f>
        <v>1345.9060747603551</v>
      </c>
      <c r="O132" s="6">
        <f>IF(Tabla2[[#This Row],[Costos (En RD$/Tarea)]]=0,0,Tabla2[[#This Row],[Beneficio Neto  (En RD$/Tarea)]]/Tabla2[[#This Row],[Costos (En RD$/Tarea)]])</f>
        <v>0</v>
      </c>
      <c r="P132" s="4">
        <f>Tabla2[[#This Row],[Rentabilidad (%)]]/12</f>
        <v>0</v>
      </c>
    </row>
    <row r="133" spans="1:16" x14ac:dyDescent="0.35">
      <c r="A133" s="1">
        <v>36831</v>
      </c>
      <c r="B133" t="s">
        <v>33</v>
      </c>
      <c r="C133" s="2">
        <v>575291</v>
      </c>
      <c r="D133" s="2" t="s">
        <v>31</v>
      </c>
      <c r="E133" s="2">
        <f>IF(Tabla2[[#This Row],[Frecuencia]]="Annual", Tabla2[[#This Row],[Cosecha/Tarea]]/12,Tabla2[[#This Row],[Cosecha/Tarea]])</f>
        <v>47940.916666666664</v>
      </c>
      <c r="F133" s="2">
        <v>76017</v>
      </c>
      <c r="G133" t="s">
        <v>34</v>
      </c>
      <c r="H133">
        <f>F133/Tabla2[[#This Row],[Cosecha Mensual]]</f>
        <v>1.585639267779263</v>
      </c>
      <c r="I133">
        <f>H133*_xlfn.XLOOKUP(Tabla2[[#This Row],[Unidad de producción]],Tabla3[Medida],Tabla3[Equivalencia en Kg],"ELVIS",0)</f>
        <v>647.17866714410616</v>
      </c>
      <c r="J133">
        <v>1496.7385714285699</v>
      </c>
      <c r="K133" t="s">
        <v>34</v>
      </c>
      <c r="L133">
        <f>J133/_xlfn.XLOOKUP(Tabla2[[#This Row],[Unidad de precio]],Tabla3[Medida],Tabla3[Equivalencia en Kg],"ELVIS",0)</f>
        <v>3.6671286816821511</v>
      </c>
      <c r="M133" s="2"/>
      <c r="N133" s="2">
        <f>(Tabla2[[#This Row],[Productividad (kg/TAS)]]*Tabla2[[#This Row],[Precio por kg]]-Tabla2[[#This Row],[Costos (En RD$/Tarea)]])</f>
        <v>2373.2874524569779</v>
      </c>
      <c r="O133" s="6">
        <f>IF(Tabla2[[#This Row],[Costos (En RD$/Tarea)]]=0,0,Tabla2[[#This Row],[Beneficio Neto  (En RD$/Tarea)]]/Tabla2[[#This Row],[Costos (En RD$/Tarea)]])</f>
        <v>0</v>
      </c>
      <c r="P133" s="4">
        <f>Tabla2[[#This Row],[Rentabilidad (%)]]/12</f>
        <v>0</v>
      </c>
    </row>
    <row r="134" spans="1:16" x14ac:dyDescent="0.35">
      <c r="A134" s="1">
        <v>36861</v>
      </c>
      <c r="B134" t="s">
        <v>16</v>
      </c>
      <c r="C134" s="5">
        <v>164365</v>
      </c>
      <c r="D134" s="5" t="s">
        <v>17</v>
      </c>
      <c r="E134" s="5">
        <f>IF(Tabla2[[#This Row],[Frecuencia]]="Annual", Tabla2[[#This Row],[Cosecha/Tarea]]/12,Tabla2[[#This Row],[Cosecha/Tarea]])</f>
        <v>164365</v>
      </c>
      <c r="F134" s="2">
        <v>546838</v>
      </c>
      <c r="G134" t="s">
        <v>18</v>
      </c>
      <c r="H134">
        <f>F134/Tabla2[[#This Row],[Cosecha Mensual]]</f>
        <v>3.3269735040915038</v>
      </c>
      <c r="I134">
        <f>H134*_xlfn.XLOOKUP(Tabla2[[#This Row],[Unidad de producción]],Tabla3[Medida],Tabla3[Equivalencia en Kg],"ELVIS",0)</f>
        <v>150.91151814559061</v>
      </c>
      <c r="J134">
        <v>1068.8514851485099</v>
      </c>
      <c r="K134" t="s">
        <v>19</v>
      </c>
      <c r="L134">
        <f>J134/_xlfn.XLOOKUP(Tabla2[[#This Row],[Unidad de precio]],Tabla3[Medida],Tabla3[Equivalencia en Kg],"ELVIS",0)</f>
        <v>9.7168316831682713</v>
      </c>
      <c r="N134" s="2">
        <f>(Tabla2[[#This Row],[Productividad (kg/TAS)]]*Tabla2[[#This Row],[Precio por kg]]-Tabla2[[#This Row],[Costos (En RD$/Tarea)]])</f>
        <v>1466.3818208720984</v>
      </c>
      <c r="O134" s="6">
        <f>IF(Tabla2[[#This Row],[Costos (En RD$/Tarea)]]=0,0,Tabla2[[#This Row],[Beneficio Neto  (En RD$/Tarea)]]/Tabla2[[#This Row],[Costos (En RD$/Tarea)]])</f>
        <v>0</v>
      </c>
      <c r="P134" s="4">
        <f>Tabla2[[#This Row],[Rentabilidad (%)]]/12</f>
        <v>0</v>
      </c>
    </row>
    <row r="135" spans="1:16" x14ac:dyDescent="0.35">
      <c r="A135" s="1">
        <v>36861</v>
      </c>
      <c r="B135" t="s">
        <v>20</v>
      </c>
      <c r="C135" s="2">
        <v>27775</v>
      </c>
      <c r="D135" s="5" t="s">
        <v>17</v>
      </c>
      <c r="E135" s="2">
        <f>IF(Tabla2[[#This Row],[Frecuencia]]="Annual", Tabla2[[#This Row],[Cosecha/Tarea]]/12,Tabla2[[#This Row],[Cosecha/Tarea]])</f>
        <v>27775</v>
      </c>
      <c r="F135" s="2">
        <v>40210</v>
      </c>
      <c r="G135" t="s">
        <v>18</v>
      </c>
      <c r="H135">
        <f>F135/Tabla2[[#This Row],[Cosecha Mensual]]</f>
        <v>1.4477047704770476</v>
      </c>
      <c r="I135">
        <f>H135*_xlfn.XLOOKUP(Tabla2[[#This Row],[Unidad de producción]],Tabla3[Medida],Tabla3[Equivalencia en Kg],"ELVIS",0)</f>
        <v>65.667888388838875</v>
      </c>
      <c r="J135">
        <v>127.902083333333</v>
      </c>
      <c r="K135" t="s">
        <v>18</v>
      </c>
      <c r="L135">
        <f>J135/_xlfn.XLOOKUP(Tabla2[[#This Row],[Unidad de precio]],Tabla3[Medida],Tabla3[Equivalencia en Kg],"ELVIS",0)</f>
        <v>2.8197108318636022</v>
      </c>
      <c r="N135" s="2">
        <f>(Tabla2[[#This Row],[Productividad (kg/TAS)]]*Tabla2[[#This Row],[Precio por kg]]-Tabla2[[#This Row],[Costos (En RD$/Tarea)]])</f>
        <v>185.16445619561904</v>
      </c>
      <c r="O135" s="6">
        <f>IF(Tabla2[[#This Row],[Costos (En RD$/Tarea)]]=0,0,Tabla2[[#This Row],[Beneficio Neto  (En RD$/Tarea)]]/Tabla2[[#This Row],[Costos (En RD$/Tarea)]])</f>
        <v>0</v>
      </c>
      <c r="P135" s="4">
        <f>Tabla2[[#This Row],[Rentabilidad (%)]]/12</f>
        <v>0</v>
      </c>
    </row>
    <row r="136" spans="1:16" x14ac:dyDescent="0.35">
      <c r="A136" s="1">
        <v>36861</v>
      </c>
      <c r="B136" t="s">
        <v>21</v>
      </c>
      <c r="C136" s="2">
        <v>6686</v>
      </c>
      <c r="D136" s="5" t="s">
        <v>17</v>
      </c>
      <c r="E136" s="2">
        <f>IF(Tabla2[[#This Row],[Frecuencia]]="Annual", Tabla2[[#This Row],[Cosecha/Tarea]]/12,Tabla2[[#This Row],[Cosecha/Tarea]])</f>
        <v>6686</v>
      </c>
      <c r="F136" s="2">
        <v>50546</v>
      </c>
      <c r="G136" t="s">
        <v>18</v>
      </c>
      <c r="H136">
        <f>F136/Tabla2[[#This Row],[Cosecha Mensual]]</f>
        <v>7.5599760693987434</v>
      </c>
      <c r="I136">
        <f>H136*_xlfn.XLOOKUP(Tabla2[[#This Row],[Unidad de producción]],Tabla3[Medida],Tabla3[Equivalencia en Kg],"ELVIS",0)</f>
        <v>342.92051450792701</v>
      </c>
      <c r="J136">
        <v>157.5</v>
      </c>
      <c r="K136" t="s">
        <v>18</v>
      </c>
      <c r="L136">
        <f>J136/_xlfn.XLOOKUP(Tabla2[[#This Row],[Unidad de precio]],Tabla3[Medida],Tabla3[Equivalencia en Kg],"ELVIS",0)</f>
        <v>3.4722222222222223</v>
      </c>
      <c r="N136" s="2">
        <f>(Tabla2[[#This Row],[Productividad (kg/TAS)]]*Tabla2[[#This Row],[Precio por kg]]-Tabla2[[#This Row],[Costos (En RD$/Tarea)]])</f>
        <v>1190.6962309303021</v>
      </c>
      <c r="O136" s="6">
        <f>IF(Tabla2[[#This Row],[Costos (En RD$/Tarea)]]=0,0,Tabla2[[#This Row],[Beneficio Neto  (En RD$/Tarea)]]/Tabla2[[#This Row],[Costos (En RD$/Tarea)]])</f>
        <v>0</v>
      </c>
      <c r="P136" s="4">
        <f>Tabla2[[#This Row],[Rentabilidad (%)]]/12</f>
        <v>0</v>
      </c>
    </row>
    <row r="137" spans="1:16" x14ac:dyDescent="0.35">
      <c r="A137" s="1">
        <v>36861</v>
      </c>
      <c r="B137" t="s">
        <v>22</v>
      </c>
      <c r="C137" s="2">
        <v>1781</v>
      </c>
      <c r="D137" s="5" t="s">
        <v>17</v>
      </c>
      <c r="E137" s="2">
        <f>IF(Tabla2[[#This Row],[Frecuencia]]="Annual", Tabla2[[#This Row],[Cosecha/Tarea]]/12,Tabla2[[#This Row],[Cosecha/Tarea]])</f>
        <v>1781</v>
      </c>
      <c r="F137" s="2">
        <v>15535</v>
      </c>
      <c r="G137" t="s">
        <v>18</v>
      </c>
      <c r="H137">
        <f>F137/Tabla2[[#This Row],[Cosecha Mensual]]</f>
        <v>8.7226277372262775</v>
      </c>
      <c r="I137">
        <f>H137*_xlfn.XLOOKUP(Tabla2[[#This Row],[Unidad de producción]],Tabla3[Medida],Tabla3[Equivalencia en Kg],"ELVIS",0)</f>
        <v>395.65839416058395</v>
      </c>
      <c r="J137">
        <v>187.916666666667</v>
      </c>
      <c r="K137" t="s">
        <v>18</v>
      </c>
      <c r="L137">
        <f>J137/_xlfn.XLOOKUP(Tabla2[[#This Row],[Unidad de precio]],Tabla3[Medida],Tabla3[Equivalencia en Kg],"ELVIS",0)</f>
        <v>4.1427836566725533</v>
      </c>
      <c r="N137" s="2">
        <f>(Tabla2[[#This Row],[Productividad (kg/TAS)]]*Tabla2[[#This Row],[Precio por kg]]-Tabla2[[#This Row],[Costos (En RD$/Tarea)]])</f>
        <v>1639.1271289537744</v>
      </c>
      <c r="O137" s="6">
        <f>IF(Tabla2[[#This Row],[Costos (En RD$/Tarea)]]=0,0,Tabla2[[#This Row],[Beneficio Neto  (En RD$/Tarea)]]/Tabla2[[#This Row],[Costos (En RD$/Tarea)]])</f>
        <v>0</v>
      </c>
      <c r="P137" s="4">
        <f>Tabla2[[#This Row],[Rentabilidad (%)]]/12</f>
        <v>0</v>
      </c>
    </row>
    <row r="138" spans="1:16" x14ac:dyDescent="0.35">
      <c r="A138" s="1">
        <v>36861</v>
      </c>
      <c r="B138" t="s">
        <v>23</v>
      </c>
      <c r="C138" s="2">
        <v>1869</v>
      </c>
      <c r="D138" s="5" t="s">
        <v>17</v>
      </c>
      <c r="E138" s="2">
        <f>IF(Tabla2[[#This Row],[Frecuencia]]="Annual", Tabla2[[#This Row],[Cosecha/Tarea]]/12,Tabla2[[#This Row],[Cosecha/Tarea]])</f>
        <v>1869</v>
      </c>
      <c r="F138" s="2">
        <v>39010</v>
      </c>
      <c r="G138" t="s">
        <v>18</v>
      </c>
      <c r="H138">
        <f>F138/Tabla2[[#This Row],[Cosecha Mensual]]</f>
        <v>20.872124130551096</v>
      </c>
      <c r="I138">
        <f>H138*_xlfn.XLOOKUP(Tabla2[[#This Row],[Unidad de producción]],Tabla3[Medida],Tabla3[Equivalencia en Kg],"ELVIS",0)</f>
        <v>946.75955056179771</v>
      </c>
      <c r="J138">
        <v>375</v>
      </c>
      <c r="K138" t="s">
        <v>18</v>
      </c>
      <c r="L138">
        <f>J138/_xlfn.XLOOKUP(Tabla2[[#This Row],[Unidad de precio]],Tabla3[Medida],Tabla3[Equivalencia en Kg],"ELVIS",0)</f>
        <v>8.2671957671957674</v>
      </c>
      <c r="N138" s="2">
        <f>(Tabla2[[#This Row],[Productividad (kg/TAS)]]*Tabla2[[#This Row],[Precio por kg]]-Tabla2[[#This Row],[Costos (En RD$/Tarea)]])</f>
        <v>7827.0465489566614</v>
      </c>
      <c r="O138" s="6">
        <f>IF(Tabla2[[#This Row],[Costos (En RD$/Tarea)]]=0,0,Tabla2[[#This Row],[Beneficio Neto  (En RD$/Tarea)]]/Tabla2[[#This Row],[Costos (En RD$/Tarea)]])</f>
        <v>0</v>
      </c>
      <c r="P138" s="4">
        <f>Tabla2[[#This Row],[Rentabilidad (%)]]/12</f>
        <v>0</v>
      </c>
    </row>
    <row r="139" spans="1:16" x14ac:dyDescent="0.35">
      <c r="A139" s="1">
        <v>36861</v>
      </c>
      <c r="B139" t="s">
        <v>24</v>
      </c>
      <c r="C139" s="2">
        <v>8894</v>
      </c>
      <c r="D139" s="5" t="s">
        <v>17</v>
      </c>
      <c r="E139" s="2">
        <f>IF(Tabla2[[#This Row],[Frecuencia]]="Annual", Tabla2[[#This Row],[Cosecha/Tarea]]/12,Tabla2[[#This Row],[Cosecha/Tarea]])</f>
        <v>8894</v>
      </c>
      <c r="F139" s="2">
        <v>94196</v>
      </c>
      <c r="G139" t="s">
        <v>18</v>
      </c>
      <c r="H139">
        <f>F139/Tabla2[[#This Row],[Cosecha Mensual]]</f>
        <v>10.590960197886215</v>
      </c>
      <c r="I139">
        <f>H139*_xlfn.XLOOKUP(Tabla2[[#This Row],[Unidad de producción]],Tabla3[Medida],Tabla3[Equivalencia en Kg],"ELVIS",0)</f>
        <v>480.40595457611869</v>
      </c>
      <c r="J139">
        <v>649.25</v>
      </c>
      <c r="K139" t="s">
        <v>18</v>
      </c>
      <c r="L139">
        <f>J139/_xlfn.XLOOKUP(Tabla2[[#This Row],[Unidad de precio]],Tabla3[Medida],Tabla3[Equivalencia en Kg],"ELVIS",0)</f>
        <v>14.313271604938272</v>
      </c>
      <c r="N139" s="2">
        <f>(Tabla2[[#This Row],[Productividad (kg/TAS)]]*Tabla2[[#This Row],[Precio por kg]]-Tabla2[[#This Row],[Costos (En RD$/Tarea)]])</f>
        <v>6876.1809084776251</v>
      </c>
      <c r="O139" s="6">
        <f>IF(Tabla2[[#This Row],[Costos (En RD$/Tarea)]]=0,0,Tabla2[[#This Row],[Beneficio Neto  (En RD$/Tarea)]]/Tabla2[[#This Row],[Costos (En RD$/Tarea)]])</f>
        <v>0</v>
      </c>
      <c r="P139" s="4">
        <f>Tabla2[[#This Row],[Rentabilidad (%)]]/12</f>
        <v>0</v>
      </c>
    </row>
    <row r="140" spans="1:16" x14ac:dyDescent="0.35">
      <c r="A140" s="1">
        <v>36861</v>
      </c>
      <c r="B140" t="s">
        <v>25</v>
      </c>
      <c r="C140" s="2">
        <v>24997</v>
      </c>
      <c r="D140" s="5" t="s">
        <v>17</v>
      </c>
      <c r="E140" s="2">
        <f>IF(Tabla2[[#This Row],[Frecuencia]]="Annual", Tabla2[[#This Row],[Cosecha/Tarea]]/12,Tabla2[[#This Row],[Cosecha/Tarea]])</f>
        <v>24997</v>
      </c>
      <c r="F140" s="2">
        <v>241651</v>
      </c>
      <c r="G140" t="s">
        <v>18</v>
      </c>
      <c r="H140">
        <f>F140/Tabla2[[#This Row],[Cosecha Mensual]]</f>
        <v>9.6672000640076803</v>
      </c>
      <c r="I140">
        <f>H140*_xlfn.XLOOKUP(Tabla2[[#This Row],[Unidad de producción]],Tabla3[Medida],Tabla3[Equivalencia en Kg],"ELVIS",0)</f>
        <v>438.5041949033884</v>
      </c>
      <c r="J140">
        <v>109.754166666667</v>
      </c>
      <c r="K140" t="s">
        <v>18</v>
      </c>
      <c r="L140">
        <f>J140/_xlfn.XLOOKUP(Tabla2[[#This Row],[Unidad de precio]],Tabla3[Medida],Tabla3[Equivalencia en Kg],"ELVIS",0)</f>
        <v>2.4196244855967155</v>
      </c>
      <c r="N140" s="2">
        <f>(Tabla2[[#This Row],[Productividad (kg/TAS)]]*Tabla2[[#This Row],[Precio por kg]]-Tabla2[[#This Row],[Costos (En RD$/Tarea)]])</f>
        <v>1061.0154870251131</v>
      </c>
      <c r="O140" s="6">
        <f>IF(Tabla2[[#This Row],[Costos (En RD$/Tarea)]]=0,0,Tabla2[[#This Row],[Beneficio Neto  (En RD$/Tarea)]]/Tabla2[[#This Row],[Costos (En RD$/Tarea)]])</f>
        <v>0</v>
      </c>
      <c r="P140" s="4">
        <f>Tabla2[[#This Row],[Rentabilidad (%)]]/12</f>
        <v>0</v>
      </c>
    </row>
    <row r="141" spans="1:16" x14ac:dyDescent="0.35">
      <c r="A141" s="1">
        <v>36861</v>
      </c>
      <c r="B141" t="s">
        <v>26</v>
      </c>
      <c r="C141" s="2">
        <v>9718</v>
      </c>
      <c r="D141" s="5" t="s">
        <v>17</v>
      </c>
      <c r="E141" s="2">
        <f>IF(Tabla2[[#This Row],[Frecuencia]]="Annual", Tabla2[[#This Row],[Cosecha/Tarea]]/12,Tabla2[[#This Row],[Cosecha/Tarea]])</f>
        <v>9718</v>
      </c>
      <c r="F141" s="2">
        <v>57852</v>
      </c>
      <c r="G141" t="s">
        <v>18</v>
      </c>
      <c r="H141">
        <f>F141/Tabla2[[#This Row],[Cosecha Mensual]]</f>
        <v>5.9530767647664131</v>
      </c>
      <c r="I141">
        <f>H141*_xlfn.XLOOKUP(Tabla2[[#This Row],[Unidad de producción]],Tabla3[Medida],Tabla3[Equivalencia en Kg],"ELVIS",0)</f>
        <v>270.03156204980451</v>
      </c>
      <c r="J141">
        <v>167.9</v>
      </c>
      <c r="K141" t="s">
        <v>18</v>
      </c>
      <c r="L141">
        <f>J141/_xlfn.XLOOKUP(Tabla2[[#This Row],[Unidad de precio]],Tabla3[Medida],Tabla3[Equivalencia en Kg],"ELVIS",0)</f>
        <v>3.7014991181657848</v>
      </c>
      <c r="N141" s="2">
        <f>(Tabla2[[#This Row],[Productividad (kg/TAS)]]*Tabla2[[#This Row],[Precio por kg]]-Tabla2[[#This Row],[Costos (En RD$/Tarea)]])</f>
        <v>999.52158880428078</v>
      </c>
      <c r="O141" s="6">
        <f>IF(Tabla2[[#This Row],[Costos (En RD$/Tarea)]]=0,0,Tabla2[[#This Row],[Beneficio Neto  (En RD$/Tarea)]]/Tabla2[[#This Row],[Costos (En RD$/Tarea)]])</f>
        <v>0</v>
      </c>
      <c r="P141" s="4">
        <f>Tabla2[[#This Row],[Rentabilidad (%)]]/12</f>
        <v>0</v>
      </c>
    </row>
    <row r="142" spans="1:16" x14ac:dyDescent="0.35">
      <c r="A142" s="1">
        <v>36861</v>
      </c>
      <c r="B142" t="s">
        <v>27</v>
      </c>
      <c r="C142" s="2">
        <v>2277</v>
      </c>
      <c r="D142" s="5" t="s">
        <v>17</v>
      </c>
      <c r="E142" s="2">
        <f>IF(Tabla2[[#This Row],[Frecuencia]]="Annual", Tabla2[[#This Row],[Cosecha/Tarea]]/12,Tabla2[[#This Row],[Cosecha/Tarea]])</f>
        <v>2277</v>
      </c>
      <c r="F142" s="2">
        <v>18817</v>
      </c>
      <c r="G142" t="s">
        <v>18</v>
      </c>
      <c r="H142">
        <f>F142/Tabla2[[#This Row],[Cosecha Mensual]]</f>
        <v>8.2639437856829154</v>
      </c>
      <c r="I142">
        <f>H142*_xlfn.XLOOKUP(Tabla2[[#This Row],[Unidad de producción]],Tabla3[Medida],Tabla3[Equivalencia en Kg],"ELVIS",0)</f>
        <v>374.85249011857707</v>
      </c>
      <c r="J142">
        <v>148.166666666667</v>
      </c>
      <c r="K142" t="s">
        <v>18</v>
      </c>
      <c r="L142">
        <f>J142/_xlfn.XLOOKUP(Tabla2[[#This Row],[Unidad de precio]],Tabla3[Medida],Tabla3[Equivalencia en Kg],"ELVIS",0)</f>
        <v>3.2664609053498017</v>
      </c>
      <c r="N142" s="2">
        <f>(Tabla2[[#This Row],[Productividad (kg/TAS)]]*Tabla2[[#This Row],[Precio por kg]]-Tabla2[[#This Row],[Costos (En RD$/Tarea)]])</f>
        <v>1224.4410042453549</v>
      </c>
      <c r="O142" s="6">
        <f>IF(Tabla2[[#This Row],[Costos (En RD$/Tarea)]]=0,0,Tabla2[[#This Row],[Beneficio Neto  (En RD$/Tarea)]]/Tabla2[[#This Row],[Costos (En RD$/Tarea)]])</f>
        <v>0</v>
      </c>
      <c r="P142" s="4">
        <f>Tabla2[[#This Row],[Rentabilidad (%)]]/12</f>
        <v>0</v>
      </c>
    </row>
    <row r="143" spans="1:16" x14ac:dyDescent="0.35">
      <c r="A143" s="1">
        <v>36861</v>
      </c>
      <c r="B143" t="s">
        <v>28</v>
      </c>
      <c r="C143" s="2">
        <v>15627</v>
      </c>
      <c r="D143" s="5" t="s">
        <v>17</v>
      </c>
      <c r="E143" s="2">
        <f>IF(Tabla2[[#This Row],[Frecuencia]]="Annual", Tabla2[[#This Row],[Cosecha/Tarea]]/12,Tabla2[[#This Row],[Cosecha/Tarea]])</f>
        <v>15627</v>
      </c>
      <c r="F143" s="2">
        <v>37827</v>
      </c>
      <c r="G143" t="s">
        <v>18</v>
      </c>
      <c r="H143">
        <f>F143/Tabla2[[#This Row],[Cosecha Mensual]]</f>
        <v>2.4206181608754078</v>
      </c>
      <c r="I143">
        <f>H143*_xlfn.XLOOKUP(Tabla2[[#This Row],[Unidad de producción]],Tabla3[Medida],Tabla3[Equivalencia en Kg],"ELVIS",0)</f>
        <v>109.7992397773085</v>
      </c>
      <c r="J143">
        <v>2662.5</v>
      </c>
      <c r="K143" t="s">
        <v>29</v>
      </c>
      <c r="L143">
        <f>J143/_xlfn.XLOOKUP(Tabla2[[#This Row],[Unidad de precio]],Tabla3[Medida],Tabla3[Equivalencia en Kg],"ELVIS",0)</f>
        <v>4.7346800867802399</v>
      </c>
      <c r="N143" s="2">
        <f>(Tabla2[[#This Row],[Productividad (kg/TAS)]]*Tabla2[[#This Row],[Precio por kg]]-Tabla2[[#This Row],[Costos (En RD$/Tarea)]])</f>
        <v>519.86427411723139</v>
      </c>
      <c r="O143" s="6">
        <f>IF(Tabla2[[#This Row],[Costos (En RD$/Tarea)]]=0,0,Tabla2[[#This Row],[Beneficio Neto  (En RD$/Tarea)]]/Tabla2[[#This Row],[Costos (En RD$/Tarea)]])</f>
        <v>0</v>
      </c>
      <c r="P143" s="4">
        <f>Tabla2[[#This Row],[Rentabilidad (%)]]/12</f>
        <v>0</v>
      </c>
    </row>
    <row r="144" spans="1:16" x14ac:dyDescent="0.35">
      <c r="A144" s="1">
        <v>36861</v>
      </c>
      <c r="B144" t="s">
        <v>30</v>
      </c>
      <c r="C144" s="2">
        <v>259643</v>
      </c>
      <c r="D144" s="2" t="s">
        <v>31</v>
      </c>
      <c r="E144" s="2">
        <f>IF(Tabla2[[#This Row],[Frecuencia]]="Annual", Tabla2[[#This Row],[Cosecha/Tarea]]/12,Tabla2[[#This Row],[Cosecha/Tarea]])</f>
        <v>21636.916666666668</v>
      </c>
      <c r="F144" s="2">
        <v>1533707</v>
      </c>
      <c r="G144" t="s">
        <v>32</v>
      </c>
      <c r="H144">
        <f>F144/Tabla2[[#This Row],[Cosecha Mensual]]</f>
        <v>70.8838058410972</v>
      </c>
      <c r="I144">
        <f>H144*_xlfn.XLOOKUP(Tabla2[[#This Row],[Unidad de producción]],Tabla3[Medida],Tabla3[Equivalencia en Kg],"ELVIS",0)</f>
        <v>1928.7483569362548</v>
      </c>
      <c r="J144">
        <v>24.125</v>
      </c>
      <c r="K144" t="s">
        <v>32</v>
      </c>
      <c r="L144">
        <f>J144/_xlfn.XLOOKUP(Tabla2[[#This Row],[Unidad de precio]],Tabla3[Medida],Tabla3[Equivalencia en Kg],"ELVIS",0)</f>
        <v>0.88662256523337002</v>
      </c>
      <c r="M144" s="2"/>
      <c r="N144" s="2">
        <f>(Tabla2[[#This Row],[Productividad (kg/TAS)]]*Tabla2[[#This Row],[Precio por kg]]-Tabla2[[#This Row],[Costos (En RD$/Tarea)]])</f>
        <v>1710.0718159164699</v>
      </c>
      <c r="O144" s="6">
        <f>IF(Tabla2[[#This Row],[Costos (En RD$/Tarea)]]=0,0,Tabla2[[#This Row],[Beneficio Neto  (En RD$/Tarea)]]/Tabla2[[#This Row],[Costos (En RD$/Tarea)]])</f>
        <v>0</v>
      </c>
      <c r="P144" s="4">
        <f>Tabla2[[#This Row],[Rentabilidad (%)]]/12</f>
        <v>0</v>
      </c>
    </row>
    <row r="145" spans="1:16" x14ac:dyDescent="0.35">
      <c r="A145" s="1">
        <v>36861</v>
      </c>
      <c r="B145" t="s">
        <v>33</v>
      </c>
      <c r="C145" s="2">
        <v>562094</v>
      </c>
      <c r="D145" s="2" t="s">
        <v>31</v>
      </c>
      <c r="E145" s="2">
        <f>IF(Tabla2[[#This Row],[Frecuencia]]="Annual", Tabla2[[#This Row],[Cosecha/Tarea]]/12,Tabla2[[#This Row],[Cosecha/Tarea]])</f>
        <v>46841.166666666664</v>
      </c>
      <c r="F145" s="2">
        <v>78057</v>
      </c>
      <c r="G145" t="s">
        <v>34</v>
      </c>
      <c r="H145">
        <f>F145/Tabla2[[#This Row],[Cosecha Mensual]]</f>
        <v>1.6664187840467966</v>
      </c>
      <c r="I145">
        <f>H145*_xlfn.XLOOKUP(Tabla2[[#This Row],[Unidad de producción]],Tabla3[Medida],Tabla3[Equivalencia en Kg],"ELVIS",0)</f>
        <v>680.14882670869997</v>
      </c>
      <c r="J145">
        <v>1429.75</v>
      </c>
      <c r="K145" t="s">
        <v>34</v>
      </c>
      <c r="L145">
        <f>J145/_xlfn.XLOOKUP(Tabla2[[#This Row],[Unidad de precio]],Tabla3[Medida],Tabla3[Equivalencia en Kg],"ELVIS",0)</f>
        <v>3.5030013475437953</v>
      </c>
      <c r="M145" s="2"/>
      <c r="N145" s="2">
        <f>(Tabla2[[#This Row],[Productividad (kg/TAS)]]*Tabla2[[#This Row],[Precio por kg]]-Tabla2[[#This Row],[Costos (En RD$/Tarea)]])</f>
        <v>2382.5622564909072</v>
      </c>
      <c r="O145" s="6">
        <f>IF(Tabla2[[#This Row],[Costos (En RD$/Tarea)]]=0,0,Tabla2[[#This Row],[Beneficio Neto  (En RD$/Tarea)]]/Tabla2[[#This Row],[Costos (En RD$/Tarea)]])</f>
        <v>0</v>
      </c>
      <c r="P145" s="4">
        <f>Tabla2[[#This Row],[Rentabilidad (%)]]/12</f>
        <v>0</v>
      </c>
    </row>
    <row r="146" spans="1:16" x14ac:dyDescent="0.35">
      <c r="A146" s="1">
        <v>36892</v>
      </c>
      <c r="B146" t="s">
        <v>16</v>
      </c>
      <c r="C146" s="2">
        <v>58745</v>
      </c>
      <c r="D146" s="5" t="s">
        <v>17</v>
      </c>
      <c r="E146" s="2">
        <f>IF(Tabla2[[#This Row],[Frecuencia]]="Annual", Tabla2[[#This Row],[Cosecha/Tarea]]/12,Tabla2[[#This Row],[Cosecha/Tarea]])</f>
        <v>58745</v>
      </c>
      <c r="F146" s="2">
        <v>175343</v>
      </c>
      <c r="G146" t="s">
        <v>18</v>
      </c>
      <c r="H146">
        <f>F146/Tabla2[[#This Row],[Cosecha Mensual]]</f>
        <v>2.9848157289982127</v>
      </c>
      <c r="I146">
        <f>H146*_xlfn.XLOOKUP(Tabla2[[#This Row],[Unidad de producción]],Tabla3[Medida],Tabla3[Equivalencia en Kg],"ELVIS",0)</f>
        <v>135.39124146735892</v>
      </c>
      <c r="J146">
        <v>968.29042904290395</v>
      </c>
      <c r="K146" t="s">
        <v>19</v>
      </c>
      <c r="L146">
        <f>J146/_xlfn.XLOOKUP(Tabla2[[#This Row],[Unidad de precio]],Tabla3[Medida],Tabla3[Equivalencia en Kg],"ELVIS",0)</f>
        <v>8.8026402640263992</v>
      </c>
      <c r="N146" s="2">
        <f>(Tabla2[[#This Row],[Productividad (kg/TAS)]]*Tabla2[[#This Row],[Precio por kg]]-Tabla2[[#This Row],[Costos (En RD$/Tarea)]])</f>
        <v>1191.8003935370944</v>
      </c>
      <c r="O146" s="6">
        <f>IF(Tabla2[[#This Row],[Costos (En RD$/Tarea)]]=0,0,Tabla2[[#This Row],[Beneficio Neto  (En RD$/Tarea)]]/Tabla2[[#This Row],[Costos (En RD$/Tarea)]])</f>
        <v>0</v>
      </c>
      <c r="P146" s="4">
        <f>Tabla2[[#This Row],[Rentabilidad (%)]]/12</f>
        <v>0</v>
      </c>
    </row>
    <row r="147" spans="1:16" x14ac:dyDescent="0.35">
      <c r="A147" s="1">
        <v>36892</v>
      </c>
      <c r="B147" t="s">
        <v>20</v>
      </c>
      <c r="C147" s="2">
        <v>30716</v>
      </c>
      <c r="D147" s="5" t="s">
        <v>17</v>
      </c>
      <c r="E147" s="2">
        <f>IF(Tabla2[[#This Row],[Frecuencia]]="Annual", Tabla2[[#This Row],[Cosecha/Tarea]]/12,Tabla2[[#This Row],[Cosecha/Tarea]])</f>
        <v>30716</v>
      </c>
      <c r="F147" s="2">
        <v>48838</v>
      </c>
      <c r="G147" t="s">
        <v>18</v>
      </c>
      <c r="H147">
        <f>F147/Tabla2[[#This Row],[Cosecha Mensual]]</f>
        <v>1.5899856752181274</v>
      </c>
      <c r="I147">
        <f>H147*_xlfn.XLOOKUP(Tabla2[[#This Row],[Unidad de producción]],Tabla3[Medida],Tabla3[Equivalencia en Kg],"ELVIS",0)</f>
        <v>72.121750227894253</v>
      </c>
      <c r="J147">
        <v>134.58316666666701</v>
      </c>
      <c r="K147" t="s">
        <v>18</v>
      </c>
      <c r="L147">
        <f>J147/_xlfn.XLOOKUP(Tabla2[[#This Row],[Unidad de precio]],Tabla3[Medida],Tabla3[Equivalencia en Kg],"ELVIS",0)</f>
        <v>2.967001028806592</v>
      </c>
      <c r="N147" s="2">
        <f>(Tabla2[[#This Row],[Productividad (kg/TAS)]]*Tabla2[[#This Row],[Precio por kg]]-Tabla2[[#This Row],[Costos (En RD$/Tarea)]])</f>
        <v>213.9853071254943</v>
      </c>
      <c r="O147" s="6">
        <f>IF(Tabla2[[#This Row],[Costos (En RD$/Tarea)]]=0,0,Tabla2[[#This Row],[Beneficio Neto  (En RD$/Tarea)]]/Tabla2[[#This Row],[Costos (En RD$/Tarea)]])</f>
        <v>0</v>
      </c>
      <c r="P147" s="4">
        <f>Tabla2[[#This Row],[Rentabilidad (%)]]/12</f>
        <v>0</v>
      </c>
    </row>
    <row r="148" spans="1:16" x14ac:dyDescent="0.35">
      <c r="A148" s="1">
        <v>36892</v>
      </c>
      <c r="B148" t="s">
        <v>21</v>
      </c>
      <c r="C148" s="2">
        <v>5227</v>
      </c>
      <c r="D148" s="5" t="s">
        <v>17</v>
      </c>
      <c r="E148" s="2">
        <f>IF(Tabla2[[#This Row],[Frecuencia]]="Annual", Tabla2[[#This Row],[Cosecha/Tarea]]/12,Tabla2[[#This Row],[Cosecha/Tarea]])</f>
        <v>5227</v>
      </c>
      <c r="F148" s="2">
        <v>43395</v>
      </c>
      <c r="G148" t="s">
        <v>18</v>
      </c>
      <c r="H148">
        <f>F148/Tabla2[[#This Row],[Cosecha Mensual]]</f>
        <v>8.302085326190932</v>
      </c>
      <c r="I148">
        <f>H148*_xlfn.XLOOKUP(Tabla2[[#This Row],[Unidad de producción]],Tabla3[Medida],Tabla3[Equivalencia en Kg],"ELVIS",0)</f>
        <v>376.58259039602069</v>
      </c>
      <c r="J148">
        <v>161.76</v>
      </c>
      <c r="K148" t="s">
        <v>18</v>
      </c>
      <c r="L148">
        <f>J148/_xlfn.XLOOKUP(Tabla2[[#This Row],[Unidad de precio]],Tabla3[Medida],Tabla3[Equivalencia en Kg],"ELVIS",0)</f>
        <v>3.5661375661375661</v>
      </c>
      <c r="N148" s="2">
        <f>(Tabla2[[#This Row],[Productividad (kg/TAS)]]*Tabla2[[#This Row],[Precio por kg]]-Tabla2[[#This Row],[Costos (En RD$/Tarea)]])</f>
        <v>1342.9453223646451</v>
      </c>
      <c r="O148" s="6">
        <f>IF(Tabla2[[#This Row],[Costos (En RD$/Tarea)]]=0,0,Tabla2[[#This Row],[Beneficio Neto  (En RD$/Tarea)]]/Tabla2[[#This Row],[Costos (En RD$/Tarea)]])</f>
        <v>0</v>
      </c>
      <c r="P148" s="4">
        <f>Tabla2[[#This Row],[Rentabilidad (%)]]/12</f>
        <v>0</v>
      </c>
    </row>
    <row r="149" spans="1:16" x14ac:dyDescent="0.35">
      <c r="A149" s="1">
        <v>36892</v>
      </c>
      <c r="B149" t="s">
        <v>22</v>
      </c>
      <c r="C149" s="2">
        <v>3270</v>
      </c>
      <c r="D149" s="5" t="s">
        <v>17</v>
      </c>
      <c r="E149" s="2">
        <f>IF(Tabla2[[#This Row],[Frecuencia]]="Annual", Tabla2[[#This Row],[Cosecha/Tarea]]/12,Tabla2[[#This Row],[Cosecha/Tarea]])</f>
        <v>3270</v>
      </c>
      <c r="F149" s="2">
        <v>29165</v>
      </c>
      <c r="G149" t="s">
        <v>18</v>
      </c>
      <c r="H149">
        <f>F149/Tabla2[[#This Row],[Cosecha Mensual]]</f>
        <v>8.9189602446483178</v>
      </c>
      <c r="I149">
        <f>H149*_xlfn.XLOOKUP(Tabla2[[#This Row],[Unidad de producción]],Tabla3[Medida],Tabla3[Equivalencia en Kg],"ELVIS",0)</f>
        <v>404.56403669724767</v>
      </c>
      <c r="J149">
        <v>350.13600000000002</v>
      </c>
      <c r="K149" t="s">
        <v>18</v>
      </c>
      <c r="L149">
        <f>J149/_xlfn.XLOOKUP(Tabla2[[#This Row],[Unidad de precio]],Tabla3[Medida],Tabla3[Equivalencia en Kg],"ELVIS",0)</f>
        <v>7.71904761904762</v>
      </c>
      <c r="N149" s="2">
        <f>(Tabla2[[#This Row],[Productividad (kg/TAS)]]*Tabla2[[#This Row],[Precio por kg]]-Tabla2[[#This Row],[Costos (En RD$/Tarea)]])</f>
        <v>3122.8490642201837</v>
      </c>
      <c r="O149" s="6">
        <f>IF(Tabla2[[#This Row],[Costos (En RD$/Tarea)]]=0,0,Tabla2[[#This Row],[Beneficio Neto  (En RD$/Tarea)]]/Tabla2[[#This Row],[Costos (En RD$/Tarea)]])</f>
        <v>0</v>
      </c>
      <c r="P149" s="4">
        <f>Tabla2[[#This Row],[Rentabilidad (%)]]/12</f>
        <v>0</v>
      </c>
    </row>
    <row r="150" spans="1:16" x14ac:dyDescent="0.35">
      <c r="A150" s="1">
        <v>36892</v>
      </c>
      <c r="B150" t="s">
        <v>23</v>
      </c>
      <c r="C150" s="2">
        <v>2216</v>
      </c>
      <c r="D150" s="5" t="s">
        <v>17</v>
      </c>
      <c r="E150" s="2">
        <f>IF(Tabla2[[#This Row],[Frecuencia]]="Annual", Tabla2[[#This Row],[Cosecha/Tarea]]/12,Tabla2[[#This Row],[Cosecha/Tarea]])</f>
        <v>2216</v>
      </c>
      <c r="F150" s="2">
        <v>35568</v>
      </c>
      <c r="G150" t="s">
        <v>18</v>
      </c>
      <c r="H150">
        <f>F150/Tabla2[[#This Row],[Cosecha Mensual]]</f>
        <v>16.050541516245488</v>
      </c>
      <c r="I150">
        <f>H150*_xlfn.XLOOKUP(Tabla2[[#This Row],[Unidad de producción]],Tabla3[Medida],Tabla3[Equivalencia en Kg],"ELVIS",0)</f>
        <v>728.05256317689532</v>
      </c>
      <c r="J150">
        <v>389.51249999999999</v>
      </c>
      <c r="K150" t="s">
        <v>18</v>
      </c>
      <c r="L150">
        <f>J150/_xlfn.XLOOKUP(Tabla2[[#This Row],[Unidad de precio]],Tabla3[Medida],Tabla3[Equivalencia en Kg],"ELVIS",0)</f>
        <v>8.5871362433862437</v>
      </c>
      <c r="N150" s="2">
        <f>(Tabla2[[#This Row],[Productividad (kg/TAS)]]*Tabla2[[#This Row],[Precio por kg]]-Tabla2[[#This Row],[Costos (En RD$/Tarea)]])</f>
        <v>6251.8865523465711</v>
      </c>
      <c r="O150" s="6">
        <f>IF(Tabla2[[#This Row],[Costos (En RD$/Tarea)]]=0,0,Tabla2[[#This Row],[Beneficio Neto  (En RD$/Tarea)]]/Tabla2[[#This Row],[Costos (En RD$/Tarea)]])</f>
        <v>0</v>
      </c>
      <c r="P150" s="4">
        <f>Tabla2[[#This Row],[Rentabilidad (%)]]/12</f>
        <v>0</v>
      </c>
    </row>
    <row r="151" spans="1:16" x14ac:dyDescent="0.35">
      <c r="A151" s="1">
        <v>36892</v>
      </c>
      <c r="B151" t="s">
        <v>24</v>
      </c>
      <c r="C151" s="2">
        <v>8013</v>
      </c>
      <c r="D151" s="5" t="s">
        <v>17</v>
      </c>
      <c r="E151" s="2">
        <f>IF(Tabla2[[#This Row],[Frecuencia]]="Annual", Tabla2[[#This Row],[Cosecha/Tarea]]/12,Tabla2[[#This Row],[Cosecha/Tarea]])</f>
        <v>8013</v>
      </c>
      <c r="F151" s="2">
        <v>86422</v>
      </c>
      <c r="G151" t="s">
        <v>18</v>
      </c>
      <c r="H151">
        <f>F151/Tabla2[[#This Row],[Cosecha Mensual]]</f>
        <v>10.785224010982153</v>
      </c>
      <c r="I151">
        <f>H151*_xlfn.XLOOKUP(Tabla2[[#This Row],[Unidad de producción]],Tabla3[Medida],Tabla3[Equivalencia en Kg],"ELVIS",0)</f>
        <v>489.21776113815048</v>
      </c>
      <c r="J151">
        <v>382</v>
      </c>
      <c r="K151" t="s">
        <v>18</v>
      </c>
      <c r="L151">
        <f>J151/_xlfn.XLOOKUP(Tabla2[[#This Row],[Unidad de precio]],Tabla3[Medida],Tabla3[Equivalencia en Kg],"ELVIS",0)</f>
        <v>8.4215167548500887</v>
      </c>
      <c r="N151" s="2">
        <f>(Tabla2[[#This Row],[Productividad (kg/TAS)]]*Tabla2[[#This Row],[Precio por kg]]-Tabla2[[#This Row],[Costos (En RD$/Tarea)]])</f>
        <v>4119.9555721951829</v>
      </c>
      <c r="O151" s="6">
        <f>IF(Tabla2[[#This Row],[Costos (En RD$/Tarea)]]=0,0,Tabla2[[#This Row],[Beneficio Neto  (En RD$/Tarea)]]/Tabla2[[#This Row],[Costos (En RD$/Tarea)]])</f>
        <v>0</v>
      </c>
      <c r="P151" s="4">
        <f>Tabla2[[#This Row],[Rentabilidad (%)]]/12</f>
        <v>0</v>
      </c>
    </row>
    <row r="152" spans="1:16" x14ac:dyDescent="0.35">
      <c r="A152" s="1">
        <v>36892</v>
      </c>
      <c r="B152" t="s">
        <v>25</v>
      </c>
      <c r="C152" s="2">
        <v>26496</v>
      </c>
      <c r="D152" s="5" t="s">
        <v>17</v>
      </c>
      <c r="E152" s="2">
        <f>IF(Tabla2[[#This Row],[Frecuencia]]="Annual", Tabla2[[#This Row],[Cosecha/Tarea]]/12,Tabla2[[#This Row],[Cosecha/Tarea]])</f>
        <v>26496</v>
      </c>
      <c r="F152" s="2">
        <v>254180</v>
      </c>
      <c r="G152" t="s">
        <v>18</v>
      </c>
      <c r="H152">
        <f>F152/Tabla2[[#This Row],[Cosecha Mensual]]</f>
        <v>9.5931461352656999</v>
      </c>
      <c r="I152">
        <f>H152*_xlfn.XLOOKUP(Tabla2[[#This Row],[Unidad de producción]],Tabla3[Medida],Tabla3[Equivalencia en Kg],"ELVIS",0)</f>
        <v>435.14510869565214</v>
      </c>
      <c r="J152">
        <v>107.485</v>
      </c>
      <c r="K152" t="s">
        <v>18</v>
      </c>
      <c r="L152">
        <f>J152/_xlfn.XLOOKUP(Tabla2[[#This Row],[Unidad de precio]],Tabla3[Medida],Tabla3[Equivalencia en Kg],"ELVIS",0)</f>
        <v>2.3695987654320989</v>
      </c>
      <c r="N152" s="2">
        <f>(Tabla2[[#This Row],[Productividad (kg/TAS)]]*Tabla2[[#This Row],[Precio por kg]]-Tabla2[[#This Row],[Costos (En RD$/Tarea)]])</f>
        <v>1031.1193123490339</v>
      </c>
      <c r="O152" s="6">
        <f>IF(Tabla2[[#This Row],[Costos (En RD$/Tarea)]]=0,0,Tabla2[[#This Row],[Beneficio Neto  (En RD$/Tarea)]]/Tabla2[[#This Row],[Costos (En RD$/Tarea)]])</f>
        <v>0</v>
      </c>
      <c r="P152" s="4">
        <f>Tabla2[[#This Row],[Rentabilidad (%)]]/12</f>
        <v>0</v>
      </c>
    </row>
    <row r="153" spans="1:16" x14ac:dyDescent="0.35">
      <c r="A153" s="1">
        <v>36892</v>
      </c>
      <c r="B153" t="s">
        <v>26</v>
      </c>
      <c r="C153" s="2">
        <v>10283</v>
      </c>
      <c r="D153" s="5" t="s">
        <v>17</v>
      </c>
      <c r="E153" s="2">
        <f>IF(Tabla2[[#This Row],[Frecuencia]]="Annual", Tabla2[[#This Row],[Cosecha/Tarea]]/12,Tabla2[[#This Row],[Cosecha/Tarea]])</f>
        <v>10283</v>
      </c>
      <c r="F153" s="2">
        <v>62590</v>
      </c>
      <c r="G153" t="s">
        <v>18</v>
      </c>
      <c r="H153">
        <f>F153/Tabla2[[#This Row],[Cosecha Mensual]]</f>
        <v>6.0867451132937855</v>
      </c>
      <c r="I153">
        <f>H153*_xlfn.XLOOKUP(Tabla2[[#This Row],[Unidad de producción]],Tabla3[Medida],Tabla3[Equivalencia en Kg],"ELVIS",0)</f>
        <v>276.09475833900609</v>
      </c>
      <c r="J153">
        <v>174.16</v>
      </c>
      <c r="K153" t="s">
        <v>18</v>
      </c>
      <c r="L153">
        <f>J153/_xlfn.XLOOKUP(Tabla2[[#This Row],[Unidad de precio]],Tabla3[Medida],Tabla3[Equivalencia en Kg],"ELVIS",0)</f>
        <v>3.8395061728395063</v>
      </c>
      <c r="N153" s="2">
        <f>(Tabla2[[#This Row],[Productividad (kg/TAS)]]*Tabla2[[#This Row],[Precio por kg]]-Tabla2[[#This Row],[Costos (En RD$/Tarea)]])</f>
        <v>1060.0675289312458</v>
      </c>
      <c r="O153" s="6">
        <f>IF(Tabla2[[#This Row],[Costos (En RD$/Tarea)]]=0,0,Tabla2[[#This Row],[Beneficio Neto  (En RD$/Tarea)]]/Tabla2[[#This Row],[Costos (En RD$/Tarea)]])</f>
        <v>0</v>
      </c>
      <c r="P153" s="4">
        <f>Tabla2[[#This Row],[Rentabilidad (%)]]/12</f>
        <v>0</v>
      </c>
    </row>
    <row r="154" spans="1:16" x14ac:dyDescent="0.35">
      <c r="A154" s="1">
        <v>36892</v>
      </c>
      <c r="B154" t="s">
        <v>27</v>
      </c>
      <c r="C154" s="2">
        <v>4300</v>
      </c>
      <c r="D154" s="5" t="s">
        <v>17</v>
      </c>
      <c r="E154" s="2">
        <f>IF(Tabla2[[#This Row],[Frecuencia]]="Annual", Tabla2[[#This Row],[Cosecha/Tarea]]/12,Tabla2[[#This Row],[Cosecha/Tarea]])</f>
        <v>4300</v>
      </c>
      <c r="F154" s="2">
        <v>44267</v>
      </c>
      <c r="G154" t="s">
        <v>18</v>
      </c>
      <c r="H154">
        <f>F154/Tabla2[[#This Row],[Cosecha Mensual]]</f>
        <v>10.294651162790698</v>
      </c>
      <c r="I154">
        <f>H154*_xlfn.XLOOKUP(Tabla2[[#This Row],[Unidad de producción]],Tabla3[Medida],Tabla3[Equivalencia en Kg],"ELVIS",0)</f>
        <v>466.96537674418607</v>
      </c>
      <c r="J154">
        <v>180.416666666667</v>
      </c>
      <c r="K154" t="s">
        <v>18</v>
      </c>
      <c r="L154">
        <f>J154/_xlfn.XLOOKUP(Tabla2[[#This Row],[Unidad de precio]],Tabla3[Medida],Tabla3[Equivalencia en Kg],"ELVIS",0)</f>
        <v>3.9774397413286375</v>
      </c>
      <c r="N154" s="2">
        <f>(Tabla2[[#This Row],[Productividad (kg/TAS)]]*Tabla2[[#This Row],[Precio por kg]]-Tabla2[[#This Row],[Costos (En RD$/Tarea)]])</f>
        <v>1857.3266472868252</v>
      </c>
      <c r="O154" s="6">
        <f>IF(Tabla2[[#This Row],[Costos (En RD$/Tarea)]]=0,0,Tabla2[[#This Row],[Beneficio Neto  (En RD$/Tarea)]]/Tabla2[[#This Row],[Costos (En RD$/Tarea)]])</f>
        <v>0</v>
      </c>
      <c r="P154" s="4">
        <f>Tabla2[[#This Row],[Rentabilidad (%)]]/12</f>
        <v>0</v>
      </c>
    </row>
    <row r="155" spans="1:16" x14ac:dyDescent="0.35">
      <c r="A155" s="1">
        <v>36892</v>
      </c>
      <c r="B155" t="s">
        <v>28</v>
      </c>
      <c r="C155" s="2">
        <v>2388</v>
      </c>
      <c r="D155" s="5" t="s">
        <v>17</v>
      </c>
      <c r="E155" s="2">
        <f>IF(Tabla2[[#This Row],[Frecuencia]]="Annual", Tabla2[[#This Row],[Cosecha/Tarea]]/12,Tabla2[[#This Row],[Cosecha/Tarea]])</f>
        <v>2388</v>
      </c>
      <c r="F155" s="2">
        <v>1189</v>
      </c>
      <c r="G155" t="s">
        <v>18</v>
      </c>
      <c r="H155">
        <f>F155/Tabla2[[#This Row],[Cosecha Mensual]]</f>
        <v>0.49790619765494137</v>
      </c>
      <c r="I155">
        <f>H155*_xlfn.XLOOKUP(Tabla2[[#This Row],[Unidad de producción]],Tabla3[Medida],Tabla3[Equivalencia en Kg],"ELVIS",0)</f>
        <v>22.585025125628139</v>
      </c>
      <c r="J155">
        <v>1950</v>
      </c>
      <c r="K155" t="s">
        <v>29</v>
      </c>
      <c r="L155">
        <f>J155/_xlfn.XLOOKUP(Tabla2[[#This Row],[Unidad de precio]],Tabla3[Medida],Tabla3[Equivalencia en Kg],"ELVIS",0)</f>
        <v>3.4676530213038372</v>
      </c>
      <c r="N155" s="2">
        <f>(Tabla2[[#This Row],[Productividad (kg/TAS)]]*Tabla2[[#This Row],[Precio por kg]]-Tabla2[[#This Row],[Costos (En RD$/Tarea)]])</f>
        <v>78.317030613107491</v>
      </c>
      <c r="O155" s="6">
        <f>IF(Tabla2[[#This Row],[Costos (En RD$/Tarea)]]=0,0,Tabla2[[#This Row],[Beneficio Neto  (En RD$/Tarea)]]/Tabla2[[#This Row],[Costos (En RD$/Tarea)]])</f>
        <v>0</v>
      </c>
      <c r="P155" s="4">
        <f>Tabla2[[#This Row],[Rentabilidad (%)]]/12</f>
        <v>0</v>
      </c>
    </row>
    <row r="156" spans="1:16" x14ac:dyDescent="0.35">
      <c r="A156" s="1">
        <v>36892</v>
      </c>
      <c r="B156" t="s">
        <v>30</v>
      </c>
      <c r="C156" s="2">
        <v>262060</v>
      </c>
      <c r="D156" s="2" t="s">
        <v>31</v>
      </c>
      <c r="E156" s="2">
        <f>IF(Tabla2[[#This Row],[Frecuencia]]="Annual", Tabla2[[#This Row],[Cosecha/Tarea]]/12,Tabla2[[#This Row],[Cosecha/Tarea]])</f>
        <v>21838.333333333332</v>
      </c>
      <c r="F156" s="2">
        <v>1496409</v>
      </c>
      <c r="G156" t="s">
        <v>32</v>
      </c>
      <c r="H156">
        <f>F156/Tabla2[[#This Row],[Cosecha Mensual]]</f>
        <v>68.522124704266204</v>
      </c>
      <c r="I156">
        <f>H156*_xlfn.XLOOKUP(Tabla2[[#This Row],[Unidad de producción]],Tabla3[Medida],Tabla3[Equivalencia en Kg],"ELVIS",0)</f>
        <v>1864.4870132030835</v>
      </c>
      <c r="J156">
        <v>26.375</v>
      </c>
      <c r="K156" t="s">
        <v>32</v>
      </c>
      <c r="L156">
        <f>J156/_xlfn.XLOOKUP(Tabla2[[#This Row],[Unidad de precio]],Tabla3[Medida],Tabla3[Equivalencia en Kg],"ELVIS",0)</f>
        <v>0.9693127526644616</v>
      </c>
      <c r="M156" s="2"/>
      <c r="N156" s="2">
        <f>(Tabla2[[#This Row],[Productividad (kg/TAS)]]*Tabla2[[#This Row],[Precio por kg]]-Tabla2[[#This Row],[Costos (En RD$/Tarea)]])</f>
        <v>1807.2710390750212</v>
      </c>
      <c r="O156" s="6">
        <f>IF(Tabla2[[#This Row],[Costos (En RD$/Tarea)]]=0,0,Tabla2[[#This Row],[Beneficio Neto  (En RD$/Tarea)]]/Tabla2[[#This Row],[Costos (En RD$/Tarea)]])</f>
        <v>0</v>
      </c>
      <c r="P156" s="4">
        <f>Tabla2[[#This Row],[Rentabilidad (%)]]/12</f>
        <v>0</v>
      </c>
    </row>
    <row r="157" spans="1:16" x14ac:dyDescent="0.35">
      <c r="A157" s="1">
        <v>36892</v>
      </c>
      <c r="B157" t="s">
        <v>33</v>
      </c>
      <c r="C157" s="2">
        <v>615721</v>
      </c>
      <c r="D157" s="2" t="s">
        <v>31</v>
      </c>
      <c r="E157" s="2">
        <f>IF(Tabla2[[#This Row],[Frecuencia]]="Annual", Tabla2[[#This Row],[Cosecha/Tarea]]/12,Tabla2[[#This Row],[Cosecha/Tarea]])</f>
        <v>51310.083333333336</v>
      </c>
      <c r="F157" s="2">
        <v>76185</v>
      </c>
      <c r="G157" t="s">
        <v>34</v>
      </c>
      <c r="H157">
        <f>F157/Tabla2[[#This Row],[Cosecha Mensual]]</f>
        <v>1.4847958734556723</v>
      </c>
      <c r="I157">
        <f>H157*_xlfn.XLOOKUP(Tabla2[[#This Row],[Unidad de producción]],Tabla3[Medida],Tabla3[Equivalencia en Kg],"ELVIS",0)</f>
        <v>606.01943575093264</v>
      </c>
      <c r="J157">
        <v>1594.0833333333301</v>
      </c>
      <c r="K157" t="s">
        <v>34</v>
      </c>
      <c r="L157">
        <f>J157/_xlfn.XLOOKUP(Tabla2[[#This Row],[Unidad de precio]],Tabla3[Medida],Tabla3[Equivalencia en Kg],"ELVIS",0)</f>
        <v>3.9056310996773984</v>
      </c>
      <c r="M157" s="2"/>
      <c r="N157" s="2">
        <f>(Tabla2[[#This Row],[Productividad (kg/TAS)]]*Tabla2[[#This Row],[Precio por kg]]-Tabla2[[#This Row],[Costos (En RD$/Tarea)]])</f>
        <v>2366.8883552777916</v>
      </c>
      <c r="O157" s="6">
        <f>IF(Tabla2[[#This Row],[Costos (En RD$/Tarea)]]=0,0,Tabla2[[#This Row],[Beneficio Neto  (En RD$/Tarea)]]/Tabla2[[#This Row],[Costos (En RD$/Tarea)]])</f>
        <v>0</v>
      </c>
      <c r="P157" s="4">
        <f>Tabla2[[#This Row],[Rentabilidad (%)]]/12</f>
        <v>0</v>
      </c>
    </row>
    <row r="158" spans="1:16" x14ac:dyDescent="0.35">
      <c r="A158" s="1">
        <v>36923</v>
      </c>
      <c r="B158" t="s">
        <v>16</v>
      </c>
      <c r="C158" s="2">
        <v>16321</v>
      </c>
      <c r="D158" s="5" t="s">
        <v>17</v>
      </c>
      <c r="E158" s="2">
        <f>IF(Tabla2[[#This Row],[Frecuencia]]="Annual", Tabla2[[#This Row],[Cosecha/Tarea]]/12,Tabla2[[#This Row],[Cosecha/Tarea]])</f>
        <v>16321</v>
      </c>
      <c r="F158" s="2">
        <v>53626</v>
      </c>
      <c r="G158" t="s">
        <v>18</v>
      </c>
      <c r="H158">
        <f>F158/Tabla2[[#This Row],[Cosecha Mensual]]</f>
        <v>3.2857055327492186</v>
      </c>
      <c r="I158">
        <f>H158*_xlfn.XLOOKUP(Tabla2[[#This Row],[Unidad de producción]],Tabla3[Medida],Tabla3[Equivalencia en Kg],"ELVIS",0)</f>
        <v>149.03960296550454</v>
      </c>
      <c r="J158">
        <v>1210.12101210121</v>
      </c>
      <c r="K158" t="s">
        <v>19</v>
      </c>
      <c r="L158">
        <f>J158/_xlfn.XLOOKUP(Tabla2[[#This Row],[Unidad de precio]],Tabla3[Medida],Tabla3[Equivalencia en Kg],"ELVIS",0)</f>
        <v>11.001100110011</v>
      </c>
      <c r="N158" s="2">
        <f>(Tabla2[[#This Row],[Productividad (kg/TAS)]]*Tabla2[[#This Row],[Precio por kg]]-Tabla2[[#This Row],[Costos (En RD$/Tarea)]])</f>
        <v>1639.5995925798079</v>
      </c>
      <c r="O158" s="6">
        <f>IF(Tabla2[[#This Row],[Costos (En RD$/Tarea)]]=0,0,Tabla2[[#This Row],[Beneficio Neto  (En RD$/Tarea)]]/Tabla2[[#This Row],[Costos (En RD$/Tarea)]])</f>
        <v>0</v>
      </c>
      <c r="P158" s="4">
        <f>Tabla2[[#This Row],[Rentabilidad (%)]]/12</f>
        <v>0</v>
      </c>
    </row>
    <row r="159" spans="1:16" x14ac:dyDescent="0.35">
      <c r="A159" s="1">
        <v>36923</v>
      </c>
      <c r="B159" t="s">
        <v>20</v>
      </c>
      <c r="C159" s="2">
        <v>29076</v>
      </c>
      <c r="D159" s="5" t="s">
        <v>17</v>
      </c>
      <c r="E159" s="2">
        <f>IF(Tabla2[[#This Row],[Frecuencia]]="Annual", Tabla2[[#This Row],[Cosecha/Tarea]]/12,Tabla2[[#This Row],[Cosecha/Tarea]])</f>
        <v>29076</v>
      </c>
      <c r="F159" s="2">
        <v>48309</v>
      </c>
      <c r="G159" t="s">
        <v>18</v>
      </c>
      <c r="H159">
        <f>F159/Tabla2[[#This Row],[Cosecha Mensual]]</f>
        <v>1.6614733801073049</v>
      </c>
      <c r="I159">
        <f>H159*_xlfn.XLOOKUP(Tabla2[[#This Row],[Unidad de producción]],Tabla3[Medida],Tabla3[Equivalencia en Kg],"ELVIS",0)</f>
        <v>75.364432521667354</v>
      </c>
      <c r="J159">
        <v>128.94323750000001</v>
      </c>
      <c r="K159" t="s">
        <v>18</v>
      </c>
      <c r="L159">
        <f>J159/_xlfn.XLOOKUP(Tabla2[[#This Row],[Unidad de precio]],Tabla3[Medida],Tabla3[Equivalencia en Kg],"ELVIS",0)</f>
        <v>2.8426639660493831</v>
      </c>
      <c r="N159" s="2">
        <f>(Tabla2[[#This Row],[Productividad (kg/TAS)]]*Tabla2[[#This Row],[Precio por kg]]-Tabla2[[#This Row],[Costos (En RD$/Tarea)]])</f>
        <v>214.23575665110403</v>
      </c>
      <c r="O159" s="6">
        <f>IF(Tabla2[[#This Row],[Costos (En RD$/Tarea)]]=0,0,Tabla2[[#This Row],[Beneficio Neto  (En RD$/Tarea)]]/Tabla2[[#This Row],[Costos (En RD$/Tarea)]])</f>
        <v>0</v>
      </c>
      <c r="P159" s="4">
        <f>Tabla2[[#This Row],[Rentabilidad (%)]]/12</f>
        <v>0</v>
      </c>
    </row>
    <row r="160" spans="1:16" x14ac:dyDescent="0.35">
      <c r="A160" s="1">
        <v>36923</v>
      </c>
      <c r="B160" t="s">
        <v>21</v>
      </c>
      <c r="C160" s="2">
        <v>8354</v>
      </c>
      <c r="D160" s="5" t="s">
        <v>17</v>
      </c>
      <c r="E160" s="2">
        <f>IF(Tabla2[[#This Row],[Frecuencia]]="Annual", Tabla2[[#This Row],[Cosecha/Tarea]]/12,Tabla2[[#This Row],[Cosecha/Tarea]])</f>
        <v>8354</v>
      </c>
      <c r="F160" s="2">
        <v>67789</v>
      </c>
      <c r="G160" t="s">
        <v>18</v>
      </c>
      <c r="H160">
        <f>F160/Tabla2[[#This Row],[Cosecha Mensual]]</f>
        <v>8.114555901364616</v>
      </c>
      <c r="I160">
        <f>H160*_xlfn.XLOOKUP(Tabla2[[#This Row],[Unidad de producción]],Tabla3[Medida],Tabla3[Equivalencia en Kg],"ELVIS",0)</f>
        <v>368.07625568589896</v>
      </c>
      <c r="J160">
        <v>169.07142857142901</v>
      </c>
      <c r="K160" t="s">
        <v>18</v>
      </c>
      <c r="L160">
        <f>J160/_xlfn.XLOOKUP(Tabla2[[#This Row],[Unidad de precio]],Tabla3[Medida],Tabla3[Equivalencia en Kg],"ELVIS",0)</f>
        <v>3.7273242630385583</v>
      </c>
      <c r="N160" s="2">
        <f>(Tabla2[[#This Row],[Productividad (kg/TAS)]]*Tabla2[[#This Row],[Precio por kg]]-Tabla2[[#This Row],[Costos (En RD$/Tarea)]])</f>
        <v>1371.9395584664353</v>
      </c>
      <c r="O160" s="6">
        <f>IF(Tabla2[[#This Row],[Costos (En RD$/Tarea)]]=0,0,Tabla2[[#This Row],[Beneficio Neto  (En RD$/Tarea)]]/Tabla2[[#This Row],[Costos (En RD$/Tarea)]])</f>
        <v>0</v>
      </c>
      <c r="P160" s="4">
        <f>Tabla2[[#This Row],[Rentabilidad (%)]]/12</f>
        <v>0</v>
      </c>
    </row>
    <row r="161" spans="1:16" x14ac:dyDescent="0.35">
      <c r="A161" s="1">
        <v>36923</v>
      </c>
      <c r="B161" t="s">
        <v>22</v>
      </c>
      <c r="C161" s="2">
        <v>5299</v>
      </c>
      <c r="D161" s="5" t="s">
        <v>17</v>
      </c>
      <c r="E161" s="2">
        <f>IF(Tabla2[[#This Row],[Frecuencia]]="Annual", Tabla2[[#This Row],[Cosecha/Tarea]]/12,Tabla2[[#This Row],[Cosecha/Tarea]])</f>
        <v>5299</v>
      </c>
      <c r="F161" s="2">
        <v>48567</v>
      </c>
      <c r="G161" t="s">
        <v>18</v>
      </c>
      <c r="H161">
        <f>F161/Tabla2[[#This Row],[Cosecha Mensual]]</f>
        <v>9.1653142102283454</v>
      </c>
      <c r="I161">
        <f>H161*_xlfn.XLOOKUP(Tabla2[[#This Row],[Unidad de producción]],Tabla3[Medida],Tabla3[Equivalencia en Kg],"ELVIS",0)</f>
        <v>415.73865257595776</v>
      </c>
      <c r="J161">
        <v>259.60000000000002</v>
      </c>
      <c r="K161" t="s">
        <v>18</v>
      </c>
      <c r="L161">
        <f>J161/_xlfn.XLOOKUP(Tabla2[[#This Row],[Unidad de precio]],Tabla3[Medida],Tabla3[Equivalencia en Kg],"ELVIS",0)</f>
        <v>5.7231040564373901</v>
      </c>
      <c r="N161" s="2">
        <f>(Tabla2[[#This Row],[Productividad (kg/TAS)]]*Tabla2[[#This Row],[Precio por kg]]-Tabla2[[#This Row],[Costos (En RD$/Tarea)]])</f>
        <v>2379.3155689752784</v>
      </c>
      <c r="O161" s="6">
        <f>IF(Tabla2[[#This Row],[Costos (En RD$/Tarea)]]=0,0,Tabla2[[#This Row],[Beneficio Neto  (En RD$/Tarea)]]/Tabla2[[#This Row],[Costos (En RD$/Tarea)]])</f>
        <v>0</v>
      </c>
      <c r="P161" s="4">
        <f>Tabla2[[#This Row],[Rentabilidad (%)]]/12</f>
        <v>0</v>
      </c>
    </row>
    <row r="162" spans="1:16" x14ac:dyDescent="0.35">
      <c r="A162" s="1">
        <v>36923</v>
      </c>
      <c r="B162" t="s">
        <v>23</v>
      </c>
      <c r="C162" s="2">
        <v>2156</v>
      </c>
      <c r="D162" s="5" t="s">
        <v>17</v>
      </c>
      <c r="E162" s="2">
        <f>IF(Tabla2[[#This Row],[Frecuencia]]="Annual", Tabla2[[#This Row],[Cosecha/Tarea]]/12,Tabla2[[#This Row],[Cosecha/Tarea]])</f>
        <v>2156</v>
      </c>
      <c r="F162" s="2">
        <v>49676</v>
      </c>
      <c r="G162" t="s">
        <v>18</v>
      </c>
      <c r="H162">
        <f>F162/Tabla2[[#This Row],[Cosecha Mensual]]</f>
        <v>23.040816326530614</v>
      </c>
      <c r="I162">
        <f>H162*_xlfn.XLOOKUP(Tabla2[[#This Row],[Unidad de producción]],Tabla3[Medida],Tabla3[Equivalencia en Kg],"ELVIS",0)</f>
        <v>1045.1314285714286</v>
      </c>
      <c r="J162">
        <v>304.16666666666703</v>
      </c>
      <c r="K162" t="s">
        <v>18</v>
      </c>
      <c r="L162">
        <f>J162/_xlfn.XLOOKUP(Tabla2[[#This Row],[Unidad de precio]],Tabla3[Medida],Tabla3[Equivalencia en Kg],"ELVIS",0)</f>
        <v>6.7056143445032417</v>
      </c>
      <c r="N162" s="2">
        <f>(Tabla2[[#This Row],[Productividad (kg/TAS)]]*Tabla2[[#This Row],[Precio por kg]]-Tabla2[[#This Row],[Costos (En RD$/Tarea)]])</f>
        <v>7008.2482993197373</v>
      </c>
      <c r="O162" s="6">
        <f>IF(Tabla2[[#This Row],[Costos (En RD$/Tarea)]]=0,0,Tabla2[[#This Row],[Beneficio Neto  (En RD$/Tarea)]]/Tabla2[[#This Row],[Costos (En RD$/Tarea)]])</f>
        <v>0</v>
      </c>
      <c r="P162" s="4">
        <f>Tabla2[[#This Row],[Rentabilidad (%)]]/12</f>
        <v>0</v>
      </c>
    </row>
    <row r="163" spans="1:16" x14ac:dyDescent="0.35">
      <c r="A163" s="1">
        <v>36923</v>
      </c>
      <c r="B163" t="s">
        <v>24</v>
      </c>
      <c r="C163" s="2">
        <v>7970</v>
      </c>
      <c r="D163" s="5" t="s">
        <v>17</v>
      </c>
      <c r="E163" s="2">
        <f>IF(Tabla2[[#This Row],[Frecuencia]]="Annual", Tabla2[[#This Row],[Cosecha/Tarea]]/12,Tabla2[[#This Row],[Cosecha/Tarea]])</f>
        <v>7970</v>
      </c>
      <c r="F163" s="2">
        <v>83859</v>
      </c>
      <c r="G163" t="s">
        <v>18</v>
      </c>
      <c r="H163">
        <f>F163/Tabla2[[#This Row],[Cosecha Mensual]]</f>
        <v>10.521831869510665</v>
      </c>
      <c r="I163">
        <f>H163*_xlfn.XLOOKUP(Tabla2[[#This Row],[Unidad de producción]],Tabla3[Medida],Tabla3[Equivalencia en Kg],"ELVIS",0)</f>
        <v>477.27029360100374</v>
      </c>
      <c r="J163">
        <v>509.16666666666703</v>
      </c>
      <c r="K163" t="s">
        <v>18</v>
      </c>
      <c r="L163">
        <f>J163/_xlfn.XLOOKUP(Tabla2[[#This Row],[Unidad de precio]],Tabla3[Medida],Tabla3[Equivalencia en Kg],"ELVIS",0)</f>
        <v>11.225014697236928</v>
      </c>
      <c r="N163" s="2">
        <f>(Tabla2[[#This Row],[Productividad (kg/TAS)]]*Tabla2[[#This Row],[Precio por kg]]-Tabla2[[#This Row],[Costos (En RD$/Tarea)]])</f>
        <v>5357.3660602258506</v>
      </c>
      <c r="O163" s="6">
        <f>IF(Tabla2[[#This Row],[Costos (En RD$/Tarea)]]=0,0,Tabla2[[#This Row],[Beneficio Neto  (En RD$/Tarea)]]/Tabla2[[#This Row],[Costos (En RD$/Tarea)]])</f>
        <v>0</v>
      </c>
      <c r="P163" s="4">
        <f>Tabla2[[#This Row],[Rentabilidad (%)]]/12</f>
        <v>0</v>
      </c>
    </row>
    <row r="164" spans="1:16" x14ac:dyDescent="0.35">
      <c r="A164" s="1">
        <v>36923</v>
      </c>
      <c r="B164" t="s">
        <v>25</v>
      </c>
      <c r="C164" s="2">
        <v>32251</v>
      </c>
      <c r="D164" s="5" t="s">
        <v>17</v>
      </c>
      <c r="E164" s="2">
        <f>IF(Tabla2[[#This Row],[Frecuencia]]="Annual", Tabla2[[#This Row],[Cosecha/Tarea]]/12,Tabla2[[#This Row],[Cosecha/Tarea]])</f>
        <v>32251</v>
      </c>
      <c r="F164" s="2">
        <v>339467</v>
      </c>
      <c r="G164" t="s">
        <v>18</v>
      </c>
      <c r="H164">
        <f>F164/Tabla2[[#This Row],[Cosecha Mensual]]</f>
        <v>10.525782146290037</v>
      </c>
      <c r="I164">
        <f>H164*_xlfn.XLOOKUP(Tabla2[[#This Row],[Unidad de producción]],Tabla3[Medida],Tabla3[Equivalencia en Kg],"ELVIS",0)</f>
        <v>477.44947815571606</v>
      </c>
      <c r="J164">
        <v>103.575214285714</v>
      </c>
      <c r="K164" t="s">
        <v>18</v>
      </c>
      <c r="L164">
        <f>J164/_xlfn.XLOOKUP(Tabla2[[#This Row],[Unidad de precio]],Tabla3[Medida],Tabla3[Equivalencia en Kg],"ELVIS",0)</f>
        <v>2.2834041950113315</v>
      </c>
      <c r="N164" s="2">
        <f>(Tabla2[[#This Row],[Productividad (kg/TAS)]]*Tabla2[[#This Row],[Precio por kg]]-Tabla2[[#This Row],[Costos (En RD$/Tarea)]])</f>
        <v>1090.2101413267333</v>
      </c>
      <c r="O164" s="6">
        <f>IF(Tabla2[[#This Row],[Costos (En RD$/Tarea)]]=0,0,Tabla2[[#This Row],[Beneficio Neto  (En RD$/Tarea)]]/Tabla2[[#This Row],[Costos (En RD$/Tarea)]])</f>
        <v>0</v>
      </c>
      <c r="P164" s="4">
        <f>Tabla2[[#This Row],[Rentabilidad (%)]]/12</f>
        <v>0</v>
      </c>
    </row>
    <row r="165" spans="1:16" x14ac:dyDescent="0.35">
      <c r="A165" s="1">
        <v>36923</v>
      </c>
      <c r="B165" t="s">
        <v>26</v>
      </c>
      <c r="C165" s="2">
        <v>16566</v>
      </c>
      <c r="D165" s="5" t="s">
        <v>17</v>
      </c>
      <c r="E165" s="2">
        <f>IF(Tabla2[[#This Row],[Frecuencia]]="Annual", Tabla2[[#This Row],[Cosecha/Tarea]]/12,Tabla2[[#This Row],[Cosecha/Tarea]])</f>
        <v>16566</v>
      </c>
      <c r="F165" s="2">
        <v>65295</v>
      </c>
      <c r="G165" t="s">
        <v>18</v>
      </c>
      <c r="H165">
        <f>F165/Tabla2[[#This Row],[Cosecha Mensual]]</f>
        <v>3.9415067004708439</v>
      </c>
      <c r="I165">
        <f>H165*_xlfn.XLOOKUP(Tabla2[[#This Row],[Unidad de producción]],Tabla3[Medida],Tabla3[Equivalencia en Kg],"ELVIS",0)</f>
        <v>178.78674393335749</v>
      </c>
      <c r="J165">
        <v>160.083333333333</v>
      </c>
      <c r="K165" t="s">
        <v>18</v>
      </c>
      <c r="L165">
        <f>J165/_xlfn.XLOOKUP(Tabla2[[#This Row],[Unidad de precio]],Tabla3[Medida],Tabla3[Equivalencia en Kg],"ELVIS",0)</f>
        <v>3.5291740152851192</v>
      </c>
      <c r="N165" s="2">
        <f>(Tabla2[[#This Row],[Productividad (kg/TAS)]]*Tabla2[[#This Row],[Precio por kg]]-Tabla2[[#This Row],[Costos (En RD$/Tarea)]])</f>
        <v>630.96953096703965</v>
      </c>
      <c r="O165" s="6">
        <f>IF(Tabla2[[#This Row],[Costos (En RD$/Tarea)]]=0,0,Tabla2[[#This Row],[Beneficio Neto  (En RD$/Tarea)]]/Tabla2[[#This Row],[Costos (En RD$/Tarea)]])</f>
        <v>0</v>
      </c>
      <c r="P165" s="4">
        <f>Tabla2[[#This Row],[Rentabilidad (%)]]/12</f>
        <v>0</v>
      </c>
    </row>
    <row r="166" spans="1:16" x14ac:dyDescent="0.35">
      <c r="A166" s="1">
        <v>36923</v>
      </c>
      <c r="B166" t="s">
        <v>27</v>
      </c>
      <c r="C166" s="2">
        <v>5031</v>
      </c>
      <c r="D166" s="5" t="s">
        <v>17</v>
      </c>
      <c r="E166" s="2">
        <f>IF(Tabla2[[#This Row],[Frecuencia]]="Annual", Tabla2[[#This Row],[Cosecha/Tarea]]/12,Tabla2[[#This Row],[Cosecha/Tarea]])</f>
        <v>5031</v>
      </c>
      <c r="F166" s="2">
        <v>44821</v>
      </c>
      <c r="G166" t="s">
        <v>18</v>
      </c>
      <c r="H166">
        <f>F166/Tabla2[[#This Row],[Cosecha Mensual]]</f>
        <v>8.9089644205923282</v>
      </c>
      <c r="I166">
        <f>H166*_xlfn.XLOOKUP(Tabla2[[#This Row],[Unidad de producción]],Tabla3[Medida],Tabla3[Equivalencia en Kg],"ELVIS",0)</f>
        <v>404.11062611806801</v>
      </c>
      <c r="J166">
        <v>137.25</v>
      </c>
      <c r="K166" t="s">
        <v>18</v>
      </c>
      <c r="L166">
        <f>J166/_xlfn.XLOOKUP(Tabla2[[#This Row],[Unidad de precio]],Tabla3[Medida],Tabla3[Equivalencia en Kg],"ELVIS",0)</f>
        <v>3.0257936507936507</v>
      </c>
      <c r="N166" s="2">
        <f>(Tabla2[[#This Row],[Productividad (kg/TAS)]]*Tabla2[[#This Row],[Precio por kg]]-Tabla2[[#This Row],[Costos (En RD$/Tarea)]])</f>
        <v>1222.7553667262971</v>
      </c>
      <c r="O166" s="6">
        <f>IF(Tabla2[[#This Row],[Costos (En RD$/Tarea)]]=0,0,Tabla2[[#This Row],[Beneficio Neto  (En RD$/Tarea)]]/Tabla2[[#This Row],[Costos (En RD$/Tarea)]])</f>
        <v>0</v>
      </c>
      <c r="P166" s="4">
        <f>Tabla2[[#This Row],[Rentabilidad (%)]]/12</f>
        <v>0</v>
      </c>
    </row>
    <row r="167" spans="1:16" x14ac:dyDescent="0.35">
      <c r="A167" s="1">
        <v>36923</v>
      </c>
      <c r="B167" t="s">
        <v>28</v>
      </c>
      <c r="C167" s="2">
        <v>4937</v>
      </c>
      <c r="D167" s="5" t="s">
        <v>17</v>
      </c>
      <c r="E167" s="2">
        <f>IF(Tabla2[[#This Row],[Frecuencia]]="Annual", Tabla2[[#This Row],[Cosecha/Tarea]]/12,Tabla2[[#This Row],[Cosecha/Tarea]])</f>
        <v>4937</v>
      </c>
      <c r="F167" s="2">
        <v>13682</v>
      </c>
      <c r="G167" t="s">
        <v>18</v>
      </c>
      <c r="H167">
        <f>F167/Tabla2[[#This Row],[Cosecha Mensual]]</f>
        <v>2.7713186145432447</v>
      </c>
      <c r="I167">
        <f>H167*_xlfn.XLOOKUP(Tabla2[[#This Row],[Unidad de producción]],Tabla3[Medida],Tabla3[Equivalencia en Kg],"ELVIS",0)</f>
        <v>125.70701235568158</v>
      </c>
      <c r="J167">
        <v>2000</v>
      </c>
      <c r="K167" t="s">
        <v>29</v>
      </c>
      <c r="L167">
        <f>J167/_xlfn.XLOOKUP(Tabla2[[#This Row],[Unidad de precio]],Tabla3[Medida],Tabla3[Equivalencia en Kg],"ELVIS",0)</f>
        <v>3.5565672013372689</v>
      </c>
      <c r="N167" s="2">
        <f>(Tabla2[[#This Row],[Productividad (kg/TAS)]]*Tabla2[[#This Row],[Precio por kg]]-Tabla2[[#This Row],[Costos (En RD$/Tarea)]])</f>
        <v>447.08543712231591</v>
      </c>
      <c r="O167" s="6">
        <f>IF(Tabla2[[#This Row],[Costos (En RD$/Tarea)]]=0,0,Tabla2[[#This Row],[Beneficio Neto  (En RD$/Tarea)]]/Tabla2[[#This Row],[Costos (En RD$/Tarea)]])</f>
        <v>0</v>
      </c>
      <c r="P167" s="4">
        <f>Tabla2[[#This Row],[Rentabilidad (%)]]/12</f>
        <v>0</v>
      </c>
    </row>
    <row r="168" spans="1:16" x14ac:dyDescent="0.35">
      <c r="A168" s="1">
        <v>36923</v>
      </c>
      <c r="B168" t="s">
        <v>30</v>
      </c>
      <c r="C168" s="2">
        <v>236684</v>
      </c>
      <c r="D168" s="2" t="s">
        <v>31</v>
      </c>
      <c r="E168" s="2">
        <f>IF(Tabla2[[#This Row],[Frecuencia]]="Annual", Tabla2[[#This Row],[Cosecha/Tarea]]/12,Tabla2[[#This Row],[Cosecha/Tarea]])</f>
        <v>19723.666666666668</v>
      </c>
      <c r="F168" s="2">
        <v>1102392</v>
      </c>
      <c r="G168" t="s">
        <v>32</v>
      </c>
      <c r="H168">
        <f>F168/Tabla2[[#This Row],[Cosecha Mensual]]</f>
        <v>55.891838907572961</v>
      </c>
      <c r="I168">
        <f>H168*_xlfn.XLOOKUP(Tabla2[[#This Row],[Unidad de producción]],Tabla3[Medida],Tabla3[Equivalencia en Kg],"ELVIS",0)</f>
        <v>1520.8169366750603</v>
      </c>
      <c r="J168">
        <v>27.393750000000001</v>
      </c>
      <c r="K168" t="s">
        <v>32</v>
      </c>
      <c r="L168">
        <f>J168/_xlfn.XLOOKUP(Tabla2[[#This Row],[Unidad de precio]],Tabla3[Medida],Tabla3[Equivalencia en Kg],"ELVIS",0)</f>
        <v>1.0067530319735392</v>
      </c>
      <c r="M168" s="2"/>
      <c r="N168" s="2">
        <f>(Tabla2[[#This Row],[Productividad (kg/TAS)]]*Tabla2[[#This Row],[Precio por kg]]-Tabla2[[#This Row],[Costos (En RD$/Tarea)]])</f>
        <v>1531.0870620743269</v>
      </c>
      <c r="O168" s="6">
        <f>IF(Tabla2[[#This Row],[Costos (En RD$/Tarea)]]=0,0,Tabla2[[#This Row],[Beneficio Neto  (En RD$/Tarea)]]/Tabla2[[#This Row],[Costos (En RD$/Tarea)]])</f>
        <v>0</v>
      </c>
      <c r="P168" s="4">
        <f>Tabla2[[#This Row],[Rentabilidad (%)]]/12</f>
        <v>0</v>
      </c>
    </row>
    <row r="169" spans="1:16" x14ac:dyDescent="0.35">
      <c r="A169" s="1">
        <v>36923</v>
      </c>
      <c r="B169" t="s">
        <v>33</v>
      </c>
      <c r="C169" s="2">
        <v>643333</v>
      </c>
      <c r="D169" s="2" t="s">
        <v>31</v>
      </c>
      <c r="E169" s="2">
        <f>IF(Tabla2[[#This Row],[Frecuencia]]="Annual", Tabla2[[#This Row],[Cosecha/Tarea]]/12,Tabla2[[#This Row],[Cosecha/Tarea]])</f>
        <v>53611.083333333336</v>
      </c>
      <c r="F169" s="2">
        <v>71598</v>
      </c>
      <c r="G169" t="s">
        <v>34</v>
      </c>
      <c r="H169">
        <f>F169/Tabla2[[#This Row],[Cosecha Mensual]]</f>
        <v>1.3355074277240557</v>
      </c>
      <c r="I169">
        <f>H169*_xlfn.XLOOKUP(Tabla2[[#This Row],[Unidad de producción]],Tabla3[Medida],Tabla3[Equivalencia en Kg],"ELVIS",0)</f>
        <v>545.08735662557331</v>
      </c>
      <c r="J169">
        <v>1434.6875</v>
      </c>
      <c r="K169" t="s">
        <v>34</v>
      </c>
      <c r="L169">
        <f>J169/_xlfn.XLOOKUP(Tabla2[[#This Row],[Unidad de precio]],Tabla3[Medida],Tabla3[Equivalencia en Kg],"ELVIS",0)</f>
        <v>3.5150986157050106</v>
      </c>
      <c r="M169" s="2"/>
      <c r="N169" s="2">
        <f>(Tabla2[[#This Row],[Productividad (kg/TAS)]]*Tabla2[[#This Row],[Precio por kg]]-Tabla2[[#This Row],[Costos (En RD$/Tarea)]])</f>
        <v>1916.0358127128561</v>
      </c>
      <c r="O169" s="6">
        <f>IF(Tabla2[[#This Row],[Costos (En RD$/Tarea)]]=0,0,Tabla2[[#This Row],[Beneficio Neto  (En RD$/Tarea)]]/Tabla2[[#This Row],[Costos (En RD$/Tarea)]])</f>
        <v>0</v>
      </c>
      <c r="P169" s="4">
        <f>Tabla2[[#This Row],[Rentabilidad (%)]]/12</f>
        <v>0</v>
      </c>
    </row>
    <row r="170" spans="1:16" x14ac:dyDescent="0.35">
      <c r="A170" s="1">
        <v>36951</v>
      </c>
      <c r="B170" t="s">
        <v>16</v>
      </c>
      <c r="C170" s="2">
        <v>5760</v>
      </c>
      <c r="D170" s="5" t="s">
        <v>17</v>
      </c>
      <c r="E170" s="2">
        <f>IF(Tabla2[[#This Row],[Frecuencia]]="Annual", Tabla2[[#This Row],[Cosecha/Tarea]]/12,Tabla2[[#This Row],[Cosecha/Tarea]])</f>
        <v>5760</v>
      </c>
      <c r="F170" s="2">
        <v>22549</v>
      </c>
      <c r="G170" t="s">
        <v>18</v>
      </c>
      <c r="H170">
        <f>F170/Tabla2[[#This Row],[Cosecha Mensual]]</f>
        <v>3.9147569444444446</v>
      </c>
      <c r="I170">
        <f>H170*_xlfn.XLOOKUP(Tabla2[[#This Row],[Unidad de producción]],Tabla3[Medida],Tabla3[Equivalencia en Kg],"ELVIS",0)</f>
        <v>177.573375</v>
      </c>
      <c r="J170">
        <v>1111.30253025303</v>
      </c>
      <c r="K170" t="s">
        <v>19</v>
      </c>
      <c r="L170">
        <f>J170/_xlfn.XLOOKUP(Tabla2[[#This Row],[Unidad de precio]],Tabla3[Medida],Tabla3[Equivalencia en Kg],"ELVIS",0)</f>
        <v>10.102750275027546</v>
      </c>
      <c r="N170" s="2">
        <f>(Tabla2[[#This Row],[Productividad (kg/TAS)]]*Tabla2[[#This Row],[Precio por kg]]-Tabla2[[#This Row],[Costos (En RD$/Tarea)]])</f>
        <v>1793.9794631188195</v>
      </c>
      <c r="O170" s="6">
        <f>IF(Tabla2[[#This Row],[Costos (En RD$/Tarea)]]=0,0,Tabla2[[#This Row],[Beneficio Neto  (En RD$/Tarea)]]/Tabla2[[#This Row],[Costos (En RD$/Tarea)]])</f>
        <v>0</v>
      </c>
      <c r="P170" s="4">
        <f>Tabla2[[#This Row],[Rentabilidad (%)]]/12</f>
        <v>0</v>
      </c>
    </row>
    <row r="171" spans="1:16" x14ac:dyDescent="0.35">
      <c r="A171" s="1">
        <v>36951</v>
      </c>
      <c r="B171" t="s">
        <v>20</v>
      </c>
      <c r="C171" s="2">
        <v>28827</v>
      </c>
      <c r="D171" s="5" t="s">
        <v>17</v>
      </c>
      <c r="E171" s="2">
        <f>IF(Tabla2[[#This Row],[Frecuencia]]="Annual", Tabla2[[#This Row],[Cosecha/Tarea]]/12,Tabla2[[#This Row],[Cosecha/Tarea]])</f>
        <v>28827</v>
      </c>
      <c r="F171" s="2">
        <v>48561</v>
      </c>
      <c r="G171" t="s">
        <v>18</v>
      </c>
      <c r="H171">
        <f>F171/Tabla2[[#This Row],[Cosecha Mensual]]</f>
        <v>1.6845665521906545</v>
      </c>
      <c r="I171">
        <f>H171*_xlfn.XLOOKUP(Tabla2[[#This Row],[Unidad de producción]],Tabla3[Medida],Tabla3[Equivalencia en Kg],"ELVIS",0)</f>
        <v>76.411938807368088</v>
      </c>
      <c r="J171">
        <v>136.219416666667</v>
      </c>
      <c r="K171" t="s">
        <v>18</v>
      </c>
      <c r="L171">
        <f>J171/_xlfn.XLOOKUP(Tabla2[[#This Row],[Unidad de precio]],Tabla3[Medida],Tabla3[Equivalencia en Kg],"ELVIS",0)</f>
        <v>3.0030735596707894</v>
      </c>
      <c r="N171" s="2">
        <f>(Tabla2[[#This Row],[Productividad (kg/TAS)]]*Tabla2[[#This Row],[Precio por kg]]-Tabla2[[#This Row],[Costos (En RD$/Tarea)]])</f>
        <v>229.47067307558942</v>
      </c>
      <c r="O171" s="6">
        <f>IF(Tabla2[[#This Row],[Costos (En RD$/Tarea)]]=0,0,Tabla2[[#This Row],[Beneficio Neto  (En RD$/Tarea)]]/Tabla2[[#This Row],[Costos (En RD$/Tarea)]])</f>
        <v>0</v>
      </c>
      <c r="P171" s="4">
        <f>Tabla2[[#This Row],[Rentabilidad (%)]]/12</f>
        <v>0</v>
      </c>
    </row>
    <row r="172" spans="1:16" x14ac:dyDescent="0.35">
      <c r="A172" s="1">
        <v>36951</v>
      </c>
      <c r="B172" t="s">
        <v>21</v>
      </c>
      <c r="C172" s="2">
        <v>9326</v>
      </c>
      <c r="D172" s="5" t="s">
        <v>17</v>
      </c>
      <c r="E172" s="2">
        <f>IF(Tabla2[[#This Row],[Frecuencia]]="Annual", Tabla2[[#This Row],[Cosecha/Tarea]]/12,Tabla2[[#This Row],[Cosecha/Tarea]])</f>
        <v>9326</v>
      </c>
      <c r="F172" s="2">
        <v>76307</v>
      </c>
      <c r="G172" t="s">
        <v>18</v>
      </c>
      <c r="H172">
        <f>F172/Tabla2[[#This Row],[Cosecha Mensual]]</f>
        <v>8.1821788548144969</v>
      </c>
      <c r="I172">
        <f>H172*_xlfn.XLOOKUP(Tabla2[[#This Row],[Unidad de producción]],Tabla3[Medida],Tabla3[Equivalencia en Kg],"ELVIS",0)</f>
        <v>371.1436328543856</v>
      </c>
      <c r="J172">
        <v>164.22399999999999</v>
      </c>
      <c r="K172" t="s">
        <v>18</v>
      </c>
      <c r="L172">
        <f>J172/_xlfn.XLOOKUP(Tabla2[[#This Row],[Unidad de precio]],Tabla3[Medida],Tabla3[Equivalencia en Kg],"ELVIS",0)</f>
        <v>3.6204585537918867</v>
      </c>
      <c r="N172" s="2">
        <f>(Tabla2[[#This Row],[Productividad (kg/TAS)]]*Tabla2[[#This Row],[Precio por kg]]-Tabla2[[#This Row],[Costos (En RD$/Tarea)]])</f>
        <v>1343.7101402530559</v>
      </c>
      <c r="O172" s="6">
        <f>IF(Tabla2[[#This Row],[Costos (En RD$/Tarea)]]=0,0,Tabla2[[#This Row],[Beneficio Neto  (En RD$/Tarea)]]/Tabla2[[#This Row],[Costos (En RD$/Tarea)]])</f>
        <v>0</v>
      </c>
      <c r="P172" s="4">
        <f>Tabla2[[#This Row],[Rentabilidad (%)]]/12</f>
        <v>0</v>
      </c>
    </row>
    <row r="173" spans="1:16" x14ac:dyDescent="0.35">
      <c r="A173" s="1">
        <v>36951</v>
      </c>
      <c r="B173" t="s">
        <v>22</v>
      </c>
      <c r="C173" s="2">
        <v>4433</v>
      </c>
      <c r="D173" s="5" t="s">
        <v>17</v>
      </c>
      <c r="E173" s="2">
        <f>IF(Tabla2[[#This Row],[Frecuencia]]="Annual", Tabla2[[#This Row],[Cosecha/Tarea]]/12,Tabla2[[#This Row],[Cosecha/Tarea]])</f>
        <v>4433</v>
      </c>
      <c r="F173" s="2">
        <v>39635</v>
      </c>
      <c r="G173" t="s">
        <v>18</v>
      </c>
      <c r="H173">
        <f>F173/Tabla2[[#This Row],[Cosecha Mensual]]</f>
        <v>8.940897811865554</v>
      </c>
      <c r="I173">
        <f>H173*_xlfn.XLOOKUP(Tabla2[[#This Row],[Unidad de producción]],Tabla3[Medida],Tabla3[Equivalencia en Kg],"ELVIS",0)</f>
        <v>405.55912474622153</v>
      </c>
      <c r="J173">
        <v>342.76333333333298</v>
      </c>
      <c r="K173" t="s">
        <v>18</v>
      </c>
      <c r="L173">
        <f>J173/_xlfn.XLOOKUP(Tabla2[[#This Row],[Unidad de precio]],Tabla3[Medida],Tabla3[Equivalencia en Kg],"ELVIS",0)</f>
        <v>7.556510875955313</v>
      </c>
      <c r="N173" s="2">
        <f>(Tabla2[[#This Row],[Productividad (kg/TAS)]]*Tabla2[[#This Row],[Precio por kg]]-Tabla2[[#This Row],[Costos (En RD$/Tarea)]])</f>
        <v>3064.6119369877406</v>
      </c>
      <c r="O173" s="6">
        <f>IF(Tabla2[[#This Row],[Costos (En RD$/Tarea)]]=0,0,Tabla2[[#This Row],[Beneficio Neto  (En RD$/Tarea)]]/Tabla2[[#This Row],[Costos (En RD$/Tarea)]])</f>
        <v>0</v>
      </c>
      <c r="P173" s="4">
        <f>Tabla2[[#This Row],[Rentabilidad (%)]]/12</f>
        <v>0</v>
      </c>
    </row>
    <row r="174" spans="1:16" x14ac:dyDescent="0.35">
      <c r="A174" s="1">
        <v>36951</v>
      </c>
      <c r="B174" t="s">
        <v>23</v>
      </c>
      <c r="C174" s="2">
        <v>4906</v>
      </c>
      <c r="D174" s="5" t="s">
        <v>17</v>
      </c>
      <c r="E174" s="2">
        <f>IF(Tabla2[[#This Row],[Frecuencia]]="Annual", Tabla2[[#This Row],[Cosecha/Tarea]]/12,Tabla2[[#This Row],[Cosecha/Tarea]])</f>
        <v>4906</v>
      </c>
      <c r="F174" s="2">
        <v>133411</v>
      </c>
      <c r="G174" t="s">
        <v>18</v>
      </c>
      <c r="H174">
        <f>F174/Tabla2[[#This Row],[Cosecha Mensual]]</f>
        <v>27.193436608234816</v>
      </c>
      <c r="I174">
        <f>H174*_xlfn.XLOOKUP(Tabla2[[#This Row],[Unidad de producción]],Tabla3[Medida],Tabla3[Equivalencia en Kg],"ELVIS",0)</f>
        <v>1233.4942845495311</v>
      </c>
      <c r="J174">
        <v>234.04750000000001</v>
      </c>
      <c r="K174" t="s">
        <v>18</v>
      </c>
      <c r="L174">
        <f>J174/_xlfn.XLOOKUP(Tabla2[[#This Row],[Unidad de precio]],Tabla3[Medida],Tabla3[Equivalencia en Kg],"ELVIS",0)</f>
        <v>5.159777336860671</v>
      </c>
      <c r="N174" s="2">
        <f>(Tabla2[[#This Row],[Productividad (kg/TAS)]]*Tabla2[[#This Row],[Precio por kg]]-Tabla2[[#This Row],[Costos (En RD$/Tarea)]])</f>
        <v>6364.5558545658387</v>
      </c>
      <c r="O174" s="6">
        <f>IF(Tabla2[[#This Row],[Costos (En RD$/Tarea)]]=0,0,Tabla2[[#This Row],[Beneficio Neto  (En RD$/Tarea)]]/Tabla2[[#This Row],[Costos (En RD$/Tarea)]])</f>
        <v>0</v>
      </c>
      <c r="P174" s="4">
        <f>Tabla2[[#This Row],[Rentabilidad (%)]]/12</f>
        <v>0</v>
      </c>
    </row>
    <row r="175" spans="1:16" x14ac:dyDescent="0.35">
      <c r="A175" s="1">
        <v>36951</v>
      </c>
      <c r="B175" t="s">
        <v>24</v>
      </c>
      <c r="C175" s="2">
        <v>6831</v>
      </c>
      <c r="D175" s="5" t="s">
        <v>17</v>
      </c>
      <c r="E175" s="2">
        <f>IF(Tabla2[[#This Row],[Frecuencia]]="Annual", Tabla2[[#This Row],[Cosecha/Tarea]]/12,Tabla2[[#This Row],[Cosecha/Tarea]])</f>
        <v>6831</v>
      </c>
      <c r="F175" s="2">
        <v>57763</v>
      </c>
      <c r="G175" t="s">
        <v>18</v>
      </c>
      <c r="H175">
        <f>F175/Tabla2[[#This Row],[Cosecha Mensual]]</f>
        <v>8.4560093690528468</v>
      </c>
      <c r="I175">
        <f>H175*_xlfn.XLOOKUP(Tabla2[[#This Row],[Unidad de producción]],Tabla3[Medida],Tabla3[Equivalencia en Kg],"ELVIS",0)</f>
        <v>383.5645849802371</v>
      </c>
      <c r="J175">
        <v>465.65333333333302</v>
      </c>
      <c r="K175" t="s">
        <v>18</v>
      </c>
      <c r="L175">
        <f>J175/_xlfn.XLOOKUP(Tabla2[[#This Row],[Unidad de precio]],Tabla3[Medida],Tabla3[Equivalencia en Kg],"ELVIS",0)</f>
        <v>10.265726043503815</v>
      </c>
      <c r="N175" s="2">
        <f>(Tabla2[[#This Row],[Productividad (kg/TAS)]]*Tabla2[[#This Row],[Precio por kg]]-Tabla2[[#This Row],[Costos (En RD$/Tarea)]])</f>
        <v>3937.5689493973523</v>
      </c>
      <c r="O175" s="6">
        <f>IF(Tabla2[[#This Row],[Costos (En RD$/Tarea)]]=0,0,Tabla2[[#This Row],[Beneficio Neto  (En RD$/Tarea)]]/Tabla2[[#This Row],[Costos (En RD$/Tarea)]])</f>
        <v>0</v>
      </c>
      <c r="P175" s="4">
        <f>Tabla2[[#This Row],[Rentabilidad (%)]]/12</f>
        <v>0</v>
      </c>
    </row>
    <row r="176" spans="1:16" x14ac:dyDescent="0.35">
      <c r="A176" s="1">
        <v>36951</v>
      </c>
      <c r="B176" t="s">
        <v>25</v>
      </c>
      <c r="C176" s="2">
        <v>25982</v>
      </c>
      <c r="D176" s="5" t="s">
        <v>17</v>
      </c>
      <c r="E176" s="2">
        <f>IF(Tabla2[[#This Row],[Frecuencia]]="Annual", Tabla2[[#This Row],[Cosecha/Tarea]]/12,Tabla2[[#This Row],[Cosecha/Tarea]])</f>
        <v>25982</v>
      </c>
      <c r="F176" s="2">
        <v>263920</v>
      </c>
      <c r="G176" t="s">
        <v>18</v>
      </c>
      <c r="H176">
        <f>F176/Tabla2[[#This Row],[Cosecha Mensual]]</f>
        <v>10.157801554922639</v>
      </c>
      <c r="I176">
        <f>H176*_xlfn.XLOOKUP(Tabla2[[#This Row],[Unidad de producción]],Tabla3[Medida],Tabla3[Equivalencia en Kg],"ELVIS",0)</f>
        <v>460.75787853129088</v>
      </c>
      <c r="J176">
        <v>91.964568499999999</v>
      </c>
      <c r="K176" t="s">
        <v>18</v>
      </c>
      <c r="L176">
        <f>J176/_xlfn.XLOOKUP(Tabla2[[#This Row],[Unidad de precio]],Tabla3[Medida],Tabla3[Equivalencia en Kg],"ELVIS",0)</f>
        <v>2.027437577160494</v>
      </c>
      <c r="N176" s="2">
        <f>(Tabla2[[#This Row],[Productividad (kg/TAS)]]*Tabla2[[#This Row],[Precio por kg]]-Tabla2[[#This Row],[Costos (En RD$/Tarea)]])</f>
        <v>934.15783690708963</v>
      </c>
      <c r="O176" s="6">
        <f>IF(Tabla2[[#This Row],[Costos (En RD$/Tarea)]]=0,0,Tabla2[[#This Row],[Beneficio Neto  (En RD$/Tarea)]]/Tabla2[[#This Row],[Costos (En RD$/Tarea)]])</f>
        <v>0</v>
      </c>
      <c r="P176" s="4">
        <f>Tabla2[[#This Row],[Rentabilidad (%)]]/12</f>
        <v>0</v>
      </c>
    </row>
    <row r="177" spans="1:16" x14ac:dyDescent="0.35">
      <c r="A177" s="1">
        <v>36951</v>
      </c>
      <c r="B177" t="s">
        <v>26</v>
      </c>
      <c r="C177" s="2">
        <v>13350</v>
      </c>
      <c r="D177" s="5" t="s">
        <v>17</v>
      </c>
      <c r="E177" s="2">
        <f>IF(Tabla2[[#This Row],[Frecuencia]]="Annual", Tabla2[[#This Row],[Cosecha/Tarea]]/12,Tabla2[[#This Row],[Cosecha/Tarea]])</f>
        <v>13350</v>
      </c>
      <c r="F177" s="2">
        <v>83310</v>
      </c>
      <c r="G177" t="s">
        <v>18</v>
      </c>
      <c r="H177">
        <f>F177/Tabla2[[#This Row],[Cosecha Mensual]]</f>
        <v>6.2404494382022468</v>
      </c>
      <c r="I177">
        <f>H177*_xlfn.XLOOKUP(Tabla2[[#This Row],[Unidad de producción]],Tabla3[Medida],Tabla3[Equivalencia en Kg],"ELVIS",0)</f>
        <v>283.06678651685394</v>
      </c>
      <c r="J177">
        <v>146</v>
      </c>
      <c r="K177" t="s">
        <v>18</v>
      </c>
      <c r="L177">
        <f>J177/_xlfn.XLOOKUP(Tabla2[[#This Row],[Unidad de precio]],Tabla3[Medida],Tabla3[Equivalencia en Kg],"ELVIS",0)</f>
        <v>3.2186948853615522</v>
      </c>
      <c r="N177" s="2">
        <f>(Tabla2[[#This Row],[Productividad (kg/TAS)]]*Tabla2[[#This Row],[Precio por kg]]-Tabla2[[#This Row],[Costos (En RD$/Tarea)]])</f>
        <v>911.10561797752814</v>
      </c>
      <c r="O177" s="6">
        <f>IF(Tabla2[[#This Row],[Costos (En RD$/Tarea)]]=0,0,Tabla2[[#This Row],[Beneficio Neto  (En RD$/Tarea)]]/Tabla2[[#This Row],[Costos (En RD$/Tarea)]])</f>
        <v>0</v>
      </c>
      <c r="P177" s="4">
        <f>Tabla2[[#This Row],[Rentabilidad (%)]]/12</f>
        <v>0</v>
      </c>
    </row>
    <row r="178" spans="1:16" x14ac:dyDescent="0.35">
      <c r="A178" s="1">
        <v>36951</v>
      </c>
      <c r="B178" t="s">
        <v>27</v>
      </c>
      <c r="C178" s="2">
        <v>5885</v>
      </c>
      <c r="D178" s="5" t="s">
        <v>17</v>
      </c>
      <c r="E178" s="2">
        <f>IF(Tabla2[[#This Row],[Frecuencia]]="Annual", Tabla2[[#This Row],[Cosecha/Tarea]]/12,Tabla2[[#This Row],[Cosecha/Tarea]])</f>
        <v>5885</v>
      </c>
      <c r="F178" s="2">
        <v>44432</v>
      </c>
      <c r="G178" t="s">
        <v>18</v>
      </c>
      <c r="H178">
        <f>F178/Tabla2[[#This Row],[Cosecha Mensual]]</f>
        <v>7.5500424808836026</v>
      </c>
      <c r="I178">
        <f>H178*_xlfn.XLOOKUP(Tabla2[[#This Row],[Unidad de producción]],Tabla3[Medida],Tabla3[Equivalencia en Kg],"ELVIS",0)</f>
        <v>342.46992693288018</v>
      </c>
      <c r="J178">
        <v>182.916666666667</v>
      </c>
      <c r="K178" t="s">
        <v>18</v>
      </c>
      <c r="L178">
        <f>J178/_xlfn.XLOOKUP(Tabla2[[#This Row],[Unidad de precio]],Tabla3[Medida],Tabla3[Equivalencia en Kg],"ELVIS",0)</f>
        <v>4.0325543797766095</v>
      </c>
      <c r="N178" s="2">
        <f>(Tabla2[[#This Row],[Productividad (kg/TAS)]]*Tabla2[[#This Row],[Precio por kg]]-Tabla2[[#This Row],[Costos (En RD$/Tarea)]])</f>
        <v>1381.0286037949613</v>
      </c>
      <c r="O178" s="6">
        <f>IF(Tabla2[[#This Row],[Costos (En RD$/Tarea)]]=0,0,Tabla2[[#This Row],[Beneficio Neto  (En RD$/Tarea)]]/Tabla2[[#This Row],[Costos (En RD$/Tarea)]])</f>
        <v>0</v>
      </c>
      <c r="P178" s="4">
        <f>Tabla2[[#This Row],[Rentabilidad (%)]]/12</f>
        <v>0</v>
      </c>
    </row>
    <row r="179" spans="1:16" x14ac:dyDescent="0.35">
      <c r="A179" s="1">
        <v>36951</v>
      </c>
      <c r="B179" t="s">
        <v>28</v>
      </c>
      <c r="C179" s="2">
        <v>660</v>
      </c>
      <c r="D179" s="5" t="s">
        <v>17</v>
      </c>
      <c r="E179" s="2">
        <f>IF(Tabla2[[#This Row],[Frecuencia]]="Annual", Tabla2[[#This Row],[Cosecha/Tarea]]/12,Tabla2[[#This Row],[Cosecha/Tarea]])</f>
        <v>660</v>
      </c>
      <c r="F179" s="2">
        <v>530</v>
      </c>
      <c r="G179" t="s">
        <v>18</v>
      </c>
      <c r="H179">
        <f>F179/Tabla2[[#This Row],[Cosecha Mensual]]</f>
        <v>0.80303030303030298</v>
      </c>
      <c r="I179">
        <f>H179*_xlfn.XLOOKUP(Tabla2[[#This Row],[Unidad de producción]],Tabla3[Medida],Tabla3[Equivalencia en Kg],"ELVIS",0)</f>
        <v>36.425454545454542</v>
      </c>
      <c r="J179">
        <v>3312.5</v>
      </c>
      <c r="K179" t="s">
        <v>29</v>
      </c>
      <c r="L179">
        <f>J179/_xlfn.XLOOKUP(Tabla2[[#This Row],[Unidad de precio]],Tabla3[Medida],Tabla3[Equivalencia en Kg],"ELVIS",0)</f>
        <v>5.8905644272148523</v>
      </c>
      <c r="N179" s="2">
        <f>(Tabla2[[#This Row],[Productividad (kg/TAS)]]*Tabla2[[#This Row],[Precio por kg]]-Tabla2[[#This Row],[Costos (En RD$/Tarea)]])</f>
        <v>214.56648679058608</v>
      </c>
      <c r="O179" s="6">
        <f>IF(Tabla2[[#This Row],[Costos (En RD$/Tarea)]]=0,0,Tabla2[[#This Row],[Beneficio Neto  (En RD$/Tarea)]]/Tabla2[[#This Row],[Costos (En RD$/Tarea)]])</f>
        <v>0</v>
      </c>
      <c r="P179" s="4">
        <f>Tabla2[[#This Row],[Rentabilidad (%)]]/12</f>
        <v>0</v>
      </c>
    </row>
    <row r="180" spans="1:16" x14ac:dyDescent="0.35">
      <c r="A180" s="1">
        <v>36951</v>
      </c>
      <c r="B180" t="s">
        <v>30</v>
      </c>
      <c r="C180" s="2">
        <v>235745</v>
      </c>
      <c r="D180" s="2" t="s">
        <v>31</v>
      </c>
      <c r="E180" s="2">
        <f>IF(Tabla2[[#This Row],[Frecuencia]]="Annual", Tabla2[[#This Row],[Cosecha/Tarea]]/12,Tabla2[[#This Row],[Cosecha/Tarea]])</f>
        <v>19645.416666666668</v>
      </c>
      <c r="F180" s="2">
        <v>1261443</v>
      </c>
      <c r="G180" t="s">
        <v>32</v>
      </c>
      <c r="H180">
        <f>F180/Tabla2[[#This Row],[Cosecha Mensual]]</f>
        <v>64.2105495344546</v>
      </c>
      <c r="I180">
        <f>H180*_xlfn.XLOOKUP(Tabla2[[#This Row],[Unidad de producción]],Tabla3[Medida],Tabla3[Equivalencia en Kg],"ELVIS",0)</f>
        <v>1747.1690528325098</v>
      </c>
      <c r="J180">
        <v>25.813333333333301</v>
      </c>
      <c r="K180" t="s">
        <v>32</v>
      </c>
      <c r="L180">
        <f>J180/_xlfn.XLOOKUP(Tabla2[[#This Row],[Unidad de precio]],Tabla3[Medida],Tabla3[Equivalencia en Kg],"ELVIS",0)</f>
        <v>0.94867083180203238</v>
      </c>
      <c r="M180" s="2"/>
      <c r="N180" s="2">
        <f>(Tabla2[[#This Row],[Productividad (kg/TAS)]]*Tabla2[[#This Row],[Precio por kg]]-Tabla2[[#This Row],[Costos (En RD$/Tarea)]])</f>
        <v>1657.4883186493862</v>
      </c>
      <c r="O180" s="6">
        <f>IF(Tabla2[[#This Row],[Costos (En RD$/Tarea)]]=0,0,Tabla2[[#This Row],[Beneficio Neto  (En RD$/Tarea)]]/Tabla2[[#This Row],[Costos (En RD$/Tarea)]])</f>
        <v>0</v>
      </c>
      <c r="P180" s="4">
        <f>Tabla2[[#This Row],[Rentabilidad (%)]]/12</f>
        <v>0</v>
      </c>
    </row>
    <row r="181" spans="1:16" x14ac:dyDescent="0.35">
      <c r="A181" s="1">
        <v>36951</v>
      </c>
      <c r="B181" t="s">
        <v>33</v>
      </c>
      <c r="C181" s="2">
        <v>644090</v>
      </c>
      <c r="D181" s="2" t="s">
        <v>31</v>
      </c>
      <c r="E181" s="2">
        <f>IF(Tabla2[[#This Row],[Frecuencia]]="Annual", Tabla2[[#This Row],[Cosecha/Tarea]]/12,Tabla2[[#This Row],[Cosecha/Tarea]])</f>
        <v>53674.166666666664</v>
      </c>
      <c r="F181" s="2">
        <v>83925</v>
      </c>
      <c r="G181" t="s">
        <v>34</v>
      </c>
      <c r="H181">
        <f>F181/Tabla2[[#This Row],[Cosecha Mensual]]</f>
        <v>1.5636013600583769</v>
      </c>
      <c r="I181">
        <f>H181*_xlfn.XLOOKUP(Tabla2[[#This Row],[Unidad de producción]],Tabla3[Medida],Tabla3[Equivalencia en Kg],"ELVIS",0)</f>
        <v>638.18389510782652</v>
      </c>
      <c r="J181">
        <v>1040.2716666666699</v>
      </c>
      <c r="K181" t="s">
        <v>34</v>
      </c>
      <c r="L181">
        <f>J181/_xlfn.XLOOKUP(Tabla2[[#This Row],[Unidad de precio]],Tabla3[Medida],Tabla3[Equivalencia en Kg],"ELVIS",0)</f>
        <v>2.5487484176569155</v>
      </c>
      <c r="M181" s="2"/>
      <c r="N181" s="2">
        <f>(Tabla2[[#This Row],[Productividad (kg/TAS)]]*Tabla2[[#This Row],[Precio por kg]]-Tabla2[[#This Row],[Costos (En RD$/Tarea)]])</f>
        <v>1626.5701928301999</v>
      </c>
      <c r="O181" s="6">
        <f>IF(Tabla2[[#This Row],[Costos (En RD$/Tarea)]]=0,0,Tabla2[[#This Row],[Beneficio Neto  (En RD$/Tarea)]]/Tabla2[[#This Row],[Costos (En RD$/Tarea)]])</f>
        <v>0</v>
      </c>
      <c r="P181" s="4">
        <f>Tabla2[[#This Row],[Rentabilidad (%)]]/12</f>
        <v>0</v>
      </c>
    </row>
    <row r="182" spans="1:16" x14ac:dyDescent="0.35">
      <c r="A182" s="1">
        <v>36982</v>
      </c>
      <c r="B182" t="s">
        <v>16</v>
      </c>
      <c r="C182" s="2">
        <v>25713</v>
      </c>
      <c r="D182" s="5" t="s">
        <v>17</v>
      </c>
      <c r="E182" s="2">
        <f>IF(Tabla2[[#This Row],[Frecuencia]]="Annual", Tabla2[[#This Row],[Cosecha/Tarea]]/12,Tabla2[[#This Row],[Cosecha/Tarea]])</f>
        <v>25713</v>
      </c>
      <c r="F182" s="2">
        <v>120636</v>
      </c>
      <c r="G182" t="s">
        <v>18</v>
      </c>
      <c r="H182">
        <f>F182/Tabla2[[#This Row],[Cosecha Mensual]]</f>
        <v>4.6916345817290868</v>
      </c>
      <c r="I182">
        <f>H182*_xlfn.XLOOKUP(Tabla2[[#This Row],[Unidad de producción]],Tabla3[Medida],Tabla3[Equivalencia en Kg],"ELVIS",0)</f>
        <v>212.81254462723138</v>
      </c>
      <c r="J182">
        <v>1060.0660066006601</v>
      </c>
      <c r="K182" t="s">
        <v>19</v>
      </c>
      <c r="L182">
        <f>J182/_xlfn.XLOOKUP(Tabla2[[#This Row],[Unidad de precio]],Tabla3[Medida],Tabla3[Equivalencia en Kg],"ELVIS",0)</f>
        <v>9.6369636963696372</v>
      </c>
      <c r="N182" s="2">
        <f>(Tabla2[[#This Row],[Productividad (kg/TAS)]]*Tabla2[[#This Row],[Precio por kg]]-Tabla2[[#This Row],[Costos (En RD$/Tarea)]])</f>
        <v>2050.866766704672</v>
      </c>
      <c r="O182" s="6">
        <f>IF(Tabla2[[#This Row],[Costos (En RD$/Tarea)]]=0,0,Tabla2[[#This Row],[Beneficio Neto  (En RD$/Tarea)]]/Tabla2[[#This Row],[Costos (En RD$/Tarea)]])</f>
        <v>0</v>
      </c>
      <c r="P182" s="4">
        <f>Tabla2[[#This Row],[Rentabilidad (%)]]/12</f>
        <v>0</v>
      </c>
    </row>
    <row r="183" spans="1:16" x14ac:dyDescent="0.35">
      <c r="A183" s="1">
        <v>36982</v>
      </c>
      <c r="B183" t="s">
        <v>20</v>
      </c>
      <c r="C183" s="2">
        <v>54214</v>
      </c>
      <c r="D183" s="5" t="s">
        <v>17</v>
      </c>
      <c r="E183" s="2">
        <f>IF(Tabla2[[#This Row],[Frecuencia]]="Annual", Tabla2[[#This Row],[Cosecha/Tarea]]/12,Tabla2[[#This Row],[Cosecha/Tarea]])</f>
        <v>54214</v>
      </c>
      <c r="F183" s="2">
        <v>126837</v>
      </c>
      <c r="G183" t="s">
        <v>18</v>
      </c>
      <c r="H183">
        <f>F183/Tabla2[[#This Row],[Cosecha Mensual]]</f>
        <v>2.3395617368207473</v>
      </c>
      <c r="I183">
        <f>H183*_xlfn.XLOOKUP(Tabla2[[#This Row],[Unidad de producción]],Tabla3[Medida],Tabla3[Equivalencia en Kg],"ELVIS",0)</f>
        <v>106.12252038218909</v>
      </c>
      <c r="J183">
        <v>132.35428571428599</v>
      </c>
      <c r="K183" t="s">
        <v>18</v>
      </c>
      <c r="L183">
        <f>J183/_xlfn.XLOOKUP(Tabla2[[#This Row],[Unidad de precio]],Tabla3[Medida],Tabla3[Equivalencia en Kg],"ELVIS",0)</f>
        <v>2.9178634416729716</v>
      </c>
      <c r="N183" s="2">
        <f>(Tabla2[[#This Row],[Productividad (kg/TAS)]]*Tabla2[[#This Row],[Precio por kg]]-Tabla2[[#This Row],[Costos (En RD$/Tarea)]])</f>
        <v>309.65102256138437</v>
      </c>
      <c r="O183" s="6">
        <f>IF(Tabla2[[#This Row],[Costos (En RD$/Tarea)]]=0,0,Tabla2[[#This Row],[Beneficio Neto  (En RD$/Tarea)]]/Tabla2[[#This Row],[Costos (En RD$/Tarea)]])</f>
        <v>0</v>
      </c>
      <c r="P183" s="4">
        <f>Tabla2[[#This Row],[Rentabilidad (%)]]/12</f>
        <v>0</v>
      </c>
    </row>
    <row r="184" spans="1:16" x14ac:dyDescent="0.35">
      <c r="A184" s="1">
        <v>36982</v>
      </c>
      <c r="B184" t="s">
        <v>21</v>
      </c>
      <c r="C184" s="2">
        <v>9745</v>
      </c>
      <c r="D184" s="5" t="s">
        <v>17</v>
      </c>
      <c r="E184" s="2">
        <f>IF(Tabla2[[#This Row],[Frecuencia]]="Annual", Tabla2[[#This Row],[Cosecha/Tarea]]/12,Tabla2[[#This Row],[Cosecha/Tarea]])</f>
        <v>9745</v>
      </c>
      <c r="F184" s="2">
        <v>77871</v>
      </c>
      <c r="G184" t="s">
        <v>18</v>
      </c>
      <c r="H184">
        <f>F184/Tabla2[[#This Row],[Cosecha Mensual]]</f>
        <v>7.9908671113391483</v>
      </c>
      <c r="I184">
        <f>H184*_xlfn.XLOOKUP(Tabla2[[#This Row],[Unidad de producción]],Tabla3[Medida],Tabla3[Equivalencia en Kg],"ELVIS",0)</f>
        <v>362.46573217034376</v>
      </c>
      <c r="J184">
        <v>134.10400000000001</v>
      </c>
      <c r="K184" t="s">
        <v>18</v>
      </c>
      <c r="L184">
        <f>J184/_xlfn.XLOOKUP(Tabla2[[#This Row],[Unidad de precio]],Tabla3[Medida],Tabla3[Equivalencia en Kg],"ELVIS",0)</f>
        <v>2.9564373897707235</v>
      </c>
      <c r="N184" s="2">
        <f>(Tabla2[[#This Row],[Productividad (kg/TAS)]]*Tabla2[[#This Row],[Precio por kg]]-Tabla2[[#This Row],[Costos (En RD$/Tarea)]])</f>
        <v>1071.6072430990253</v>
      </c>
      <c r="O184" s="6">
        <f>IF(Tabla2[[#This Row],[Costos (En RD$/Tarea)]]=0,0,Tabla2[[#This Row],[Beneficio Neto  (En RD$/Tarea)]]/Tabla2[[#This Row],[Costos (En RD$/Tarea)]])</f>
        <v>0</v>
      </c>
      <c r="P184" s="4">
        <f>Tabla2[[#This Row],[Rentabilidad (%)]]/12</f>
        <v>0</v>
      </c>
    </row>
    <row r="185" spans="1:16" x14ac:dyDescent="0.35">
      <c r="A185" s="1">
        <v>36982</v>
      </c>
      <c r="B185" t="s">
        <v>22</v>
      </c>
      <c r="C185" s="2">
        <v>3993</v>
      </c>
      <c r="D185" s="5" t="s">
        <v>17</v>
      </c>
      <c r="E185" s="2">
        <f>IF(Tabla2[[#This Row],[Frecuencia]]="Annual", Tabla2[[#This Row],[Cosecha/Tarea]]/12,Tabla2[[#This Row],[Cosecha/Tarea]])</f>
        <v>3993</v>
      </c>
      <c r="F185" s="2">
        <v>33781</v>
      </c>
      <c r="G185" t="s">
        <v>18</v>
      </c>
      <c r="H185">
        <f>F185/Tabla2[[#This Row],[Cosecha Mensual]]</f>
        <v>8.4600550964187331</v>
      </c>
      <c r="I185">
        <f>H185*_xlfn.XLOOKUP(Tabla2[[#This Row],[Unidad de producción]],Tabla3[Medida],Tabla3[Equivalencia en Kg],"ELVIS",0)</f>
        <v>383.74809917355373</v>
      </c>
      <c r="J185">
        <v>360</v>
      </c>
      <c r="K185" t="s">
        <v>18</v>
      </c>
      <c r="L185">
        <f>J185/_xlfn.XLOOKUP(Tabla2[[#This Row],[Unidad de precio]],Tabla3[Medida],Tabla3[Equivalencia en Kg],"ELVIS",0)</f>
        <v>7.9365079365079367</v>
      </c>
      <c r="N185" s="2">
        <f>(Tabla2[[#This Row],[Productividad (kg/TAS)]]*Tabla2[[#This Row],[Precio por kg]]-Tabla2[[#This Row],[Costos (En RD$/Tarea)]])</f>
        <v>3045.6198347107438</v>
      </c>
      <c r="O185" s="6">
        <f>IF(Tabla2[[#This Row],[Costos (En RD$/Tarea)]]=0,0,Tabla2[[#This Row],[Beneficio Neto  (En RD$/Tarea)]]/Tabla2[[#This Row],[Costos (En RD$/Tarea)]])</f>
        <v>0</v>
      </c>
      <c r="P185" s="4">
        <f>Tabla2[[#This Row],[Rentabilidad (%)]]/12</f>
        <v>0</v>
      </c>
    </row>
    <row r="186" spans="1:16" x14ac:dyDescent="0.35">
      <c r="A186" s="1">
        <v>36982</v>
      </c>
      <c r="B186" t="s">
        <v>23</v>
      </c>
      <c r="C186" s="2">
        <v>9997</v>
      </c>
      <c r="D186" s="5" t="s">
        <v>17</v>
      </c>
      <c r="E186" s="2">
        <f>IF(Tabla2[[#This Row],[Frecuencia]]="Annual", Tabla2[[#This Row],[Cosecha/Tarea]]/12,Tabla2[[#This Row],[Cosecha/Tarea]])</f>
        <v>9997</v>
      </c>
      <c r="F186" s="2">
        <v>228159</v>
      </c>
      <c r="G186" t="s">
        <v>18</v>
      </c>
      <c r="H186">
        <f>F186/Tabla2[[#This Row],[Cosecha Mensual]]</f>
        <v>22.822746824047215</v>
      </c>
      <c r="I186">
        <f>H186*_xlfn.XLOOKUP(Tabla2[[#This Row],[Unidad de producción]],Tabla3[Medida],Tabla3[Equivalencia en Kg],"ELVIS",0)</f>
        <v>1035.2397959387818</v>
      </c>
      <c r="J186">
        <v>350</v>
      </c>
      <c r="K186" t="s">
        <v>18</v>
      </c>
      <c r="L186">
        <f>J186/_xlfn.XLOOKUP(Tabla2[[#This Row],[Unidad de precio]],Tabla3[Medida],Tabla3[Equivalencia en Kg],"ELVIS",0)</f>
        <v>7.7160493827160499</v>
      </c>
      <c r="N186" s="2">
        <f>(Tabla2[[#This Row],[Productividad (kg/TAS)]]*Tabla2[[#This Row],[Precio por kg]]-Tabla2[[#This Row],[Costos (En RD$/Tarea)]])</f>
        <v>7987.9613884165265</v>
      </c>
      <c r="O186" s="6">
        <f>IF(Tabla2[[#This Row],[Costos (En RD$/Tarea)]]=0,0,Tabla2[[#This Row],[Beneficio Neto  (En RD$/Tarea)]]/Tabla2[[#This Row],[Costos (En RD$/Tarea)]])</f>
        <v>0</v>
      </c>
      <c r="P186" s="4">
        <f>Tabla2[[#This Row],[Rentabilidad (%)]]/12</f>
        <v>0</v>
      </c>
    </row>
    <row r="187" spans="1:16" x14ac:dyDescent="0.35">
      <c r="A187" s="1">
        <v>36982</v>
      </c>
      <c r="B187" t="s">
        <v>24</v>
      </c>
      <c r="C187" s="2">
        <v>7875</v>
      </c>
      <c r="D187" s="5" t="s">
        <v>17</v>
      </c>
      <c r="E187" s="2">
        <f>IF(Tabla2[[#This Row],[Frecuencia]]="Annual", Tabla2[[#This Row],[Cosecha/Tarea]]/12,Tabla2[[#This Row],[Cosecha/Tarea]])</f>
        <v>7875</v>
      </c>
      <c r="F187" s="2">
        <v>68714</v>
      </c>
      <c r="G187" t="s">
        <v>18</v>
      </c>
      <c r="H187">
        <f>F187/Tabla2[[#This Row],[Cosecha Mensual]]</f>
        <v>8.7255873015873018</v>
      </c>
      <c r="I187">
        <f>H187*_xlfn.XLOOKUP(Tabla2[[#This Row],[Unidad de producción]],Tabla3[Medida],Tabla3[Equivalencia en Kg],"ELVIS",0)</f>
        <v>395.79264000000001</v>
      </c>
      <c r="J187">
        <v>449.11857142857099</v>
      </c>
      <c r="K187" t="s">
        <v>18</v>
      </c>
      <c r="L187">
        <f>J187/_xlfn.XLOOKUP(Tabla2[[#This Row],[Unidad de precio]],Tabla3[Medida],Tabla3[Equivalencia en Kg],"ELVIS",0)</f>
        <v>9.9012030738221117</v>
      </c>
      <c r="N187" s="2">
        <f>(Tabla2[[#This Row],[Productividad (kg/TAS)]]*Tabla2[[#This Row],[Precio por kg]]-Tabla2[[#This Row],[Costos (En RD$/Tarea)]])</f>
        <v>3918.8233037641685</v>
      </c>
      <c r="O187" s="6">
        <f>IF(Tabla2[[#This Row],[Costos (En RD$/Tarea)]]=0,0,Tabla2[[#This Row],[Beneficio Neto  (En RD$/Tarea)]]/Tabla2[[#This Row],[Costos (En RD$/Tarea)]])</f>
        <v>0</v>
      </c>
      <c r="P187" s="4">
        <f>Tabla2[[#This Row],[Rentabilidad (%)]]/12</f>
        <v>0</v>
      </c>
    </row>
    <row r="188" spans="1:16" x14ac:dyDescent="0.35">
      <c r="A188" s="1">
        <v>36982</v>
      </c>
      <c r="B188" t="s">
        <v>25</v>
      </c>
      <c r="C188" s="2">
        <v>27183</v>
      </c>
      <c r="D188" s="5" t="s">
        <v>17</v>
      </c>
      <c r="E188" s="2">
        <f>IF(Tabla2[[#This Row],[Frecuencia]]="Annual", Tabla2[[#This Row],[Cosecha/Tarea]]/12,Tabla2[[#This Row],[Cosecha/Tarea]])</f>
        <v>27183</v>
      </c>
      <c r="F188" s="2">
        <v>264286</v>
      </c>
      <c r="G188" t="s">
        <v>18</v>
      </c>
      <c r="H188">
        <f>F188/Tabla2[[#This Row],[Cosecha Mensual]]</f>
        <v>9.7224736048265452</v>
      </c>
      <c r="I188">
        <f>H188*_xlfn.XLOOKUP(Tabla2[[#This Row],[Unidad de producción]],Tabla3[Medida],Tabla3[Equivalencia en Kg],"ELVIS",0)</f>
        <v>441.0114027149321</v>
      </c>
      <c r="J188">
        <v>101.892</v>
      </c>
      <c r="K188" t="s">
        <v>18</v>
      </c>
      <c r="L188">
        <f>J188/_xlfn.XLOOKUP(Tabla2[[#This Row],[Unidad de precio]],Tabla3[Medida],Tabla3[Equivalencia en Kg],"ELVIS",0)</f>
        <v>2.246296296296296</v>
      </c>
      <c r="N188" s="2">
        <f>(Tabla2[[#This Row],[Productividad (kg/TAS)]]*Tabla2[[#This Row],[Precio por kg]]-Tabla2[[#This Row],[Costos (En RD$/Tarea)]])</f>
        <v>990.64228054298621</v>
      </c>
      <c r="O188" s="6">
        <f>IF(Tabla2[[#This Row],[Costos (En RD$/Tarea)]]=0,0,Tabla2[[#This Row],[Beneficio Neto  (En RD$/Tarea)]]/Tabla2[[#This Row],[Costos (En RD$/Tarea)]])</f>
        <v>0</v>
      </c>
      <c r="P188" s="4">
        <f>Tabla2[[#This Row],[Rentabilidad (%)]]/12</f>
        <v>0</v>
      </c>
    </row>
    <row r="189" spans="1:16" x14ac:dyDescent="0.35">
      <c r="A189" s="1">
        <v>36982</v>
      </c>
      <c r="B189" t="s">
        <v>26</v>
      </c>
      <c r="C189" s="2">
        <v>15144</v>
      </c>
      <c r="D189" s="5" t="s">
        <v>17</v>
      </c>
      <c r="E189" s="2">
        <f>IF(Tabla2[[#This Row],[Frecuencia]]="Annual", Tabla2[[#This Row],[Cosecha/Tarea]]/12,Tabla2[[#This Row],[Cosecha/Tarea]])</f>
        <v>15144</v>
      </c>
      <c r="F189" s="2">
        <v>91987</v>
      </c>
      <c r="G189" t="s">
        <v>18</v>
      </c>
      <c r="H189">
        <f>F189/Tabla2[[#This Row],[Cosecha Mensual]]</f>
        <v>6.0741547807712628</v>
      </c>
      <c r="I189">
        <f>H189*_xlfn.XLOOKUP(Tabla2[[#This Row],[Unidad de producción]],Tabla3[Medida],Tabla3[Equivalencia en Kg],"ELVIS",0)</f>
        <v>275.5236608557845</v>
      </c>
      <c r="J189">
        <v>153.75</v>
      </c>
      <c r="K189" t="s">
        <v>18</v>
      </c>
      <c r="L189">
        <f>J189/_xlfn.XLOOKUP(Tabla2[[#This Row],[Unidad de precio]],Tabla3[Medida],Tabla3[Equivalencia en Kg],"ELVIS",0)</f>
        <v>3.3895502645502646</v>
      </c>
      <c r="N189" s="2">
        <f>(Tabla2[[#This Row],[Productividad (kg/TAS)]]*Tabla2[[#This Row],[Precio por kg]]-Tabla2[[#This Row],[Costos (En RD$/Tarea)]])</f>
        <v>933.90129754358179</v>
      </c>
      <c r="O189" s="6">
        <f>IF(Tabla2[[#This Row],[Costos (En RD$/Tarea)]]=0,0,Tabla2[[#This Row],[Beneficio Neto  (En RD$/Tarea)]]/Tabla2[[#This Row],[Costos (En RD$/Tarea)]])</f>
        <v>0</v>
      </c>
      <c r="P189" s="4">
        <f>Tabla2[[#This Row],[Rentabilidad (%)]]/12</f>
        <v>0</v>
      </c>
    </row>
    <row r="190" spans="1:16" x14ac:dyDescent="0.35">
      <c r="A190" s="1">
        <v>36982</v>
      </c>
      <c r="B190" t="s">
        <v>27</v>
      </c>
      <c r="C190" s="2">
        <v>4229</v>
      </c>
      <c r="D190" s="5" t="s">
        <v>17</v>
      </c>
      <c r="E190" s="2">
        <f>IF(Tabla2[[#This Row],[Frecuencia]]="Annual", Tabla2[[#This Row],[Cosecha/Tarea]]/12,Tabla2[[#This Row],[Cosecha/Tarea]])</f>
        <v>4229</v>
      </c>
      <c r="F190" s="2">
        <v>38388</v>
      </c>
      <c r="G190" t="s">
        <v>18</v>
      </c>
      <c r="H190">
        <f>F190/Tabla2[[#This Row],[Cosecha Mensual]]</f>
        <v>9.0773232442657843</v>
      </c>
      <c r="I190">
        <f>H190*_xlfn.XLOOKUP(Tabla2[[#This Row],[Unidad de producción]],Tabla3[Medida],Tabla3[Equivalencia en Kg],"ELVIS",0)</f>
        <v>411.74738235989599</v>
      </c>
      <c r="J190">
        <v>164.421428571429</v>
      </c>
      <c r="K190" t="s">
        <v>18</v>
      </c>
      <c r="L190">
        <f>J190/_xlfn.XLOOKUP(Tabla2[[#This Row],[Unidad de precio]],Tabla3[Medida],Tabla3[Equivalencia en Kg],"ELVIS",0)</f>
        <v>3.6248110355253309</v>
      </c>
      <c r="N190" s="2">
        <f>(Tabla2[[#This Row],[Productividad (kg/TAS)]]*Tabla2[[#This Row],[Precio por kg]]-Tabla2[[#This Row],[Costos (En RD$/Tarea)]])</f>
        <v>1492.506455426819</v>
      </c>
      <c r="O190" s="6">
        <f>IF(Tabla2[[#This Row],[Costos (En RD$/Tarea)]]=0,0,Tabla2[[#This Row],[Beneficio Neto  (En RD$/Tarea)]]/Tabla2[[#This Row],[Costos (En RD$/Tarea)]])</f>
        <v>0</v>
      </c>
      <c r="P190" s="4">
        <f>Tabla2[[#This Row],[Rentabilidad (%)]]/12</f>
        <v>0</v>
      </c>
    </row>
    <row r="191" spans="1:16" x14ac:dyDescent="0.35">
      <c r="A191" s="1">
        <v>36982</v>
      </c>
      <c r="B191" t="s">
        <v>28</v>
      </c>
      <c r="C191" s="2">
        <v>291</v>
      </c>
      <c r="D191" s="5" t="s">
        <v>17</v>
      </c>
      <c r="E191" s="2">
        <f>IF(Tabla2[[#This Row],[Frecuencia]]="Annual", Tabla2[[#This Row],[Cosecha/Tarea]]/12,Tabla2[[#This Row],[Cosecha/Tarea]])</f>
        <v>291</v>
      </c>
      <c r="F191" s="2">
        <v>517</v>
      </c>
      <c r="G191" t="s">
        <v>18</v>
      </c>
      <c r="H191">
        <f>F191/Tabla2[[#This Row],[Cosecha Mensual]]</f>
        <v>1.7766323024054982</v>
      </c>
      <c r="I191">
        <f>H191*_xlfn.XLOOKUP(Tabla2[[#This Row],[Unidad de producción]],Tabla3[Medida],Tabla3[Equivalencia en Kg],"ELVIS",0)</f>
        <v>80.588041237113401</v>
      </c>
      <c r="J191">
        <v>3533.3333333333298</v>
      </c>
      <c r="K191" t="s">
        <v>29</v>
      </c>
      <c r="L191">
        <f>J191/_xlfn.XLOOKUP(Tabla2[[#This Row],[Unidad de precio]],Tabla3[Medida],Tabla3[Equivalencia en Kg],"ELVIS",0)</f>
        <v>6.2832687223625028</v>
      </c>
      <c r="N191" s="2">
        <f>(Tabla2[[#This Row],[Productividad (kg/TAS)]]*Tabla2[[#This Row],[Precio por kg]]-Tabla2[[#This Row],[Costos (En RD$/Tarea)]])</f>
        <v>506.3563189016142</v>
      </c>
      <c r="O191" s="6">
        <f>IF(Tabla2[[#This Row],[Costos (En RD$/Tarea)]]=0,0,Tabla2[[#This Row],[Beneficio Neto  (En RD$/Tarea)]]/Tabla2[[#This Row],[Costos (En RD$/Tarea)]])</f>
        <v>0</v>
      </c>
      <c r="P191" s="4">
        <f>Tabla2[[#This Row],[Rentabilidad (%)]]/12</f>
        <v>0</v>
      </c>
    </row>
    <row r="192" spans="1:16" x14ac:dyDescent="0.35">
      <c r="A192" s="1">
        <v>36982</v>
      </c>
      <c r="B192" t="s">
        <v>30</v>
      </c>
      <c r="C192" s="2">
        <v>241834</v>
      </c>
      <c r="D192" s="2" t="s">
        <v>31</v>
      </c>
      <c r="E192" s="2">
        <f>IF(Tabla2[[#This Row],[Frecuencia]]="Annual", Tabla2[[#This Row],[Cosecha/Tarea]]/12,Tabla2[[#This Row],[Cosecha/Tarea]])</f>
        <v>20152.833333333332</v>
      </c>
      <c r="F192" s="2">
        <v>1437043</v>
      </c>
      <c r="G192" t="s">
        <v>32</v>
      </c>
      <c r="H192">
        <f>F192/Tabla2[[#This Row],[Cosecha Mensual]]</f>
        <v>71.307243811870961</v>
      </c>
      <c r="I192">
        <f>H192*_xlfn.XLOOKUP(Tabla2[[#This Row],[Unidad de producción]],Tabla3[Medida],Tabla3[Equivalencia en Kg],"ELVIS",0)</f>
        <v>1940.2701041210089</v>
      </c>
      <c r="J192">
        <v>22.6185714285714</v>
      </c>
      <c r="K192" t="s">
        <v>32</v>
      </c>
      <c r="L192">
        <f>J192/_xlfn.XLOOKUP(Tabla2[[#This Row],[Unidad de precio]],Tabla3[Medida],Tabla3[Equivalencia en Kg],"ELVIS",0)</f>
        <v>0.83125951593426683</v>
      </c>
      <c r="M192" s="2"/>
      <c r="N192" s="2">
        <f>(Tabla2[[#This Row],[Productividad (kg/TAS)]]*Tabla2[[#This Row],[Precio por kg]]-Tabla2[[#This Row],[Costos (En RD$/Tarea)]])</f>
        <v>1612.8679875333594</v>
      </c>
      <c r="O192" s="6">
        <f>IF(Tabla2[[#This Row],[Costos (En RD$/Tarea)]]=0,0,Tabla2[[#This Row],[Beneficio Neto  (En RD$/Tarea)]]/Tabla2[[#This Row],[Costos (En RD$/Tarea)]])</f>
        <v>0</v>
      </c>
      <c r="P192" s="4">
        <f>Tabla2[[#This Row],[Rentabilidad (%)]]/12</f>
        <v>0</v>
      </c>
    </row>
    <row r="193" spans="1:16" x14ac:dyDescent="0.35">
      <c r="A193" s="1">
        <v>36982</v>
      </c>
      <c r="B193" t="s">
        <v>33</v>
      </c>
      <c r="C193" s="2">
        <v>663727</v>
      </c>
      <c r="D193" s="2" t="s">
        <v>31</v>
      </c>
      <c r="E193" s="2">
        <f>IF(Tabla2[[#This Row],[Frecuencia]]="Annual", Tabla2[[#This Row],[Cosecha/Tarea]]/12,Tabla2[[#This Row],[Cosecha/Tarea]])</f>
        <v>55310.583333333336</v>
      </c>
      <c r="F193" s="2">
        <v>108938</v>
      </c>
      <c r="G193" t="s">
        <v>34</v>
      </c>
      <c r="H193">
        <f>F193/Tabla2[[#This Row],[Cosecha Mensual]]</f>
        <v>1.9695688136839393</v>
      </c>
      <c r="I193">
        <f>H193*_xlfn.XLOOKUP(Tabla2[[#This Row],[Unidad de producción]],Tabla3[Medida],Tabla3[Equivalencia en Kg],"ELVIS",0)</f>
        <v>803.87951130509975</v>
      </c>
      <c r="J193">
        <v>773.607142857143</v>
      </c>
      <c r="K193" t="s">
        <v>34</v>
      </c>
      <c r="L193">
        <f>J193/_xlfn.XLOOKUP(Tabla2[[#This Row],[Unidad de precio]],Tabla3[Medida],Tabla3[Equivalencia en Kg],"ELVIS",0)</f>
        <v>1.8953991004707658</v>
      </c>
      <c r="M193" s="2"/>
      <c r="N193" s="2">
        <f>(Tabla2[[#This Row],[Productividad (kg/TAS)]]*Tabla2[[#This Row],[Precio por kg]]-Tabla2[[#This Row],[Costos (En RD$/Tarea)]])</f>
        <v>1523.6725026145648</v>
      </c>
      <c r="O193" s="6">
        <f>IF(Tabla2[[#This Row],[Costos (En RD$/Tarea)]]=0,0,Tabla2[[#This Row],[Beneficio Neto  (En RD$/Tarea)]]/Tabla2[[#This Row],[Costos (En RD$/Tarea)]])</f>
        <v>0</v>
      </c>
      <c r="P193" s="4">
        <f>Tabla2[[#This Row],[Rentabilidad (%)]]/12</f>
        <v>0</v>
      </c>
    </row>
    <row r="194" spans="1:16" x14ac:dyDescent="0.35">
      <c r="A194" s="1">
        <v>37012</v>
      </c>
      <c r="B194" t="s">
        <v>16</v>
      </c>
      <c r="C194" s="2">
        <v>121993</v>
      </c>
      <c r="D194" s="5" t="s">
        <v>17</v>
      </c>
      <c r="E194" s="2">
        <f>IF(Tabla2[[#This Row],[Frecuencia]]="Annual", Tabla2[[#This Row],[Cosecha/Tarea]]/12,Tabla2[[#This Row],[Cosecha/Tarea]])</f>
        <v>121993</v>
      </c>
      <c r="F194" s="2">
        <v>581527</v>
      </c>
      <c r="G194" t="s">
        <v>18</v>
      </c>
      <c r="H194">
        <f>F194/Tabla2[[#This Row],[Cosecha Mensual]]</f>
        <v>4.766888264080726</v>
      </c>
      <c r="I194">
        <f>H194*_xlfn.XLOOKUP(Tabla2[[#This Row],[Unidad de producción]],Tabla3[Medida],Tabla3[Equivalencia en Kg],"ELVIS",0)</f>
        <v>216.22605165870172</v>
      </c>
      <c r="J194">
        <v>1004.20682068207</v>
      </c>
      <c r="K194" t="s">
        <v>19</v>
      </c>
      <c r="L194">
        <f>J194/_xlfn.XLOOKUP(Tabla2[[#This Row],[Unidad de precio]],Tabla3[Medida],Tabla3[Equivalencia en Kg],"ELVIS",0)</f>
        <v>9.1291529152915452</v>
      </c>
      <c r="N194" s="2">
        <f>(Tabla2[[#This Row],[Productividad (kg/TAS)]]*Tabla2[[#This Row],[Precio por kg]]-Tabla2[[#This Row],[Costos (En RD$/Tarea)]])</f>
        <v>1973.960689862017</v>
      </c>
      <c r="O194" s="6">
        <f>IF(Tabla2[[#This Row],[Costos (En RD$/Tarea)]]=0,0,Tabla2[[#This Row],[Beneficio Neto  (En RD$/Tarea)]]/Tabla2[[#This Row],[Costos (En RD$/Tarea)]])</f>
        <v>0</v>
      </c>
      <c r="P194" s="4">
        <f>Tabla2[[#This Row],[Rentabilidad (%)]]/12</f>
        <v>0</v>
      </c>
    </row>
    <row r="195" spans="1:16" x14ac:dyDescent="0.35">
      <c r="A195" s="1">
        <v>37012</v>
      </c>
      <c r="B195" t="s">
        <v>20</v>
      </c>
      <c r="C195" s="2">
        <v>22982</v>
      </c>
      <c r="D195" s="5" t="s">
        <v>17</v>
      </c>
      <c r="E195" s="2">
        <f>IF(Tabla2[[#This Row],[Frecuencia]]="Annual", Tabla2[[#This Row],[Cosecha/Tarea]]/12,Tabla2[[#This Row],[Cosecha/Tarea]])</f>
        <v>22982</v>
      </c>
      <c r="F195" s="2">
        <v>44654</v>
      </c>
      <c r="G195" t="s">
        <v>18</v>
      </c>
      <c r="H195">
        <f>F195/Tabla2[[#This Row],[Cosecha Mensual]]</f>
        <v>1.9429988686798363</v>
      </c>
      <c r="I195">
        <f>H195*_xlfn.XLOOKUP(Tabla2[[#This Row],[Unidad de producción]],Tabla3[Medida],Tabla3[Equivalencia en Kg],"ELVIS",0)</f>
        <v>88.134428683317367</v>
      </c>
      <c r="J195">
        <v>135.97499999999999</v>
      </c>
      <c r="K195" t="s">
        <v>18</v>
      </c>
      <c r="L195">
        <f>J195/_xlfn.XLOOKUP(Tabla2[[#This Row],[Unidad de precio]],Tabla3[Medida],Tabla3[Equivalencia en Kg],"ELVIS",0)</f>
        <v>2.9976851851851851</v>
      </c>
      <c r="N195" s="2">
        <f>(Tabla2[[#This Row],[Productividad (kg/TAS)]]*Tabla2[[#This Row],[Precio por kg]]-Tabla2[[#This Row],[Costos (En RD$/Tarea)]])</f>
        <v>264.19927116874072</v>
      </c>
      <c r="O195" s="6">
        <f>IF(Tabla2[[#This Row],[Costos (En RD$/Tarea)]]=0,0,Tabla2[[#This Row],[Beneficio Neto  (En RD$/Tarea)]]/Tabla2[[#This Row],[Costos (En RD$/Tarea)]])</f>
        <v>0</v>
      </c>
      <c r="P195" s="4">
        <f>Tabla2[[#This Row],[Rentabilidad (%)]]/12</f>
        <v>0</v>
      </c>
    </row>
    <row r="196" spans="1:16" x14ac:dyDescent="0.35">
      <c r="A196" s="1">
        <v>37012</v>
      </c>
      <c r="B196" t="s">
        <v>21</v>
      </c>
      <c r="C196" s="2">
        <v>10000</v>
      </c>
      <c r="D196" s="5" t="s">
        <v>17</v>
      </c>
      <c r="E196" s="2">
        <f>IF(Tabla2[[#This Row],[Frecuencia]]="Annual", Tabla2[[#This Row],[Cosecha/Tarea]]/12,Tabla2[[#This Row],[Cosecha/Tarea]])</f>
        <v>10000</v>
      </c>
      <c r="F196" s="2">
        <v>86355</v>
      </c>
      <c r="G196" t="s">
        <v>18</v>
      </c>
      <c r="H196">
        <f>F196/Tabla2[[#This Row],[Cosecha Mensual]]</f>
        <v>8.6355000000000004</v>
      </c>
      <c r="I196">
        <f>H196*_xlfn.XLOOKUP(Tabla2[[#This Row],[Unidad de producción]],Tabla3[Medida],Tabla3[Equivalencia en Kg],"ELVIS",0)</f>
        <v>391.70627999999999</v>
      </c>
      <c r="J196">
        <v>135.29249999999999</v>
      </c>
      <c r="K196" t="s">
        <v>18</v>
      </c>
      <c r="L196">
        <f>J196/_xlfn.XLOOKUP(Tabla2[[#This Row],[Unidad de precio]],Tabla3[Medida],Tabla3[Equivalencia en Kg],"ELVIS",0)</f>
        <v>2.9826388888888888</v>
      </c>
      <c r="N196" s="2">
        <f>(Tabla2[[#This Row],[Productividad (kg/TAS)]]*Tabla2[[#This Row],[Precio por kg]]-Tabla2[[#This Row],[Costos (En RD$/Tarea)]])</f>
        <v>1168.3183837500001</v>
      </c>
      <c r="O196" s="6">
        <f>IF(Tabla2[[#This Row],[Costos (En RD$/Tarea)]]=0,0,Tabla2[[#This Row],[Beneficio Neto  (En RD$/Tarea)]]/Tabla2[[#This Row],[Costos (En RD$/Tarea)]])</f>
        <v>0</v>
      </c>
      <c r="P196" s="4">
        <f>Tabla2[[#This Row],[Rentabilidad (%)]]/12</f>
        <v>0</v>
      </c>
    </row>
    <row r="197" spans="1:16" x14ac:dyDescent="0.35">
      <c r="A197" s="1">
        <v>37012</v>
      </c>
      <c r="B197" t="s">
        <v>22</v>
      </c>
      <c r="C197" s="2">
        <v>3149</v>
      </c>
      <c r="D197" s="5" t="s">
        <v>17</v>
      </c>
      <c r="E197" s="2">
        <f>IF(Tabla2[[#This Row],[Frecuencia]]="Annual", Tabla2[[#This Row],[Cosecha/Tarea]]/12,Tabla2[[#This Row],[Cosecha/Tarea]])</f>
        <v>3149</v>
      </c>
      <c r="F197" s="2">
        <v>28343</v>
      </c>
      <c r="G197" t="s">
        <v>18</v>
      </c>
      <c r="H197">
        <f>F197/Tabla2[[#This Row],[Cosecha Mensual]]</f>
        <v>9.0006351222610359</v>
      </c>
      <c r="I197">
        <f>H197*_xlfn.XLOOKUP(Tabla2[[#This Row],[Unidad de producción]],Tabla3[Medida],Tabla3[Equivalencia en Kg],"ELVIS",0)</f>
        <v>408.2688091457606</v>
      </c>
      <c r="J197">
        <v>380</v>
      </c>
      <c r="K197" t="s">
        <v>18</v>
      </c>
      <c r="L197">
        <f>J197/_xlfn.XLOOKUP(Tabla2[[#This Row],[Unidad de precio]],Tabla3[Medida],Tabla3[Equivalencia en Kg],"ELVIS",0)</f>
        <v>8.3774250440917104</v>
      </c>
      <c r="N197" s="2">
        <f>(Tabla2[[#This Row],[Productividad (kg/TAS)]]*Tabla2[[#This Row],[Precio por kg]]-Tabla2[[#This Row],[Costos (En RD$/Tarea)]])</f>
        <v>3420.2413464591937</v>
      </c>
      <c r="O197" s="6">
        <f>IF(Tabla2[[#This Row],[Costos (En RD$/Tarea)]]=0,0,Tabla2[[#This Row],[Beneficio Neto  (En RD$/Tarea)]]/Tabla2[[#This Row],[Costos (En RD$/Tarea)]])</f>
        <v>0</v>
      </c>
      <c r="P197" s="4">
        <f>Tabla2[[#This Row],[Rentabilidad (%)]]/12</f>
        <v>0</v>
      </c>
    </row>
    <row r="198" spans="1:16" x14ac:dyDescent="0.35">
      <c r="A198" s="1">
        <v>37012</v>
      </c>
      <c r="B198" t="s">
        <v>23</v>
      </c>
      <c r="C198" s="2">
        <v>5645</v>
      </c>
      <c r="D198" s="5" t="s">
        <v>17</v>
      </c>
      <c r="E198" s="2">
        <f>IF(Tabla2[[#This Row],[Frecuencia]]="Annual", Tabla2[[#This Row],[Cosecha/Tarea]]/12,Tabla2[[#This Row],[Cosecha/Tarea]])</f>
        <v>5645</v>
      </c>
      <c r="F198" s="2">
        <v>147612</v>
      </c>
      <c r="G198" t="s">
        <v>18</v>
      </c>
      <c r="H198">
        <f>F198/Tabla2[[#This Row],[Cosecha Mensual]]</f>
        <v>26.149158547387067</v>
      </c>
      <c r="I198">
        <f>H198*_xlfn.XLOOKUP(Tabla2[[#This Row],[Unidad de producción]],Tabla3[Medida],Tabla3[Equivalencia en Kg],"ELVIS",0)</f>
        <v>1186.1258317094773</v>
      </c>
      <c r="J198">
        <v>238.75</v>
      </c>
      <c r="K198" t="s">
        <v>18</v>
      </c>
      <c r="L198">
        <f>J198/_xlfn.XLOOKUP(Tabla2[[#This Row],[Unidad de precio]],Tabla3[Medida],Tabla3[Equivalencia en Kg],"ELVIS",0)</f>
        <v>5.2634479717813054</v>
      </c>
      <c r="N198" s="2">
        <f>(Tabla2[[#This Row],[Productividad (kg/TAS)]]*Tabla2[[#This Row],[Precio por kg]]-Tabla2[[#This Row],[Costos (En RD$/Tarea)]])</f>
        <v>6243.1116031886622</v>
      </c>
      <c r="O198" s="6">
        <f>IF(Tabla2[[#This Row],[Costos (En RD$/Tarea)]]=0,0,Tabla2[[#This Row],[Beneficio Neto  (En RD$/Tarea)]]/Tabla2[[#This Row],[Costos (En RD$/Tarea)]])</f>
        <v>0</v>
      </c>
      <c r="P198" s="4">
        <f>Tabla2[[#This Row],[Rentabilidad (%)]]/12</f>
        <v>0</v>
      </c>
    </row>
    <row r="199" spans="1:16" x14ac:dyDescent="0.35">
      <c r="A199" s="1">
        <v>37012</v>
      </c>
      <c r="B199" t="s">
        <v>24</v>
      </c>
      <c r="C199" s="2">
        <v>7842</v>
      </c>
      <c r="D199" s="5" t="s">
        <v>17</v>
      </c>
      <c r="E199" s="2">
        <f>IF(Tabla2[[#This Row],[Frecuencia]]="Annual", Tabla2[[#This Row],[Cosecha/Tarea]]/12,Tabla2[[#This Row],[Cosecha/Tarea]])</f>
        <v>7842</v>
      </c>
      <c r="F199" s="2">
        <v>128221</v>
      </c>
      <c r="G199" t="s">
        <v>18</v>
      </c>
      <c r="H199">
        <f>F199/Tabla2[[#This Row],[Cosecha Mensual]]</f>
        <v>16.350548329507777</v>
      </c>
      <c r="I199">
        <f>H199*_xlfn.XLOOKUP(Tabla2[[#This Row],[Unidad de producción]],Tabla3[Medida],Tabla3[Equivalencia en Kg],"ELVIS",0)</f>
        <v>741.66087222647275</v>
      </c>
      <c r="J199">
        <v>466.66666666666703</v>
      </c>
      <c r="K199" t="s">
        <v>18</v>
      </c>
      <c r="L199">
        <f>J199/_xlfn.XLOOKUP(Tabla2[[#This Row],[Unidad de precio]],Tabla3[Medida],Tabla3[Equivalencia en Kg],"ELVIS",0)</f>
        <v>10.288065843621407</v>
      </c>
      <c r="N199" s="2">
        <f>(Tabla2[[#This Row],[Productividad (kg/TAS)]]*Tabla2[[#This Row],[Precio por kg]]-Tabla2[[#This Row],[Costos (En RD$/Tarea)]])</f>
        <v>7630.2558871036344</v>
      </c>
      <c r="O199" s="6">
        <f>IF(Tabla2[[#This Row],[Costos (En RD$/Tarea)]]=0,0,Tabla2[[#This Row],[Beneficio Neto  (En RD$/Tarea)]]/Tabla2[[#This Row],[Costos (En RD$/Tarea)]])</f>
        <v>0</v>
      </c>
      <c r="P199" s="4">
        <f>Tabla2[[#This Row],[Rentabilidad (%)]]/12</f>
        <v>0</v>
      </c>
    </row>
    <row r="200" spans="1:16" x14ac:dyDescent="0.35">
      <c r="A200" s="1">
        <v>37012</v>
      </c>
      <c r="B200" t="s">
        <v>25</v>
      </c>
      <c r="C200" s="2">
        <v>23264</v>
      </c>
      <c r="D200" s="5" t="s">
        <v>17</v>
      </c>
      <c r="E200" s="2">
        <f>IF(Tabla2[[#This Row],[Frecuencia]]="Annual", Tabla2[[#This Row],[Cosecha/Tarea]]/12,Tabla2[[#This Row],[Cosecha/Tarea]])</f>
        <v>23264</v>
      </c>
      <c r="F200" s="2">
        <v>213820</v>
      </c>
      <c r="G200" t="s">
        <v>18</v>
      </c>
      <c r="H200">
        <f>F200/Tabla2[[#This Row],[Cosecha Mensual]]</f>
        <v>9.1910247592847316</v>
      </c>
      <c r="I200">
        <f>H200*_xlfn.XLOOKUP(Tabla2[[#This Row],[Unidad de producción]],Tabla3[Medida],Tabla3[Equivalencia en Kg],"ELVIS",0)</f>
        <v>416.90488308115545</v>
      </c>
      <c r="J200">
        <v>143.78233333333301</v>
      </c>
      <c r="K200" t="s">
        <v>18</v>
      </c>
      <c r="L200">
        <f>J200/_xlfn.XLOOKUP(Tabla2[[#This Row],[Unidad de precio]],Tabla3[Medida],Tabla3[Equivalencia en Kg],"ELVIS",0)</f>
        <v>3.1698045267489641</v>
      </c>
      <c r="N200" s="2">
        <f>(Tabla2[[#This Row],[Productividad (kg/TAS)]]*Tabla2[[#This Row],[Precio por kg]]-Tabla2[[#This Row],[Costos (En RD$/Tarea)]])</f>
        <v>1321.5069856143941</v>
      </c>
      <c r="O200" s="6">
        <f>IF(Tabla2[[#This Row],[Costos (En RD$/Tarea)]]=0,0,Tabla2[[#This Row],[Beneficio Neto  (En RD$/Tarea)]]/Tabla2[[#This Row],[Costos (En RD$/Tarea)]])</f>
        <v>0</v>
      </c>
      <c r="P200" s="4">
        <f>Tabla2[[#This Row],[Rentabilidad (%)]]/12</f>
        <v>0</v>
      </c>
    </row>
    <row r="201" spans="1:16" x14ac:dyDescent="0.35">
      <c r="A201" s="1">
        <v>37012</v>
      </c>
      <c r="B201" t="s">
        <v>26</v>
      </c>
      <c r="C201" s="2">
        <v>15202</v>
      </c>
      <c r="D201" s="5" t="s">
        <v>17</v>
      </c>
      <c r="E201" s="2">
        <f>IF(Tabla2[[#This Row],[Frecuencia]]="Annual", Tabla2[[#This Row],[Cosecha/Tarea]]/12,Tabla2[[#This Row],[Cosecha/Tarea]])</f>
        <v>15202</v>
      </c>
      <c r="F201" s="2">
        <v>118385</v>
      </c>
      <c r="G201" t="s">
        <v>18</v>
      </c>
      <c r="H201">
        <f>F201/Tabla2[[#This Row],[Cosecha Mensual]]</f>
        <v>7.7874621760294698</v>
      </c>
      <c r="I201">
        <f>H201*_xlfn.XLOOKUP(Tabla2[[#This Row],[Unidad de producción]],Tabla3[Medida],Tabla3[Equivalencia en Kg],"ELVIS",0)</f>
        <v>353.23928430469675</v>
      </c>
      <c r="J201">
        <v>136.875</v>
      </c>
      <c r="K201" t="s">
        <v>18</v>
      </c>
      <c r="L201">
        <f>J201/_xlfn.XLOOKUP(Tabla2[[#This Row],[Unidad de precio]],Tabla3[Medida],Tabla3[Equivalencia en Kg],"ELVIS",0)</f>
        <v>3.0175264550264549</v>
      </c>
      <c r="N201" s="2">
        <f>(Tabla2[[#This Row],[Productividad (kg/TAS)]]*Tabla2[[#This Row],[Precio por kg]]-Tabla2[[#This Row],[Costos (En RD$/Tarea)]])</f>
        <v>1065.9088853440337</v>
      </c>
      <c r="O201" s="6">
        <f>IF(Tabla2[[#This Row],[Costos (En RD$/Tarea)]]=0,0,Tabla2[[#This Row],[Beneficio Neto  (En RD$/Tarea)]]/Tabla2[[#This Row],[Costos (En RD$/Tarea)]])</f>
        <v>0</v>
      </c>
      <c r="P201" s="4">
        <f>Tabla2[[#This Row],[Rentabilidad (%)]]/12</f>
        <v>0</v>
      </c>
    </row>
    <row r="202" spans="1:16" x14ac:dyDescent="0.35">
      <c r="A202" s="1">
        <v>37012</v>
      </c>
      <c r="B202" t="s">
        <v>27</v>
      </c>
      <c r="C202" s="2">
        <v>3828</v>
      </c>
      <c r="D202" s="5" t="s">
        <v>17</v>
      </c>
      <c r="E202" s="2">
        <f>IF(Tabla2[[#This Row],[Frecuencia]]="Annual", Tabla2[[#This Row],[Cosecha/Tarea]]/12,Tabla2[[#This Row],[Cosecha/Tarea]])</f>
        <v>3828</v>
      </c>
      <c r="F202" s="2">
        <v>28655</v>
      </c>
      <c r="G202" t="s">
        <v>18</v>
      </c>
      <c r="H202">
        <f>F202/Tabla2[[#This Row],[Cosecha Mensual]]</f>
        <v>7.485632183908046</v>
      </c>
      <c r="I202">
        <f>H202*_xlfn.XLOOKUP(Tabla2[[#This Row],[Unidad de producción]],Tabla3[Medida],Tabla3[Equivalencia en Kg],"ELVIS",0)</f>
        <v>339.54827586206898</v>
      </c>
      <c r="J202">
        <v>188.583333333333</v>
      </c>
      <c r="K202" t="s">
        <v>18</v>
      </c>
      <c r="L202">
        <f>J202/_xlfn.XLOOKUP(Tabla2[[#This Row],[Unidad de precio]],Tabla3[Medida],Tabla3[Equivalencia en Kg],"ELVIS",0)</f>
        <v>4.1574808935919974</v>
      </c>
      <c r="N202" s="2">
        <f>(Tabla2[[#This Row],[Productividad (kg/TAS)]]*Tabla2[[#This Row],[Precio por kg]]-Tabla2[[#This Row],[Costos (En RD$/Tarea)]])</f>
        <v>1411.6654693486566</v>
      </c>
      <c r="O202" s="6">
        <f>IF(Tabla2[[#This Row],[Costos (En RD$/Tarea)]]=0,0,Tabla2[[#This Row],[Beneficio Neto  (En RD$/Tarea)]]/Tabla2[[#This Row],[Costos (En RD$/Tarea)]])</f>
        <v>0</v>
      </c>
      <c r="P202" s="4">
        <f>Tabla2[[#This Row],[Rentabilidad (%)]]/12</f>
        <v>0</v>
      </c>
    </row>
    <row r="203" spans="1:16" x14ac:dyDescent="0.35">
      <c r="A203" s="1">
        <v>37012</v>
      </c>
      <c r="B203" t="s">
        <v>28</v>
      </c>
      <c r="C203" s="2">
        <v>42</v>
      </c>
      <c r="D203" s="5" t="s">
        <v>17</v>
      </c>
      <c r="E203" s="2">
        <f>IF(Tabla2[[#This Row],[Frecuencia]]="Annual", Tabla2[[#This Row],[Cosecha/Tarea]]/12,Tabla2[[#This Row],[Cosecha/Tarea]])</f>
        <v>42</v>
      </c>
      <c r="F203" s="2">
        <v>114</v>
      </c>
      <c r="G203" t="s">
        <v>18</v>
      </c>
      <c r="H203">
        <f>F203/Tabla2[[#This Row],[Cosecha Mensual]]</f>
        <v>2.7142857142857144</v>
      </c>
      <c r="I203">
        <f>H203*_xlfn.XLOOKUP(Tabla2[[#This Row],[Unidad de producción]],Tabla3[Medida],Tabla3[Equivalencia en Kg],"ELVIS",0)</f>
        <v>123.12</v>
      </c>
      <c r="J203">
        <v>5500</v>
      </c>
      <c r="K203" t="s">
        <v>29</v>
      </c>
      <c r="L203">
        <f>J203/_xlfn.XLOOKUP(Tabla2[[#This Row],[Unidad de precio]],Tabla3[Medida],Tabla3[Equivalencia en Kg],"ELVIS",0)</f>
        <v>9.7805598036774892</v>
      </c>
      <c r="N203" s="2">
        <f>(Tabla2[[#This Row],[Productividad (kg/TAS)]]*Tabla2[[#This Row],[Precio por kg]]-Tabla2[[#This Row],[Costos (En RD$/Tarea)]])</f>
        <v>1204.1825230287725</v>
      </c>
      <c r="O203" s="6">
        <f>IF(Tabla2[[#This Row],[Costos (En RD$/Tarea)]]=0,0,Tabla2[[#This Row],[Beneficio Neto  (En RD$/Tarea)]]/Tabla2[[#This Row],[Costos (En RD$/Tarea)]])</f>
        <v>0</v>
      </c>
      <c r="P203" s="4">
        <f>Tabla2[[#This Row],[Rentabilidad (%)]]/12</f>
        <v>0</v>
      </c>
    </row>
    <row r="204" spans="1:16" x14ac:dyDescent="0.35">
      <c r="A204" s="1">
        <v>37012</v>
      </c>
      <c r="B204" t="s">
        <v>30</v>
      </c>
      <c r="C204" s="2">
        <v>215704</v>
      </c>
      <c r="D204" s="2" t="s">
        <v>31</v>
      </c>
      <c r="E204" s="2">
        <f>IF(Tabla2[[#This Row],[Frecuencia]]="Annual", Tabla2[[#This Row],[Cosecha/Tarea]]/12,Tabla2[[#This Row],[Cosecha/Tarea]])</f>
        <v>17975.333333333332</v>
      </c>
      <c r="F204" s="2">
        <v>1590318</v>
      </c>
      <c r="G204" t="s">
        <v>32</v>
      </c>
      <c r="H204">
        <f>F204/Tabla2[[#This Row],[Cosecha Mensual]]</f>
        <v>88.472239735934437</v>
      </c>
      <c r="I204">
        <f>H204*_xlfn.XLOOKUP(Tabla2[[#This Row],[Unidad de producción]],Tabla3[Medida],Tabla3[Equivalencia en Kg],"ELVIS",0)</f>
        <v>2407.3296432147763</v>
      </c>
      <c r="J204">
        <v>56.195</v>
      </c>
      <c r="K204" t="s">
        <v>32</v>
      </c>
      <c r="L204">
        <f>J204/_xlfn.XLOOKUP(Tabla2[[#This Row],[Unidad de precio]],Tabla3[Medida],Tabla3[Equivalencia en Kg],"ELVIS",0)</f>
        <v>2.0652333700845276</v>
      </c>
      <c r="M204" s="2"/>
      <c r="N204" s="2">
        <f>(Tabla2[[#This Row],[Productividad (kg/TAS)]]*Tabla2[[#This Row],[Precio por kg]]-Tabla2[[#This Row],[Costos (En RD$/Tarea)]])</f>
        <v>4971.697511960836</v>
      </c>
      <c r="O204" s="6">
        <f>IF(Tabla2[[#This Row],[Costos (En RD$/Tarea)]]=0,0,Tabla2[[#This Row],[Beneficio Neto  (En RD$/Tarea)]]/Tabla2[[#This Row],[Costos (En RD$/Tarea)]])</f>
        <v>0</v>
      </c>
      <c r="P204" s="4">
        <f>Tabla2[[#This Row],[Rentabilidad (%)]]/12</f>
        <v>0</v>
      </c>
    </row>
    <row r="205" spans="1:16" x14ac:dyDescent="0.35">
      <c r="A205" s="1">
        <v>37012</v>
      </c>
      <c r="B205" t="s">
        <v>33</v>
      </c>
      <c r="C205" s="2">
        <v>679450</v>
      </c>
      <c r="D205" s="2" t="s">
        <v>31</v>
      </c>
      <c r="E205" s="2">
        <f>IF(Tabla2[[#This Row],[Frecuencia]]="Annual", Tabla2[[#This Row],[Cosecha/Tarea]]/12,Tabla2[[#This Row],[Cosecha/Tarea]])</f>
        <v>56620.833333333336</v>
      </c>
      <c r="F205" s="2">
        <v>131583</v>
      </c>
      <c r="G205" t="s">
        <v>34</v>
      </c>
      <c r="H205">
        <f>F205/Tabla2[[#This Row],[Cosecha Mensual]]</f>
        <v>2.3239325925380823</v>
      </c>
      <c r="I205">
        <f>H205*_xlfn.XLOOKUP(Tabla2[[#This Row],[Unidad de producción]],Tabla3[Medida],Tabla3[Equivalencia en Kg],"ELVIS",0)</f>
        <v>948.51308764441819</v>
      </c>
      <c r="J205">
        <v>718</v>
      </c>
      <c r="K205" t="s">
        <v>34</v>
      </c>
      <c r="L205">
        <f>J205/_xlfn.XLOOKUP(Tabla2[[#This Row],[Unidad de precio]],Tabla3[Medida],Tabla3[Equivalencia en Kg],"ELVIS",0)</f>
        <v>1.7591571726081099</v>
      </c>
      <c r="M205" s="2"/>
      <c r="N205" s="2">
        <f>(Tabla2[[#This Row],[Productividad (kg/TAS)]]*Tabla2[[#This Row],[Precio por kg]]-Tabla2[[#This Row],[Costos (En RD$/Tarea)]])</f>
        <v>1668.583601442343</v>
      </c>
      <c r="O205" s="6">
        <f>IF(Tabla2[[#This Row],[Costos (En RD$/Tarea)]]=0,0,Tabla2[[#This Row],[Beneficio Neto  (En RD$/Tarea)]]/Tabla2[[#This Row],[Costos (En RD$/Tarea)]])</f>
        <v>0</v>
      </c>
      <c r="P205" s="4">
        <f>Tabla2[[#This Row],[Rentabilidad (%)]]/12</f>
        <v>0</v>
      </c>
    </row>
    <row r="206" spans="1:16" x14ac:dyDescent="0.35">
      <c r="A206" s="1">
        <v>37043</v>
      </c>
      <c r="B206" t="s">
        <v>16</v>
      </c>
      <c r="C206" s="2">
        <v>470883</v>
      </c>
      <c r="D206" s="5" t="s">
        <v>17</v>
      </c>
      <c r="E206" s="2">
        <f>IF(Tabla2[[#This Row],[Frecuencia]]="Annual", Tabla2[[#This Row],[Cosecha/Tarea]]/12,Tabla2[[#This Row],[Cosecha/Tarea]])</f>
        <v>470883</v>
      </c>
      <c r="F206" s="2">
        <v>2424189</v>
      </c>
      <c r="G206" t="s">
        <v>18</v>
      </c>
      <c r="H206">
        <f>F206/Tabla2[[#This Row],[Cosecha Mensual]]</f>
        <v>5.1481769356719189</v>
      </c>
      <c r="I206">
        <f>H206*_xlfn.XLOOKUP(Tabla2[[#This Row],[Unidad de producción]],Tabla3[Medida],Tabla3[Equivalencia en Kg],"ELVIS",0)</f>
        <v>233.52130580207825</v>
      </c>
      <c r="J206">
        <v>1096.3696369637</v>
      </c>
      <c r="K206" t="s">
        <v>19</v>
      </c>
      <c r="L206">
        <f>J206/_xlfn.XLOOKUP(Tabla2[[#This Row],[Unidad de precio]],Tabla3[Medida],Tabla3[Equivalencia en Kg],"ELVIS",0)</f>
        <v>9.9669966996700001</v>
      </c>
      <c r="N206" s="2">
        <f>(Tabla2[[#This Row],[Productividad (kg/TAS)]]*Tabla2[[#This Row],[Precio por kg]]-Tabla2[[#This Row],[Costos (En RD$/Tarea)]])</f>
        <v>2327.5060842319426</v>
      </c>
      <c r="O206" s="6">
        <f>IF(Tabla2[[#This Row],[Costos (En RD$/Tarea)]]=0,0,Tabla2[[#This Row],[Beneficio Neto  (En RD$/Tarea)]]/Tabla2[[#This Row],[Costos (En RD$/Tarea)]])</f>
        <v>0</v>
      </c>
      <c r="P206" s="4">
        <f>Tabla2[[#This Row],[Rentabilidad (%)]]/12</f>
        <v>0</v>
      </c>
    </row>
    <row r="207" spans="1:16" x14ac:dyDescent="0.35">
      <c r="A207" s="1">
        <v>37043</v>
      </c>
      <c r="B207" t="s">
        <v>20</v>
      </c>
      <c r="C207" s="2">
        <v>24680</v>
      </c>
      <c r="D207" s="5" t="s">
        <v>17</v>
      </c>
      <c r="E207" s="2">
        <f>IF(Tabla2[[#This Row],[Frecuencia]]="Annual", Tabla2[[#This Row],[Cosecha/Tarea]]/12,Tabla2[[#This Row],[Cosecha/Tarea]])</f>
        <v>24680</v>
      </c>
      <c r="F207" s="2">
        <v>77617</v>
      </c>
      <c r="G207" t="s">
        <v>18</v>
      </c>
      <c r="H207">
        <f>F207/Tabla2[[#This Row],[Cosecha Mensual]]</f>
        <v>3.1449351701782819</v>
      </c>
      <c r="I207">
        <f>H207*_xlfn.XLOOKUP(Tabla2[[#This Row],[Unidad de producción]],Tabla3[Medida],Tabla3[Equivalencia en Kg],"ELVIS",0)</f>
        <v>142.65425931928687</v>
      </c>
      <c r="J207">
        <v>137.16999999999999</v>
      </c>
      <c r="K207" t="s">
        <v>18</v>
      </c>
      <c r="L207">
        <f>J207/_xlfn.XLOOKUP(Tabla2[[#This Row],[Unidad de precio]],Tabla3[Medida],Tabla3[Equivalencia en Kg],"ELVIS",0)</f>
        <v>3.0240299823633157</v>
      </c>
      <c r="N207" s="2">
        <f>(Tabla2[[#This Row],[Productividad (kg/TAS)]]*Tabla2[[#This Row],[Precio por kg]]-Tabla2[[#This Row],[Costos (En RD$/Tarea)]])</f>
        <v>431.39075729335491</v>
      </c>
      <c r="O207" s="6">
        <f>IF(Tabla2[[#This Row],[Costos (En RD$/Tarea)]]=0,0,Tabla2[[#This Row],[Beneficio Neto  (En RD$/Tarea)]]/Tabla2[[#This Row],[Costos (En RD$/Tarea)]])</f>
        <v>0</v>
      </c>
      <c r="P207" s="4">
        <f>Tabla2[[#This Row],[Rentabilidad (%)]]/12</f>
        <v>0</v>
      </c>
    </row>
    <row r="208" spans="1:16" x14ac:dyDescent="0.35">
      <c r="A208" s="1">
        <v>37043</v>
      </c>
      <c r="B208" t="s">
        <v>21</v>
      </c>
      <c r="C208" s="2">
        <v>6041</v>
      </c>
      <c r="D208" s="5" t="s">
        <v>17</v>
      </c>
      <c r="E208" s="2">
        <f>IF(Tabla2[[#This Row],[Frecuencia]]="Annual", Tabla2[[#This Row],[Cosecha/Tarea]]/12,Tabla2[[#This Row],[Cosecha/Tarea]])</f>
        <v>6041</v>
      </c>
      <c r="F208" s="2">
        <v>59122</v>
      </c>
      <c r="G208" t="s">
        <v>18</v>
      </c>
      <c r="H208">
        <f>F208/Tabla2[[#This Row],[Cosecha Mensual]]</f>
        <v>9.7867902665121669</v>
      </c>
      <c r="I208">
        <f>H208*_xlfn.XLOOKUP(Tabla2[[#This Row],[Unidad de producción]],Tabla3[Medida],Tabla3[Equivalencia en Kg],"ELVIS",0)</f>
        <v>443.92880648899188</v>
      </c>
      <c r="J208">
        <v>123.355</v>
      </c>
      <c r="K208" t="s">
        <v>18</v>
      </c>
      <c r="L208">
        <f>J208/_xlfn.XLOOKUP(Tabla2[[#This Row],[Unidad de precio]],Tabla3[Medida],Tabla3[Equivalencia en Kg],"ELVIS",0)</f>
        <v>2.7194664902998236</v>
      </c>
      <c r="N208" s="2">
        <f>(Tabla2[[#This Row],[Productividad (kg/TAS)]]*Tabla2[[#This Row],[Precio por kg]]-Tabla2[[#This Row],[Costos (En RD$/Tarea)]])</f>
        <v>1207.2495133256084</v>
      </c>
      <c r="O208" s="6">
        <f>IF(Tabla2[[#This Row],[Costos (En RD$/Tarea)]]=0,0,Tabla2[[#This Row],[Beneficio Neto  (En RD$/Tarea)]]/Tabla2[[#This Row],[Costos (En RD$/Tarea)]])</f>
        <v>0</v>
      </c>
      <c r="P208" s="4">
        <f>Tabla2[[#This Row],[Rentabilidad (%)]]/12</f>
        <v>0</v>
      </c>
    </row>
    <row r="209" spans="1:16" x14ac:dyDescent="0.35">
      <c r="A209" s="1">
        <v>37043</v>
      </c>
      <c r="B209" t="s">
        <v>22</v>
      </c>
      <c r="C209" s="2">
        <v>2865</v>
      </c>
      <c r="D209" s="5" t="s">
        <v>17</v>
      </c>
      <c r="E209" s="2">
        <f>IF(Tabla2[[#This Row],[Frecuencia]]="Annual", Tabla2[[#This Row],[Cosecha/Tarea]]/12,Tabla2[[#This Row],[Cosecha/Tarea]])</f>
        <v>2865</v>
      </c>
      <c r="F209" s="2">
        <v>25377</v>
      </c>
      <c r="G209" t="s">
        <v>18</v>
      </c>
      <c r="H209">
        <f>F209/Tabla2[[#This Row],[Cosecha Mensual]]</f>
        <v>8.8575916230366492</v>
      </c>
      <c r="I209">
        <f>H209*_xlfn.XLOOKUP(Tabla2[[#This Row],[Unidad de producción]],Tabla3[Medida],Tabla3[Equivalencia en Kg],"ELVIS",0)</f>
        <v>401.78035602094241</v>
      </c>
      <c r="J209">
        <v>362.33333333333297</v>
      </c>
      <c r="K209" t="s">
        <v>18</v>
      </c>
      <c r="L209">
        <f>J209/_xlfn.XLOOKUP(Tabla2[[#This Row],[Unidad de precio]],Tabla3[Medida],Tabla3[Equivalencia en Kg],"ELVIS",0)</f>
        <v>7.9879482657260352</v>
      </c>
      <c r="N209" s="2">
        <f>(Tabla2[[#This Row],[Productividad (kg/TAS)]]*Tabla2[[#This Row],[Precio por kg]]-Tabla2[[#This Row],[Costos (En RD$/Tarea)]])</f>
        <v>3209.400698080276</v>
      </c>
      <c r="O209" s="6">
        <f>IF(Tabla2[[#This Row],[Costos (En RD$/Tarea)]]=0,0,Tabla2[[#This Row],[Beneficio Neto  (En RD$/Tarea)]]/Tabla2[[#This Row],[Costos (En RD$/Tarea)]])</f>
        <v>0</v>
      </c>
      <c r="P209" s="4">
        <f>Tabla2[[#This Row],[Rentabilidad (%)]]/12</f>
        <v>0</v>
      </c>
    </row>
    <row r="210" spans="1:16" x14ac:dyDescent="0.35">
      <c r="A210" s="1">
        <v>37043</v>
      </c>
      <c r="B210" t="s">
        <v>23</v>
      </c>
      <c r="C210" s="2">
        <v>5385</v>
      </c>
      <c r="D210" s="5" t="s">
        <v>17</v>
      </c>
      <c r="E210" s="2">
        <f>IF(Tabla2[[#This Row],[Frecuencia]]="Annual", Tabla2[[#This Row],[Cosecha/Tarea]]/12,Tabla2[[#This Row],[Cosecha/Tarea]])</f>
        <v>5385</v>
      </c>
      <c r="F210" s="2">
        <v>126813</v>
      </c>
      <c r="G210" t="s">
        <v>18</v>
      </c>
      <c r="H210">
        <f>F210/Tabla2[[#This Row],[Cosecha Mensual]]</f>
        <v>23.549303621169916</v>
      </c>
      <c r="I210">
        <f>H210*_xlfn.XLOOKUP(Tabla2[[#This Row],[Unidad de producción]],Tabla3[Medida],Tabla3[Equivalencia en Kg],"ELVIS",0)</f>
        <v>1068.1964122562674</v>
      </c>
      <c r="J210">
        <v>292.25</v>
      </c>
      <c r="K210" t="s">
        <v>18</v>
      </c>
      <c r="L210">
        <f>J210/_xlfn.XLOOKUP(Tabla2[[#This Row],[Unidad de precio]],Tabla3[Medida],Tabla3[Equivalencia en Kg],"ELVIS",0)</f>
        <v>6.4429012345679011</v>
      </c>
      <c r="N210" s="2">
        <f>(Tabla2[[#This Row],[Productividad (kg/TAS)]]*Tabla2[[#This Row],[Precio por kg]]-Tabla2[[#This Row],[Costos (En RD$/Tarea)]])</f>
        <v>6882.2839832869076</v>
      </c>
      <c r="O210" s="6">
        <f>IF(Tabla2[[#This Row],[Costos (En RD$/Tarea)]]=0,0,Tabla2[[#This Row],[Beneficio Neto  (En RD$/Tarea)]]/Tabla2[[#This Row],[Costos (En RD$/Tarea)]])</f>
        <v>0</v>
      </c>
      <c r="P210" s="4">
        <f>Tabla2[[#This Row],[Rentabilidad (%)]]/12</f>
        <v>0</v>
      </c>
    </row>
    <row r="211" spans="1:16" x14ac:dyDescent="0.35">
      <c r="A211" s="1">
        <v>37043</v>
      </c>
      <c r="B211" t="s">
        <v>24</v>
      </c>
      <c r="C211" s="2">
        <v>5985</v>
      </c>
      <c r="D211" s="5" t="s">
        <v>17</v>
      </c>
      <c r="E211" s="2">
        <f>IF(Tabla2[[#This Row],[Frecuencia]]="Annual", Tabla2[[#This Row],[Cosecha/Tarea]]/12,Tabla2[[#This Row],[Cosecha/Tarea]])</f>
        <v>5985</v>
      </c>
      <c r="F211" s="2">
        <v>63275</v>
      </c>
      <c r="G211" t="s">
        <v>18</v>
      </c>
      <c r="H211">
        <f>F211/Tabla2[[#This Row],[Cosecha Mensual]]</f>
        <v>10.572263993316625</v>
      </c>
      <c r="I211">
        <f>H211*_xlfn.XLOOKUP(Tabla2[[#This Row],[Unidad de producción]],Tabla3[Medida],Tabla3[Equivalencia en Kg],"ELVIS",0)</f>
        <v>479.55789473684212</v>
      </c>
      <c r="J211">
        <v>449.9375</v>
      </c>
      <c r="K211" t="s">
        <v>18</v>
      </c>
      <c r="L211">
        <f>J211/_xlfn.XLOOKUP(Tabla2[[#This Row],[Unidad de precio]],Tabla3[Medida],Tabla3[Equivalencia en Kg],"ELVIS",0)</f>
        <v>9.9192570546737215</v>
      </c>
      <c r="N211" s="2">
        <f>(Tabla2[[#This Row],[Productividad (kg/TAS)]]*Tabla2[[#This Row],[Precio por kg]]-Tabla2[[#This Row],[Costos (En RD$/Tarea)]])</f>
        <v>4756.8580304928992</v>
      </c>
      <c r="O211" s="6">
        <f>IF(Tabla2[[#This Row],[Costos (En RD$/Tarea)]]=0,0,Tabla2[[#This Row],[Beneficio Neto  (En RD$/Tarea)]]/Tabla2[[#This Row],[Costos (En RD$/Tarea)]])</f>
        <v>0</v>
      </c>
      <c r="P211" s="4">
        <f>Tabla2[[#This Row],[Rentabilidad (%)]]/12</f>
        <v>0</v>
      </c>
    </row>
    <row r="212" spans="1:16" x14ac:dyDescent="0.35">
      <c r="A212" s="1">
        <v>37043</v>
      </c>
      <c r="B212" t="s">
        <v>25</v>
      </c>
      <c r="C212" s="2">
        <v>20345</v>
      </c>
      <c r="D212" s="5" t="s">
        <v>17</v>
      </c>
      <c r="E212" s="2">
        <f>IF(Tabla2[[#This Row],[Frecuencia]]="Annual", Tabla2[[#This Row],[Cosecha/Tarea]]/12,Tabla2[[#This Row],[Cosecha/Tarea]])</f>
        <v>20345</v>
      </c>
      <c r="F212" s="2">
        <v>168744</v>
      </c>
      <c r="G212" t="s">
        <v>18</v>
      </c>
      <c r="H212">
        <f>F212/Tabla2[[#This Row],[Cosecha Mensual]]</f>
        <v>8.2941263209633824</v>
      </c>
      <c r="I212">
        <f>H212*_xlfn.XLOOKUP(Tabla2[[#This Row],[Unidad de producción]],Tabla3[Medida],Tabla3[Equivalencia en Kg],"ELVIS",0)</f>
        <v>376.22156991889904</v>
      </c>
      <c r="J212">
        <v>148.6</v>
      </c>
      <c r="K212" t="s">
        <v>18</v>
      </c>
      <c r="L212">
        <f>J212/_xlfn.XLOOKUP(Tabla2[[#This Row],[Unidad de precio]],Tabla3[Medida],Tabla3[Equivalencia en Kg],"ELVIS",0)</f>
        <v>3.2760141093474426</v>
      </c>
      <c r="N212" s="2">
        <f>(Tabla2[[#This Row],[Productividad (kg/TAS)]]*Tabla2[[#This Row],[Precio por kg]]-Tabla2[[#This Row],[Costos (En RD$/Tarea)]])</f>
        <v>1232.5071712951587</v>
      </c>
      <c r="O212" s="6">
        <f>IF(Tabla2[[#This Row],[Costos (En RD$/Tarea)]]=0,0,Tabla2[[#This Row],[Beneficio Neto  (En RD$/Tarea)]]/Tabla2[[#This Row],[Costos (En RD$/Tarea)]])</f>
        <v>0</v>
      </c>
      <c r="P212" s="4">
        <f>Tabla2[[#This Row],[Rentabilidad (%)]]/12</f>
        <v>0</v>
      </c>
    </row>
    <row r="213" spans="1:16" x14ac:dyDescent="0.35">
      <c r="A213" s="1">
        <v>37043</v>
      </c>
      <c r="B213" t="s">
        <v>26</v>
      </c>
      <c r="C213" s="2">
        <v>8473</v>
      </c>
      <c r="D213" s="5" t="s">
        <v>17</v>
      </c>
      <c r="E213" s="2">
        <f>IF(Tabla2[[#This Row],[Frecuencia]]="Annual", Tabla2[[#This Row],[Cosecha/Tarea]]/12,Tabla2[[#This Row],[Cosecha/Tarea]])</f>
        <v>8473</v>
      </c>
      <c r="F213" s="2">
        <v>66677</v>
      </c>
      <c r="G213" t="s">
        <v>18</v>
      </c>
      <c r="H213">
        <f>F213/Tabla2[[#This Row],[Cosecha Mensual]]</f>
        <v>7.8693496990440224</v>
      </c>
      <c r="I213">
        <f>H213*_xlfn.XLOOKUP(Tabla2[[#This Row],[Unidad de producción]],Tabla3[Medida],Tabla3[Equivalencia en Kg],"ELVIS",0)</f>
        <v>356.95370234863685</v>
      </c>
      <c r="J213">
        <v>198.35</v>
      </c>
      <c r="K213" t="s">
        <v>18</v>
      </c>
      <c r="L213">
        <f>J213/_xlfn.XLOOKUP(Tabla2[[#This Row],[Unidad de precio]],Tabla3[Medida],Tabla3[Equivalencia en Kg],"ELVIS",0)</f>
        <v>4.3727954144620806</v>
      </c>
      <c r="N213" s="2">
        <f>(Tabla2[[#This Row],[Productividad (kg/TAS)]]*Tabla2[[#This Row],[Precio por kg]]-Tabla2[[#This Row],[Costos (En RD$/Tarea)]])</f>
        <v>1560.8855128053817</v>
      </c>
      <c r="O213" s="6">
        <f>IF(Tabla2[[#This Row],[Costos (En RD$/Tarea)]]=0,0,Tabla2[[#This Row],[Beneficio Neto  (En RD$/Tarea)]]/Tabla2[[#This Row],[Costos (En RD$/Tarea)]])</f>
        <v>0</v>
      </c>
      <c r="P213" s="4">
        <f>Tabla2[[#This Row],[Rentabilidad (%)]]/12</f>
        <v>0</v>
      </c>
    </row>
    <row r="214" spans="1:16" x14ac:dyDescent="0.35">
      <c r="A214" s="1">
        <v>37043</v>
      </c>
      <c r="B214" t="s">
        <v>27</v>
      </c>
      <c r="C214" s="2">
        <v>3959</v>
      </c>
      <c r="D214" s="5" t="s">
        <v>17</v>
      </c>
      <c r="E214" s="2">
        <f>IF(Tabla2[[#This Row],[Frecuencia]]="Annual", Tabla2[[#This Row],[Cosecha/Tarea]]/12,Tabla2[[#This Row],[Cosecha/Tarea]])</f>
        <v>3959</v>
      </c>
      <c r="F214" s="2">
        <v>30587</v>
      </c>
      <c r="G214" t="s">
        <v>18</v>
      </c>
      <c r="H214">
        <f>F214/Tabla2[[#This Row],[Cosecha Mensual]]</f>
        <v>7.725940894165193</v>
      </c>
      <c r="I214">
        <f>H214*_xlfn.XLOOKUP(Tabla2[[#This Row],[Unidad de producción]],Tabla3[Medida],Tabla3[Equivalencia en Kg],"ELVIS",0)</f>
        <v>350.44867895933317</v>
      </c>
      <c r="J214">
        <v>197.433333333333</v>
      </c>
      <c r="K214" t="s">
        <v>18</v>
      </c>
      <c r="L214">
        <f>J214/_xlfn.XLOOKUP(Tabla2[[#This Row],[Unidad de precio]],Tabla3[Medida],Tabla3[Equivalencia en Kg],"ELVIS",0)</f>
        <v>4.3525867136978178</v>
      </c>
      <c r="N214" s="2">
        <f>(Tabla2[[#This Row],[Productividad (kg/TAS)]]*Tabla2[[#This Row],[Precio por kg]]-Tabla2[[#This Row],[Costos (En RD$/Tarea)]])</f>
        <v>1525.3582638713456</v>
      </c>
      <c r="O214" s="6">
        <f>IF(Tabla2[[#This Row],[Costos (En RD$/Tarea)]]=0,0,Tabla2[[#This Row],[Beneficio Neto  (En RD$/Tarea)]]/Tabla2[[#This Row],[Costos (En RD$/Tarea)]])</f>
        <v>0</v>
      </c>
      <c r="P214" s="4">
        <f>Tabla2[[#This Row],[Rentabilidad (%)]]/12</f>
        <v>0</v>
      </c>
    </row>
    <row r="215" spans="1:16" x14ac:dyDescent="0.35">
      <c r="A215" s="1">
        <v>37043</v>
      </c>
      <c r="B215" t="s">
        <v>28</v>
      </c>
      <c r="C215" s="2">
        <v>1682</v>
      </c>
      <c r="D215" s="5" t="s">
        <v>17</v>
      </c>
      <c r="E215" s="2">
        <f>IF(Tabla2[[#This Row],[Frecuencia]]="Annual", Tabla2[[#This Row],[Cosecha/Tarea]]/12,Tabla2[[#This Row],[Cosecha/Tarea]])</f>
        <v>1682</v>
      </c>
      <c r="F215" s="2">
        <v>4741</v>
      </c>
      <c r="G215" t="s">
        <v>18</v>
      </c>
      <c r="H215">
        <f>F215/Tabla2[[#This Row],[Cosecha Mensual]]</f>
        <v>2.8186682520808559</v>
      </c>
      <c r="I215">
        <f>H215*_xlfn.XLOOKUP(Tabla2[[#This Row],[Unidad de producción]],Tabla3[Medida],Tabla3[Equivalencia en Kg],"ELVIS",0)</f>
        <v>127.85479191438762</v>
      </c>
      <c r="J215">
        <v>1783.3333333333301</v>
      </c>
      <c r="K215" t="s">
        <v>29</v>
      </c>
      <c r="L215">
        <f>J215/_xlfn.XLOOKUP(Tabla2[[#This Row],[Unidad de precio]],Tabla3[Medida],Tabla3[Equivalencia en Kg],"ELVIS",0)</f>
        <v>3.1712724211923926</v>
      </c>
      <c r="N215" s="2">
        <f>(Tabla2[[#This Row],[Productividad (kg/TAS)]]*Tabla2[[#This Row],[Precio por kg]]-Tabla2[[#This Row],[Costos (En RD$/Tarea)]])</f>
        <v>405.46237551538957</v>
      </c>
      <c r="O215" s="6">
        <f>IF(Tabla2[[#This Row],[Costos (En RD$/Tarea)]]=0,0,Tabla2[[#This Row],[Beneficio Neto  (En RD$/Tarea)]]/Tabla2[[#This Row],[Costos (En RD$/Tarea)]])</f>
        <v>0</v>
      </c>
      <c r="P215" s="4">
        <f>Tabla2[[#This Row],[Rentabilidad (%)]]/12</f>
        <v>0</v>
      </c>
    </row>
    <row r="216" spans="1:16" x14ac:dyDescent="0.35">
      <c r="A216" s="1">
        <v>37043</v>
      </c>
      <c r="B216" t="s">
        <v>30</v>
      </c>
      <c r="C216" s="2">
        <v>359994</v>
      </c>
      <c r="D216" s="2" t="s">
        <v>31</v>
      </c>
      <c r="E216" s="2">
        <f>IF(Tabla2[[#This Row],[Frecuencia]]="Annual", Tabla2[[#This Row],[Cosecha/Tarea]]/12,Tabla2[[#This Row],[Cosecha/Tarea]])</f>
        <v>29999.5</v>
      </c>
      <c r="F216" s="2">
        <v>1679103</v>
      </c>
      <c r="G216" t="s">
        <v>32</v>
      </c>
      <c r="H216">
        <f>F216/Tabla2[[#This Row],[Cosecha Mensual]]</f>
        <v>55.971032850547509</v>
      </c>
      <c r="I216">
        <f>H216*_xlfn.XLOOKUP(Tabla2[[#This Row],[Unidad de producción]],Tabla3[Medida],Tabla3[Equivalencia en Kg],"ELVIS",0)</f>
        <v>1522.9718038633978</v>
      </c>
      <c r="J216">
        <v>20.871428571428599</v>
      </c>
      <c r="K216" t="s">
        <v>32</v>
      </c>
      <c r="L216">
        <f>J216/_xlfn.XLOOKUP(Tabla2[[#This Row],[Unidad de precio]],Tabla3[Medida],Tabla3[Equivalencia en Kg],"ELVIS",0)</f>
        <v>0.76704992912269743</v>
      </c>
      <c r="M216" s="2"/>
      <c r="N216" s="2">
        <f>(Tabla2[[#This Row],[Productividad (kg/TAS)]]*Tabla2[[#This Row],[Precio por kg]]-Tabla2[[#This Row],[Costos (En RD$/Tarea)]])</f>
        <v>1168.1954142092859</v>
      </c>
      <c r="O216" s="6">
        <f>IF(Tabla2[[#This Row],[Costos (En RD$/Tarea)]]=0,0,Tabla2[[#This Row],[Beneficio Neto  (En RD$/Tarea)]]/Tabla2[[#This Row],[Costos (En RD$/Tarea)]])</f>
        <v>0</v>
      </c>
      <c r="P216" s="4">
        <f>Tabla2[[#This Row],[Rentabilidad (%)]]/12</f>
        <v>0</v>
      </c>
    </row>
    <row r="217" spans="1:16" x14ac:dyDescent="0.35">
      <c r="A217" s="1">
        <v>37043</v>
      </c>
      <c r="B217" t="s">
        <v>33</v>
      </c>
      <c r="C217" s="2">
        <v>563812</v>
      </c>
      <c r="D217" s="2" t="s">
        <v>31</v>
      </c>
      <c r="E217" s="2">
        <f>IF(Tabla2[[#This Row],[Frecuencia]]="Annual", Tabla2[[#This Row],[Cosecha/Tarea]]/12,Tabla2[[#This Row],[Cosecha/Tarea]])</f>
        <v>46984.333333333336</v>
      </c>
      <c r="F217" s="2">
        <v>128943</v>
      </c>
      <c r="G217" t="s">
        <v>34</v>
      </c>
      <c r="H217">
        <f>F217/Tabla2[[#This Row],[Cosecha Mensual]]</f>
        <v>2.7443828793995162</v>
      </c>
      <c r="I217">
        <f>H217*_xlfn.XLOOKUP(Tabla2[[#This Row],[Unidad de producción]],Tabla3[Medida],Tabla3[Equivalencia en Kg],"ELVIS",0)</f>
        <v>1120.1198722269125</v>
      </c>
      <c r="J217">
        <v>629.58571428571395</v>
      </c>
      <c r="K217" t="s">
        <v>34</v>
      </c>
      <c r="L217">
        <f>J217/_xlfn.XLOOKUP(Tabla2[[#This Row],[Unidad de precio]],Tabla3[Medida],Tabla3[Equivalencia en Kg],"ELVIS",0)</f>
        <v>1.542535132391802</v>
      </c>
      <c r="M217" s="2"/>
      <c r="N217" s="2">
        <f>(Tabla2[[#This Row],[Productividad (kg/TAS)]]*Tabla2[[#This Row],[Precio por kg]]-Tabla2[[#This Row],[Costos (En RD$/Tarea)]])</f>
        <v>1727.8242554002288</v>
      </c>
      <c r="O217" s="6">
        <f>IF(Tabla2[[#This Row],[Costos (En RD$/Tarea)]]=0,0,Tabla2[[#This Row],[Beneficio Neto  (En RD$/Tarea)]]/Tabla2[[#This Row],[Costos (En RD$/Tarea)]])</f>
        <v>0</v>
      </c>
      <c r="P217" s="4">
        <f>Tabla2[[#This Row],[Rentabilidad (%)]]/12</f>
        <v>0</v>
      </c>
    </row>
    <row r="218" spans="1:16" x14ac:dyDescent="0.35">
      <c r="A218" s="1">
        <v>37073</v>
      </c>
      <c r="B218" t="s">
        <v>16</v>
      </c>
      <c r="C218" s="2">
        <v>374523</v>
      </c>
      <c r="D218" s="5" t="s">
        <v>17</v>
      </c>
      <c r="E218" s="2">
        <f>IF(Tabla2[[#This Row],[Frecuencia]]="Annual", Tabla2[[#This Row],[Cosecha/Tarea]]/12,Tabla2[[#This Row],[Cosecha/Tarea]])</f>
        <v>374523</v>
      </c>
      <c r="F218" s="2">
        <v>2049275</v>
      </c>
      <c r="G218" t="s">
        <v>18</v>
      </c>
      <c r="H218">
        <f>F218/Tabla2[[#This Row],[Cosecha Mensual]]</f>
        <v>5.4716933272455899</v>
      </c>
      <c r="I218">
        <f>H218*_xlfn.XLOOKUP(Tabla2[[#This Row],[Unidad de producción]],Tabla3[Medida],Tabla3[Equivalencia en Kg],"ELVIS",0)</f>
        <v>248.19600932385995</v>
      </c>
      <c r="J218">
        <v>797.13091309130903</v>
      </c>
      <c r="K218" t="s">
        <v>19</v>
      </c>
      <c r="L218">
        <f>J218/_xlfn.XLOOKUP(Tabla2[[#This Row],[Unidad de precio]],Tabla3[Medida],Tabla3[Equivalencia en Kg],"ELVIS",0)</f>
        <v>7.2466446644664453</v>
      </c>
      <c r="N218" s="2">
        <f>(Tabla2[[#This Row],[Productividad (kg/TAS)]]*Tabla2[[#This Row],[Precio por kg]]-Tabla2[[#This Row],[Costos (En RD$/Tarea)]])</f>
        <v>1798.5882867086139</v>
      </c>
      <c r="O218" s="6">
        <f>IF(Tabla2[[#This Row],[Costos (En RD$/Tarea)]]=0,0,Tabla2[[#This Row],[Beneficio Neto  (En RD$/Tarea)]]/Tabla2[[#This Row],[Costos (En RD$/Tarea)]])</f>
        <v>0</v>
      </c>
      <c r="P218" s="4">
        <f>Tabla2[[#This Row],[Rentabilidad (%)]]/12</f>
        <v>0</v>
      </c>
    </row>
    <row r="219" spans="1:16" x14ac:dyDescent="0.35">
      <c r="A219" s="1">
        <v>37073</v>
      </c>
      <c r="B219" t="s">
        <v>20</v>
      </c>
      <c r="C219" s="2">
        <v>34223</v>
      </c>
      <c r="D219" s="5" t="s">
        <v>17</v>
      </c>
      <c r="E219" s="2">
        <f>IF(Tabla2[[#This Row],[Frecuencia]]="Annual", Tabla2[[#This Row],[Cosecha/Tarea]]/12,Tabla2[[#This Row],[Cosecha/Tarea]])</f>
        <v>34223</v>
      </c>
      <c r="F219" s="2">
        <v>65214</v>
      </c>
      <c r="G219" t="s">
        <v>18</v>
      </c>
      <c r="H219">
        <f>F219/Tabla2[[#This Row],[Cosecha Mensual]]</f>
        <v>1.9055605879087163</v>
      </c>
      <c r="I219">
        <f>H219*_xlfn.XLOOKUP(Tabla2[[#This Row],[Unidad de producción]],Tabla3[Medida],Tabla3[Equivalencia en Kg],"ELVIS",0)</f>
        <v>86.436228267539377</v>
      </c>
      <c r="J219">
        <v>120.38428571428599</v>
      </c>
      <c r="K219" t="s">
        <v>18</v>
      </c>
      <c r="L219">
        <f>J219/_xlfn.XLOOKUP(Tabla2[[#This Row],[Unidad de precio]],Tabla3[Medida],Tabla3[Equivalencia en Kg],"ELVIS",0)</f>
        <v>2.6539745527840828</v>
      </c>
      <c r="N219" s="2">
        <f>(Tabla2[[#This Row],[Productividad (kg/TAS)]]*Tabla2[[#This Row],[Precio por kg]]-Tabla2[[#This Row],[Costos (En RD$/Tarea)]])</f>
        <v>229.39955026068571</v>
      </c>
      <c r="O219" s="6">
        <f>IF(Tabla2[[#This Row],[Costos (En RD$/Tarea)]]=0,0,Tabla2[[#This Row],[Beneficio Neto  (En RD$/Tarea)]]/Tabla2[[#This Row],[Costos (En RD$/Tarea)]])</f>
        <v>0</v>
      </c>
      <c r="P219" s="4">
        <f>Tabla2[[#This Row],[Rentabilidad (%)]]/12</f>
        <v>0</v>
      </c>
    </row>
    <row r="220" spans="1:16" x14ac:dyDescent="0.35">
      <c r="A220" s="1">
        <v>37073</v>
      </c>
      <c r="B220" t="s">
        <v>21</v>
      </c>
      <c r="C220" s="2">
        <v>5658</v>
      </c>
      <c r="D220" s="5" t="s">
        <v>17</v>
      </c>
      <c r="E220" s="2">
        <f>IF(Tabla2[[#This Row],[Frecuencia]]="Annual", Tabla2[[#This Row],[Cosecha/Tarea]]/12,Tabla2[[#This Row],[Cosecha/Tarea]])</f>
        <v>5658</v>
      </c>
      <c r="F220" s="2">
        <v>48819</v>
      </c>
      <c r="G220" t="s">
        <v>18</v>
      </c>
      <c r="H220">
        <f>F220/Tabla2[[#This Row],[Cosecha Mensual]]</f>
        <v>8.628313891834571</v>
      </c>
      <c r="I220">
        <f>H220*_xlfn.XLOOKUP(Tabla2[[#This Row],[Unidad de producción]],Tabla3[Medida],Tabla3[Equivalencia en Kg],"ELVIS",0)</f>
        <v>391.38031813361613</v>
      </c>
      <c r="J220">
        <v>135.27833333333299</v>
      </c>
      <c r="K220" t="s">
        <v>18</v>
      </c>
      <c r="L220">
        <f>J220/_xlfn.XLOOKUP(Tabla2[[#This Row],[Unidad de precio]],Tabla3[Medida],Tabla3[Equivalencia en Kg],"ELVIS",0)</f>
        <v>2.9823265726043431</v>
      </c>
      <c r="N220" s="2">
        <f>(Tabla2[[#This Row],[Productividad (kg/TAS)]]*Tabla2[[#This Row],[Precio por kg]]-Tabla2[[#This Row],[Costos (En RD$/Tarea)]])</f>
        <v>1167.2239227642249</v>
      </c>
      <c r="O220" s="6">
        <f>IF(Tabla2[[#This Row],[Costos (En RD$/Tarea)]]=0,0,Tabla2[[#This Row],[Beneficio Neto  (En RD$/Tarea)]]/Tabla2[[#This Row],[Costos (En RD$/Tarea)]])</f>
        <v>0</v>
      </c>
      <c r="P220" s="4">
        <f>Tabla2[[#This Row],[Rentabilidad (%)]]/12</f>
        <v>0</v>
      </c>
    </row>
    <row r="221" spans="1:16" x14ac:dyDescent="0.35">
      <c r="A221" s="1">
        <v>37073</v>
      </c>
      <c r="B221" t="s">
        <v>22</v>
      </c>
      <c r="C221" s="2">
        <v>5031</v>
      </c>
      <c r="D221" s="5" t="s">
        <v>17</v>
      </c>
      <c r="E221" s="2">
        <f>IF(Tabla2[[#This Row],[Frecuencia]]="Annual", Tabla2[[#This Row],[Cosecha/Tarea]]/12,Tabla2[[#This Row],[Cosecha/Tarea]])</f>
        <v>5031</v>
      </c>
      <c r="F221" s="2">
        <v>33899</v>
      </c>
      <c r="G221" t="s">
        <v>18</v>
      </c>
      <c r="H221">
        <f>F221/Tabla2[[#This Row],[Cosecha Mensual]]</f>
        <v>6.738024249652157</v>
      </c>
      <c r="I221">
        <f>H221*_xlfn.XLOOKUP(Tabla2[[#This Row],[Unidad de producción]],Tabla3[Medida],Tabla3[Equivalencia en Kg],"ELVIS",0)</f>
        <v>305.63677996422183</v>
      </c>
      <c r="J221">
        <v>262.5</v>
      </c>
      <c r="K221" t="s">
        <v>18</v>
      </c>
      <c r="L221">
        <f>J221/_xlfn.XLOOKUP(Tabla2[[#This Row],[Unidad de precio]],Tabla3[Medida],Tabla3[Equivalencia en Kg],"ELVIS",0)</f>
        <v>5.7870370370370372</v>
      </c>
      <c r="N221" s="2">
        <f>(Tabla2[[#This Row],[Productividad (kg/TAS)]]*Tabla2[[#This Row],[Precio por kg]]-Tabla2[[#This Row],[Costos (En RD$/Tarea)]])</f>
        <v>1768.7313655336911</v>
      </c>
      <c r="O221" s="6">
        <f>IF(Tabla2[[#This Row],[Costos (En RD$/Tarea)]]=0,0,Tabla2[[#This Row],[Beneficio Neto  (En RD$/Tarea)]]/Tabla2[[#This Row],[Costos (En RD$/Tarea)]])</f>
        <v>0</v>
      </c>
      <c r="P221" s="4">
        <f>Tabla2[[#This Row],[Rentabilidad (%)]]/12</f>
        <v>0</v>
      </c>
    </row>
    <row r="222" spans="1:16" x14ac:dyDescent="0.35">
      <c r="A222" s="1">
        <v>37073</v>
      </c>
      <c r="B222" t="s">
        <v>23</v>
      </c>
      <c r="C222" s="2">
        <v>5020</v>
      </c>
      <c r="D222" s="5" t="s">
        <v>17</v>
      </c>
      <c r="E222" s="2">
        <f>IF(Tabla2[[#This Row],[Frecuencia]]="Annual", Tabla2[[#This Row],[Cosecha/Tarea]]/12,Tabla2[[#This Row],[Cosecha/Tarea]])</f>
        <v>5020</v>
      </c>
      <c r="F222" s="2">
        <v>136075</v>
      </c>
      <c r="G222" t="s">
        <v>18</v>
      </c>
      <c r="H222">
        <f>F222/Tabla2[[#This Row],[Cosecha Mensual]]</f>
        <v>27.106573705179283</v>
      </c>
      <c r="I222">
        <f>H222*_xlfn.XLOOKUP(Tabla2[[#This Row],[Unidad de producción]],Tabla3[Medida],Tabla3[Equivalencia en Kg],"ELVIS",0)</f>
        <v>1229.5541832669323</v>
      </c>
      <c r="J222">
        <v>282.66666666666703</v>
      </c>
      <c r="K222" t="s">
        <v>18</v>
      </c>
      <c r="L222">
        <f>J222/_xlfn.XLOOKUP(Tabla2[[#This Row],[Unidad de precio]],Tabla3[Medida],Tabla3[Equivalencia en Kg],"ELVIS",0)</f>
        <v>6.2316284538506839</v>
      </c>
      <c r="N222" s="2">
        <f>(Tabla2[[#This Row],[Productividad (kg/TAS)]]*Tabla2[[#This Row],[Precio por kg]]-Tabla2[[#This Row],[Costos (En RD$/Tarea)]])</f>
        <v>7662.1248339973536</v>
      </c>
      <c r="O222" s="6">
        <f>IF(Tabla2[[#This Row],[Costos (En RD$/Tarea)]]=0,0,Tabla2[[#This Row],[Beneficio Neto  (En RD$/Tarea)]]/Tabla2[[#This Row],[Costos (En RD$/Tarea)]])</f>
        <v>0</v>
      </c>
      <c r="P222" s="4">
        <f>Tabla2[[#This Row],[Rentabilidad (%)]]/12</f>
        <v>0</v>
      </c>
    </row>
    <row r="223" spans="1:16" x14ac:dyDescent="0.35">
      <c r="A223" s="1">
        <v>37073</v>
      </c>
      <c r="B223" t="s">
        <v>24</v>
      </c>
      <c r="C223" s="2">
        <v>4604</v>
      </c>
      <c r="D223" s="5" t="s">
        <v>17</v>
      </c>
      <c r="E223" s="2">
        <f>IF(Tabla2[[#This Row],[Frecuencia]]="Annual", Tabla2[[#This Row],[Cosecha/Tarea]]/12,Tabla2[[#This Row],[Cosecha/Tarea]])</f>
        <v>4604</v>
      </c>
      <c r="F223" s="2">
        <v>47357</v>
      </c>
      <c r="G223" t="s">
        <v>18</v>
      </c>
      <c r="H223">
        <f>F223/Tabla2[[#This Row],[Cosecha Mensual]]</f>
        <v>10.286055603822764</v>
      </c>
      <c r="I223">
        <f>H223*_xlfn.XLOOKUP(Tabla2[[#This Row],[Unidad de producción]],Tabla3[Medida],Tabla3[Equivalencia en Kg],"ELVIS",0)</f>
        <v>466.57548218940053</v>
      </c>
      <c r="J223">
        <v>535.43166666666696</v>
      </c>
      <c r="K223" t="s">
        <v>18</v>
      </c>
      <c r="L223">
        <f>J223/_xlfn.XLOOKUP(Tabla2[[#This Row],[Unidad de precio]],Tabla3[Medida],Tabla3[Equivalencia en Kg],"ELVIS",0)</f>
        <v>11.804049088771318</v>
      </c>
      <c r="N223" s="2">
        <f>(Tabla2[[#This Row],[Productividad (kg/TAS)]]*Tabla2[[#This Row],[Precio por kg]]-Tabla2[[#This Row],[Costos (En RD$/Tarea)]])</f>
        <v>5507.4798953808322</v>
      </c>
      <c r="O223" s="6">
        <f>IF(Tabla2[[#This Row],[Costos (En RD$/Tarea)]]=0,0,Tabla2[[#This Row],[Beneficio Neto  (En RD$/Tarea)]]/Tabla2[[#This Row],[Costos (En RD$/Tarea)]])</f>
        <v>0</v>
      </c>
      <c r="P223" s="4">
        <f>Tabla2[[#This Row],[Rentabilidad (%)]]/12</f>
        <v>0</v>
      </c>
    </row>
    <row r="224" spans="1:16" x14ac:dyDescent="0.35">
      <c r="A224" s="1">
        <v>37073</v>
      </c>
      <c r="B224" t="s">
        <v>25</v>
      </c>
      <c r="C224" s="2">
        <v>19186</v>
      </c>
      <c r="D224" s="5" t="s">
        <v>17</v>
      </c>
      <c r="E224" s="2">
        <f>IF(Tabla2[[#This Row],[Frecuencia]]="Annual", Tabla2[[#This Row],[Cosecha/Tarea]]/12,Tabla2[[#This Row],[Cosecha/Tarea]])</f>
        <v>19186</v>
      </c>
      <c r="F224" s="2">
        <v>195879</v>
      </c>
      <c r="G224" t="s">
        <v>18</v>
      </c>
      <c r="H224">
        <f>F224/Tabla2[[#This Row],[Cosecha Mensual]]</f>
        <v>10.209475659334931</v>
      </c>
      <c r="I224">
        <f>H224*_xlfn.XLOOKUP(Tabla2[[#This Row],[Unidad de producción]],Tabla3[Medida],Tabla3[Equivalencia en Kg],"ELVIS",0)</f>
        <v>463.10181590743247</v>
      </c>
      <c r="J224">
        <v>94.555760000000006</v>
      </c>
      <c r="K224" t="s">
        <v>18</v>
      </c>
      <c r="L224">
        <f>J224/_xlfn.XLOOKUP(Tabla2[[#This Row],[Unidad de precio]],Tabla3[Medida],Tabla3[Equivalencia en Kg],"ELVIS",0)</f>
        <v>2.0845626102292769</v>
      </c>
      <c r="N224" s="2">
        <f>(Tabla2[[#This Row],[Productividad (kg/TAS)]]*Tabla2[[#This Row],[Precio por kg]]-Tabla2[[#This Row],[Costos (En RD$/Tarea)]])</f>
        <v>965.36473016991545</v>
      </c>
      <c r="O224" s="6">
        <f>IF(Tabla2[[#This Row],[Costos (En RD$/Tarea)]]=0,0,Tabla2[[#This Row],[Beneficio Neto  (En RD$/Tarea)]]/Tabla2[[#This Row],[Costos (En RD$/Tarea)]])</f>
        <v>0</v>
      </c>
      <c r="P224" s="4">
        <f>Tabla2[[#This Row],[Rentabilidad (%)]]/12</f>
        <v>0</v>
      </c>
    </row>
    <row r="225" spans="1:16" x14ac:dyDescent="0.35">
      <c r="A225" s="1">
        <v>37073</v>
      </c>
      <c r="B225" t="s">
        <v>26</v>
      </c>
      <c r="C225" s="2">
        <v>6183</v>
      </c>
      <c r="D225" s="5" t="s">
        <v>17</v>
      </c>
      <c r="E225" s="2">
        <f>IF(Tabla2[[#This Row],[Frecuencia]]="Annual", Tabla2[[#This Row],[Cosecha/Tarea]]/12,Tabla2[[#This Row],[Cosecha/Tarea]])</f>
        <v>6183</v>
      </c>
      <c r="F225" s="2">
        <v>34050</v>
      </c>
      <c r="G225" t="s">
        <v>18</v>
      </c>
      <c r="H225">
        <f>F225/Tabla2[[#This Row],[Cosecha Mensual]]</f>
        <v>5.5070354196991751</v>
      </c>
      <c r="I225">
        <f>H225*_xlfn.XLOOKUP(Tabla2[[#This Row],[Unidad de producción]],Tabla3[Medida],Tabla3[Equivalencia en Kg],"ELVIS",0)</f>
        <v>249.79912663755459</v>
      </c>
      <c r="J225">
        <v>236.666666666667</v>
      </c>
      <c r="K225" t="s">
        <v>18</v>
      </c>
      <c r="L225">
        <f>J225/_xlfn.XLOOKUP(Tabla2[[#This Row],[Unidad de precio]],Tabla3[Medida],Tabla3[Equivalencia en Kg],"ELVIS",0)</f>
        <v>5.2175191064080026</v>
      </c>
      <c r="N225" s="2">
        <f>(Tabla2[[#This Row],[Productividad (kg/TAS)]]*Tabla2[[#This Row],[Precio por kg]]-Tabla2[[#This Row],[Costos (En RD$/Tarea)]])</f>
        <v>1303.3317159954734</v>
      </c>
      <c r="O225" s="6">
        <f>IF(Tabla2[[#This Row],[Costos (En RD$/Tarea)]]=0,0,Tabla2[[#This Row],[Beneficio Neto  (En RD$/Tarea)]]/Tabla2[[#This Row],[Costos (En RD$/Tarea)]])</f>
        <v>0</v>
      </c>
      <c r="P225" s="4">
        <f>Tabla2[[#This Row],[Rentabilidad (%)]]/12</f>
        <v>0</v>
      </c>
    </row>
    <row r="226" spans="1:16" x14ac:dyDescent="0.35">
      <c r="A226" s="1">
        <v>37073</v>
      </c>
      <c r="B226" t="s">
        <v>27</v>
      </c>
      <c r="C226" s="2">
        <v>4466</v>
      </c>
      <c r="D226" s="5" t="s">
        <v>17</v>
      </c>
      <c r="E226" s="2">
        <f>IF(Tabla2[[#This Row],[Frecuencia]]="Annual", Tabla2[[#This Row],[Cosecha/Tarea]]/12,Tabla2[[#This Row],[Cosecha/Tarea]])</f>
        <v>4466</v>
      </c>
      <c r="F226" s="2">
        <v>39968</v>
      </c>
      <c r="G226" t="s">
        <v>18</v>
      </c>
      <c r="H226">
        <f>F226/Tabla2[[#This Row],[Cosecha Mensual]]</f>
        <v>8.9493954321540521</v>
      </c>
      <c r="I226">
        <f>H226*_xlfn.XLOOKUP(Tabla2[[#This Row],[Unidad de producción]],Tabla3[Medida],Tabla3[Equivalencia en Kg],"ELVIS",0)</f>
        <v>405.94457680250781</v>
      </c>
      <c r="J226">
        <v>209.57142857142901</v>
      </c>
      <c r="K226" t="s">
        <v>18</v>
      </c>
      <c r="L226">
        <f>J226/_xlfn.XLOOKUP(Tabla2[[#This Row],[Unidad de precio]],Tabla3[Medida],Tabla3[Equivalencia en Kg],"ELVIS",0)</f>
        <v>4.6201814058957016</v>
      </c>
      <c r="N226" s="2">
        <f>(Tabla2[[#This Row],[Productividad (kg/TAS)]]*Tabla2[[#This Row],[Precio por kg]]-Tabla2[[#This Row],[Costos (En RD$/Tarea)]])</f>
        <v>1875.5375855671462</v>
      </c>
      <c r="O226" s="6">
        <f>IF(Tabla2[[#This Row],[Costos (En RD$/Tarea)]]=0,0,Tabla2[[#This Row],[Beneficio Neto  (En RD$/Tarea)]]/Tabla2[[#This Row],[Costos (En RD$/Tarea)]])</f>
        <v>0</v>
      </c>
      <c r="P226" s="4">
        <f>Tabla2[[#This Row],[Rentabilidad (%)]]/12</f>
        <v>0</v>
      </c>
    </row>
    <row r="227" spans="1:16" x14ac:dyDescent="0.35">
      <c r="A227" s="1">
        <v>37073</v>
      </c>
      <c r="B227" t="s">
        <v>28</v>
      </c>
      <c r="C227" s="2">
        <v>2161</v>
      </c>
      <c r="D227" s="5" t="s">
        <v>17</v>
      </c>
      <c r="E227" s="2">
        <f>IF(Tabla2[[#This Row],[Frecuencia]]="Annual", Tabla2[[#This Row],[Cosecha/Tarea]]/12,Tabla2[[#This Row],[Cosecha/Tarea]])</f>
        <v>2161</v>
      </c>
      <c r="F227" s="2">
        <v>6496</v>
      </c>
      <c r="G227" t="s">
        <v>18</v>
      </c>
      <c r="H227">
        <f>F227/Tabla2[[#This Row],[Cosecha Mensual]]</f>
        <v>3.0060157334567328</v>
      </c>
      <c r="I227">
        <f>H227*_xlfn.XLOOKUP(Tabla2[[#This Row],[Unidad de producción]],Tabla3[Medida],Tabla3[Equivalencia en Kg],"ELVIS",0)</f>
        <v>136.35287366959739</v>
      </c>
      <c r="J227">
        <v>2023.0840000000001</v>
      </c>
      <c r="K227" t="s">
        <v>29</v>
      </c>
      <c r="L227">
        <f>J227/_xlfn.XLOOKUP(Tabla2[[#This Row],[Unidad de precio]],Tabla3[Medida],Tabla3[Equivalencia en Kg],"ELVIS",0)</f>
        <v>3.5976170999751038</v>
      </c>
      <c r="N227" s="2">
        <f>(Tabla2[[#This Row],[Productividad (kg/TAS)]]*Tabla2[[#This Row],[Precio por kg]]-Tabla2[[#This Row],[Costos (En RD$/Tarea)]])</f>
        <v>490.54542994448866</v>
      </c>
      <c r="O227" s="6">
        <f>IF(Tabla2[[#This Row],[Costos (En RD$/Tarea)]]=0,0,Tabla2[[#This Row],[Beneficio Neto  (En RD$/Tarea)]]/Tabla2[[#This Row],[Costos (En RD$/Tarea)]])</f>
        <v>0</v>
      </c>
      <c r="P227" s="4">
        <f>Tabla2[[#This Row],[Rentabilidad (%)]]/12</f>
        <v>0</v>
      </c>
    </row>
    <row r="228" spans="1:16" x14ac:dyDescent="0.35">
      <c r="A228" s="1">
        <v>37073</v>
      </c>
      <c r="B228" t="s">
        <v>30</v>
      </c>
      <c r="C228" s="2">
        <v>250269</v>
      </c>
      <c r="D228" s="2" t="s">
        <v>31</v>
      </c>
      <c r="E228" s="2">
        <f>IF(Tabla2[[#This Row],[Frecuencia]]="Annual", Tabla2[[#This Row],[Cosecha/Tarea]]/12,Tabla2[[#This Row],[Cosecha/Tarea]])</f>
        <v>20855.75</v>
      </c>
      <c r="F228" s="2">
        <v>1750629</v>
      </c>
      <c r="G228" t="s">
        <v>32</v>
      </c>
      <c r="H228">
        <f>F228/Tabla2[[#This Row],[Cosecha Mensual]]</f>
        <v>83.939872696978057</v>
      </c>
      <c r="I228">
        <f>H228*_xlfn.XLOOKUP(Tabla2[[#This Row],[Unidad de producción]],Tabla3[Medida],Tabla3[Equivalencia en Kg],"ELVIS",0)</f>
        <v>2284.0039360847732</v>
      </c>
      <c r="J228">
        <v>21.264285714285698</v>
      </c>
      <c r="K228" t="s">
        <v>32</v>
      </c>
      <c r="L228">
        <f>J228/_xlfn.XLOOKUP(Tabla2[[#This Row],[Unidad de precio]],Tabla3[Medida],Tabla3[Equivalencia en Kg],"ELVIS",0)</f>
        <v>0.78148789835669596</v>
      </c>
      <c r="M228" s="2"/>
      <c r="N228" s="2">
        <f>(Tabla2[[#This Row],[Productividad (kg/TAS)]]*Tabla2[[#This Row],[Precio por kg]]-Tabla2[[#This Row],[Costos (En RD$/Tarea)]])</f>
        <v>1784.9214358493107</v>
      </c>
      <c r="O228" s="6">
        <f>IF(Tabla2[[#This Row],[Costos (En RD$/Tarea)]]=0,0,Tabla2[[#This Row],[Beneficio Neto  (En RD$/Tarea)]]/Tabla2[[#This Row],[Costos (En RD$/Tarea)]])</f>
        <v>0</v>
      </c>
      <c r="P228" s="4">
        <f>Tabla2[[#This Row],[Rentabilidad (%)]]/12</f>
        <v>0</v>
      </c>
    </row>
    <row r="229" spans="1:16" x14ac:dyDescent="0.35">
      <c r="A229" s="1">
        <v>37073</v>
      </c>
      <c r="B229" t="s">
        <v>33</v>
      </c>
      <c r="C229" s="2">
        <v>677147</v>
      </c>
      <c r="D229" s="2" t="s">
        <v>31</v>
      </c>
      <c r="E229" s="2">
        <f>IF(Tabla2[[#This Row],[Frecuencia]]="Annual", Tabla2[[#This Row],[Cosecha/Tarea]]/12,Tabla2[[#This Row],[Cosecha/Tarea]])</f>
        <v>56428.916666666664</v>
      </c>
      <c r="F229" s="2">
        <v>162572</v>
      </c>
      <c r="G229" t="s">
        <v>34</v>
      </c>
      <c r="H229">
        <f>F229/Tabla2[[#This Row],[Cosecha Mensual]]</f>
        <v>2.8810051584072589</v>
      </c>
      <c r="I229">
        <f>H229*_xlfn.XLOOKUP(Tabla2[[#This Row],[Unidad de producción]],Tabla3[Medida],Tabla3[Equivalencia en Kg],"ELVIS",0)</f>
        <v>1175.8822554039227</v>
      </c>
      <c r="J229">
        <v>659.09571428571405</v>
      </c>
      <c r="K229" t="s">
        <v>34</v>
      </c>
      <c r="L229">
        <f>J229/_xlfn.XLOOKUP(Tabla2[[#This Row],[Unidad de precio]],Tabla3[Medida],Tabla3[Equivalencia en Kg],"ELVIS",0)</f>
        <v>1.6148369822019211</v>
      </c>
      <c r="M229" s="2"/>
      <c r="N229" s="2">
        <f>(Tabla2[[#This Row],[Productividad (kg/TAS)]]*Tabla2[[#This Row],[Precio por kg]]-Tabla2[[#This Row],[Costos (En RD$/Tarea)]])</f>
        <v>1898.8581527412591</v>
      </c>
      <c r="O229" s="6">
        <f>IF(Tabla2[[#This Row],[Costos (En RD$/Tarea)]]=0,0,Tabla2[[#This Row],[Beneficio Neto  (En RD$/Tarea)]]/Tabla2[[#This Row],[Costos (En RD$/Tarea)]])</f>
        <v>0</v>
      </c>
      <c r="P229" s="4">
        <f>Tabla2[[#This Row],[Rentabilidad (%)]]/12</f>
        <v>0</v>
      </c>
    </row>
    <row r="230" spans="1:16" x14ac:dyDescent="0.35">
      <c r="A230" s="1">
        <v>37104</v>
      </c>
      <c r="B230" t="s">
        <v>16</v>
      </c>
      <c r="C230" s="2">
        <v>138680</v>
      </c>
      <c r="D230" s="5" t="s">
        <v>17</v>
      </c>
      <c r="E230" s="2">
        <f>IF(Tabla2[[#This Row],[Frecuencia]]="Annual", Tabla2[[#This Row],[Cosecha/Tarea]]/12,Tabla2[[#This Row],[Cosecha/Tarea]])</f>
        <v>138680</v>
      </c>
      <c r="F230" s="2">
        <v>657907</v>
      </c>
      <c r="G230" t="s">
        <v>18</v>
      </c>
      <c r="H230">
        <f>F230/Tabla2[[#This Row],[Cosecha Mensual]]</f>
        <v>4.7440654744736079</v>
      </c>
      <c r="I230">
        <f>H230*_xlfn.XLOOKUP(Tabla2[[#This Row],[Unidad de producción]],Tabla3[Medida],Tabla3[Equivalencia en Kg],"ELVIS",0)</f>
        <v>215.19080992212287</v>
      </c>
      <c r="J230">
        <v>971.48514851485095</v>
      </c>
      <c r="K230" t="s">
        <v>19</v>
      </c>
      <c r="L230">
        <f>J230/_xlfn.XLOOKUP(Tabla2[[#This Row],[Unidad de precio]],Tabla3[Medida],Tabla3[Equivalencia en Kg],"ELVIS",0)</f>
        <v>8.8316831683168271</v>
      </c>
      <c r="N230" s="2">
        <f>(Tabla2[[#This Row],[Productividad (kg/TAS)]]*Tabla2[[#This Row],[Precio por kg]]-Tabla2[[#This Row],[Costos (En RD$/Tarea)]])</f>
        <v>1900.4970539656781</v>
      </c>
      <c r="O230" s="6">
        <f>IF(Tabla2[[#This Row],[Costos (En RD$/Tarea)]]=0,0,Tabla2[[#This Row],[Beneficio Neto  (En RD$/Tarea)]]/Tabla2[[#This Row],[Costos (En RD$/Tarea)]])</f>
        <v>0</v>
      </c>
      <c r="P230" s="4">
        <f>Tabla2[[#This Row],[Rentabilidad (%)]]/12</f>
        <v>0</v>
      </c>
    </row>
    <row r="231" spans="1:16" x14ac:dyDescent="0.35">
      <c r="A231" s="1">
        <v>37104</v>
      </c>
      <c r="B231" t="s">
        <v>20</v>
      </c>
      <c r="C231" s="2">
        <v>51040</v>
      </c>
      <c r="D231" s="5" t="s">
        <v>17</v>
      </c>
      <c r="E231" s="2">
        <f>IF(Tabla2[[#This Row],[Frecuencia]]="Annual", Tabla2[[#This Row],[Cosecha/Tarea]]/12,Tabla2[[#This Row],[Cosecha/Tarea]])</f>
        <v>51040</v>
      </c>
      <c r="F231" s="2">
        <v>93556</v>
      </c>
      <c r="G231" t="s">
        <v>18</v>
      </c>
      <c r="H231">
        <f>F231/Tabla2[[#This Row],[Cosecha Mensual]]</f>
        <v>1.8329937304075234</v>
      </c>
      <c r="I231">
        <f>H231*_xlfn.XLOOKUP(Tabla2[[#This Row],[Unidad de producción]],Tabla3[Medida],Tabla3[Equivalencia en Kg],"ELVIS",0)</f>
        <v>83.144595611285268</v>
      </c>
      <c r="J231">
        <v>110.54811428571399</v>
      </c>
      <c r="K231" t="s">
        <v>18</v>
      </c>
      <c r="L231">
        <f>J231/_xlfn.XLOOKUP(Tabla2[[#This Row],[Unidad de precio]],Tabla3[Medida],Tabla3[Equivalencia en Kg],"ELVIS",0)</f>
        <v>2.4371277399848763</v>
      </c>
      <c r="N231" s="2">
        <f>(Tabla2[[#This Row],[Productividad (kg/TAS)]]*Tabla2[[#This Row],[Precio por kg]]-Tabla2[[#This Row],[Costos (En RD$/Tarea)]])</f>
        <v>202.63400039408813</v>
      </c>
      <c r="O231" s="6">
        <f>IF(Tabla2[[#This Row],[Costos (En RD$/Tarea)]]=0,0,Tabla2[[#This Row],[Beneficio Neto  (En RD$/Tarea)]]/Tabla2[[#This Row],[Costos (En RD$/Tarea)]])</f>
        <v>0</v>
      </c>
      <c r="P231" s="4">
        <f>Tabla2[[#This Row],[Rentabilidad (%)]]/12</f>
        <v>0</v>
      </c>
    </row>
    <row r="232" spans="1:16" x14ac:dyDescent="0.35">
      <c r="A232" s="1">
        <v>37104</v>
      </c>
      <c r="B232" t="s">
        <v>21</v>
      </c>
      <c r="C232" s="2">
        <v>7206</v>
      </c>
      <c r="D232" s="5" t="s">
        <v>17</v>
      </c>
      <c r="E232" s="2">
        <f>IF(Tabla2[[#This Row],[Frecuencia]]="Annual", Tabla2[[#This Row],[Cosecha/Tarea]]/12,Tabla2[[#This Row],[Cosecha/Tarea]])</f>
        <v>7206</v>
      </c>
      <c r="F232" s="2">
        <v>63961</v>
      </c>
      <c r="G232" t="s">
        <v>18</v>
      </c>
      <c r="H232">
        <f>F232/Tabla2[[#This Row],[Cosecha Mensual]]</f>
        <v>8.8760754926450183</v>
      </c>
      <c r="I232">
        <f>H232*_xlfn.XLOOKUP(Tabla2[[#This Row],[Unidad de producción]],Tabla3[Medida],Tabla3[Equivalencia en Kg],"ELVIS",0)</f>
        <v>402.61878434637805</v>
      </c>
      <c r="J232">
        <v>149.81200000000001</v>
      </c>
      <c r="K232" t="s">
        <v>18</v>
      </c>
      <c r="L232">
        <f>J232/_xlfn.XLOOKUP(Tabla2[[#This Row],[Unidad de precio]],Tabla3[Medida],Tabla3[Equivalencia en Kg],"ELVIS",0)</f>
        <v>3.3027336860670196</v>
      </c>
      <c r="N232" s="2">
        <f>(Tabla2[[#This Row],[Productividad (kg/TAS)]]*Tabla2[[#This Row],[Precio por kg]]-Tabla2[[#This Row],[Costos (En RD$/Tarea)]])</f>
        <v>1329.7426217041357</v>
      </c>
      <c r="O232" s="6">
        <f>IF(Tabla2[[#This Row],[Costos (En RD$/Tarea)]]=0,0,Tabla2[[#This Row],[Beneficio Neto  (En RD$/Tarea)]]/Tabla2[[#This Row],[Costos (En RD$/Tarea)]])</f>
        <v>0</v>
      </c>
      <c r="P232" s="4">
        <f>Tabla2[[#This Row],[Rentabilidad (%)]]/12</f>
        <v>0</v>
      </c>
    </row>
    <row r="233" spans="1:16" x14ac:dyDescent="0.35">
      <c r="A233" s="1">
        <v>37104</v>
      </c>
      <c r="B233" t="s">
        <v>22</v>
      </c>
      <c r="C233" s="2">
        <v>3883</v>
      </c>
      <c r="D233" s="5" t="s">
        <v>17</v>
      </c>
      <c r="E233" s="2">
        <f>IF(Tabla2[[#This Row],[Frecuencia]]="Annual", Tabla2[[#This Row],[Cosecha/Tarea]]/12,Tabla2[[#This Row],[Cosecha/Tarea]])</f>
        <v>3883</v>
      </c>
      <c r="F233" s="2">
        <v>33965</v>
      </c>
      <c r="G233" t="s">
        <v>18</v>
      </c>
      <c r="H233">
        <f>F233/Tabla2[[#This Row],[Cosecha Mensual]]</f>
        <v>8.7471027556013397</v>
      </c>
      <c r="I233">
        <f>H233*_xlfn.XLOOKUP(Tabla2[[#This Row],[Unidad de producción]],Tabla3[Medida],Tabla3[Equivalencia en Kg],"ELVIS",0)</f>
        <v>396.76858099407679</v>
      </c>
      <c r="J233">
        <v>199.0625</v>
      </c>
      <c r="K233" t="s">
        <v>18</v>
      </c>
      <c r="L233">
        <f>J233/_xlfn.XLOOKUP(Tabla2[[#This Row],[Unidad de precio]],Tabla3[Medida],Tabla3[Equivalencia en Kg],"ELVIS",0)</f>
        <v>4.3885030864197532</v>
      </c>
      <c r="N233" s="2">
        <f>(Tabla2[[#This Row],[Productividad (kg/TAS)]]*Tabla2[[#This Row],[Precio por kg]]-Tabla2[[#This Row],[Costos (En RD$/Tarea)]])</f>
        <v>1741.2201422868918</v>
      </c>
      <c r="O233" s="6">
        <f>IF(Tabla2[[#This Row],[Costos (En RD$/Tarea)]]=0,0,Tabla2[[#This Row],[Beneficio Neto  (En RD$/Tarea)]]/Tabla2[[#This Row],[Costos (En RD$/Tarea)]])</f>
        <v>0</v>
      </c>
      <c r="P233" s="4">
        <f>Tabla2[[#This Row],[Rentabilidad (%)]]/12</f>
        <v>0</v>
      </c>
    </row>
    <row r="234" spans="1:16" x14ac:dyDescent="0.35">
      <c r="A234" s="1">
        <v>37104</v>
      </c>
      <c r="B234" t="s">
        <v>23</v>
      </c>
      <c r="C234" s="2">
        <v>3135</v>
      </c>
      <c r="D234" s="5" t="s">
        <v>17</v>
      </c>
      <c r="E234" s="2">
        <f>IF(Tabla2[[#This Row],[Frecuencia]]="Annual", Tabla2[[#This Row],[Cosecha/Tarea]]/12,Tabla2[[#This Row],[Cosecha/Tarea]])</f>
        <v>3135</v>
      </c>
      <c r="F234" s="2">
        <v>86986</v>
      </c>
      <c r="G234" t="s">
        <v>18</v>
      </c>
      <c r="H234">
        <f>F234/Tabla2[[#This Row],[Cosecha Mensual]]</f>
        <v>27.746730462519935</v>
      </c>
      <c r="I234">
        <f>H234*_xlfn.XLOOKUP(Tabla2[[#This Row],[Unidad de producción]],Tabla3[Medida],Tabla3[Equivalencia en Kg],"ELVIS",0)</f>
        <v>1258.5916937799043</v>
      </c>
      <c r="J234">
        <v>214</v>
      </c>
      <c r="K234" t="s">
        <v>18</v>
      </c>
      <c r="L234">
        <f>J234/_xlfn.XLOOKUP(Tabla2[[#This Row],[Unidad de precio]],Tabla3[Medida],Tabla3[Equivalencia en Kg],"ELVIS",0)</f>
        <v>4.7178130511463845</v>
      </c>
      <c r="N234" s="2">
        <f>(Tabla2[[#This Row],[Productividad (kg/TAS)]]*Tabla2[[#This Row],[Precio por kg]]-Tabla2[[#This Row],[Costos (En RD$/Tarea)]])</f>
        <v>5937.8003189792662</v>
      </c>
      <c r="O234" s="6">
        <f>IF(Tabla2[[#This Row],[Costos (En RD$/Tarea)]]=0,0,Tabla2[[#This Row],[Beneficio Neto  (En RD$/Tarea)]]/Tabla2[[#This Row],[Costos (En RD$/Tarea)]])</f>
        <v>0</v>
      </c>
      <c r="P234" s="4">
        <f>Tabla2[[#This Row],[Rentabilidad (%)]]/12</f>
        <v>0</v>
      </c>
    </row>
    <row r="235" spans="1:16" x14ac:dyDescent="0.35">
      <c r="A235" s="1">
        <v>37104</v>
      </c>
      <c r="B235" t="s">
        <v>24</v>
      </c>
      <c r="C235" s="2">
        <v>5206</v>
      </c>
      <c r="D235" s="5" t="s">
        <v>17</v>
      </c>
      <c r="E235" s="2">
        <f>IF(Tabla2[[#This Row],[Frecuencia]]="Annual", Tabla2[[#This Row],[Cosecha/Tarea]]/12,Tabla2[[#This Row],[Cosecha/Tarea]])</f>
        <v>5206</v>
      </c>
      <c r="F235" s="2">
        <v>51589</v>
      </c>
      <c r="G235" t="s">
        <v>18</v>
      </c>
      <c r="H235">
        <f>F235/Tabla2[[#This Row],[Cosecha Mensual]]</f>
        <v>9.9095274683058001</v>
      </c>
      <c r="I235">
        <f>H235*_xlfn.XLOOKUP(Tabla2[[#This Row],[Unidad de producción]],Tabla3[Medida],Tabla3[Equivalencia en Kg],"ELVIS",0)</f>
        <v>449.49616596235109</v>
      </c>
      <c r="J235">
        <v>529.93399999999997</v>
      </c>
      <c r="K235" t="s">
        <v>18</v>
      </c>
      <c r="L235">
        <f>J235/_xlfn.XLOOKUP(Tabla2[[#This Row],[Unidad de precio]],Tabla3[Medida],Tabla3[Equivalencia en Kg],"ELVIS",0)</f>
        <v>11.682848324514991</v>
      </c>
      <c r="N235" s="2">
        <f>(Tabla2[[#This Row],[Productividad (kg/TAS)]]*Tabla2[[#This Row],[Precio por kg]]-Tabla2[[#This Row],[Costos (En RD$/Tarea)]])</f>
        <v>5251.3955293891659</v>
      </c>
      <c r="O235" s="6">
        <f>IF(Tabla2[[#This Row],[Costos (En RD$/Tarea)]]=0,0,Tabla2[[#This Row],[Beneficio Neto  (En RD$/Tarea)]]/Tabla2[[#This Row],[Costos (En RD$/Tarea)]])</f>
        <v>0</v>
      </c>
      <c r="P235" s="4">
        <f>Tabla2[[#This Row],[Rentabilidad (%)]]/12</f>
        <v>0</v>
      </c>
    </row>
    <row r="236" spans="1:16" x14ac:dyDescent="0.35">
      <c r="A236" s="1">
        <v>37104</v>
      </c>
      <c r="B236" t="s">
        <v>25</v>
      </c>
      <c r="C236" s="2">
        <v>21916</v>
      </c>
      <c r="D236" s="5" t="s">
        <v>17</v>
      </c>
      <c r="E236" s="2">
        <f>IF(Tabla2[[#This Row],[Frecuencia]]="Annual", Tabla2[[#This Row],[Cosecha/Tarea]]/12,Tabla2[[#This Row],[Cosecha/Tarea]])</f>
        <v>21916</v>
      </c>
      <c r="F236" s="2">
        <v>213859</v>
      </c>
      <c r="G236" t="s">
        <v>18</v>
      </c>
      <c r="H236">
        <f>F236/Tabla2[[#This Row],[Cosecha Mensual]]</f>
        <v>9.7581219200584055</v>
      </c>
      <c r="I236">
        <f>H236*_xlfn.XLOOKUP(Tabla2[[#This Row],[Unidad de producción]],Tabla3[Medida],Tabla3[Equivalencia en Kg],"ELVIS",0)</f>
        <v>442.62841029384924</v>
      </c>
      <c r="J236">
        <v>107.664</v>
      </c>
      <c r="K236" t="s">
        <v>18</v>
      </c>
      <c r="L236">
        <f>J236/_xlfn.XLOOKUP(Tabla2[[#This Row],[Unidad de precio]],Tabla3[Medida],Tabla3[Equivalencia en Kg],"ELVIS",0)</f>
        <v>2.3735449735449734</v>
      </c>
      <c r="N236" s="2">
        <f>(Tabla2[[#This Row],[Productividad (kg/TAS)]]*Tabla2[[#This Row],[Precio por kg]]-Tabla2[[#This Row],[Costos (En RD$/Tarea)]])</f>
        <v>1050.5984384011681</v>
      </c>
      <c r="O236" s="6">
        <f>IF(Tabla2[[#This Row],[Costos (En RD$/Tarea)]]=0,0,Tabla2[[#This Row],[Beneficio Neto  (En RD$/Tarea)]]/Tabla2[[#This Row],[Costos (En RD$/Tarea)]])</f>
        <v>0</v>
      </c>
      <c r="P236" s="4">
        <f>Tabla2[[#This Row],[Rentabilidad (%)]]/12</f>
        <v>0</v>
      </c>
    </row>
    <row r="237" spans="1:16" x14ac:dyDescent="0.35">
      <c r="A237" s="1">
        <v>37104</v>
      </c>
      <c r="B237" t="s">
        <v>26</v>
      </c>
      <c r="C237" s="2">
        <v>6194</v>
      </c>
      <c r="D237" s="5" t="s">
        <v>17</v>
      </c>
      <c r="E237" s="2">
        <f>IF(Tabla2[[#This Row],[Frecuencia]]="Annual", Tabla2[[#This Row],[Cosecha/Tarea]]/12,Tabla2[[#This Row],[Cosecha/Tarea]])</f>
        <v>6194</v>
      </c>
      <c r="F237" s="2">
        <v>37383</v>
      </c>
      <c r="G237" t="s">
        <v>18</v>
      </c>
      <c r="H237">
        <f>F237/Tabla2[[#This Row],[Cosecha Mensual]]</f>
        <v>6.035356796900226</v>
      </c>
      <c r="I237">
        <f>H237*_xlfn.XLOOKUP(Tabla2[[#This Row],[Unidad de producción]],Tabla3[Medida],Tabla3[Equivalencia en Kg],"ELVIS",0)</f>
        <v>273.76378430739425</v>
      </c>
      <c r="J237">
        <v>227.66749999999999</v>
      </c>
      <c r="K237" t="s">
        <v>18</v>
      </c>
      <c r="L237">
        <f>J237/_xlfn.XLOOKUP(Tabla2[[#This Row],[Unidad de precio]],Tabla3[Medida],Tabla3[Equivalencia en Kg],"ELVIS",0)</f>
        <v>5.0191247795414462</v>
      </c>
      <c r="N237" s="2">
        <f>(Tabla2[[#This Row],[Productividad (kg/TAS)]]*Tabla2[[#This Row],[Precio por kg]]-Tabla2[[#This Row],[Costos (En RD$/Tarea)]])</f>
        <v>1374.0545935582822</v>
      </c>
      <c r="O237" s="6">
        <f>IF(Tabla2[[#This Row],[Costos (En RD$/Tarea)]]=0,0,Tabla2[[#This Row],[Beneficio Neto  (En RD$/Tarea)]]/Tabla2[[#This Row],[Costos (En RD$/Tarea)]])</f>
        <v>0</v>
      </c>
      <c r="P237" s="4">
        <f>Tabla2[[#This Row],[Rentabilidad (%)]]/12</f>
        <v>0</v>
      </c>
    </row>
    <row r="238" spans="1:16" x14ac:dyDescent="0.35">
      <c r="A238" s="1">
        <v>37104</v>
      </c>
      <c r="B238" t="s">
        <v>27</v>
      </c>
      <c r="C238" s="2">
        <v>1836</v>
      </c>
      <c r="D238" s="5" t="s">
        <v>17</v>
      </c>
      <c r="E238" s="2">
        <f>IF(Tabla2[[#This Row],[Frecuencia]]="Annual", Tabla2[[#This Row],[Cosecha/Tarea]]/12,Tabla2[[#This Row],[Cosecha/Tarea]])</f>
        <v>1836</v>
      </c>
      <c r="F238" s="2">
        <v>15940</v>
      </c>
      <c r="G238" t="s">
        <v>18</v>
      </c>
      <c r="H238">
        <f>F238/Tabla2[[#This Row],[Cosecha Mensual]]</f>
        <v>8.681917211328976</v>
      </c>
      <c r="I238">
        <f>H238*_xlfn.XLOOKUP(Tabla2[[#This Row],[Unidad de producción]],Tabla3[Medida],Tabla3[Equivalencia en Kg],"ELVIS",0)</f>
        <v>393.81176470588235</v>
      </c>
      <c r="J238">
        <v>212.73</v>
      </c>
      <c r="K238" t="s">
        <v>18</v>
      </c>
      <c r="L238">
        <f>J238/_xlfn.XLOOKUP(Tabla2[[#This Row],[Unidad de precio]],Tabla3[Medida],Tabla3[Equivalencia en Kg],"ELVIS",0)</f>
        <v>4.6898148148148149</v>
      </c>
      <c r="N238" s="2">
        <f>(Tabla2[[#This Row],[Productividad (kg/TAS)]]*Tabla2[[#This Row],[Precio por kg]]-Tabla2[[#This Row],[Costos (En RD$/Tarea)]])</f>
        <v>1846.904248366013</v>
      </c>
      <c r="O238" s="6">
        <f>IF(Tabla2[[#This Row],[Costos (En RD$/Tarea)]]=0,0,Tabla2[[#This Row],[Beneficio Neto  (En RD$/Tarea)]]/Tabla2[[#This Row],[Costos (En RD$/Tarea)]])</f>
        <v>0</v>
      </c>
      <c r="P238" s="4">
        <f>Tabla2[[#This Row],[Rentabilidad (%)]]/12</f>
        <v>0</v>
      </c>
    </row>
    <row r="239" spans="1:16" x14ac:dyDescent="0.35">
      <c r="A239" s="1">
        <v>37104</v>
      </c>
      <c r="B239" t="s">
        <v>28</v>
      </c>
      <c r="C239" s="2">
        <v>21636</v>
      </c>
      <c r="D239" s="5" t="s">
        <v>17</v>
      </c>
      <c r="E239" s="2">
        <f>IF(Tabla2[[#This Row],[Frecuencia]]="Annual", Tabla2[[#This Row],[Cosecha/Tarea]]/12,Tabla2[[#This Row],[Cosecha/Tarea]])</f>
        <v>21636</v>
      </c>
      <c r="F239" s="2">
        <v>37722</v>
      </c>
      <c r="G239" t="s">
        <v>18</v>
      </c>
      <c r="H239">
        <f>F239/Tabla2[[#This Row],[Cosecha Mensual]]</f>
        <v>1.7434830837493067</v>
      </c>
      <c r="I239">
        <f>H239*_xlfn.XLOOKUP(Tabla2[[#This Row],[Unidad de producción]],Tabla3[Medida],Tabla3[Equivalencia en Kg],"ELVIS",0)</f>
        <v>79.084392678868554</v>
      </c>
      <c r="J239">
        <v>651.25</v>
      </c>
      <c r="K239" t="s">
        <v>29</v>
      </c>
      <c r="L239">
        <f>J239/_xlfn.XLOOKUP(Tabla2[[#This Row],[Unidad de precio]],Tabla3[Medida],Tabla3[Equivalencia en Kg],"ELVIS",0)</f>
        <v>1.1581071949354482</v>
      </c>
      <c r="N239" s="2">
        <f>(Tabla2[[#This Row],[Productividad (kg/TAS)]]*Tabla2[[#This Row],[Precio por kg]]-Tabla2[[#This Row],[Costos (En RD$/Tarea)]])</f>
        <v>91.588204168497953</v>
      </c>
      <c r="O239" s="6">
        <f>IF(Tabla2[[#This Row],[Costos (En RD$/Tarea)]]=0,0,Tabla2[[#This Row],[Beneficio Neto  (En RD$/Tarea)]]/Tabla2[[#This Row],[Costos (En RD$/Tarea)]])</f>
        <v>0</v>
      </c>
      <c r="P239" s="4">
        <f>Tabla2[[#This Row],[Rentabilidad (%)]]/12</f>
        <v>0</v>
      </c>
    </row>
    <row r="240" spans="1:16" x14ac:dyDescent="0.35">
      <c r="A240" s="1">
        <v>37104</v>
      </c>
      <c r="B240" t="s">
        <v>30</v>
      </c>
      <c r="C240" s="2">
        <v>240014</v>
      </c>
      <c r="D240" s="2" t="s">
        <v>31</v>
      </c>
      <c r="E240" s="2">
        <f>IF(Tabla2[[#This Row],[Frecuencia]]="Annual", Tabla2[[#This Row],[Cosecha/Tarea]]/12,Tabla2[[#This Row],[Cosecha/Tarea]])</f>
        <v>20001.166666666668</v>
      </c>
      <c r="F240" s="2">
        <v>1683905</v>
      </c>
      <c r="G240" t="s">
        <v>32</v>
      </c>
      <c r="H240">
        <f>F240/Tabla2[[#This Row],[Cosecha Mensual]]</f>
        <v>84.190338896897671</v>
      </c>
      <c r="I240">
        <f>H240*_xlfn.XLOOKUP(Tabla2[[#This Row],[Unidad de producción]],Tabla3[Medida],Tabla3[Equivalencia en Kg],"ELVIS",0)</f>
        <v>2290.8191213845857</v>
      </c>
      <c r="J240">
        <v>26.477142857142901</v>
      </c>
      <c r="K240" t="s">
        <v>32</v>
      </c>
      <c r="L240">
        <f>J240/_xlfn.XLOOKUP(Tabla2[[#This Row],[Unidad de precio]],Tabla3[Medida],Tabla3[Equivalencia en Kg],"ELVIS",0)</f>
        <v>0.97306662466530325</v>
      </c>
      <c r="M240" s="2"/>
      <c r="N240" s="2">
        <f>(Tabla2[[#This Row],[Productividad (kg/TAS)]]*Tabla2[[#This Row],[Precio por kg]]-Tabla2[[#This Row],[Costos (En RD$/Tarea)]])</f>
        <v>2229.1196301644345</v>
      </c>
      <c r="O240" s="6">
        <f>IF(Tabla2[[#This Row],[Costos (En RD$/Tarea)]]=0,0,Tabla2[[#This Row],[Beneficio Neto  (En RD$/Tarea)]]/Tabla2[[#This Row],[Costos (En RD$/Tarea)]])</f>
        <v>0</v>
      </c>
      <c r="P240" s="4">
        <f>Tabla2[[#This Row],[Rentabilidad (%)]]/12</f>
        <v>0</v>
      </c>
    </row>
    <row r="241" spans="1:16" x14ac:dyDescent="0.35">
      <c r="A241" s="1">
        <v>37104</v>
      </c>
      <c r="B241" t="s">
        <v>33</v>
      </c>
      <c r="C241" s="2">
        <v>671217</v>
      </c>
      <c r="D241" s="2" t="s">
        <v>31</v>
      </c>
      <c r="E241" s="2">
        <f>IF(Tabla2[[#This Row],[Frecuencia]]="Annual", Tabla2[[#This Row],[Cosecha/Tarea]]/12,Tabla2[[#This Row],[Cosecha/Tarea]])</f>
        <v>55934.75</v>
      </c>
      <c r="F241" s="2">
        <v>123416</v>
      </c>
      <c r="G241" t="s">
        <v>34</v>
      </c>
      <c r="H241">
        <f>F241/Tabla2[[#This Row],[Cosecha Mensual]]</f>
        <v>2.2064280255118689</v>
      </c>
      <c r="I241">
        <f>H241*_xlfn.XLOOKUP(Tabla2[[#This Row],[Unidad de producción]],Tabla3[Medida],Tabla3[Equivalencia en Kg],"ELVIS",0)</f>
        <v>900.55359861266925</v>
      </c>
      <c r="J241">
        <v>853.41666666666697</v>
      </c>
      <c r="K241" t="s">
        <v>34</v>
      </c>
      <c r="L241">
        <f>J241/_xlfn.XLOOKUP(Tabla2[[#This Row],[Unidad de precio]],Tabla3[Medida],Tabla3[Equivalencia en Kg],"ELVIS",0)</f>
        <v>2.0909387888439714</v>
      </c>
      <c r="M241" s="2"/>
      <c r="N241" s="2">
        <f>(Tabla2[[#This Row],[Productividad (kg/TAS)]]*Tabla2[[#This Row],[Precio por kg]]-Tabla2[[#This Row],[Costos (En RD$/Tarea)]])</f>
        <v>1883.0024507722546</v>
      </c>
      <c r="O241" s="6">
        <f>IF(Tabla2[[#This Row],[Costos (En RD$/Tarea)]]=0,0,Tabla2[[#This Row],[Beneficio Neto  (En RD$/Tarea)]]/Tabla2[[#This Row],[Costos (En RD$/Tarea)]])</f>
        <v>0</v>
      </c>
      <c r="P241" s="4">
        <f>Tabla2[[#This Row],[Rentabilidad (%)]]/12</f>
        <v>0</v>
      </c>
    </row>
    <row r="242" spans="1:16" x14ac:dyDescent="0.35">
      <c r="A242" s="1">
        <v>37135</v>
      </c>
      <c r="B242" t="s">
        <v>16</v>
      </c>
      <c r="C242" s="2">
        <v>279516</v>
      </c>
      <c r="D242" s="5" t="s">
        <v>17</v>
      </c>
      <c r="E242" s="2">
        <f>IF(Tabla2[[#This Row],[Frecuencia]]="Annual", Tabla2[[#This Row],[Cosecha/Tarea]]/12,Tabla2[[#This Row],[Cosecha/Tarea]])</f>
        <v>279516</v>
      </c>
      <c r="F242" s="2">
        <v>1076858</v>
      </c>
      <c r="G242" t="s">
        <v>18</v>
      </c>
      <c r="H242">
        <f>F242/Tabla2[[#This Row],[Cosecha Mensual]]</f>
        <v>3.8525808898238383</v>
      </c>
      <c r="I242">
        <f>H242*_xlfn.XLOOKUP(Tabla2[[#This Row],[Unidad de producción]],Tabla3[Medida],Tabla3[Equivalencia en Kg],"ELVIS",0)</f>
        <v>174.7530691624093</v>
      </c>
      <c r="J242">
        <v>790.18481848184797</v>
      </c>
      <c r="K242" t="s">
        <v>19</v>
      </c>
      <c r="L242">
        <f>J242/_xlfn.XLOOKUP(Tabla2[[#This Row],[Unidad de precio]],Tabla3[Medida],Tabla3[Equivalencia en Kg],"ELVIS",0)</f>
        <v>7.1834983498349816</v>
      </c>
      <c r="N242" s="2">
        <f>(Tabla2[[#This Row],[Productividad (kg/TAS)]]*Tabla2[[#This Row],[Precio por kg]]-Tabla2[[#This Row],[Costos (En RD$/Tarea)]])</f>
        <v>1255.3383839567657</v>
      </c>
      <c r="O242" s="6">
        <f>IF(Tabla2[[#This Row],[Costos (En RD$/Tarea)]]=0,0,Tabla2[[#This Row],[Beneficio Neto  (En RD$/Tarea)]]/Tabla2[[#This Row],[Costos (En RD$/Tarea)]])</f>
        <v>0</v>
      </c>
      <c r="P242" s="4">
        <f>Tabla2[[#This Row],[Rentabilidad (%)]]/12</f>
        <v>0</v>
      </c>
    </row>
    <row r="243" spans="1:16" x14ac:dyDescent="0.35">
      <c r="A243" s="1">
        <v>37135</v>
      </c>
      <c r="B243" t="s">
        <v>20</v>
      </c>
      <c r="C243" s="2">
        <v>46369</v>
      </c>
      <c r="D243" s="5" t="s">
        <v>17</v>
      </c>
      <c r="E243" s="2">
        <f>IF(Tabla2[[#This Row],[Frecuencia]]="Annual", Tabla2[[#This Row],[Cosecha/Tarea]]/12,Tabla2[[#This Row],[Cosecha/Tarea]])</f>
        <v>46369</v>
      </c>
      <c r="F243" s="2">
        <v>74587</v>
      </c>
      <c r="G243" t="s">
        <v>18</v>
      </c>
      <c r="H243">
        <f>F243/Tabla2[[#This Row],[Cosecha Mensual]]</f>
        <v>1.6085531281675258</v>
      </c>
      <c r="I243">
        <f>H243*_xlfn.XLOOKUP(Tabla2[[#This Row],[Unidad de producción]],Tabla3[Medida],Tabla3[Equivalencia en Kg],"ELVIS",0)</f>
        <v>72.963969893678964</v>
      </c>
      <c r="J243">
        <v>117.21325</v>
      </c>
      <c r="K243" t="s">
        <v>18</v>
      </c>
      <c r="L243">
        <f>J243/_xlfn.XLOOKUP(Tabla2[[#This Row],[Unidad de precio]],Tabla3[Medida],Tabla3[Equivalencia en Kg],"ELVIS",0)</f>
        <v>2.5840663580246916</v>
      </c>
      <c r="N243" s="2">
        <f>(Tabla2[[#This Row],[Productividad (kg/TAS)]]*Tabla2[[#This Row],[Precio por kg]]-Tabla2[[#This Row],[Costos (En RD$/Tarea)]])</f>
        <v>188.54373995018224</v>
      </c>
      <c r="O243" s="6">
        <f>IF(Tabla2[[#This Row],[Costos (En RD$/Tarea)]]=0,0,Tabla2[[#This Row],[Beneficio Neto  (En RD$/Tarea)]]/Tabla2[[#This Row],[Costos (En RD$/Tarea)]])</f>
        <v>0</v>
      </c>
      <c r="P243" s="4">
        <f>Tabla2[[#This Row],[Rentabilidad (%)]]/12</f>
        <v>0</v>
      </c>
    </row>
    <row r="244" spans="1:16" x14ac:dyDescent="0.35">
      <c r="A244" s="1">
        <v>37135</v>
      </c>
      <c r="B244" t="s">
        <v>21</v>
      </c>
      <c r="C244" s="2">
        <v>4703</v>
      </c>
      <c r="D244" s="5" t="s">
        <v>17</v>
      </c>
      <c r="E244" s="2">
        <f>IF(Tabla2[[#This Row],[Frecuencia]]="Annual", Tabla2[[#This Row],[Cosecha/Tarea]]/12,Tabla2[[#This Row],[Cosecha/Tarea]])</f>
        <v>4703</v>
      </c>
      <c r="F244" s="2">
        <v>40441</v>
      </c>
      <c r="G244" t="s">
        <v>18</v>
      </c>
      <c r="H244">
        <f>F244/Tabla2[[#This Row],[Cosecha Mensual]]</f>
        <v>8.5989793748671062</v>
      </c>
      <c r="I244">
        <f>H244*_xlfn.XLOOKUP(Tabla2[[#This Row],[Unidad de producción]],Tabla3[Medida],Tabla3[Equivalencia en Kg],"ELVIS",0)</f>
        <v>390.0497044439719</v>
      </c>
      <c r="J244">
        <v>180.125</v>
      </c>
      <c r="K244" t="s">
        <v>18</v>
      </c>
      <c r="L244">
        <f>J244/_xlfn.XLOOKUP(Tabla2[[#This Row],[Unidad de precio]],Tabla3[Medida],Tabla3[Equivalencia en Kg],"ELVIS",0)</f>
        <v>3.9710097001763667</v>
      </c>
      <c r="N244" s="2">
        <f>(Tabla2[[#This Row],[Productividad (kg/TAS)]]*Tabla2[[#This Row],[Precio por kg]]-Tabla2[[#This Row],[Costos (En RD$/Tarea)]])</f>
        <v>1548.8911598979373</v>
      </c>
      <c r="O244" s="6">
        <f>IF(Tabla2[[#This Row],[Costos (En RD$/Tarea)]]=0,0,Tabla2[[#This Row],[Beneficio Neto  (En RD$/Tarea)]]/Tabla2[[#This Row],[Costos (En RD$/Tarea)]])</f>
        <v>0</v>
      </c>
      <c r="P244" s="4">
        <f>Tabla2[[#This Row],[Rentabilidad (%)]]/12</f>
        <v>0</v>
      </c>
    </row>
    <row r="245" spans="1:16" x14ac:dyDescent="0.35">
      <c r="A245" s="1">
        <v>37135</v>
      </c>
      <c r="B245" t="s">
        <v>22</v>
      </c>
      <c r="C245" s="2">
        <v>1936</v>
      </c>
      <c r="D245" s="5" t="s">
        <v>17</v>
      </c>
      <c r="E245" s="2">
        <f>IF(Tabla2[[#This Row],[Frecuencia]]="Annual", Tabla2[[#This Row],[Cosecha/Tarea]]/12,Tabla2[[#This Row],[Cosecha/Tarea]])</f>
        <v>1936</v>
      </c>
      <c r="F245" s="2">
        <v>17395</v>
      </c>
      <c r="G245" t="s">
        <v>18</v>
      </c>
      <c r="H245">
        <f>F245/Tabla2[[#This Row],[Cosecha Mensual]]</f>
        <v>8.9850206611570247</v>
      </c>
      <c r="I245">
        <f>H245*_xlfn.XLOOKUP(Tabla2[[#This Row],[Unidad de producción]],Tabla3[Medida],Tabla3[Equivalencia en Kg],"ELVIS",0)</f>
        <v>407.56053719008264</v>
      </c>
      <c r="J245">
        <v>246.4</v>
      </c>
      <c r="K245" t="s">
        <v>18</v>
      </c>
      <c r="L245">
        <f>J245/_xlfn.XLOOKUP(Tabla2[[#This Row],[Unidad de precio]],Tabla3[Medida],Tabla3[Equivalencia en Kg],"ELVIS",0)</f>
        <v>5.4320987654320989</v>
      </c>
      <c r="N245" s="2">
        <f>(Tabla2[[#This Row],[Productividad (kg/TAS)]]*Tabla2[[#This Row],[Precio por kg]]-Tabla2[[#This Row],[Costos (En RD$/Tarea)]])</f>
        <v>2213.909090909091</v>
      </c>
      <c r="O245" s="6">
        <f>IF(Tabla2[[#This Row],[Costos (En RD$/Tarea)]]=0,0,Tabla2[[#This Row],[Beneficio Neto  (En RD$/Tarea)]]/Tabla2[[#This Row],[Costos (En RD$/Tarea)]])</f>
        <v>0</v>
      </c>
      <c r="P245" s="4">
        <f>Tabla2[[#This Row],[Rentabilidad (%)]]/12</f>
        <v>0</v>
      </c>
    </row>
    <row r="246" spans="1:16" x14ac:dyDescent="0.35">
      <c r="A246" s="1">
        <v>37135</v>
      </c>
      <c r="B246" t="s">
        <v>23</v>
      </c>
      <c r="C246" s="2">
        <v>4838</v>
      </c>
      <c r="D246" s="5" t="s">
        <v>17</v>
      </c>
      <c r="E246" s="2">
        <f>IF(Tabla2[[#This Row],[Frecuencia]]="Annual", Tabla2[[#This Row],[Cosecha/Tarea]]/12,Tabla2[[#This Row],[Cosecha/Tarea]])</f>
        <v>4838</v>
      </c>
      <c r="F246" s="2">
        <v>181062</v>
      </c>
      <c r="G246" t="s">
        <v>18</v>
      </c>
      <c r="H246">
        <f>F246/Tabla2[[#This Row],[Cosecha Mensual]]</f>
        <v>37.424968995452666</v>
      </c>
      <c r="I246">
        <f>H246*_xlfn.XLOOKUP(Tabla2[[#This Row],[Unidad de producción]],Tabla3[Medida],Tabla3[Equivalencia en Kg],"ELVIS",0)</f>
        <v>1697.5965936337329</v>
      </c>
      <c r="J246">
        <v>272.265625</v>
      </c>
      <c r="K246" t="s">
        <v>18</v>
      </c>
      <c r="L246">
        <f>J246/_xlfn.XLOOKUP(Tabla2[[#This Row],[Unidad de precio]],Tabla3[Medida],Tabla3[Equivalencia en Kg],"ELVIS",0)</f>
        <v>6.0023285934744273</v>
      </c>
      <c r="N246" s="2">
        <f>(Tabla2[[#This Row],[Productividad (kg/TAS)]]*Tabla2[[#This Row],[Precio por kg]]-Tabla2[[#This Row],[Costos (En RD$/Tarea)]])</f>
        <v>10189.532574152543</v>
      </c>
      <c r="O246" s="6">
        <f>IF(Tabla2[[#This Row],[Costos (En RD$/Tarea)]]=0,0,Tabla2[[#This Row],[Beneficio Neto  (En RD$/Tarea)]]/Tabla2[[#This Row],[Costos (En RD$/Tarea)]])</f>
        <v>0</v>
      </c>
      <c r="P246" s="4">
        <f>Tabla2[[#This Row],[Rentabilidad (%)]]/12</f>
        <v>0</v>
      </c>
    </row>
    <row r="247" spans="1:16" x14ac:dyDescent="0.35">
      <c r="A247" s="1">
        <v>37135</v>
      </c>
      <c r="B247" t="s">
        <v>24</v>
      </c>
      <c r="C247" s="2">
        <v>5664</v>
      </c>
      <c r="D247" s="5" t="s">
        <v>17</v>
      </c>
      <c r="E247" s="2">
        <f>IF(Tabla2[[#This Row],[Frecuencia]]="Annual", Tabla2[[#This Row],[Cosecha/Tarea]]/12,Tabla2[[#This Row],[Cosecha/Tarea]])</f>
        <v>5664</v>
      </c>
      <c r="F247" s="2">
        <v>58868</v>
      </c>
      <c r="G247" t="s">
        <v>18</v>
      </c>
      <c r="H247">
        <f>F247/Tabla2[[#This Row],[Cosecha Mensual]]</f>
        <v>10.393361581920903</v>
      </c>
      <c r="I247">
        <f>H247*_xlfn.XLOOKUP(Tabla2[[#This Row],[Unidad de producción]],Tabla3[Medida],Tabla3[Equivalencia en Kg],"ELVIS",0)</f>
        <v>471.44288135593217</v>
      </c>
      <c r="J247">
        <v>569.25</v>
      </c>
      <c r="K247" t="s">
        <v>18</v>
      </c>
      <c r="L247">
        <f>J247/_xlfn.XLOOKUP(Tabla2[[#This Row],[Unidad de precio]],Tabla3[Medida],Tabla3[Equivalencia en Kg],"ELVIS",0)</f>
        <v>12.549603174603174</v>
      </c>
      <c r="N247" s="2">
        <f>(Tabla2[[#This Row],[Productividad (kg/TAS)]]*Tabla2[[#This Row],[Precio por kg]]-Tabla2[[#This Row],[Costos (En RD$/Tarea)]])</f>
        <v>5916.421080508474</v>
      </c>
      <c r="O247" s="6">
        <f>IF(Tabla2[[#This Row],[Costos (En RD$/Tarea)]]=0,0,Tabla2[[#This Row],[Beneficio Neto  (En RD$/Tarea)]]/Tabla2[[#This Row],[Costos (En RD$/Tarea)]])</f>
        <v>0</v>
      </c>
      <c r="P247" s="4">
        <f>Tabla2[[#This Row],[Rentabilidad (%)]]/12</f>
        <v>0</v>
      </c>
    </row>
    <row r="248" spans="1:16" x14ac:dyDescent="0.35">
      <c r="A248" s="1">
        <v>37135</v>
      </c>
      <c r="B248" t="s">
        <v>25</v>
      </c>
      <c r="C248" s="2">
        <v>21221</v>
      </c>
      <c r="D248" s="5" t="s">
        <v>17</v>
      </c>
      <c r="E248" s="2">
        <f>IF(Tabla2[[#This Row],[Frecuencia]]="Annual", Tabla2[[#This Row],[Cosecha/Tarea]]/12,Tabla2[[#This Row],[Cosecha/Tarea]])</f>
        <v>21221</v>
      </c>
      <c r="F248" s="2">
        <v>199555</v>
      </c>
      <c r="G248" t="s">
        <v>18</v>
      </c>
      <c r="H248">
        <f>F248/Tabla2[[#This Row],[Cosecha Mensual]]</f>
        <v>9.4036567551010783</v>
      </c>
      <c r="I248">
        <f>H248*_xlfn.XLOOKUP(Tabla2[[#This Row],[Unidad de producción]],Tabla3[Medida],Tabla3[Equivalencia en Kg],"ELVIS",0)</f>
        <v>426.54987041138492</v>
      </c>
      <c r="J248">
        <v>108.19361000000001</v>
      </c>
      <c r="K248" t="s">
        <v>18</v>
      </c>
      <c r="L248">
        <f>J248/_xlfn.XLOOKUP(Tabla2[[#This Row],[Unidad de precio]],Tabla3[Medida],Tabla3[Equivalencia en Kg],"ELVIS",0)</f>
        <v>2.3852206790123458</v>
      </c>
      <c r="N248" s="2">
        <f>(Tabla2[[#This Row],[Productividad (kg/TAS)]]*Tabla2[[#This Row],[Precio por kg]]-Tabla2[[#This Row],[Costos (En RD$/Tarea)]])</f>
        <v>1017.4155715352716</v>
      </c>
      <c r="O248" s="6">
        <f>IF(Tabla2[[#This Row],[Costos (En RD$/Tarea)]]=0,0,Tabla2[[#This Row],[Beneficio Neto  (En RD$/Tarea)]]/Tabla2[[#This Row],[Costos (En RD$/Tarea)]])</f>
        <v>0</v>
      </c>
      <c r="P248" s="4">
        <f>Tabla2[[#This Row],[Rentabilidad (%)]]/12</f>
        <v>0</v>
      </c>
    </row>
    <row r="249" spans="1:16" x14ac:dyDescent="0.35">
      <c r="A249" s="1">
        <v>37135</v>
      </c>
      <c r="B249" t="s">
        <v>26</v>
      </c>
      <c r="C249" s="2">
        <v>6842</v>
      </c>
      <c r="D249" s="5" t="s">
        <v>17</v>
      </c>
      <c r="E249" s="2">
        <f>IF(Tabla2[[#This Row],[Frecuencia]]="Annual", Tabla2[[#This Row],[Cosecha/Tarea]]/12,Tabla2[[#This Row],[Cosecha/Tarea]])</f>
        <v>6842</v>
      </c>
      <c r="F249" s="2">
        <v>39574</v>
      </c>
      <c r="G249" t="s">
        <v>18</v>
      </c>
      <c r="H249">
        <f>F249/Tabla2[[#This Row],[Cosecha Mensual]]</f>
        <v>5.7839812920198774</v>
      </c>
      <c r="I249">
        <f>H249*_xlfn.XLOOKUP(Tabla2[[#This Row],[Unidad de producción]],Tabla3[Medida],Tabla3[Equivalencia en Kg],"ELVIS",0)</f>
        <v>262.36139140602165</v>
      </c>
      <c r="J249">
        <v>205.66749999999999</v>
      </c>
      <c r="K249" t="s">
        <v>18</v>
      </c>
      <c r="L249">
        <f>J249/_xlfn.XLOOKUP(Tabla2[[#This Row],[Unidad de precio]],Tabla3[Medida],Tabla3[Equivalencia en Kg],"ELVIS",0)</f>
        <v>4.5341159611992943</v>
      </c>
      <c r="N249" s="2">
        <f>(Tabla2[[#This Row],[Productividad (kg/TAS)]]*Tabla2[[#This Row],[Precio por kg]]-Tabla2[[#This Row],[Costos (En RD$/Tarea)]])</f>
        <v>1189.5769723764981</v>
      </c>
      <c r="O249" s="6">
        <f>IF(Tabla2[[#This Row],[Costos (En RD$/Tarea)]]=0,0,Tabla2[[#This Row],[Beneficio Neto  (En RD$/Tarea)]]/Tabla2[[#This Row],[Costos (En RD$/Tarea)]])</f>
        <v>0</v>
      </c>
      <c r="P249" s="4">
        <f>Tabla2[[#This Row],[Rentabilidad (%)]]/12</f>
        <v>0</v>
      </c>
    </row>
    <row r="250" spans="1:16" x14ac:dyDescent="0.35">
      <c r="A250" s="1">
        <v>37135</v>
      </c>
      <c r="B250" t="s">
        <v>27</v>
      </c>
      <c r="C250" s="2">
        <v>1873</v>
      </c>
      <c r="D250" s="5" t="s">
        <v>17</v>
      </c>
      <c r="E250" s="2">
        <f>IF(Tabla2[[#This Row],[Frecuencia]]="Annual", Tabla2[[#This Row],[Cosecha/Tarea]]/12,Tabla2[[#This Row],[Cosecha/Tarea]])</f>
        <v>1873</v>
      </c>
      <c r="F250" s="2">
        <v>14057</v>
      </c>
      <c r="G250" t="s">
        <v>18</v>
      </c>
      <c r="H250">
        <f>F250/Tabla2[[#This Row],[Cosecha Mensual]]</f>
        <v>7.5050720768820076</v>
      </c>
      <c r="I250">
        <f>H250*_xlfn.XLOOKUP(Tabla2[[#This Row],[Unidad de producción]],Tabla3[Medida],Tabla3[Equivalencia en Kg],"ELVIS",0)</f>
        <v>340.43006940736785</v>
      </c>
      <c r="J250">
        <v>241.8</v>
      </c>
      <c r="K250" t="s">
        <v>18</v>
      </c>
      <c r="L250">
        <f>J250/_xlfn.XLOOKUP(Tabla2[[#This Row],[Unidad de precio]],Tabla3[Medida],Tabla3[Equivalencia en Kg],"ELVIS",0)</f>
        <v>5.3306878306878307</v>
      </c>
      <c r="N250" s="2">
        <f>(Tabla2[[#This Row],[Productividad (kg/TAS)]]*Tabla2[[#This Row],[Precio por kg]]-Tabla2[[#This Row],[Costos (En RD$/Tarea)]])</f>
        <v>1814.7264281900693</v>
      </c>
      <c r="O250" s="6">
        <f>IF(Tabla2[[#This Row],[Costos (En RD$/Tarea)]]=0,0,Tabla2[[#This Row],[Beneficio Neto  (En RD$/Tarea)]]/Tabla2[[#This Row],[Costos (En RD$/Tarea)]])</f>
        <v>0</v>
      </c>
      <c r="P250" s="4">
        <f>Tabla2[[#This Row],[Rentabilidad (%)]]/12</f>
        <v>0</v>
      </c>
    </row>
    <row r="251" spans="1:16" x14ac:dyDescent="0.35">
      <c r="A251" s="1">
        <v>37135</v>
      </c>
      <c r="B251" t="s">
        <v>28</v>
      </c>
      <c r="C251" s="2">
        <v>28623</v>
      </c>
      <c r="D251" s="5" t="s">
        <v>17</v>
      </c>
      <c r="E251" s="2">
        <f>IF(Tabla2[[#This Row],[Frecuencia]]="Annual", Tabla2[[#This Row],[Cosecha/Tarea]]/12,Tabla2[[#This Row],[Cosecha/Tarea]])</f>
        <v>28623</v>
      </c>
      <c r="F251" s="2">
        <v>50684</v>
      </c>
      <c r="G251" t="s">
        <v>18</v>
      </c>
      <c r="H251">
        <f>F251/Tabla2[[#This Row],[Cosecha Mensual]]</f>
        <v>1.7707438074275932</v>
      </c>
      <c r="I251">
        <f>H251*_xlfn.XLOOKUP(Tabla2[[#This Row],[Unidad de producción]],Tabla3[Medida],Tabla3[Equivalencia en Kg],"ELVIS",0)</f>
        <v>80.320939104915624</v>
      </c>
      <c r="J251">
        <v>889</v>
      </c>
      <c r="K251" t="s">
        <v>29</v>
      </c>
      <c r="L251">
        <f>J251/_xlfn.XLOOKUP(Tabla2[[#This Row],[Unidad de precio]],Tabla3[Medida],Tabla3[Equivalencia en Kg],"ELVIS",0)</f>
        <v>1.5808941209944161</v>
      </c>
      <c r="N251" s="2">
        <f>(Tabla2[[#This Row],[Productividad (kg/TAS)]]*Tabla2[[#This Row],[Precio por kg]]-Tabla2[[#This Row],[Costos (En RD$/Tarea)]])</f>
        <v>126.97890042371161</v>
      </c>
      <c r="O251" s="6">
        <f>IF(Tabla2[[#This Row],[Costos (En RD$/Tarea)]]=0,0,Tabla2[[#This Row],[Beneficio Neto  (En RD$/Tarea)]]/Tabla2[[#This Row],[Costos (En RD$/Tarea)]])</f>
        <v>0</v>
      </c>
      <c r="P251" s="4">
        <f>Tabla2[[#This Row],[Rentabilidad (%)]]/12</f>
        <v>0</v>
      </c>
    </row>
    <row r="252" spans="1:16" x14ac:dyDescent="0.35">
      <c r="A252" s="1">
        <v>37135</v>
      </c>
      <c r="B252" t="s">
        <v>30</v>
      </c>
      <c r="C252" s="2">
        <v>241518</v>
      </c>
      <c r="D252" s="2" t="s">
        <v>31</v>
      </c>
      <c r="E252" s="2">
        <f>IF(Tabla2[[#This Row],[Frecuencia]]="Annual", Tabla2[[#This Row],[Cosecha/Tarea]]/12,Tabla2[[#This Row],[Cosecha/Tarea]])</f>
        <v>20126.5</v>
      </c>
      <c r="F252" s="2">
        <v>1491815</v>
      </c>
      <c r="G252" t="s">
        <v>32</v>
      </c>
      <c r="H252">
        <f>F252/Tabla2[[#This Row],[Cosecha Mensual]]</f>
        <v>74.121928800337869</v>
      </c>
      <c r="I252">
        <f>H252*_xlfn.XLOOKUP(Tabla2[[#This Row],[Unidad de producción]],Tabla3[Medida],Tabla3[Equivalencia en Kg],"ELVIS",0)</f>
        <v>2016.8576826571934</v>
      </c>
      <c r="J252">
        <v>26.838000000000001</v>
      </c>
      <c r="K252" t="s">
        <v>32</v>
      </c>
      <c r="L252">
        <f>J252/_xlfn.XLOOKUP(Tabla2[[#This Row],[Unidad de precio]],Tabla3[Medida],Tabla3[Equivalencia en Kg],"ELVIS",0)</f>
        <v>0.98632855567805955</v>
      </c>
      <c r="M252" s="2"/>
      <c r="N252" s="2">
        <f>(Tabla2[[#This Row],[Productividad (kg/TAS)]]*Tabla2[[#This Row],[Precio por kg]]-Tabla2[[#This Row],[Costos (En RD$/Tarea)]])</f>
        <v>1989.2843251434679</v>
      </c>
      <c r="O252" s="6">
        <f>IF(Tabla2[[#This Row],[Costos (En RD$/Tarea)]]=0,0,Tabla2[[#This Row],[Beneficio Neto  (En RD$/Tarea)]]/Tabla2[[#This Row],[Costos (En RD$/Tarea)]])</f>
        <v>0</v>
      </c>
      <c r="P252" s="4">
        <f>Tabla2[[#This Row],[Rentabilidad (%)]]/12</f>
        <v>0</v>
      </c>
    </row>
    <row r="253" spans="1:16" x14ac:dyDescent="0.35">
      <c r="A253" s="1">
        <v>37135</v>
      </c>
      <c r="B253" t="s">
        <v>33</v>
      </c>
      <c r="C253" s="2">
        <v>629905</v>
      </c>
      <c r="D253" s="2" t="s">
        <v>31</v>
      </c>
      <c r="E253" s="2">
        <f>IF(Tabla2[[#This Row],[Frecuencia]]="Annual", Tabla2[[#This Row],[Cosecha/Tarea]]/12,Tabla2[[#This Row],[Cosecha/Tarea]])</f>
        <v>52492.083333333336</v>
      </c>
      <c r="F253" s="2">
        <v>106861</v>
      </c>
      <c r="G253" t="s">
        <v>34</v>
      </c>
      <c r="H253">
        <f>F253/Tabla2[[#This Row],[Cosecha Mensual]]</f>
        <v>2.0357545979155587</v>
      </c>
      <c r="I253">
        <f>H253*_xlfn.XLOOKUP(Tabla2[[#This Row],[Unidad de producción]],Tabla3[Medida],Tabla3[Equivalencia en Kg],"ELVIS",0)</f>
        <v>830.89323913923522</v>
      </c>
      <c r="J253">
        <v>1074.4760000000001</v>
      </c>
      <c r="K253" t="s">
        <v>34</v>
      </c>
      <c r="L253">
        <f>J253/_xlfn.XLOOKUP(Tabla2[[#This Row],[Unidad de precio]],Tabla3[Medida],Tabla3[Equivalencia en Kg],"ELVIS",0)</f>
        <v>2.6325517579321334</v>
      </c>
      <c r="M253" s="2"/>
      <c r="N253" s="2">
        <f>(Tabla2[[#This Row],[Productividad (kg/TAS)]]*Tabla2[[#This Row],[Precio por kg]]-Tabla2[[#This Row],[Costos (En RD$/Tarea)]])</f>
        <v>2187.3694573499183</v>
      </c>
      <c r="O253" s="6">
        <f>IF(Tabla2[[#This Row],[Costos (En RD$/Tarea)]]=0,0,Tabla2[[#This Row],[Beneficio Neto  (En RD$/Tarea)]]/Tabla2[[#This Row],[Costos (En RD$/Tarea)]])</f>
        <v>0</v>
      </c>
      <c r="P253" s="4">
        <f>Tabla2[[#This Row],[Rentabilidad (%)]]/12</f>
        <v>0</v>
      </c>
    </row>
    <row r="254" spans="1:16" x14ac:dyDescent="0.35">
      <c r="A254" s="1">
        <v>37165</v>
      </c>
      <c r="B254" t="s">
        <v>16</v>
      </c>
      <c r="C254" s="2">
        <v>377707</v>
      </c>
      <c r="D254" s="5" t="s">
        <v>17</v>
      </c>
      <c r="E254" s="2">
        <f>IF(Tabla2[[#This Row],[Frecuencia]]="Annual", Tabla2[[#This Row],[Cosecha/Tarea]]/12,Tabla2[[#This Row],[Cosecha/Tarea]])</f>
        <v>377707</v>
      </c>
      <c r="F254" s="2">
        <v>1421548</v>
      </c>
      <c r="G254" t="s">
        <v>18</v>
      </c>
      <c r="H254">
        <f>F254/Tabla2[[#This Row],[Cosecha Mensual]]</f>
        <v>3.7636263029279311</v>
      </c>
      <c r="I254">
        <f>H254*_xlfn.XLOOKUP(Tabla2[[#This Row],[Unidad de producción]],Tabla3[Medida],Tabla3[Equivalencia en Kg],"ELVIS",0)</f>
        <v>170.71808910081094</v>
      </c>
      <c r="J254">
        <v>978.74587458745896</v>
      </c>
      <c r="K254" t="s">
        <v>19</v>
      </c>
      <c r="L254">
        <f>J254/_xlfn.XLOOKUP(Tabla2[[#This Row],[Unidad de precio]],Tabla3[Medida],Tabla3[Equivalencia en Kg],"ELVIS",0)</f>
        <v>8.8976897689768997</v>
      </c>
      <c r="N254" s="2">
        <f>(Tabla2[[#This Row],[Productividad (kg/TAS)]]*Tabla2[[#This Row],[Precio por kg]]-Tabla2[[#This Row],[Costos (En RD$/Tarea)]])</f>
        <v>1518.9965947715723</v>
      </c>
      <c r="O254" s="6">
        <f>IF(Tabla2[[#This Row],[Costos (En RD$/Tarea)]]=0,0,Tabla2[[#This Row],[Beneficio Neto  (En RD$/Tarea)]]/Tabla2[[#This Row],[Costos (En RD$/Tarea)]])</f>
        <v>0</v>
      </c>
      <c r="P254" s="4">
        <f>Tabla2[[#This Row],[Rentabilidad (%)]]/12</f>
        <v>0</v>
      </c>
    </row>
    <row r="255" spans="1:16" x14ac:dyDescent="0.35">
      <c r="A255" s="1">
        <v>37165</v>
      </c>
      <c r="B255" t="s">
        <v>20</v>
      </c>
      <c r="C255" s="2">
        <v>44100</v>
      </c>
      <c r="D255" s="5" t="s">
        <v>17</v>
      </c>
      <c r="E255" s="2">
        <f>IF(Tabla2[[#This Row],[Frecuencia]]="Annual", Tabla2[[#This Row],[Cosecha/Tarea]]/12,Tabla2[[#This Row],[Cosecha/Tarea]])</f>
        <v>44100</v>
      </c>
      <c r="F255" s="2">
        <v>78742</v>
      </c>
      <c r="G255" t="s">
        <v>18</v>
      </c>
      <c r="H255">
        <f>F255/Tabla2[[#This Row],[Cosecha Mensual]]</f>
        <v>1.7855328798185941</v>
      </c>
      <c r="I255">
        <f>H255*_xlfn.XLOOKUP(Tabla2[[#This Row],[Unidad de producción]],Tabla3[Medida],Tabla3[Equivalencia en Kg],"ELVIS",0)</f>
        <v>80.991771428571425</v>
      </c>
      <c r="J255">
        <v>109.212814285714</v>
      </c>
      <c r="K255" t="s">
        <v>18</v>
      </c>
      <c r="L255">
        <f>J255/_xlfn.XLOOKUP(Tabla2[[#This Row],[Unidad de precio]],Tabla3[Medida],Tabla3[Equivalencia en Kg],"ELVIS",0)</f>
        <v>2.4076899092970461</v>
      </c>
      <c r="N255" s="2">
        <f>(Tabla2[[#This Row],[Productividad (kg/TAS)]]*Tabla2[[#This Row],[Precio por kg]]-Tabla2[[#This Row],[Costos (En RD$/Tarea)]])</f>
        <v>195.00307080466422</v>
      </c>
      <c r="O255" s="6">
        <f>IF(Tabla2[[#This Row],[Costos (En RD$/Tarea)]]=0,0,Tabla2[[#This Row],[Beneficio Neto  (En RD$/Tarea)]]/Tabla2[[#This Row],[Costos (En RD$/Tarea)]])</f>
        <v>0</v>
      </c>
      <c r="P255" s="4">
        <f>Tabla2[[#This Row],[Rentabilidad (%)]]/12</f>
        <v>0</v>
      </c>
    </row>
    <row r="256" spans="1:16" x14ac:dyDescent="0.35">
      <c r="A256" s="1">
        <v>37165</v>
      </c>
      <c r="B256" t="s">
        <v>21</v>
      </c>
      <c r="C256" s="2">
        <v>5903</v>
      </c>
      <c r="D256" s="5" t="s">
        <v>17</v>
      </c>
      <c r="E256" s="2">
        <f>IF(Tabla2[[#This Row],[Frecuencia]]="Annual", Tabla2[[#This Row],[Cosecha/Tarea]]/12,Tabla2[[#This Row],[Cosecha/Tarea]])</f>
        <v>5903</v>
      </c>
      <c r="F256" s="2">
        <v>51211</v>
      </c>
      <c r="G256" t="s">
        <v>18</v>
      </c>
      <c r="H256">
        <f>F256/Tabla2[[#This Row],[Cosecha Mensual]]</f>
        <v>8.6754192783330506</v>
      </c>
      <c r="I256">
        <f>H256*_xlfn.XLOOKUP(Tabla2[[#This Row],[Unidad de producción]],Tabla3[Medida],Tabla3[Equivalencia en Kg],"ELVIS",0)</f>
        <v>393.51701846518716</v>
      </c>
      <c r="J256">
        <v>175.816666666667</v>
      </c>
      <c r="K256" t="s">
        <v>18</v>
      </c>
      <c r="L256">
        <f>J256/_xlfn.XLOOKUP(Tabla2[[#This Row],[Unidad de precio]],Tabla3[Medida],Tabla3[Equivalencia en Kg],"ELVIS",0)</f>
        <v>3.8760288065843698</v>
      </c>
      <c r="N256" s="2">
        <f>(Tabla2[[#This Row],[Productividad (kg/TAS)]]*Tabla2[[#This Row],[Precio por kg]]-Tabla2[[#This Row],[Costos (En RD$/Tarea)]])</f>
        <v>1525.2832994522589</v>
      </c>
      <c r="O256" s="6">
        <f>IF(Tabla2[[#This Row],[Costos (En RD$/Tarea)]]=0,0,Tabla2[[#This Row],[Beneficio Neto  (En RD$/Tarea)]]/Tabla2[[#This Row],[Costos (En RD$/Tarea)]])</f>
        <v>0</v>
      </c>
      <c r="P256" s="4">
        <f>Tabla2[[#This Row],[Rentabilidad (%)]]/12</f>
        <v>0</v>
      </c>
    </row>
    <row r="257" spans="1:16" x14ac:dyDescent="0.35">
      <c r="A257" s="1">
        <v>37165</v>
      </c>
      <c r="B257" t="s">
        <v>22</v>
      </c>
      <c r="C257" s="2">
        <v>3283</v>
      </c>
      <c r="D257" s="5" t="s">
        <v>17</v>
      </c>
      <c r="E257" s="2">
        <f>IF(Tabla2[[#This Row],[Frecuencia]]="Annual", Tabla2[[#This Row],[Cosecha/Tarea]]/12,Tabla2[[#This Row],[Cosecha/Tarea]])</f>
        <v>3283</v>
      </c>
      <c r="F257" s="2">
        <v>30808</v>
      </c>
      <c r="G257" t="s">
        <v>18</v>
      </c>
      <c r="H257">
        <f>F257/Tabla2[[#This Row],[Cosecha Mensual]]</f>
        <v>9.3840999086201649</v>
      </c>
      <c r="I257">
        <f>H257*_xlfn.XLOOKUP(Tabla2[[#This Row],[Unidad de producción]],Tabla3[Medida],Tabla3[Equivalencia en Kg],"ELVIS",0)</f>
        <v>425.66277185501065</v>
      </c>
      <c r="J257">
        <v>184.8605</v>
      </c>
      <c r="K257" t="s">
        <v>18</v>
      </c>
      <c r="L257">
        <f>J257/_xlfn.XLOOKUP(Tabla2[[#This Row],[Unidad de precio]],Tabla3[Medida],Tabla3[Equivalencia en Kg],"ELVIS",0)</f>
        <v>4.0754078483245149</v>
      </c>
      <c r="N257" s="2">
        <f>(Tabla2[[#This Row],[Productividad (kg/TAS)]]*Tabla2[[#This Row],[Precio por kg]]-Tabla2[[#This Row],[Costos (En RD$/Tarea)]])</f>
        <v>1734.7494011574779</v>
      </c>
      <c r="O257" s="6">
        <f>IF(Tabla2[[#This Row],[Costos (En RD$/Tarea)]]=0,0,Tabla2[[#This Row],[Beneficio Neto  (En RD$/Tarea)]]/Tabla2[[#This Row],[Costos (En RD$/Tarea)]])</f>
        <v>0</v>
      </c>
      <c r="P257" s="4">
        <f>Tabla2[[#This Row],[Rentabilidad (%)]]/12</f>
        <v>0</v>
      </c>
    </row>
    <row r="258" spans="1:16" x14ac:dyDescent="0.35">
      <c r="A258" s="1">
        <v>37165</v>
      </c>
      <c r="B258" t="s">
        <v>23</v>
      </c>
      <c r="C258" s="2">
        <v>5025</v>
      </c>
      <c r="D258" s="5" t="s">
        <v>17</v>
      </c>
      <c r="E258" s="2">
        <f>IF(Tabla2[[#This Row],[Frecuencia]]="Annual", Tabla2[[#This Row],[Cosecha/Tarea]]/12,Tabla2[[#This Row],[Cosecha/Tarea]])</f>
        <v>5025</v>
      </c>
      <c r="F258" s="2">
        <v>119208</v>
      </c>
      <c r="G258" t="s">
        <v>18</v>
      </c>
      <c r="H258">
        <f>F258/Tabla2[[#This Row],[Cosecha Mensual]]</f>
        <v>23.722985074626866</v>
      </c>
      <c r="I258">
        <f>H258*_xlfn.XLOOKUP(Tabla2[[#This Row],[Unidad de producción]],Tabla3[Medida],Tabla3[Equivalencia en Kg],"ELVIS",0)</f>
        <v>1076.0746029850745</v>
      </c>
      <c r="J258">
        <v>264.5</v>
      </c>
      <c r="K258" t="s">
        <v>18</v>
      </c>
      <c r="L258">
        <f>J258/_xlfn.XLOOKUP(Tabla2[[#This Row],[Unidad de precio]],Tabla3[Medida],Tabla3[Equivalencia en Kg],"ELVIS",0)</f>
        <v>5.8311287477954146</v>
      </c>
      <c r="N258" s="2">
        <f>(Tabla2[[#This Row],[Productividad (kg/TAS)]]*Tabla2[[#This Row],[Precio por kg]]-Tabla2[[#This Row],[Costos (En RD$/Tarea)]])</f>
        <v>6274.7295522388058</v>
      </c>
      <c r="O258" s="6">
        <f>IF(Tabla2[[#This Row],[Costos (En RD$/Tarea)]]=0,0,Tabla2[[#This Row],[Beneficio Neto  (En RD$/Tarea)]]/Tabla2[[#This Row],[Costos (En RD$/Tarea)]])</f>
        <v>0</v>
      </c>
      <c r="P258" s="4">
        <f>Tabla2[[#This Row],[Rentabilidad (%)]]/12</f>
        <v>0</v>
      </c>
    </row>
    <row r="259" spans="1:16" x14ac:dyDescent="0.35">
      <c r="A259" s="1">
        <v>37165</v>
      </c>
      <c r="B259" t="s">
        <v>24</v>
      </c>
      <c r="C259" s="2">
        <v>6508</v>
      </c>
      <c r="D259" s="5" t="s">
        <v>17</v>
      </c>
      <c r="E259" s="2">
        <f>IF(Tabla2[[#This Row],[Frecuencia]]="Annual", Tabla2[[#This Row],[Cosecha/Tarea]]/12,Tabla2[[#This Row],[Cosecha/Tarea]])</f>
        <v>6508</v>
      </c>
      <c r="F259" s="2">
        <v>62342</v>
      </c>
      <c r="G259" t="s">
        <v>18</v>
      </c>
      <c r="H259">
        <f>F259/Tabla2[[#This Row],[Cosecha Mensual]]</f>
        <v>9.5792870313460359</v>
      </c>
      <c r="I259">
        <f>H259*_xlfn.XLOOKUP(Tabla2[[#This Row],[Unidad de producción]],Tabla3[Medida],Tabla3[Equivalencia en Kg],"ELVIS",0)</f>
        <v>434.51645974185618</v>
      </c>
      <c r="J259">
        <v>496.94499999999999</v>
      </c>
      <c r="K259" t="s">
        <v>18</v>
      </c>
      <c r="L259">
        <f>J259/_xlfn.XLOOKUP(Tabla2[[#This Row],[Unidad de precio]],Tabla3[Medida],Tabla3[Equivalencia en Kg],"ELVIS",0)</f>
        <v>10.955577601410935</v>
      </c>
      <c r="N259" s="2">
        <f>(Tabla2[[#This Row],[Productividad (kg/TAS)]]*Tabla2[[#This Row],[Precio por kg]]-Tabla2[[#This Row],[Costos (En RD$/Tarea)]])</f>
        <v>4760.3787937922561</v>
      </c>
      <c r="O259" s="6">
        <f>IF(Tabla2[[#This Row],[Costos (En RD$/Tarea)]]=0,0,Tabla2[[#This Row],[Beneficio Neto  (En RD$/Tarea)]]/Tabla2[[#This Row],[Costos (En RD$/Tarea)]])</f>
        <v>0</v>
      </c>
      <c r="P259" s="4">
        <f>Tabla2[[#This Row],[Rentabilidad (%)]]/12</f>
        <v>0</v>
      </c>
    </row>
    <row r="260" spans="1:16" x14ac:dyDescent="0.35">
      <c r="A260" s="1">
        <v>37165</v>
      </c>
      <c r="B260" t="s">
        <v>25</v>
      </c>
      <c r="C260" s="2">
        <v>21030</v>
      </c>
      <c r="D260" s="5" t="s">
        <v>17</v>
      </c>
      <c r="E260" s="2">
        <f>IF(Tabla2[[#This Row],[Frecuencia]]="Annual", Tabla2[[#This Row],[Cosecha/Tarea]]/12,Tabla2[[#This Row],[Cosecha/Tarea]])</f>
        <v>21030</v>
      </c>
      <c r="F260" s="2">
        <v>203278</v>
      </c>
      <c r="G260" t="s">
        <v>18</v>
      </c>
      <c r="H260">
        <f>F260/Tabla2[[#This Row],[Cosecha Mensual]]</f>
        <v>9.6660960532572524</v>
      </c>
      <c r="I260">
        <f>H260*_xlfn.XLOOKUP(Tabla2[[#This Row],[Unidad de producción]],Tabla3[Medida],Tabla3[Equivalencia en Kg],"ELVIS",0)</f>
        <v>438.45411697574895</v>
      </c>
      <c r="J260">
        <v>101.75</v>
      </c>
      <c r="K260" t="s">
        <v>18</v>
      </c>
      <c r="L260">
        <f>J260/_xlfn.XLOOKUP(Tabla2[[#This Row],[Unidad de precio]],Tabla3[Medida],Tabla3[Equivalencia en Kg],"ELVIS",0)</f>
        <v>2.2431657848324513</v>
      </c>
      <c r="N260" s="2">
        <f>(Tabla2[[#This Row],[Productividad (kg/TAS)]]*Tabla2[[#This Row],[Precio por kg]]-Tabla2[[#This Row],[Costos (En RD$/Tarea)]])</f>
        <v>983.52527341892528</v>
      </c>
      <c r="O260" s="6">
        <f>IF(Tabla2[[#This Row],[Costos (En RD$/Tarea)]]=0,0,Tabla2[[#This Row],[Beneficio Neto  (En RD$/Tarea)]]/Tabla2[[#This Row],[Costos (En RD$/Tarea)]])</f>
        <v>0</v>
      </c>
      <c r="P260" s="4">
        <f>Tabla2[[#This Row],[Rentabilidad (%)]]/12</f>
        <v>0</v>
      </c>
    </row>
    <row r="261" spans="1:16" x14ac:dyDescent="0.35">
      <c r="A261" s="1">
        <v>37165</v>
      </c>
      <c r="B261" t="s">
        <v>26</v>
      </c>
      <c r="C261" s="2">
        <v>6893</v>
      </c>
      <c r="D261" s="5" t="s">
        <v>17</v>
      </c>
      <c r="E261" s="2">
        <f>IF(Tabla2[[#This Row],[Frecuencia]]="Annual", Tabla2[[#This Row],[Cosecha/Tarea]]/12,Tabla2[[#This Row],[Cosecha/Tarea]])</f>
        <v>6893</v>
      </c>
      <c r="F261" s="2">
        <v>37704</v>
      </c>
      <c r="G261" t="s">
        <v>18</v>
      </c>
      <c r="H261">
        <f>F261/Tabla2[[#This Row],[Cosecha Mensual]]</f>
        <v>5.4698969969534312</v>
      </c>
      <c r="I261">
        <f>H261*_xlfn.XLOOKUP(Tabla2[[#This Row],[Unidad de producción]],Tabla3[Medida],Tabla3[Equivalencia en Kg],"ELVIS",0)</f>
        <v>248.11452778180762</v>
      </c>
      <c r="J261">
        <v>215.2</v>
      </c>
      <c r="K261" t="s">
        <v>18</v>
      </c>
      <c r="L261">
        <f>J261/_xlfn.XLOOKUP(Tabla2[[#This Row],[Unidad de precio]],Tabla3[Medida],Tabla3[Equivalencia en Kg],"ELVIS",0)</f>
        <v>4.7442680776014106</v>
      </c>
      <c r="N261" s="2">
        <f>(Tabla2[[#This Row],[Productividad (kg/TAS)]]*Tabla2[[#This Row],[Precio por kg]]-Tabla2[[#This Row],[Costos (En RD$/Tarea)]])</f>
        <v>1177.1218337443781</v>
      </c>
      <c r="O261" s="6">
        <f>IF(Tabla2[[#This Row],[Costos (En RD$/Tarea)]]=0,0,Tabla2[[#This Row],[Beneficio Neto  (En RD$/Tarea)]]/Tabla2[[#This Row],[Costos (En RD$/Tarea)]])</f>
        <v>0</v>
      </c>
      <c r="P261" s="4">
        <f>Tabla2[[#This Row],[Rentabilidad (%)]]/12</f>
        <v>0</v>
      </c>
    </row>
    <row r="262" spans="1:16" x14ac:dyDescent="0.35">
      <c r="A262" s="1">
        <v>37165</v>
      </c>
      <c r="B262" t="s">
        <v>27</v>
      </c>
      <c r="C262" s="2">
        <v>1818</v>
      </c>
      <c r="D262" s="5" t="s">
        <v>17</v>
      </c>
      <c r="E262" s="2">
        <f>IF(Tabla2[[#This Row],[Frecuencia]]="Annual", Tabla2[[#This Row],[Cosecha/Tarea]]/12,Tabla2[[#This Row],[Cosecha/Tarea]])</f>
        <v>1818</v>
      </c>
      <c r="F262" s="2">
        <v>14746</v>
      </c>
      <c r="G262" t="s">
        <v>18</v>
      </c>
      <c r="H262">
        <f>F262/Tabla2[[#This Row],[Cosecha Mensual]]</f>
        <v>8.1111111111111107</v>
      </c>
      <c r="I262">
        <f>H262*_xlfn.XLOOKUP(Tabla2[[#This Row],[Unidad de producción]],Tabla3[Medida],Tabla3[Equivalencia en Kg],"ELVIS",0)</f>
        <v>367.91999999999996</v>
      </c>
      <c r="J262">
        <v>285.91666666666703</v>
      </c>
      <c r="K262" t="s">
        <v>18</v>
      </c>
      <c r="L262">
        <f>J262/_xlfn.XLOOKUP(Tabla2[[#This Row],[Unidad de precio]],Tabla3[Medida],Tabla3[Equivalencia en Kg],"ELVIS",0)</f>
        <v>6.303277483833047</v>
      </c>
      <c r="N262" s="2">
        <f>(Tabla2[[#This Row],[Productividad (kg/TAS)]]*Tabla2[[#This Row],[Precio por kg]]-Tabla2[[#This Row],[Costos (En RD$/Tarea)]])</f>
        <v>2319.1018518518545</v>
      </c>
      <c r="O262" s="6">
        <f>IF(Tabla2[[#This Row],[Costos (En RD$/Tarea)]]=0,0,Tabla2[[#This Row],[Beneficio Neto  (En RD$/Tarea)]]/Tabla2[[#This Row],[Costos (En RD$/Tarea)]])</f>
        <v>0</v>
      </c>
      <c r="P262" s="4">
        <f>Tabla2[[#This Row],[Rentabilidad (%)]]/12</f>
        <v>0</v>
      </c>
    </row>
    <row r="263" spans="1:16" x14ac:dyDescent="0.35">
      <c r="A263" s="1">
        <v>37165</v>
      </c>
      <c r="B263" t="s">
        <v>28</v>
      </c>
      <c r="C263" s="2">
        <v>24847</v>
      </c>
      <c r="D263" s="5" t="s">
        <v>17</v>
      </c>
      <c r="E263" s="2">
        <f>IF(Tabla2[[#This Row],[Frecuencia]]="Annual", Tabla2[[#This Row],[Cosecha/Tarea]]/12,Tabla2[[#This Row],[Cosecha/Tarea]])</f>
        <v>24847</v>
      </c>
      <c r="F263" s="2">
        <v>38878</v>
      </c>
      <c r="G263" t="s">
        <v>18</v>
      </c>
      <c r="H263">
        <f>F263/Tabla2[[#This Row],[Cosecha Mensual]]</f>
        <v>1.5646959391475832</v>
      </c>
      <c r="I263">
        <f>H263*_xlfn.XLOOKUP(Tabla2[[#This Row],[Unidad de producción]],Tabla3[Medida],Tabla3[Equivalencia en Kg],"ELVIS",0)</f>
        <v>70.974607799734372</v>
      </c>
      <c r="J263">
        <v>1432.9483333333301</v>
      </c>
      <c r="K263" t="s">
        <v>29</v>
      </c>
      <c r="L263">
        <f>J263/_xlfn.XLOOKUP(Tabla2[[#This Row],[Unidad de precio]],Tabla3[Medida],Tabla3[Equivalencia en Kg],"ELVIS",0)</f>
        <v>2.5481885217721127</v>
      </c>
      <c r="N263" s="2">
        <f>(Tabla2[[#This Row],[Productividad (kg/TAS)]]*Tabla2[[#This Row],[Precio por kg]]-Tabla2[[#This Row],[Costos (En RD$/Tarea)]])</f>
        <v>180.85668093256058</v>
      </c>
      <c r="O263" s="6">
        <f>IF(Tabla2[[#This Row],[Costos (En RD$/Tarea)]]=0,0,Tabla2[[#This Row],[Beneficio Neto  (En RD$/Tarea)]]/Tabla2[[#This Row],[Costos (En RD$/Tarea)]])</f>
        <v>0</v>
      </c>
      <c r="P263" s="4">
        <f>Tabla2[[#This Row],[Rentabilidad (%)]]/12</f>
        <v>0</v>
      </c>
    </row>
    <row r="264" spans="1:16" x14ac:dyDescent="0.35">
      <c r="A264" s="1">
        <v>37165</v>
      </c>
      <c r="B264" t="s">
        <v>30</v>
      </c>
      <c r="C264" s="2">
        <v>235103</v>
      </c>
      <c r="D264" s="2" t="s">
        <v>31</v>
      </c>
      <c r="E264" s="2">
        <f>IF(Tabla2[[#This Row],[Frecuencia]]="Annual", Tabla2[[#This Row],[Cosecha/Tarea]]/12,Tabla2[[#This Row],[Cosecha/Tarea]])</f>
        <v>19591.916666666668</v>
      </c>
      <c r="F264" s="2">
        <v>1363225</v>
      </c>
      <c r="G264" t="s">
        <v>32</v>
      </c>
      <c r="H264">
        <f>F264/Tabla2[[#This Row],[Cosecha Mensual]]</f>
        <v>69.580992160882673</v>
      </c>
      <c r="I264">
        <f>H264*_xlfn.XLOOKUP(Tabla2[[#This Row],[Unidad de producción]],Tabla3[Medida],Tabla3[Equivalencia en Kg],"ELVIS",0)</f>
        <v>1893.2987966976175</v>
      </c>
      <c r="J264">
        <v>28.5683333333333</v>
      </c>
      <c r="K264" t="s">
        <v>32</v>
      </c>
      <c r="L264">
        <f>J264/_xlfn.XLOOKUP(Tabla2[[#This Row],[Unidad de precio]],Tabla3[Medida],Tabla3[Equivalencia en Kg],"ELVIS",0)</f>
        <v>1.0499203724121022</v>
      </c>
      <c r="M264" s="2"/>
      <c r="N264" s="2">
        <f>(Tabla2[[#This Row],[Productividad (kg/TAS)]]*Tabla2[[#This Row],[Precio por kg]]-Tabla2[[#This Row],[Costos (En RD$/Tarea)]])</f>
        <v>1987.8129777161475</v>
      </c>
      <c r="O264" s="6">
        <f>IF(Tabla2[[#This Row],[Costos (En RD$/Tarea)]]=0,0,Tabla2[[#This Row],[Beneficio Neto  (En RD$/Tarea)]]/Tabla2[[#This Row],[Costos (En RD$/Tarea)]])</f>
        <v>0</v>
      </c>
      <c r="P264" s="4">
        <f>Tabla2[[#This Row],[Rentabilidad (%)]]/12</f>
        <v>0</v>
      </c>
    </row>
    <row r="265" spans="1:16" x14ac:dyDescent="0.35">
      <c r="A265" s="1">
        <v>37165</v>
      </c>
      <c r="B265" t="s">
        <v>33</v>
      </c>
      <c r="C265" s="2">
        <v>644442</v>
      </c>
      <c r="D265" s="2" t="s">
        <v>31</v>
      </c>
      <c r="E265" s="2">
        <f>IF(Tabla2[[#This Row],[Frecuencia]]="Annual", Tabla2[[#This Row],[Cosecha/Tarea]]/12,Tabla2[[#This Row],[Cosecha/Tarea]])</f>
        <v>53703.5</v>
      </c>
      <c r="F265" s="2">
        <v>90731</v>
      </c>
      <c r="G265" t="s">
        <v>34</v>
      </c>
      <c r="H265">
        <f>F265/Tabla2[[#This Row],[Cosecha Mensual]]</f>
        <v>1.6894802014766264</v>
      </c>
      <c r="I265">
        <f>H265*_xlfn.XLOOKUP(Tabla2[[#This Row],[Unidad de producción]],Tabla3[Medida],Tabla3[Equivalencia en Kg],"ELVIS",0)</f>
        <v>689.56134423268497</v>
      </c>
      <c r="J265">
        <v>1247.2271428571401</v>
      </c>
      <c r="K265" t="s">
        <v>34</v>
      </c>
      <c r="L265">
        <f>J265/_xlfn.XLOOKUP(Tabla2[[#This Row],[Unidad de precio]],Tabla3[Medida],Tabla3[Equivalencia en Kg],"ELVIS",0)</f>
        <v>3.0558058136889383</v>
      </c>
      <c r="M265" s="2"/>
      <c r="N265" s="2">
        <f>(Tabla2[[#This Row],[Productividad (kg/TAS)]]*Tabla2[[#This Row],[Precio por kg]]-Tabla2[[#This Row],[Costos (En RD$/Tarea)]])</f>
        <v>2107.1655646013978</v>
      </c>
      <c r="O265" s="6">
        <f>IF(Tabla2[[#This Row],[Costos (En RD$/Tarea)]]=0,0,Tabla2[[#This Row],[Beneficio Neto  (En RD$/Tarea)]]/Tabla2[[#This Row],[Costos (En RD$/Tarea)]])</f>
        <v>0</v>
      </c>
      <c r="P265" s="4">
        <f>Tabla2[[#This Row],[Rentabilidad (%)]]/12</f>
        <v>0</v>
      </c>
    </row>
    <row r="266" spans="1:16" x14ac:dyDescent="0.35">
      <c r="A266" s="1">
        <v>37196</v>
      </c>
      <c r="B266" t="s">
        <v>16</v>
      </c>
      <c r="C266" s="2">
        <v>309597</v>
      </c>
      <c r="D266" s="5" t="s">
        <v>17</v>
      </c>
      <c r="E266" s="2">
        <f>IF(Tabla2[[#This Row],[Frecuencia]]="Annual", Tabla2[[#This Row],[Cosecha/Tarea]]/12,Tabla2[[#This Row],[Cosecha/Tarea]])</f>
        <v>309597</v>
      </c>
      <c r="F266" s="2">
        <v>1183247</v>
      </c>
      <c r="G266" t="s">
        <v>18</v>
      </c>
      <c r="H266">
        <f>F266/Tabla2[[#This Row],[Cosecha Mensual]]</f>
        <v>3.8218942690013145</v>
      </c>
      <c r="I266">
        <f>H266*_xlfn.XLOOKUP(Tabla2[[#This Row],[Unidad de producción]],Tabla3[Medida],Tabla3[Equivalencia en Kg],"ELVIS",0)</f>
        <v>173.36112404189961</v>
      </c>
      <c r="J266">
        <v>848.48844884488403</v>
      </c>
      <c r="K266" t="s">
        <v>19</v>
      </c>
      <c r="L266">
        <f>J266/_xlfn.XLOOKUP(Tabla2[[#This Row],[Unidad de precio]],Tabla3[Medida],Tabla3[Equivalencia en Kg],"ELVIS",0)</f>
        <v>7.7135313531353091</v>
      </c>
      <c r="N266" s="2">
        <f>(Tabla2[[#This Row],[Productividad (kg/TAS)]]*Tabla2[[#This Row],[Precio por kg]]-Tabla2[[#This Row],[Costos (En RD$/Tarea)]])</f>
        <v>1337.2264657119722</v>
      </c>
      <c r="O266" s="6">
        <f>IF(Tabla2[[#This Row],[Costos (En RD$/Tarea)]]=0,0,Tabla2[[#This Row],[Beneficio Neto  (En RD$/Tarea)]]/Tabla2[[#This Row],[Costos (En RD$/Tarea)]])</f>
        <v>0</v>
      </c>
      <c r="P266" s="4">
        <f>Tabla2[[#This Row],[Rentabilidad (%)]]/12</f>
        <v>0</v>
      </c>
    </row>
    <row r="267" spans="1:16" x14ac:dyDescent="0.35">
      <c r="A267" s="1">
        <v>37196</v>
      </c>
      <c r="B267" t="s">
        <v>20</v>
      </c>
      <c r="C267" s="2">
        <v>25543</v>
      </c>
      <c r="D267" s="5" t="s">
        <v>17</v>
      </c>
      <c r="E267" s="2">
        <f>IF(Tabla2[[#This Row],[Frecuencia]]="Annual", Tabla2[[#This Row],[Cosecha/Tarea]]/12,Tabla2[[#This Row],[Cosecha/Tarea]])</f>
        <v>25543</v>
      </c>
      <c r="F267" s="2">
        <v>41579</v>
      </c>
      <c r="G267" t="s">
        <v>18</v>
      </c>
      <c r="H267">
        <f>F267/Tabla2[[#This Row],[Cosecha Mensual]]</f>
        <v>1.6278040950553967</v>
      </c>
      <c r="I267">
        <f>H267*_xlfn.XLOOKUP(Tabla2[[#This Row],[Unidad de producción]],Tabla3[Medida],Tabla3[Equivalencia en Kg],"ELVIS",0)</f>
        <v>73.837193751712789</v>
      </c>
      <c r="J267">
        <v>119.339733333333</v>
      </c>
      <c r="K267" t="s">
        <v>18</v>
      </c>
      <c r="L267">
        <f>J267/_xlfn.XLOOKUP(Tabla2[[#This Row],[Unidad de precio]],Tabla3[Medida],Tabla3[Equivalencia en Kg],"ELVIS",0)</f>
        <v>2.6309465020576059</v>
      </c>
      <c r="N267" s="2">
        <f>(Tabla2[[#This Row],[Productividad (kg/TAS)]]*Tabla2[[#This Row],[Precio por kg]]-Tabla2[[#This Row],[Costos (En RD$/Tarea)]])</f>
        <v>194.26170662281848</v>
      </c>
      <c r="O267" s="6">
        <f>IF(Tabla2[[#This Row],[Costos (En RD$/Tarea)]]=0,0,Tabla2[[#This Row],[Beneficio Neto  (En RD$/Tarea)]]/Tabla2[[#This Row],[Costos (En RD$/Tarea)]])</f>
        <v>0</v>
      </c>
      <c r="P267" s="4">
        <f>Tabla2[[#This Row],[Rentabilidad (%)]]/12</f>
        <v>0</v>
      </c>
    </row>
    <row r="268" spans="1:16" x14ac:dyDescent="0.35">
      <c r="A268" s="1">
        <v>37196</v>
      </c>
      <c r="B268" t="s">
        <v>21</v>
      </c>
      <c r="C268" s="2">
        <v>6770</v>
      </c>
      <c r="D268" s="5" t="s">
        <v>17</v>
      </c>
      <c r="E268" s="2">
        <f>IF(Tabla2[[#This Row],[Frecuencia]]="Annual", Tabla2[[#This Row],[Cosecha/Tarea]]/12,Tabla2[[#This Row],[Cosecha/Tarea]])</f>
        <v>6770</v>
      </c>
      <c r="F268" s="2">
        <v>47835</v>
      </c>
      <c r="G268" t="s">
        <v>18</v>
      </c>
      <c r="H268">
        <f>F268/Tabla2[[#This Row],[Cosecha Mensual]]</f>
        <v>7.0657311669128511</v>
      </c>
      <c r="I268">
        <f>H268*_xlfn.XLOOKUP(Tabla2[[#This Row],[Unidad de producción]],Tabla3[Medida],Tabla3[Equivalencia en Kg],"ELVIS",0)</f>
        <v>320.50156573116692</v>
      </c>
      <c r="J268">
        <v>156.18</v>
      </c>
      <c r="K268" t="s">
        <v>18</v>
      </c>
      <c r="L268">
        <f>J268/_xlfn.XLOOKUP(Tabla2[[#This Row],[Unidad de precio]],Tabla3[Medida],Tabla3[Equivalencia en Kg],"ELVIS",0)</f>
        <v>3.4431216931216935</v>
      </c>
      <c r="N268" s="2">
        <f>(Tabla2[[#This Row],[Productividad (kg/TAS)]]*Tabla2[[#This Row],[Precio por kg]]-Tabla2[[#This Row],[Costos (En RD$/Tarea)]])</f>
        <v>1103.5258936484493</v>
      </c>
      <c r="O268" s="6">
        <f>IF(Tabla2[[#This Row],[Costos (En RD$/Tarea)]]=0,0,Tabla2[[#This Row],[Beneficio Neto  (En RD$/Tarea)]]/Tabla2[[#This Row],[Costos (En RD$/Tarea)]])</f>
        <v>0</v>
      </c>
      <c r="P268" s="4">
        <f>Tabla2[[#This Row],[Rentabilidad (%)]]/12</f>
        <v>0</v>
      </c>
    </row>
    <row r="269" spans="1:16" x14ac:dyDescent="0.35">
      <c r="A269" s="1">
        <v>37196</v>
      </c>
      <c r="B269" t="s">
        <v>22</v>
      </c>
      <c r="C269" s="2">
        <v>3949</v>
      </c>
      <c r="D269" s="5" t="s">
        <v>17</v>
      </c>
      <c r="E269" s="2">
        <f>IF(Tabla2[[#This Row],[Frecuencia]]="Annual", Tabla2[[#This Row],[Cosecha/Tarea]]/12,Tabla2[[#This Row],[Cosecha/Tarea]])</f>
        <v>3949</v>
      </c>
      <c r="F269" s="2">
        <v>36257</v>
      </c>
      <c r="G269" t="s">
        <v>18</v>
      </c>
      <c r="H269">
        <f>F269/Tabla2[[#This Row],[Cosecha Mensual]]</f>
        <v>9.1813117244872124</v>
      </c>
      <c r="I269">
        <f>H269*_xlfn.XLOOKUP(Tabla2[[#This Row],[Unidad de producción]],Tabla3[Medida],Tabla3[Equivalencia en Kg],"ELVIS",0)</f>
        <v>416.46429982273997</v>
      </c>
      <c r="J269">
        <v>184.03</v>
      </c>
      <c r="K269" t="s">
        <v>18</v>
      </c>
      <c r="L269">
        <f>J269/_xlfn.XLOOKUP(Tabla2[[#This Row],[Unidad de precio]],Tabla3[Medida],Tabla3[Equivalencia en Kg],"ELVIS",0)</f>
        <v>4.0570987654320989</v>
      </c>
      <c r="N269" s="2">
        <f>(Tabla2[[#This Row],[Productividad (kg/TAS)]]*Tabla2[[#This Row],[Precio por kg]]-Tabla2[[#This Row],[Costos (En RD$/Tarea)]])</f>
        <v>1689.6367966573819</v>
      </c>
      <c r="O269" s="6">
        <f>IF(Tabla2[[#This Row],[Costos (En RD$/Tarea)]]=0,0,Tabla2[[#This Row],[Beneficio Neto  (En RD$/Tarea)]]/Tabla2[[#This Row],[Costos (En RD$/Tarea)]])</f>
        <v>0</v>
      </c>
      <c r="P269" s="4">
        <f>Tabla2[[#This Row],[Rentabilidad (%)]]/12</f>
        <v>0</v>
      </c>
    </row>
    <row r="270" spans="1:16" x14ac:dyDescent="0.35">
      <c r="A270" s="1">
        <v>37196</v>
      </c>
      <c r="B270" t="s">
        <v>23</v>
      </c>
      <c r="C270" s="2">
        <v>4067</v>
      </c>
      <c r="D270" s="5" t="s">
        <v>17</v>
      </c>
      <c r="E270" s="2">
        <f>IF(Tabla2[[#This Row],[Frecuencia]]="Annual", Tabla2[[#This Row],[Cosecha/Tarea]]/12,Tabla2[[#This Row],[Cosecha/Tarea]])</f>
        <v>4067</v>
      </c>
      <c r="F270" s="2">
        <v>110684</v>
      </c>
      <c r="G270" t="s">
        <v>18</v>
      </c>
      <c r="H270">
        <f>F270/Tabla2[[#This Row],[Cosecha Mensual]]</f>
        <v>27.215146299483649</v>
      </c>
      <c r="I270">
        <f>H270*_xlfn.XLOOKUP(Tabla2[[#This Row],[Unidad de producción]],Tabla3[Medida],Tabla3[Equivalencia en Kg],"ELVIS",0)</f>
        <v>1234.4790361445782</v>
      </c>
      <c r="J270">
        <v>287.625</v>
      </c>
      <c r="K270" t="s">
        <v>18</v>
      </c>
      <c r="L270">
        <f>J270/_xlfn.XLOOKUP(Tabla2[[#This Row],[Unidad de precio]],Tabla3[Medida],Tabla3[Equivalencia en Kg],"ELVIS",0)</f>
        <v>6.3409391534391535</v>
      </c>
      <c r="N270" s="2">
        <f>(Tabla2[[#This Row],[Productividad (kg/TAS)]]*Tabla2[[#This Row],[Precio por kg]]-Tabla2[[#This Row],[Costos (En RD$/Tarea)]])</f>
        <v>7827.7564543889839</v>
      </c>
      <c r="O270" s="6">
        <f>IF(Tabla2[[#This Row],[Costos (En RD$/Tarea)]]=0,0,Tabla2[[#This Row],[Beneficio Neto  (En RD$/Tarea)]]/Tabla2[[#This Row],[Costos (En RD$/Tarea)]])</f>
        <v>0</v>
      </c>
      <c r="P270" s="4">
        <f>Tabla2[[#This Row],[Rentabilidad (%)]]/12</f>
        <v>0</v>
      </c>
    </row>
    <row r="271" spans="1:16" x14ac:dyDescent="0.35">
      <c r="A271" s="1">
        <v>37196</v>
      </c>
      <c r="B271" t="s">
        <v>24</v>
      </c>
      <c r="C271" s="2">
        <v>7642</v>
      </c>
      <c r="D271" s="5" t="s">
        <v>17</v>
      </c>
      <c r="E271" s="2">
        <f>IF(Tabla2[[#This Row],[Frecuencia]]="Annual", Tabla2[[#This Row],[Cosecha/Tarea]]/12,Tabla2[[#This Row],[Cosecha/Tarea]])</f>
        <v>7642</v>
      </c>
      <c r="F271" s="2">
        <v>73244</v>
      </c>
      <c r="G271" t="s">
        <v>18</v>
      </c>
      <c r="H271">
        <f>F271/Tabla2[[#This Row],[Cosecha Mensual]]</f>
        <v>9.5844019890081125</v>
      </c>
      <c r="I271">
        <f>H271*_xlfn.XLOOKUP(Tabla2[[#This Row],[Unidad de producción]],Tabla3[Medida],Tabla3[Equivalencia en Kg],"ELVIS",0)</f>
        <v>434.748474221408</v>
      </c>
      <c r="J271">
        <v>488.933333333333</v>
      </c>
      <c r="K271" t="s">
        <v>18</v>
      </c>
      <c r="L271">
        <f>J271/_xlfn.XLOOKUP(Tabla2[[#This Row],[Unidad de precio]],Tabla3[Medida],Tabla3[Equivalencia en Kg],"ELVIS",0)</f>
        <v>10.778953556731327</v>
      </c>
      <c r="N271" s="2">
        <f>(Tabla2[[#This Row],[Productividad (kg/TAS)]]*Tabla2[[#This Row],[Precio por kg]]-Tabla2[[#This Row],[Costos (En RD$/Tarea)]])</f>
        <v>4686.1336124923637</v>
      </c>
      <c r="O271" s="6">
        <f>IF(Tabla2[[#This Row],[Costos (En RD$/Tarea)]]=0,0,Tabla2[[#This Row],[Beneficio Neto  (En RD$/Tarea)]]/Tabla2[[#This Row],[Costos (En RD$/Tarea)]])</f>
        <v>0</v>
      </c>
      <c r="P271" s="4">
        <f>Tabla2[[#This Row],[Rentabilidad (%)]]/12</f>
        <v>0</v>
      </c>
    </row>
    <row r="272" spans="1:16" x14ac:dyDescent="0.35">
      <c r="A272" s="1">
        <v>37196</v>
      </c>
      <c r="B272" t="s">
        <v>25</v>
      </c>
      <c r="C272" s="2">
        <v>22133</v>
      </c>
      <c r="D272" s="5" t="s">
        <v>17</v>
      </c>
      <c r="E272" s="2">
        <f>IF(Tabla2[[#This Row],[Frecuencia]]="Annual", Tabla2[[#This Row],[Cosecha/Tarea]]/12,Tabla2[[#This Row],[Cosecha/Tarea]])</f>
        <v>22133</v>
      </c>
      <c r="F272" s="2">
        <v>206884</v>
      </c>
      <c r="G272" t="s">
        <v>18</v>
      </c>
      <c r="H272">
        <f>F272/Tabla2[[#This Row],[Cosecha Mensual]]</f>
        <v>9.3473094474314369</v>
      </c>
      <c r="I272">
        <f>H272*_xlfn.XLOOKUP(Tabla2[[#This Row],[Unidad de producción]],Tabla3[Medida],Tabla3[Equivalencia en Kg],"ELVIS",0)</f>
        <v>423.99395653548999</v>
      </c>
      <c r="J272">
        <v>95.676428571428602</v>
      </c>
      <c r="K272" t="s">
        <v>18</v>
      </c>
      <c r="L272">
        <f>J272/_xlfn.XLOOKUP(Tabla2[[#This Row],[Unidad de precio]],Tabla3[Medida],Tabla3[Equivalencia en Kg],"ELVIS",0)</f>
        <v>2.1092687074829941</v>
      </c>
      <c r="N272" s="2">
        <f>(Tabla2[[#This Row],[Productividad (kg/TAS)]]*Tabla2[[#This Row],[Precio por kg]]-Tabla2[[#This Row],[Costos (En RD$/Tarea)]])</f>
        <v>894.31718468221379</v>
      </c>
      <c r="O272" s="6">
        <f>IF(Tabla2[[#This Row],[Costos (En RD$/Tarea)]]=0,0,Tabla2[[#This Row],[Beneficio Neto  (En RD$/Tarea)]]/Tabla2[[#This Row],[Costos (En RD$/Tarea)]])</f>
        <v>0</v>
      </c>
      <c r="P272" s="4">
        <f>Tabla2[[#This Row],[Rentabilidad (%)]]/12</f>
        <v>0</v>
      </c>
    </row>
    <row r="273" spans="1:16" x14ac:dyDescent="0.35">
      <c r="A273" s="1">
        <v>37196</v>
      </c>
      <c r="B273" t="s">
        <v>26</v>
      </c>
      <c r="C273" s="2">
        <v>8148</v>
      </c>
      <c r="D273" s="5" t="s">
        <v>17</v>
      </c>
      <c r="E273" s="2">
        <f>IF(Tabla2[[#This Row],[Frecuencia]]="Annual", Tabla2[[#This Row],[Cosecha/Tarea]]/12,Tabla2[[#This Row],[Cosecha/Tarea]])</f>
        <v>8148</v>
      </c>
      <c r="F273" s="2">
        <v>41100</v>
      </c>
      <c r="G273" t="s">
        <v>18</v>
      </c>
      <c r="H273">
        <f>F273/Tabla2[[#This Row],[Cosecha Mensual]]</f>
        <v>5.044182621502209</v>
      </c>
      <c r="I273">
        <f>H273*_xlfn.XLOOKUP(Tabla2[[#This Row],[Unidad de producción]],Tabla3[Medida],Tabla3[Equivalencia en Kg],"ELVIS",0)</f>
        <v>228.8041237113402</v>
      </c>
      <c r="J273">
        <v>229.256</v>
      </c>
      <c r="K273" t="s">
        <v>18</v>
      </c>
      <c r="L273">
        <f>J273/_xlfn.XLOOKUP(Tabla2[[#This Row],[Unidad de precio]],Tabla3[Medida],Tabla3[Equivalencia en Kg],"ELVIS",0)</f>
        <v>5.0541446208112877</v>
      </c>
      <c r="N273" s="2">
        <f>(Tabla2[[#This Row],[Productividad (kg/TAS)]]*Tabla2[[#This Row],[Precio por kg]]-Tabla2[[#This Row],[Costos (En RD$/Tarea)]])</f>
        <v>1156.4091310751105</v>
      </c>
      <c r="O273" s="6">
        <f>IF(Tabla2[[#This Row],[Costos (En RD$/Tarea)]]=0,0,Tabla2[[#This Row],[Beneficio Neto  (En RD$/Tarea)]]/Tabla2[[#This Row],[Costos (En RD$/Tarea)]])</f>
        <v>0</v>
      </c>
      <c r="P273" s="4">
        <f>Tabla2[[#This Row],[Rentabilidad (%)]]/12</f>
        <v>0</v>
      </c>
    </row>
    <row r="274" spans="1:16" x14ac:dyDescent="0.35">
      <c r="A274" s="1">
        <v>37196</v>
      </c>
      <c r="B274" t="s">
        <v>27</v>
      </c>
      <c r="C274" s="2">
        <v>1619</v>
      </c>
      <c r="D274" s="5" t="s">
        <v>17</v>
      </c>
      <c r="E274" s="2">
        <f>IF(Tabla2[[#This Row],[Frecuencia]]="Annual", Tabla2[[#This Row],[Cosecha/Tarea]]/12,Tabla2[[#This Row],[Cosecha/Tarea]])</f>
        <v>1619</v>
      </c>
      <c r="F274" s="2">
        <v>13249</v>
      </c>
      <c r="G274" t="s">
        <v>18</v>
      </c>
      <c r="H274">
        <f>F274/Tabla2[[#This Row],[Cosecha Mensual]]</f>
        <v>8.1834465719579992</v>
      </c>
      <c r="I274">
        <f>H274*_xlfn.XLOOKUP(Tabla2[[#This Row],[Unidad de producción]],Tabla3[Medida],Tabla3[Equivalencia en Kg],"ELVIS",0)</f>
        <v>371.20113650401481</v>
      </c>
      <c r="J274">
        <v>278.9375</v>
      </c>
      <c r="K274" t="s">
        <v>18</v>
      </c>
      <c r="L274">
        <f>J274/_xlfn.XLOOKUP(Tabla2[[#This Row],[Unidad de precio]],Tabla3[Medida],Tabla3[Equivalencia en Kg],"ELVIS",0)</f>
        <v>6.1494157848324518</v>
      </c>
      <c r="N274" s="2">
        <f>(Tabla2[[#This Row],[Productividad (kg/TAS)]]*Tabla2[[#This Row],[Precio por kg]]-Tabla2[[#This Row],[Costos (En RD$/Tarea)]])</f>
        <v>2282.6701281655342</v>
      </c>
      <c r="O274" s="6">
        <f>IF(Tabla2[[#This Row],[Costos (En RD$/Tarea)]]=0,0,Tabla2[[#This Row],[Beneficio Neto  (En RD$/Tarea)]]/Tabla2[[#This Row],[Costos (En RD$/Tarea)]])</f>
        <v>0</v>
      </c>
      <c r="P274" s="4">
        <f>Tabla2[[#This Row],[Rentabilidad (%)]]/12</f>
        <v>0</v>
      </c>
    </row>
    <row r="275" spans="1:16" x14ac:dyDescent="0.35">
      <c r="A275" s="1">
        <v>37196</v>
      </c>
      <c r="B275" t="s">
        <v>28</v>
      </c>
      <c r="C275" s="2">
        <v>20940</v>
      </c>
      <c r="D275" s="5" t="s">
        <v>17</v>
      </c>
      <c r="E275" s="2">
        <f>IF(Tabla2[[#This Row],[Frecuencia]]="Annual", Tabla2[[#This Row],[Cosecha/Tarea]]/12,Tabla2[[#This Row],[Cosecha/Tarea]])</f>
        <v>20940</v>
      </c>
      <c r="F275" s="2">
        <v>37522</v>
      </c>
      <c r="G275" t="s">
        <v>18</v>
      </c>
      <c r="H275">
        <f>F275/Tabla2[[#This Row],[Cosecha Mensual]]</f>
        <v>1.7918815663801337</v>
      </c>
      <c r="I275">
        <f>H275*_xlfn.XLOOKUP(Tabla2[[#This Row],[Unidad de producción]],Tabla3[Medida],Tabla3[Equivalencia en Kg],"ELVIS",0)</f>
        <v>81.279747851002867</v>
      </c>
      <c r="J275">
        <v>1155.4066666666699</v>
      </c>
      <c r="K275" t="s">
        <v>29</v>
      </c>
      <c r="L275">
        <f>J275/_xlfn.XLOOKUP(Tabla2[[#This Row],[Unidad de precio]],Tabla3[Medida],Tabla3[Equivalencia en Kg],"ELVIS",0)</f>
        <v>2.0546407274365506</v>
      </c>
      <c r="N275" s="2">
        <f>(Tabla2[[#This Row],[Productividad (kg/TAS)]]*Tabla2[[#This Row],[Precio por kg]]-Tabla2[[#This Row],[Costos (En RD$/Tarea)]])</f>
        <v>167.00068025044393</v>
      </c>
      <c r="O275" s="6">
        <f>IF(Tabla2[[#This Row],[Costos (En RD$/Tarea)]]=0,0,Tabla2[[#This Row],[Beneficio Neto  (En RD$/Tarea)]]/Tabla2[[#This Row],[Costos (En RD$/Tarea)]])</f>
        <v>0</v>
      </c>
      <c r="P275" s="4">
        <f>Tabla2[[#This Row],[Rentabilidad (%)]]/12</f>
        <v>0</v>
      </c>
    </row>
    <row r="276" spans="1:16" x14ac:dyDescent="0.35">
      <c r="A276" s="1">
        <v>37196</v>
      </c>
      <c r="B276" t="s">
        <v>30</v>
      </c>
      <c r="C276" s="2">
        <v>250820</v>
      </c>
      <c r="D276" s="2" t="s">
        <v>31</v>
      </c>
      <c r="E276" s="2">
        <f>IF(Tabla2[[#This Row],[Frecuencia]]="Annual", Tabla2[[#This Row],[Cosecha/Tarea]]/12,Tabla2[[#This Row],[Cosecha/Tarea]])</f>
        <v>20901.666666666668</v>
      </c>
      <c r="F276" s="2">
        <v>1363231</v>
      </c>
      <c r="G276" t="s">
        <v>32</v>
      </c>
      <c r="H276">
        <f>F276/Tabla2[[#This Row],[Cosecha Mensual]]</f>
        <v>65.221162586715565</v>
      </c>
      <c r="I276">
        <f>H276*_xlfn.XLOOKUP(Tabla2[[#This Row],[Unidad de producción]],Tabla3[Medida],Tabla3[Equivalencia en Kg],"ELVIS",0)</f>
        <v>1774.6678339845305</v>
      </c>
      <c r="J276">
        <v>25.2083333333333</v>
      </c>
      <c r="K276" t="s">
        <v>32</v>
      </c>
      <c r="L276">
        <f>J276/_xlfn.XLOOKUP(Tabla2[[#This Row],[Unidad de precio]],Tabla3[Medida],Tabla3[Equivalencia en Kg],"ELVIS",0)</f>
        <v>0.92643635918167211</v>
      </c>
      <c r="M276" s="2"/>
      <c r="N276" s="2">
        <f>(Tabla2[[#This Row],[Productividad (kg/TAS)]]*Tabla2[[#This Row],[Precio por kg]]-Tabla2[[#This Row],[Costos (En RD$/Tarea)]])</f>
        <v>1644.1168068734526</v>
      </c>
      <c r="O276" s="6">
        <f>IF(Tabla2[[#This Row],[Costos (En RD$/Tarea)]]=0,0,Tabla2[[#This Row],[Beneficio Neto  (En RD$/Tarea)]]/Tabla2[[#This Row],[Costos (En RD$/Tarea)]])</f>
        <v>0</v>
      </c>
      <c r="P276" s="4">
        <f>Tabla2[[#This Row],[Rentabilidad (%)]]/12</f>
        <v>0</v>
      </c>
    </row>
    <row r="277" spans="1:16" x14ac:dyDescent="0.35">
      <c r="A277" s="1">
        <v>37196</v>
      </c>
      <c r="B277" t="s">
        <v>33</v>
      </c>
      <c r="C277" s="2">
        <v>657917</v>
      </c>
      <c r="D277" s="2" t="s">
        <v>31</v>
      </c>
      <c r="E277" s="2">
        <f>IF(Tabla2[[#This Row],[Frecuencia]]="Annual", Tabla2[[#This Row],[Cosecha/Tarea]]/12,Tabla2[[#This Row],[Cosecha/Tarea]])</f>
        <v>54826.416666666664</v>
      </c>
      <c r="F277" s="2">
        <v>89153</v>
      </c>
      <c r="G277" t="s">
        <v>34</v>
      </c>
      <c r="H277">
        <f>F277/Tabla2[[#This Row],[Cosecha Mensual]]</f>
        <v>1.6260956929217516</v>
      </c>
      <c r="I277">
        <f>H277*_xlfn.XLOOKUP(Tabla2[[#This Row],[Unidad de producción]],Tabla3[Medida],Tabla3[Equivalencia en Kg],"ELVIS",0)</f>
        <v>663.69095706601286</v>
      </c>
      <c r="J277">
        <v>1350</v>
      </c>
      <c r="K277" t="s">
        <v>34</v>
      </c>
      <c r="L277">
        <f>J277/_xlfn.XLOOKUP(Tabla2[[#This Row],[Unidad de precio]],Tabla3[Medida],Tabla3[Equivalencia en Kg],"ELVIS",0)</f>
        <v>3.3076074972436604</v>
      </c>
      <c r="M277" s="2"/>
      <c r="N277" s="2">
        <f>(Tabla2[[#This Row],[Productividad (kg/TAS)]]*Tabla2[[#This Row],[Precio por kg]]-Tabla2[[#This Row],[Costos (En RD$/Tarea)]])</f>
        <v>2195.2291854443642</v>
      </c>
      <c r="O277" s="6">
        <f>IF(Tabla2[[#This Row],[Costos (En RD$/Tarea)]]=0,0,Tabla2[[#This Row],[Beneficio Neto  (En RD$/Tarea)]]/Tabla2[[#This Row],[Costos (En RD$/Tarea)]])</f>
        <v>0</v>
      </c>
      <c r="P277" s="4">
        <f>Tabla2[[#This Row],[Rentabilidad (%)]]/12</f>
        <v>0</v>
      </c>
    </row>
    <row r="278" spans="1:16" x14ac:dyDescent="0.35">
      <c r="A278" s="1">
        <v>37226</v>
      </c>
      <c r="B278" t="s">
        <v>16</v>
      </c>
      <c r="C278" s="2">
        <v>164699</v>
      </c>
      <c r="D278" s="5" t="s">
        <v>17</v>
      </c>
      <c r="E278" s="2">
        <f>IF(Tabla2[[#This Row],[Frecuencia]]="Annual", Tabla2[[#This Row],[Cosecha/Tarea]]/12,Tabla2[[#This Row],[Cosecha/Tarea]])</f>
        <v>164699</v>
      </c>
      <c r="F278" s="2">
        <v>574718</v>
      </c>
      <c r="G278" t="s">
        <v>18</v>
      </c>
      <c r="H278">
        <f>F278/Tabla2[[#This Row],[Cosecha Mensual]]</f>
        <v>3.489505097177275</v>
      </c>
      <c r="I278">
        <f>H278*_xlfn.XLOOKUP(Tabla2[[#This Row],[Unidad de producción]],Tabla3[Medida],Tabla3[Equivalencia en Kg],"ELVIS",0)</f>
        <v>158.28395120796119</v>
      </c>
      <c r="J278">
        <v>1036.7106710671101</v>
      </c>
      <c r="K278" t="s">
        <v>19</v>
      </c>
      <c r="L278">
        <f>J278/_xlfn.XLOOKUP(Tabla2[[#This Row],[Unidad de precio]],Tabla3[Medida],Tabla3[Equivalencia en Kg],"ELVIS",0)</f>
        <v>9.424642464246455</v>
      </c>
      <c r="N278" s="2">
        <f>(Tabla2[[#This Row],[Productividad (kg/TAS)]]*Tabla2[[#This Row],[Precio por kg]]-Tabla2[[#This Row],[Costos (En RD$/Tarea)]])</f>
        <v>1491.769647963265</v>
      </c>
      <c r="O278" s="6">
        <f>IF(Tabla2[[#This Row],[Costos (En RD$/Tarea)]]=0,0,Tabla2[[#This Row],[Beneficio Neto  (En RD$/Tarea)]]/Tabla2[[#This Row],[Costos (En RD$/Tarea)]])</f>
        <v>0</v>
      </c>
      <c r="P278" s="4">
        <f>Tabla2[[#This Row],[Rentabilidad (%)]]/12</f>
        <v>0</v>
      </c>
    </row>
    <row r="279" spans="1:16" x14ac:dyDescent="0.35">
      <c r="A279" s="1">
        <v>37226</v>
      </c>
      <c r="B279" t="s">
        <v>20</v>
      </c>
      <c r="C279" s="2">
        <v>41842</v>
      </c>
      <c r="D279" s="5" t="s">
        <v>17</v>
      </c>
      <c r="E279" s="2">
        <f>IF(Tabla2[[#This Row],[Frecuencia]]="Annual", Tabla2[[#This Row],[Cosecha/Tarea]]/12,Tabla2[[#This Row],[Cosecha/Tarea]])</f>
        <v>41842</v>
      </c>
      <c r="F279" s="2">
        <v>56517</v>
      </c>
      <c r="G279" t="s">
        <v>18</v>
      </c>
      <c r="H279">
        <f>F279/Tabla2[[#This Row],[Cosecha Mensual]]</f>
        <v>1.3507241527651641</v>
      </c>
      <c r="I279">
        <f>H279*_xlfn.XLOOKUP(Tabla2[[#This Row],[Unidad de producción]],Tabla3[Medida],Tabla3[Equivalencia en Kg],"ELVIS",0)</f>
        <v>61.268847569427841</v>
      </c>
      <c r="J279">
        <v>121.86</v>
      </c>
      <c r="K279" t="s">
        <v>18</v>
      </c>
      <c r="L279">
        <f>J279/_xlfn.XLOOKUP(Tabla2[[#This Row],[Unidad de precio]],Tabla3[Medida],Tabla3[Equivalencia en Kg],"ELVIS",0)</f>
        <v>2.6865079365079367</v>
      </c>
      <c r="N279" s="2">
        <f>(Tabla2[[#This Row],[Productividad (kg/TAS)]]*Tabla2[[#This Row],[Precio por kg]]-Tabla2[[#This Row],[Costos (En RD$/Tarea)]])</f>
        <v>164.5992452559629</v>
      </c>
      <c r="O279" s="6">
        <f>IF(Tabla2[[#This Row],[Costos (En RD$/Tarea)]]=0,0,Tabla2[[#This Row],[Beneficio Neto  (En RD$/Tarea)]]/Tabla2[[#This Row],[Costos (En RD$/Tarea)]])</f>
        <v>0</v>
      </c>
      <c r="P279" s="4">
        <f>Tabla2[[#This Row],[Rentabilidad (%)]]/12</f>
        <v>0</v>
      </c>
    </row>
    <row r="280" spans="1:16" x14ac:dyDescent="0.35">
      <c r="A280" s="1">
        <v>37226</v>
      </c>
      <c r="B280" t="s">
        <v>21</v>
      </c>
      <c r="C280" s="2">
        <v>6387</v>
      </c>
      <c r="D280" s="5" t="s">
        <v>17</v>
      </c>
      <c r="E280" s="2">
        <f>IF(Tabla2[[#This Row],[Frecuencia]]="Annual", Tabla2[[#This Row],[Cosecha/Tarea]]/12,Tabla2[[#This Row],[Cosecha/Tarea]])</f>
        <v>6387</v>
      </c>
      <c r="F280" s="2">
        <v>49643</v>
      </c>
      <c r="G280" t="s">
        <v>18</v>
      </c>
      <c r="H280">
        <f>F280/Tabla2[[#This Row],[Cosecha Mensual]]</f>
        <v>7.7725066541412247</v>
      </c>
      <c r="I280">
        <f>H280*_xlfn.XLOOKUP(Tabla2[[#This Row],[Unidad de producción]],Tabla3[Medida],Tabla3[Equivalencia en Kg],"ELVIS",0)</f>
        <v>352.56090183184597</v>
      </c>
      <c r="J280">
        <v>166.25</v>
      </c>
      <c r="K280" t="s">
        <v>18</v>
      </c>
      <c r="L280">
        <f>J280/_xlfn.XLOOKUP(Tabla2[[#This Row],[Unidad de precio]],Tabla3[Medida],Tabla3[Equivalencia en Kg],"ELVIS",0)</f>
        <v>3.6651234567901234</v>
      </c>
      <c r="N280" s="2">
        <f>(Tabla2[[#This Row],[Productividad (kg/TAS)]]*Tabla2[[#This Row],[Precio por kg]]-Tabla2[[#This Row],[Costos (En RD$/Tarea)]])</f>
        <v>1292.1792312509785</v>
      </c>
      <c r="O280" s="6">
        <f>IF(Tabla2[[#This Row],[Costos (En RD$/Tarea)]]=0,0,Tabla2[[#This Row],[Beneficio Neto  (En RD$/Tarea)]]/Tabla2[[#This Row],[Costos (En RD$/Tarea)]])</f>
        <v>0</v>
      </c>
      <c r="P280" s="4">
        <f>Tabla2[[#This Row],[Rentabilidad (%)]]/12</f>
        <v>0</v>
      </c>
    </row>
    <row r="281" spans="1:16" x14ac:dyDescent="0.35">
      <c r="A281" s="1">
        <v>37226</v>
      </c>
      <c r="B281" t="s">
        <v>22</v>
      </c>
      <c r="C281" s="2">
        <v>4611</v>
      </c>
      <c r="D281" s="5" t="s">
        <v>17</v>
      </c>
      <c r="E281" s="2">
        <f>IF(Tabla2[[#This Row],[Frecuencia]]="Annual", Tabla2[[#This Row],[Cosecha/Tarea]]/12,Tabla2[[#This Row],[Cosecha/Tarea]])</f>
        <v>4611</v>
      </c>
      <c r="F281" s="2">
        <v>40569</v>
      </c>
      <c r="G281" t="s">
        <v>18</v>
      </c>
      <c r="H281">
        <f>F281/Tabla2[[#This Row],[Cosecha Mensual]]</f>
        <v>8.7983083929733255</v>
      </c>
      <c r="I281">
        <f>H281*_xlfn.XLOOKUP(Tabla2[[#This Row],[Unidad de producción]],Tabla3[Medida],Tabla3[Equivalencia en Kg],"ELVIS",0)</f>
        <v>399.09126870527001</v>
      </c>
      <c r="J281">
        <v>211.11066666666699</v>
      </c>
      <c r="K281" t="s">
        <v>18</v>
      </c>
      <c r="L281">
        <f>J281/_xlfn.XLOOKUP(Tabla2[[#This Row],[Unidad de precio]],Tabla3[Medida],Tabla3[Equivalencia en Kg],"ELVIS",0)</f>
        <v>4.6541152263374554</v>
      </c>
      <c r="N281" s="2">
        <f>(Tabla2[[#This Row],[Productividad (kg/TAS)]]*Tabla2[[#This Row],[Precio por kg]]-Tabla2[[#This Row],[Costos (En RD$/Tarea)]])</f>
        <v>1857.41675037953</v>
      </c>
      <c r="O281" s="6">
        <f>IF(Tabla2[[#This Row],[Costos (En RD$/Tarea)]]=0,0,Tabla2[[#This Row],[Beneficio Neto  (En RD$/Tarea)]]/Tabla2[[#This Row],[Costos (En RD$/Tarea)]])</f>
        <v>0</v>
      </c>
      <c r="P281" s="4">
        <f>Tabla2[[#This Row],[Rentabilidad (%)]]/12</f>
        <v>0</v>
      </c>
    </row>
    <row r="282" spans="1:16" x14ac:dyDescent="0.35">
      <c r="A282" s="1">
        <v>37226</v>
      </c>
      <c r="B282" t="s">
        <v>23</v>
      </c>
      <c r="C282" s="2">
        <v>3582</v>
      </c>
      <c r="D282" s="5" t="s">
        <v>17</v>
      </c>
      <c r="E282" s="2">
        <f>IF(Tabla2[[#This Row],[Frecuencia]]="Annual", Tabla2[[#This Row],[Cosecha/Tarea]]/12,Tabla2[[#This Row],[Cosecha/Tarea]])</f>
        <v>3582</v>
      </c>
      <c r="F282" s="2">
        <v>71213</v>
      </c>
      <c r="G282" t="s">
        <v>18</v>
      </c>
      <c r="H282">
        <f>F282/Tabla2[[#This Row],[Cosecha Mensual]]</f>
        <v>19.880792853154663</v>
      </c>
      <c r="I282">
        <f>H282*_xlfn.XLOOKUP(Tabla2[[#This Row],[Unidad de producción]],Tabla3[Medida],Tabla3[Equivalencia en Kg],"ELVIS",0)</f>
        <v>901.79276381909551</v>
      </c>
      <c r="J282">
        <v>300</v>
      </c>
      <c r="K282" t="s">
        <v>18</v>
      </c>
      <c r="L282">
        <f>J282/_xlfn.XLOOKUP(Tabla2[[#This Row],[Unidad de precio]],Tabla3[Medida],Tabla3[Equivalencia en Kg],"ELVIS",0)</f>
        <v>6.6137566137566139</v>
      </c>
      <c r="N282" s="2">
        <f>(Tabla2[[#This Row],[Productividad (kg/TAS)]]*Tabla2[[#This Row],[Precio por kg]]-Tabla2[[#This Row],[Costos (En RD$/Tarea)]])</f>
        <v>5964.2378559463987</v>
      </c>
      <c r="O282" s="6">
        <f>IF(Tabla2[[#This Row],[Costos (En RD$/Tarea)]]=0,0,Tabla2[[#This Row],[Beneficio Neto  (En RD$/Tarea)]]/Tabla2[[#This Row],[Costos (En RD$/Tarea)]])</f>
        <v>0</v>
      </c>
      <c r="P282" s="4">
        <f>Tabla2[[#This Row],[Rentabilidad (%)]]/12</f>
        <v>0</v>
      </c>
    </row>
    <row r="283" spans="1:16" x14ac:dyDescent="0.35">
      <c r="A283" s="1">
        <v>37226</v>
      </c>
      <c r="B283" t="s">
        <v>24</v>
      </c>
      <c r="C283" s="2">
        <v>7810</v>
      </c>
      <c r="D283" s="5" t="s">
        <v>17</v>
      </c>
      <c r="E283" s="2">
        <f>IF(Tabla2[[#This Row],[Frecuencia]]="Annual", Tabla2[[#This Row],[Cosecha/Tarea]]/12,Tabla2[[#This Row],[Cosecha/Tarea]])</f>
        <v>7810</v>
      </c>
      <c r="F283" s="2">
        <v>88976</v>
      </c>
      <c r="G283" t="s">
        <v>18</v>
      </c>
      <c r="H283">
        <f>F283/Tabla2[[#This Row],[Cosecha Mensual]]</f>
        <v>11.392573623559539</v>
      </c>
      <c r="I283">
        <f>H283*_xlfn.XLOOKUP(Tabla2[[#This Row],[Unidad de producción]],Tabla3[Medida],Tabla3[Equivalencia en Kg],"ELVIS",0)</f>
        <v>516.76713956466062</v>
      </c>
      <c r="J283">
        <v>476</v>
      </c>
      <c r="K283" t="s">
        <v>18</v>
      </c>
      <c r="L283">
        <f>J283/_xlfn.XLOOKUP(Tabla2[[#This Row],[Unidad de precio]],Tabla3[Medida],Tabla3[Equivalencia en Kg],"ELVIS",0)</f>
        <v>10.493827160493828</v>
      </c>
      <c r="N283" s="2">
        <f>(Tabla2[[#This Row],[Productividad (kg/TAS)]]*Tabla2[[#This Row],[Precio por kg]]-Tabla2[[#This Row],[Costos (En RD$/Tarea)]])</f>
        <v>5422.8650448143399</v>
      </c>
      <c r="O283" s="6">
        <f>IF(Tabla2[[#This Row],[Costos (En RD$/Tarea)]]=0,0,Tabla2[[#This Row],[Beneficio Neto  (En RD$/Tarea)]]/Tabla2[[#This Row],[Costos (En RD$/Tarea)]])</f>
        <v>0</v>
      </c>
      <c r="P283" s="4">
        <f>Tabla2[[#This Row],[Rentabilidad (%)]]/12</f>
        <v>0</v>
      </c>
    </row>
    <row r="284" spans="1:16" x14ac:dyDescent="0.35">
      <c r="A284" s="1">
        <v>37226</v>
      </c>
      <c r="B284" t="s">
        <v>25</v>
      </c>
      <c r="C284" s="2">
        <v>21308</v>
      </c>
      <c r="D284" s="5" t="s">
        <v>17</v>
      </c>
      <c r="E284" s="2">
        <f>IF(Tabla2[[#This Row],[Frecuencia]]="Annual", Tabla2[[#This Row],[Cosecha/Tarea]]/12,Tabla2[[#This Row],[Cosecha/Tarea]])</f>
        <v>21308</v>
      </c>
      <c r="F284" s="2">
        <v>207001</v>
      </c>
      <c r="G284" t="s">
        <v>18</v>
      </c>
      <c r="H284">
        <f>F284/Tabla2[[#This Row],[Cosecha Mensual]]</f>
        <v>9.7147080908578936</v>
      </c>
      <c r="I284">
        <f>H284*_xlfn.XLOOKUP(Tabla2[[#This Row],[Unidad de producción]],Tabla3[Medida],Tabla3[Equivalencia en Kg],"ELVIS",0)</f>
        <v>440.65915900131404</v>
      </c>
      <c r="J284">
        <v>98.25</v>
      </c>
      <c r="K284" t="s">
        <v>18</v>
      </c>
      <c r="L284">
        <f>J284/_xlfn.XLOOKUP(Tabla2[[#This Row],[Unidad de precio]],Tabla3[Medida],Tabla3[Equivalencia en Kg],"ELVIS",0)</f>
        <v>2.1660052910052912</v>
      </c>
      <c r="N284" s="2">
        <f>(Tabla2[[#This Row],[Productividad (kg/TAS)]]*Tabla2[[#This Row],[Precio por kg]]-Tabla2[[#This Row],[Costos (En RD$/Tarea)]])</f>
        <v>954.47006992678803</v>
      </c>
      <c r="O284" s="6">
        <f>IF(Tabla2[[#This Row],[Costos (En RD$/Tarea)]]=0,0,Tabla2[[#This Row],[Beneficio Neto  (En RD$/Tarea)]]/Tabla2[[#This Row],[Costos (En RD$/Tarea)]])</f>
        <v>0</v>
      </c>
      <c r="P284" s="4">
        <f>Tabla2[[#This Row],[Rentabilidad (%)]]/12</f>
        <v>0</v>
      </c>
    </row>
    <row r="285" spans="1:16" x14ac:dyDescent="0.35">
      <c r="A285" s="1">
        <v>37226</v>
      </c>
      <c r="B285" t="s">
        <v>26</v>
      </c>
      <c r="C285" s="2">
        <v>8171</v>
      </c>
      <c r="D285" s="5" t="s">
        <v>17</v>
      </c>
      <c r="E285" s="2">
        <f>IF(Tabla2[[#This Row],[Frecuencia]]="Annual", Tabla2[[#This Row],[Cosecha/Tarea]]/12,Tabla2[[#This Row],[Cosecha/Tarea]])</f>
        <v>8171</v>
      </c>
      <c r="F285" s="2">
        <v>41452</v>
      </c>
      <c r="G285" t="s">
        <v>18</v>
      </c>
      <c r="H285">
        <f>F285/Tabla2[[#This Row],[Cosecha Mensual]]</f>
        <v>5.0730632725492599</v>
      </c>
      <c r="I285">
        <f>H285*_xlfn.XLOOKUP(Tabla2[[#This Row],[Unidad de producción]],Tabla3[Medida],Tabla3[Equivalencia en Kg],"ELVIS",0)</f>
        <v>230.11415004283444</v>
      </c>
      <c r="J285">
        <v>216.5</v>
      </c>
      <c r="K285" t="s">
        <v>18</v>
      </c>
      <c r="L285">
        <f>J285/_xlfn.XLOOKUP(Tabla2[[#This Row],[Unidad de precio]],Tabla3[Medida],Tabla3[Equivalencia en Kg],"ELVIS",0)</f>
        <v>4.772927689594356</v>
      </c>
      <c r="N285" s="2">
        <f>(Tabla2[[#This Row],[Productividad (kg/TAS)]]*Tabla2[[#This Row],[Precio por kg]]-Tabla2[[#This Row],[Costos (En RD$/Tarea)]])</f>
        <v>1098.3181985069148</v>
      </c>
      <c r="O285" s="6">
        <f>IF(Tabla2[[#This Row],[Costos (En RD$/Tarea)]]=0,0,Tabla2[[#This Row],[Beneficio Neto  (En RD$/Tarea)]]/Tabla2[[#This Row],[Costos (En RD$/Tarea)]])</f>
        <v>0</v>
      </c>
      <c r="P285" s="4">
        <f>Tabla2[[#This Row],[Rentabilidad (%)]]/12</f>
        <v>0</v>
      </c>
    </row>
    <row r="286" spans="1:16" x14ac:dyDescent="0.35">
      <c r="A286" s="1">
        <v>37226</v>
      </c>
      <c r="B286" t="s">
        <v>27</v>
      </c>
      <c r="C286" s="2">
        <v>1827</v>
      </c>
      <c r="D286" s="5" t="s">
        <v>17</v>
      </c>
      <c r="E286" s="2">
        <f>IF(Tabla2[[#This Row],[Frecuencia]]="Annual", Tabla2[[#This Row],[Cosecha/Tarea]]/12,Tabla2[[#This Row],[Cosecha/Tarea]])</f>
        <v>1827</v>
      </c>
      <c r="F286" s="2">
        <v>21138</v>
      </c>
      <c r="G286" t="s">
        <v>18</v>
      </c>
      <c r="H286">
        <f>F286/Tabla2[[#This Row],[Cosecha Mensual]]</f>
        <v>11.569786535303777</v>
      </c>
      <c r="I286">
        <f>H286*_xlfn.XLOOKUP(Tabla2[[#This Row],[Unidad de producción]],Tabla3[Medida],Tabla3[Equivalencia en Kg],"ELVIS",0)</f>
        <v>524.80551724137933</v>
      </c>
      <c r="J286">
        <v>230.357142857143</v>
      </c>
      <c r="K286" t="s">
        <v>18</v>
      </c>
      <c r="L286">
        <f>J286/_xlfn.XLOOKUP(Tabla2[[#This Row],[Unidad de precio]],Tabla3[Medida],Tabla3[Equivalencia en Kg],"ELVIS",0)</f>
        <v>5.0784202569916888</v>
      </c>
      <c r="N286" s="2">
        <f>(Tabla2[[#This Row],[Productividad (kg/TAS)]]*Tabla2[[#This Row],[Precio por kg]]-Tabla2[[#This Row],[Costos (En RD$/Tarea)]])</f>
        <v>2665.182969739622</v>
      </c>
      <c r="O286" s="6">
        <f>IF(Tabla2[[#This Row],[Costos (En RD$/Tarea)]]=0,0,Tabla2[[#This Row],[Beneficio Neto  (En RD$/Tarea)]]/Tabla2[[#This Row],[Costos (En RD$/Tarea)]])</f>
        <v>0</v>
      </c>
      <c r="P286" s="4">
        <f>Tabla2[[#This Row],[Rentabilidad (%)]]/12</f>
        <v>0</v>
      </c>
    </row>
    <row r="287" spans="1:16" x14ac:dyDescent="0.35">
      <c r="A287" s="1">
        <v>37226</v>
      </c>
      <c r="B287" t="s">
        <v>28</v>
      </c>
      <c r="C287" s="2">
        <v>30192</v>
      </c>
      <c r="D287" s="5" t="s">
        <v>17</v>
      </c>
      <c r="E287" s="2">
        <f>IF(Tabla2[[#This Row],[Frecuencia]]="Annual", Tabla2[[#This Row],[Cosecha/Tarea]]/12,Tabla2[[#This Row],[Cosecha/Tarea]])</f>
        <v>30192</v>
      </c>
      <c r="F287" s="2">
        <v>52764</v>
      </c>
      <c r="G287" t="s">
        <v>18</v>
      </c>
      <c r="H287">
        <f>F287/Tabla2[[#This Row],[Cosecha Mensual]]</f>
        <v>1.7476152623211447</v>
      </c>
      <c r="I287">
        <f>H287*_xlfn.XLOOKUP(Tabla2[[#This Row],[Unidad de producción]],Tabla3[Medida],Tabla3[Equivalencia en Kg],"ELVIS",0)</f>
        <v>79.271828298887129</v>
      </c>
      <c r="J287">
        <v>1333.3333333333301</v>
      </c>
      <c r="K287" t="s">
        <v>29</v>
      </c>
      <c r="L287">
        <f>J287/_xlfn.XLOOKUP(Tabla2[[#This Row],[Unidad de precio]],Tabla3[Medida],Tabla3[Equivalencia en Kg],"ELVIS",0)</f>
        <v>2.3710448008915068</v>
      </c>
      <c r="N287" s="2">
        <f>(Tabla2[[#This Row],[Productividad (kg/TAS)]]*Tabla2[[#This Row],[Precio por kg]]-Tabla2[[#This Row],[Costos (En RD$/Tarea)]])</f>
        <v>187.95705634524055</v>
      </c>
      <c r="O287" s="6">
        <f>IF(Tabla2[[#This Row],[Costos (En RD$/Tarea)]]=0,0,Tabla2[[#This Row],[Beneficio Neto  (En RD$/Tarea)]]/Tabla2[[#This Row],[Costos (En RD$/Tarea)]])</f>
        <v>0</v>
      </c>
      <c r="P287" s="4">
        <f>Tabla2[[#This Row],[Rentabilidad (%)]]/12</f>
        <v>0</v>
      </c>
    </row>
    <row r="288" spans="1:16" x14ac:dyDescent="0.35">
      <c r="A288" s="1">
        <v>37226</v>
      </c>
      <c r="B288" t="s">
        <v>30</v>
      </c>
      <c r="C288" s="2">
        <v>242862</v>
      </c>
      <c r="D288" s="2" t="s">
        <v>31</v>
      </c>
      <c r="E288" s="2">
        <f>IF(Tabla2[[#This Row],[Frecuencia]]="Annual", Tabla2[[#This Row],[Cosecha/Tarea]]/12,Tabla2[[#This Row],[Cosecha/Tarea]])</f>
        <v>20238.5</v>
      </c>
      <c r="F288" s="2">
        <v>1825710</v>
      </c>
      <c r="G288" t="s">
        <v>32</v>
      </c>
      <c r="H288">
        <f>F288/Tabla2[[#This Row],[Cosecha Mensual]]</f>
        <v>90.209748746201541</v>
      </c>
      <c r="I288">
        <f>H288*_xlfn.XLOOKUP(Tabla2[[#This Row],[Unidad de producción]],Tabla3[Medida],Tabla3[Equivalencia en Kg],"ELVIS",0)</f>
        <v>2454.6072633841441</v>
      </c>
      <c r="J288">
        <v>28.161666666666701</v>
      </c>
      <c r="K288" t="s">
        <v>32</v>
      </c>
      <c r="L288">
        <f>J288/_xlfn.XLOOKUP(Tabla2[[#This Row],[Unidad de precio]],Tabla3[Medida],Tabla3[Equivalencia en Kg],"ELVIS",0)</f>
        <v>1.0349748866838184</v>
      </c>
      <c r="M288" s="2"/>
      <c r="N288" s="2">
        <f>(Tabla2[[#This Row],[Productividad (kg/TAS)]]*Tabla2[[#This Row],[Precio por kg]]-Tabla2[[#This Row],[Costos (En RD$/Tarea)]])</f>
        <v>2540.4568742742822</v>
      </c>
      <c r="O288" s="6">
        <f>IF(Tabla2[[#This Row],[Costos (En RD$/Tarea)]]=0,0,Tabla2[[#This Row],[Beneficio Neto  (En RD$/Tarea)]]/Tabla2[[#This Row],[Costos (En RD$/Tarea)]])</f>
        <v>0</v>
      </c>
      <c r="P288" s="4">
        <f>Tabla2[[#This Row],[Rentabilidad (%)]]/12</f>
        <v>0</v>
      </c>
    </row>
    <row r="289" spans="1:16" x14ac:dyDescent="0.35">
      <c r="A289" s="1">
        <v>37226</v>
      </c>
      <c r="B289" t="s">
        <v>33</v>
      </c>
      <c r="C289" s="2">
        <v>476240</v>
      </c>
      <c r="D289" s="2" t="s">
        <v>31</v>
      </c>
      <c r="E289" s="2">
        <f>IF(Tabla2[[#This Row],[Frecuencia]]="Annual", Tabla2[[#This Row],[Cosecha/Tarea]]/12,Tabla2[[#This Row],[Cosecha/Tarea]])</f>
        <v>39686.666666666664</v>
      </c>
      <c r="F289" s="2">
        <v>82053</v>
      </c>
      <c r="G289" t="s">
        <v>34</v>
      </c>
      <c r="H289">
        <f>F289/Tabla2[[#This Row],[Cosecha Mensual]]</f>
        <v>2.0675205778599026</v>
      </c>
      <c r="I289">
        <f>H289*_xlfn.XLOOKUP(Tabla2[[#This Row],[Unidad de producción]],Tabla3[Medida],Tabla3[Equivalencia en Kg],"ELVIS",0)</f>
        <v>843.85852385351916</v>
      </c>
      <c r="J289">
        <v>1639.33</v>
      </c>
      <c r="K289" t="s">
        <v>34</v>
      </c>
      <c r="L289">
        <f>J289/_xlfn.XLOOKUP(Tabla2[[#This Row],[Unidad de precio]],Tabla3[Medida],Tabla3[Equivalencia en Kg],"ELVIS",0)</f>
        <v>4.0164890358936667</v>
      </c>
      <c r="M289" s="2"/>
      <c r="N289" s="2">
        <f>(Tabla2[[#This Row],[Productividad (kg/TAS)]]*Tabla2[[#This Row],[Precio por kg]]-Tabla2[[#This Row],[Costos (En RD$/Tarea)]])</f>
        <v>3389.3485089030737</v>
      </c>
      <c r="O289" s="6">
        <f>IF(Tabla2[[#This Row],[Costos (En RD$/Tarea)]]=0,0,Tabla2[[#This Row],[Beneficio Neto  (En RD$/Tarea)]]/Tabla2[[#This Row],[Costos (En RD$/Tarea)]])</f>
        <v>0</v>
      </c>
      <c r="P289" s="4">
        <f>Tabla2[[#This Row],[Rentabilidad (%)]]/12</f>
        <v>0</v>
      </c>
    </row>
    <row r="290" spans="1:16" x14ac:dyDescent="0.35">
      <c r="A290" s="1">
        <v>37257</v>
      </c>
      <c r="B290" t="s">
        <v>16</v>
      </c>
      <c r="C290" s="2">
        <v>61906</v>
      </c>
      <c r="D290" s="5" t="s">
        <v>17</v>
      </c>
      <c r="E290" s="2">
        <f>IF(Tabla2[[#This Row],[Frecuencia]]="Annual", Tabla2[[#This Row],[Cosecha/Tarea]]/12,Tabla2[[#This Row],[Cosecha/Tarea]])</f>
        <v>61906</v>
      </c>
      <c r="F290" s="2">
        <v>161648</v>
      </c>
      <c r="G290" t="s">
        <v>18</v>
      </c>
      <c r="H290">
        <f>F290/Tabla2[[#This Row],[Cosecha Mensual]]</f>
        <v>2.6111846993829353</v>
      </c>
      <c r="I290">
        <f>H290*_xlfn.XLOOKUP(Tabla2[[#This Row],[Unidad de producción]],Tabla3[Medida],Tabla3[Equivalencia en Kg],"ELVIS",0)</f>
        <v>118.44333796400994</v>
      </c>
      <c r="J290">
        <v>982.66666666666697</v>
      </c>
      <c r="K290" t="s">
        <v>19</v>
      </c>
      <c r="L290">
        <f>J290/_xlfn.XLOOKUP(Tabla2[[#This Row],[Unidad de precio]],Tabla3[Medida],Tabla3[Equivalencia en Kg],"ELVIS",0)</f>
        <v>8.9333333333333353</v>
      </c>
      <c r="M290">
        <v>1921.06</v>
      </c>
      <c r="N290" s="2">
        <f>(Tabla2[[#This Row],[Productividad (kg/TAS)]]*Tabla2[[#This Row],[Precio por kg]]-Tabla2[[#This Row],[Costos (En RD$/Tarea)]])</f>
        <v>-862.9661808548442</v>
      </c>
      <c r="O290" s="6">
        <f>IF(Tabla2[[#This Row],[Costos (En RD$/Tarea)]]=0,0,Tabla2[[#This Row],[Beneficio Neto  (En RD$/Tarea)]]/Tabla2[[#This Row],[Costos (En RD$/Tarea)]])</f>
        <v>-0.44921354921493561</v>
      </c>
      <c r="P290" s="4">
        <f>Tabla2[[#This Row],[Rentabilidad (%)]]/12</f>
        <v>-3.7434462434577966E-2</v>
      </c>
    </row>
    <row r="291" spans="1:16" x14ac:dyDescent="0.35">
      <c r="A291" s="1">
        <v>37257</v>
      </c>
      <c r="B291" t="s">
        <v>20</v>
      </c>
      <c r="C291" s="2">
        <v>36366</v>
      </c>
      <c r="D291" s="5" t="s">
        <v>17</v>
      </c>
      <c r="E291" s="2">
        <f>IF(Tabla2[[#This Row],[Frecuencia]]="Annual", Tabla2[[#This Row],[Cosecha/Tarea]]/12,Tabla2[[#This Row],[Cosecha/Tarea]])</f>
        <v>36366</v>
      </c>
      <c r="F291" s="2">
        <v>53294</v>
      </c>
      <c r="G291" t="s">
        <v>18</v>
      </c>
      <c r="H291">
        <f>F291/Tabla2[[#This Row],[Cosecha Mensual]]</f>
        <v>1.4654897431666942</v>
      </c>
      <c r="I291">
        <f>H291*_xlfn.XLOOKUP(Tabla2[[#This Row],[Unidad de producción]],Tabla3[Medida],Tabla3[Equivalencia en Kg],"ELVIS",0)</f>
        <v>66.474614750041255</v>
      </c>
      <c r="J291">
        <v>117.73645714285701</v>
      </c>
      <c r="K291" t="s">
        <v>18</v>
      </c>
      <c r="L291">
        <f>J291/_xlfn.XLOOKUP(Tabla2[[#This Row],[Unidad de precio]],Tabla3[Medida],Tabla3[Equivalencia en Kg],"ELVIS",0)</f>
        <v>2.5956009070294757</v>
      </c>
      <c r="M291">
        <v>531.93499999999995</v>
      </c>
      <c r="N291" s="2">
        <f>(Tabla2[[#This Row],[Productividad (kg/TAS)]]*Tabla2[[#This Row],[Precio por kg]]-Tabla2[[#This Row],[Costos (En RD$/Tarea)]])</f>
        <v>-359.39342966035792</v>
      </c>
      <c r="O291" s="6">
        <f>IF(Tabla2[[#This Row],[Costos (En RD$/Tarea)]]=0,0,Tabla2[[#This Row],[Beneficio Neto  (En RD$/Tarea)]]/Tabla2[[#This Row],[Costos (En RD$/Tarea)]])</f>
        <v>-0.67563410879216057</v>
      </c>
      <c r="P291" s="4">
        <f>Tabla2[[#This Row],[Rentabilidad (%)]]/12</f>
        <v>-5.6302842399346714E-2</v>
      </c>
    </row>
    <row r="292" spans="1:16" x14ac:dyDescent="0.35">
      <c r="A292" s="1">
        <v>37257</v>
      </c>
      <c r="B292" t="s">
        <v>21</v>
      </c>
      <c r="C292" s="2">
        <v>8168</v>
      </c>
      <c r="D292" s="5" t="s">
        <v>17</v>
      </c>
      <c r="E292" s="2">
        <f>IF(Tabla2[[#This Row],[Frecuencia]]="Annual", Tabla2[[#This Row],[Cosecha/Tarea]]/12,Tabla2[[#This Row],[Cosecha/Tarea]])</f>
        <v>8168</v>
      </c>
      <c r="F292" s="2">
        <v>61135</v>
      </c>
      <c r="G292" t="s">
        <v>18</v>
      </c>
      <c r="H292">
        <f>F292/Tabla2[[#This Row],[Cosecha Mensual]]</f>
        <v>7.4846963761018612</v>
      </c>
      <c r="I292">
        <f>H292*_xlfn.XLOOKUP(Tabla2[[#This Row],[Unidad de producción]],Tabla3[Medida],Tabla3[Equivalencia en Kg],"ELVIS",0)</f>
        <v>339.50582761998044</v>
      </c>
      <c r="J292">
        <v>155.166666666667</v>
      </c>
      <c r="K292" t="s">
        <v>18</v>
      </c>
      <c r="L292">
        <f>J292/_xlfn.XLOOKUP(Tabla2[[#This Row],[Unidad de precio]],Tabla3[Medida],Tabla3[Equivalencia en Kg],"ELVIS",0)</f>
        <v>3.4207818930041225</v>
      </c>
      <c r="M292">
        <v>945.93</v>
      </c>
      <c r="N292" s="2">
        <f>(Tabla2[[#This Row],[Productividad (kg/TAS)]]*Tabla2[[#This Row],[Precio por kg]]-Tabla2[[#This Row],[Costos (En RD$/Tarea)]])</f>
        <v>215.44538769180792</v>
      </c>
      <c r="O292" s="6">
        <f>IF(Tabla2[[#This Row],[Costos (En RD$/Tarea)]]=0,0,Tabla2[[#This Row],[Beneficio Neto  (En RD$/Tarea)]]/Tabla2[[#This Row],[Costos (En RD$/Tarea)]])</f>
        <v>0.22776039209223509</v>
      </c>
      <c r="P292" s="4">
        <f>Tabla2[[#This Row],[Rentabilidad (%)]]/12</f>
        <v>1.8980032674352925E-2</v>
      </c>
    </row>
    <row r="293" spans="1:16" x14ac:dyDescent="0.35">
      <c r="A293" s="1">
        <v>37257</v>
      </c>
      <c r="B293" t="s">
        <v>22</v>
      </c>
      <c r="C293" s="2">
        <v>4351</v>
      </c>
      <c r="D293" s="5" t="s">
        <v>17</v>
      </c>
      <c r="E293" s="2">
        <f>IF(Tabla2[[#This Row],[Frecuencia]]="Annual", Tabla2[[#This Row],[Cosecha/Tarea]]/12,Tabla2[[#This Row],[Cosecha/Tarea]])</f>
        <v>4351</v>
      </c>
      <c r="F293" s="2">
        <v>38405</v>
      </c>
      <c r="G293" t="s">
        <v>18</v>
      </c>
      <c r="H293">
        <f>F293/Tabla2[[#This Row],[Cosecha Mensual]]</f>
        <v>8.8267065042518968</v>
      </c>
      <c r="I293">
        <f>H293*_xlfn.XLOOKUP(Tabla2[[#This Row],[Unidad de producción]],Tabla3[Medida],Tabla3[Equivalencia en Kg],"ELVIS",0)</f>
        <v>400.37940703286603</v>
      </c>
      <c r="J293">
        <v>313.83333333333297</v>
      </c>
      <c r="K293" t="s">
        <v>18</v>
      </c>
      <c r="L293">
        <f>J293/_xlfn.XLOOKUP(Tabla2[[#This Row],[Unidad de precio]],Tabla3[Medida],Tabla3[Equivalencia en Kg],"ELVIS",0)</f>
        <v>6.9187242798353834</v>
      </c>
      <c r="M293">
        <v>2751.22</v>
      </c>
      <c r="N293" s="2">
        <f>(Tabla2[[#This Row],[Productividad (kg/TAS)]]*Tabla2[[#This Row],[Precio por kg]]-Tabla2[[#This Row],[Costos (En RD$/Tarea)]])</f>
        <v>18.894724584384221</v>
      </c>
      <c r="O293" s="6">
        <f>IF(Tabla2[[#This Row],[Costos (En RD$/Tarea)]]=0,0,Tabla2[[#This Row],[Beneficio Neto  (En RD$/Tarea)]]/Tabla2[[#This Row],[Costos (En RD$/Tarea)]])</f>
        <v>6.8677621507492034E-3</v>
      </c>
      <c r="P293" s="4">
        <f>Tabla2[[#This Row],[Rentabilidad (%)]]/12</f>
        <v>5.7231351256243365E-4</v>
      </c>
    </row>
    <row r="294" spans="1:16" x14ac:dyDescent="0.35">
      <c r="A294" s="1">
        <v>37257</v>
      </c>
      <c r="B294" t="s">
        <v>23</v>
      </c>
      <c r="C294" s="2">
        <v>7389</v>
      </c>
      <c r="D294" s="5" t="s">
        <v>17</v>
      </c>
      <c r="E294" s="2">
        <f>IF(Tabla2[[#This Row],[Frecuencia]]="Annual", Tabla2[[#This Row],[Cosecha/Tarea]]/12,Tabla2[[#This Row],[Cosecha/Tarea]])</f>
        <v>7389</v>
      </c>
      <c r="F294" s="2">
        <v>165729</v>
      </c>
      <c r="G294" t="s">
        <v>18</v>
      </c>
      <c r="H294">
        <f>F294/Tabla2[[#This Row],[Cosecha Mensual]]</f>
        <v>22.429151441331708</v>
      </c>
      <c r="I294">
        <f>H294*_xlfn.XLOOKUP(Tabla2[[#This Row],[Unidad de producción]],Tabla3[Medida],Tabla3[Equivalencia en Kg],"ELVIS",0)</f>
        <v>1017.3863093788062</v>
      </c>
      <c r="J294">
        <v>235</v>
      </c>
      <c r="K294" t="s">
        <v>18</v>
      </c>
      <c r="L294">
        <f>J294/_xlfn.XLOOKUP(Tabla2[[#This Row],[Unidad de precio]],Tabla3[Medida],Tabla3[Equivalencia en Kg],"ELVIS",0)</f>
        <v>5.1807760141093473</v>
      </c>
      <c r="M294">
        <v>5786.34</v>
      </c>
      <c r="N294" s="2">
        <f>(Tabla2[[#This Row],[Productividad (kg/TAS)]]*Tabla2[[#This Row],[Precio por kg]]-Tabla2[[#This Row],[Costos (En RD$/Tarea)]])</f>
        <v>-515.48941128704882</v>
      </c>
      <c r="O294" s="6">
        <f>IF(Tabla2[[#This Row],[Costos (En RD$/Tarea)]]=0,0,Tabla2[[#This Row],[Beneficio Neto  (En RD$/Tarea)]]/Tabla2[[#This Row],[Costos (En RD$/Tarea)]])</f>
        <v>-8.9087300657591642E-2</v>
      </c>
      <c r="P294" s="4">
        <f>Tabla2[[#This Row],[Rentabilidad (%)]]/12</f>
        <v>-7.4239417214659702E-3</v>
      </c>
    </row>
    <row r="295" spans="1:16" x14ac:dyDescent="0.35">
      <c r="A295" s="1">
        <v>37257</v>
      </c>
      <c r="B295" t="s">
        <v>24</v>
      </c>
      <c r="C295" s="2">
        <v>8577</v>
      </c>
      <c r="D295" s="5" t="s">
        <v>17</v>
      </c>
      <c r="E295" s="2">
        <f>IF(Tabla2[[#This Row],[Frecuencia]]="Annual", Tabla2[[#This Row],[Cosecha/Tarea]]/12,Tabla2[[#This Row],[Cosecha/Tarea]])</f>
        <v>8577</v>
      </c>
      <c r="F295" s="2">
        <v>91110</v>
      </c>
      <c r="G295" t="s">
        <v>18</v>
      </c>
      <c r="H295">
        <f>F295/Tabla2[[#This Row],[Cosecha Mensual]]</f>
        <v>10.622595313046519</v>
      </c>
      <c r="I295">
        <f>H295*_xlfn.XLOOKUP(Tabla2[[#This Row],[Unidad de producción]],Tabla3[Medida],Tabla3[Equivalencia en Kg],"ELVIS",0)</f>
        <v>481.84092339979009</v>
      </c>
      <c r="J295">
        <v>463.77733333333299</v>
      </c>
      <c r="K295" t="s">
        <v>18</v>
      </c>
      <c r="L295">
        <f>J295/_xlfn.XLOOKUP(Tabla2[[#This Row],[Unidad de precio]],Tabla3[Medida],Tabla3[Equivalencia en Kg],"ELVIS",0)</f>
        <v>10.224368018812456</v>
      </c>
      <c r="M295">
        <v>1994.96</v>
      </c>
      <c r="N295" s="2">
        <f>(Tabla2[[#This Row],[Productividad (kg/TAS)]]*Tabla2[[#This Row],[Precio por kg]]-Tabla2[[#This Row],[Costos (En RD$/Tarea)]])</f>
        <v>2931.5589273638761</v>
      </c>
      <c r="O295" s="6">
        <f>IF(Tabla2[[#This Row],[Costos (En RD$/Tarea)]]=0,0,Tabla2[[#This Row],[Beneficio Neto  (En RD$/Tarea)]]/Tabla2[[#This Row],[Costos (En RD$/Tarea)]])</f>
        <v>1.4694825597324639</v>
      </c>
      <c r="P295" s="4">
        <f>Tabla2[[#This Row],[Rentabilidad (%)]]/12</f>
        <v>0.12245687997770532</v>
      </c>
    </row>
    <row r="296" spans="1:16" x14ac:dyDescent="0.35">
      <c r="A296" s="1">
        <v>37257</v>
      </c>
      <c r="B296" t="s">
        <v>25</v>
      </c>
      <c r="C296" s="2">
        <v>29386</v>
      </c>
      <c r="D296" s="5" t="s">
        <v>17</v>
      </c>
      <c r="E296" s="2">
        <f>IF(Tabla2[[#This Row],[Frecuencia]]="Annual", Tabla2[[#This Row],[Cosecha/Tarea]]/12,Tabla2[[#This Row],[Cosecha/Tarea]])</f>
        <v>29386</v>
      </c>
      <c r="F296" s="2">
        <v>274031</v>
      </c>
      <c r="G296" t="s">
        <v>18</v>
      </c>
      <c r="H296">
        <f>F296/Tabla2[[#This Row],[Cosecha Mensual]]</f>
        <v>9.3252228952562444</v>
      </c>
      <c r="I296">
        <f>H296*_xlfn.XLOOKUP(Tabla2[[#This Row],[Unidad de producción]],Tabla3[Medida],Tabla3[Equivalencia en Kg],"ELVIS",0)</f>
        <v>422.99211052882322</v>
      </c>
      <c r="J296">
        <v>97.953428571428603</v>
      </c>
      <c r="K296" t="s">
        <v>18</v>
      </c>
      <c r="L296">
        <f>J296/_xlfn.XLOOKUP(Tabla2[[#This Row],[Unidad de precio]],Tabla3[Medida],Tabla3[Equivalencia en Kg],"ELVIS",0)</f>
        <v>2.1594671201814064</v>
      </c>
      <c r="M296">
        <v>966.8</v>
      </c>
      <c r="N296" s="2">
        <f>(Tabla2[[#This Row],[Productividad (kg/TAS)]]*Tabla2[[#This Row],[Precio por kg]]-Tabla2[[#This Row],[Costos (En RD$/Tarea)]])</f>
        <v>-53.362445216866945</v>
      </c>
      <c r="O296" s="6">
        <f>IF(Tabla2[[#This Row],[Costos (En RD$/Tarea)]]=0,0,Tabla2[[#This Row],[Beneficio Neto  (En RD$/Tarea)]]/Tabla2[[#This Row],[Costos (En RD$/Tarea)]])</f>
        <v>-5.5194916442766806E-2</v>
      </c>
      <c r="P296" s="4">
        <f>Tabla2[[#This Row],[Rentabilidad (%)]]/12</f>
        <v>-4.5995763702305669E-3</v>
      </c>
    </row>
    <row r="297" spans="1:16" x14ac:dyDescent="0.35">
      <c r="A297" s="1">
        <v>37257</v>
      </c>
      <c r="B297" t="s">
        <v>26</v>
      </c>
      <c r="C297" s="2">
        <v>7406</v>
      </c>
      <c r="D297" s="5" t="s">
        <v>17</v>
      </c>
      <c r="E297" s="2">
        <f>IF(Tabla2[[#This Row],[Frecuencia]]="Annual", Tabla2[[#This Row],[Cosecha/Tarea]]/12,Tabla2[[#This Row],[Cosecha/Tarea]])</f>
        <v>7406</v>
      </c>
      <c r="F297" s="2">
        <v>46635</v>
      </c>
      <c r="G297" t="s">
        <v>18</v>
      </c>
      <c r="H297">
        <f>F297/Tabla2[[#This Row],[Cosecha Mensual]]</f>
        <v>6.296921415068863</v>
      </c>
      <c r="I297">
        <f>H297*_xlfn.XLOOKUP(Tabla2[[#This Row],[Unidad de producción]],Tabla3[Medida],Tabla3[Equivalencia en Kg],"ELVIS",0)</f>
        <v>285.62835538752364</v>
      </c>
      <c r="J297">
        <v>207.316</v>
      </c>
      <c r="K297" t="s">
        <v>18</v>
      </c>
      <c r="L297">
        <f>J297/_xlfn.XLOOKUP(Tabla2[[#This Row],[Unidad de precio]],Tabla3[Medida],Tabla3[Equivalencia en Kg],"ELVIS",0)</f>
        <v>4.5704585537918874</v>
      </c>
      <c r="M297">
        <v>360.52</v>
      </c>
      <c r="N297" s="2">
        <f>(Tabla2[[#This Row],[Productividad (kg/TAS)]]*Tabla2[[#This Row],[Precio por kg]]-Tabla2[[#This Row],[Costos (En RD$/Tarea)]])</f>
        <v>944.93256008641652</v>
      </c>
      <c r="O297" s="6">
        <f>IF(Tabla2[[#This Row],[Costos (En RD$/Tarea)]]=0,0,Tabla2[[#This Row],[Beneficio Neto  (En RD$/Tarea)]]/Tabla2[[#This Row],[Costos (En RD$/Tarea)]])</f>
        <v>2.6210267393942543</v>
      </c>
      <c r="P297" s="4">
        <f>Tabla2[[#This Row],[Rentabilidad (%)]]/12</f>
        <v>0.21841889494952119</v>
      </c>
    </row>
    <row r="298" spans="1:16" x14ac:dyDescent="0.35">
      <c r="A298" s="1">
        <v>37257</v>
      </c>
      <c r="B298" t="s">
        <v>27</v>
      </c>
      <c r="C298" s="2">
        <v>2752</v>
      </c>
      <c r="D298" s="5" t="s">
        <v>17</v>
      </c>
      <c r="E298" s="2">
        <f>IF(Tabla2[[#This Row],[Frecuencia]]="Annual", Tabla2[[#This Row],[Cosecha/Tarea]]/12,Tabla2[[#This Row],[Cosecha/Tarea]])</f>
        <v>2752</v>
      </c>
      <c r="F298" s="2">
        <v>22446</v>
      </c>
      <c r="G298" t="s">
        <v>18</v>
      </c>
      <c r="H298">
        <f>F298/Tabla2[[#This Row],[Cosecha Mensual]]</f>
        <v>8.15625</v>
      </c>
      <c r="I298">
        <f>H298*_xlfn.XLOOKUP(Tabla2[[#This Row],[Unidad de producción]],Tabla3[Medida],Tabla3[Equivalencia en Kg],"ELVIS",0)</f>
        <v>369.96749999999997</v>
      </c>
      <c r="J298">
        <v>186.44</v>
      </c>
      <c r="K298" t="s">
        <v>18</v>
      </c>
      <c r="L298">
        <f>J298/_xlfn.XLOOKUP(Tabla2[[#This Row],[Unidad de precio]],Tabla3[Medida],Tabla3[Equivalencia en Kg],"ELVIS",0)</f>
        <v>4.1102292768959439</v>
      </c>
      <c r="M298">
        <v>2321.75</v>
      </c>
      <c r="N298" s="2">
        <f>(Tabla2[[#This Row],[Productividad (kg/TAS)]]*Tabla2[[#This Row],[Precio por kg]]-Tabla2[[#This Row],[Costos (En RD$/Tarea)]])</f>
        <v>-801.09875000000011</v>
      </c>
      <c r="O298" s="6">
        <f>IF(Tabla2[[#This Row],[Costos (En RD$/Tarea)]]=0,0,Tabla2[[#This Row],[Beneficio Neto  (En RD$/Tarea)]]/Tabla2[[#This Row],[Costos (En RD$/Tarea)]])</f>
        <v>-0.34504091741143539</v>
      </c>
      <c r="P298" s="4">
        <f>Tabla2[[#This Row],[Rentabilidad (%)]]/12</f>
        <v>-2.8753409784286282E-2</v>
      </c>
    </row>
    <row r="299" spans="1:16" x14ac:dyDescent="0.35">
      <c r="A299" s="1">
        <v>37257</v>
      </c>
      <c r="B299" t="s">
        <v>28</v>
      </c>
      <c r="C299" s="2">
        <v>18638</v>
      </c>
      <c r="D299" s="5" t="s">
        <v>17</v>
      </c>
      <c r="E299" s="2">
        <f>IF(Tabla2[[#This Row],[Frecuencia]]="Annual", Tabla2[[#This Row],[Cosecha/Tarea]]/12,Tabla2[[#This Row],[Cosecha/Tarea]])</f>
        <v>18638</v>
      </c>
      <c r="F299" s="2">
        <v>38757</v>
      </c>
      <c r="G299" t="s">
        <v>18</v>
      </c>
      <c r="H299">
        <f>F299/Tabla2[[#This Row],[Cosecha Mensual]]</f>
        <v>2.0794613155918018</v>
      </c>
      <c r="I299">
        <f>H299*_xlfn.XLOOKUP(Tabla2[[#This Row],[Unidad de producción]],Tabla3[Medida],Tabla3[Equivalencia en Kg],"ELVIS",0)</f>
        <v>94.324365275244133</v>
      </c>
      <c r="J299">
        <v>2075</v>
      </c>
      <c r="K299" t="s">
        <v>29</v>
      </c>
      <c r="L299">
        <f>J299/_xlfn.XLOOKUP(Tabla2[[#This Row],[Unidad de precio]],Tabla3[Medida],Tabla3[Equivalencia en Kg],"ELVIS",0)</f>
        <v>3.6899384713874168</v>
      </c>
      <c r="M299">
        <v>3619.46</v>
      </c>
      <c r="N299" s="2">
        <f>(Tabla2[[#This Row],[Productividad (kg/TAS)]]*Tabla2[[#This Row],[Precio por kg]]-Tabla2[[#This Row],[Costos (En RD$/Tarea)]])</f>
        <v>-3271.4088957816775</v>
      </c>
      <c r="O299" s="6">
        <f>IF(Tabla2[[#This Row],[Costos (En RD$/Tarea)]]=0,0,Tabla2[[#This Row],[Beneficio Neto  (En RD$/Tarea)]]/Tabla2[[#This Row],[Costos (En RD$/Tarea)]])</f>
        <v>-0.90383894166026912</v>
      </c>
      <c r="P299" s="4">
        <f>Tabla2[[#This Row],[Rentabilidad (%)]]/12</f>
        <v>-7.5319911805022427E-2</v>
      </c>
    </row>
    <row r="300" spans="1:16" x14ac:dyDescent="0.35">
      <c r="A300" s="1">
        <v>37257</v>
      </c>
      <c r="B300" t="s">
        <v>30</v>
      </c>
      <c r="C300" s="2">
        <v>240255</v>
      </c>
      <c r="D300" s="2" t="s">
        <v>31</v>
      </c>
      <c r="E300" s="2">
        <f>IF(Tabla2[[#This Row],[Frecuencia]]="Annual", Tabla2[[#This Row],[Cosecha/Tarea]]/12,Tabla2[[#This Row],[Cosecha/Tarea]])</f>
        <v>20021.25</v>
      </c>
      <c r="F300" s="2">
        <v>1461836</v>
      </c>
      <c r="G300" t="s">
        <v>32</v>
      </c>
      <c r="H300">
        <f>F300/Tabla2[[#This Row],[Cosecha Mensual]]</f>
        <v>73.014222388712</v>
      </c>
      <c r="I300">
        <f>H300*_xlfn.XLOOKUP(Tabla2[[#This Row],[Unidad de producción]],Tabla3[Medida],Tabla3[Equivalencia en Kg],"ELVIS",0)</f>
        <v>1986.7169911968535</v>
      </c>
      <c r="J300">
        <v>27.365714285714301</v>
      </c>
      <c r="K300" t="s">
        <v>32</v>
      </c>
      <c r="L300" s="7">
        <f>J300/_xlfn.XLOOKUP(Tabla2[[#This Row],[Unidad de precio]],Tabla3[Medida],Tabla3[Equivalencia en Kg],"ELVIS",0)</f>
        <v>1.0057226859872952</v>
      </c>
      <c r="M300" s="2">
        <v>3727.21</v>
      </c>
      <c r="N300" s="2">
        <f>(Tabla2[[#This Row],[Productividad (kg/TAS)]]*Tabla2[[#This Row],[Precio por kg]]-Tabla2[[#This Row],[Costos (En RD$/Tarea)]])</f>
        <v>-1729.1236513169031</v>
      </c>
      <c r="O300" s="6">
        <f>IF(Tabla2[[#This Row],[Costos (En RD$/Tarea)]]=0,0,Tabla2[[#This Row],[Beneficio Neto  (En RD$/Tarea)]]/Tabla2[[#This Row],[Costos (En RD$/Tarea)]])</f>
        <v>-0.46391903094188497</v>
      </c>
      <c r="P300" s="4">
        <f>Tabla2[[#This Row],[Rentabilidad (%)]]/12</f>
        <v>-3.8659919245157083E-2</v>
      </c>
    </row>
    <row r="301" spans="1:16" x14ac:dyDescent="0.35">
      <c r="A301" s="1">
        <v>37257</v>
      </c>
      <c r="B301" t="s">
        <v>33</v>
      </c>
      <c r="C301" s="2">
        <v>556294</v>
      </c>
      <c r="D301" s="2" t="s">
        <v>31</v>
      </c>
      <c r="E301" s="2">
        <f>IF(Tabla2[[#This Row],[Frecuencia]]="Annual", Tabla2[[#This Row],[Cosecha/Tarea]]/12,Tabla2[[#This Row],[Cosecha/Tarea]])</f>
        <v>46357.833333333336</v>
      </c>
      <c r="F301" s="2">
        <v>82768</v>
      </c>
      <c r="G301" t="s">
        <v>34</v>
      </c>
      <c r="H301">
        <f>F301/Tabla2[[#This Row],[Cosecha Mensual]]</f>
        <v>1.7854156255505182</v>
      </c>
      <c r="I301">
        <f>H301*_xlfn.XLOOKUP(Tabla2[[#This Row],[Unidad de producción]],Tabla3[Medida],Tabla3[Equivalencia en Kg],"ELVIS",0)</f>
        <v>728.717387568444</v>
      </c>
      <c r="J301">
        <v>1312.4471428571401</v>
      </c>
      <c r="K301" t="s">
        <v>34</v>
      </c>
      <c r="L301">
        <f>J301/_xlfn.XLOOKUP(Tabla2[[#This Row],[Unidad de precio]],Tabla3[Medida],Tabla3[Equivalencia en Kg],"ELVIS",0)</f>
        <v>3.2156000070002211</v>
      </c>
      <c r="M301" s="2">
        <v>3949.84</v>
      </c>
      <c r="N301" s="2">
        <f>(Tabla2[[#This Row],[Productividad (kg/TAS)]]*Tabla2[[#This Row],[Precio por kg]]-Tabla2[[#This Row],[Costos (En RD$/Tarea)]])</f>
        <v>-1606.5763634337286</v>
      </c>
      <c r="O301" s="6">
        <f>IF(Tabla2[[#This Row],[Costos (En RD$/Tarea)]]=0,0,Tabla2[[#This Row],[Beneficio Neto  (En RD$/Tarea)]]/Tabla2[[#This Row],[Costos (En RD$/Tarea)]])</f>
        <v>-0.40674466900778983</v>
      </c>
      <c r="P301" s="4">
        <f>Tabla2[[#This Row],[Rentabilidad (%)]]/12</f>
        <v>-3.3895389083982486E-2</v>
      </c>
    </row>
    <row r="302" spans="1:16" x14ac:dyDescent="0.35">
      <c r="A302" s="1">
        <v>37288</v>
      </c>
      <c r="B302" t="s">
        <v>16</v>
      </c>
      <c r="C302" s="2">
        <v>28533</v>
      </c>
      <c r="D302" s="5" t="s">
        <v>17</v>
      </c>
      <c r="E302" s="2">
        <f>IF(Tabla2[[#This Row],[Frecuencia]]="Annual", Tabla2[[#This Row],[Cosecha/Tarea]]/12,Tabla2[[#This Row],[Cosecha/Tarea]])</f>
        <v>28533</v>
      </c>
      <c r="F302" s="2">
        <v>106976</v>
      </c>
      <c r="G302" t="s">
        <v>18</v>
      </c>
      <c r="H302">
        <f>F302/Tabla2[[#This Row],[Cosecha Mensual]]</f>
        <v>3.749202677601374</v>
      </c>
      <c r="I302">
        <f>H302*_xlfn.XLOOKUP(Tabla2[[#This Row],[Unidad de producción]],Tabla3[Medida],Tabla3[Equivalencia en Kg],"ELVIS",0)</f>
        <v>170.06383345599832</v>
      </c>
      <c r="J302">
        <v>854.95049504950498</v>
      </c>
      <c r="K302" t="s">
        <v>19</v>
      </c>
      <c r="L302">
        <f>J302/_xlfn.XLOOKUP(Tabla2[[#This Row],[Unidad de precio]],Tabla3[Medida],Tabla3[Equivalencia en Kg],"ELVIS",0)</f>
        <v>7.772277227722773</v>
      </c>
      <c r="M302">
        <v>1921.06</v>
      </c>
      <c r="N302" s="2">
        <f>(Tabla2[[#This Row],[Productividad (kg/TAS)]]*Tabla2[[#This Row],[Precio por kg]]-Tabla2[[#This Row],[Costos (En RD$/Tarea)]])</f>
        <v>-599.27673997070588</v>
      </c>
      <c r="O302" s="6">
        <f>IF(Tabla2[[#This Row],[Costos (En RD$/Tarea)]]=0,0,Tabla2[[#This Row],[Beneficio Neto  (En RD$/Tarea)]]/Tabla2[[#This Row],[Costos (En RD$/Tarea)]])</f>
        <v>-0.31195107907650249</v>
      </c>
      <c r="P302" s="4">
        <f>Tabla2[[#This Row],[Rentabilidad (%)]]/12</f>
        <v>-2.5995923256375206E-2</v>
      </c>
    </row>
    <row r="303" spans="1:16" x14ac:dyDescent="0.35">
      <c r="A303" s="1">
        <v>37288</v>
      </c>
      <c r="B303" t="s">
        <v>20</v>
      </c>
      <c r="C303" s="2">
        <v>19319</v>
      </c>
      <c r="D303" s="5" t="s">
        <v>17</v>
      </c>
      <c r="E303" s="2">
        <f>IF(Tabla2[[#This Row],[Frecuencia]]="Annual", Tabla2[[#This Row],[Cosecha/Tarea]]/12,Tabla2[[#This Row],[Cosecha/Tarea]])</f>
        <v>19319</v>
      </c>
      <c r="F303" s="2">
        <v>28794</v>
      </c>
      <c r="G303" t="s">
        <v>18</v>
      </c>
      <c r="H303">
        <f>F303/Tabla2[[#This Row],[Cosecha Mensual]]</f>
        <v>1.4904498162430768</v>
      </c>
      <c r="I303">
        <f>H303*_xlfn.XLOOKUP(Tabla2[[#This Row],[Unidad de producción]],Tabla3[Medida],Tabla3[Equivalencia en Kg],"ELVIS",0)</f>
        <v>67.606803664785957</v>
      </c>
      <c r="J303">
        <v>132.37109599999999</v>
      </c>
      <c r="K303" t="s">
        <v>18</v>
      </c>
      <c r="L303">
        <f>J303/_xlfn.XLOOKUP(Tabla2[[#This Row],[Unidad de precio]],Tabla3[Medida],Tabla3[Equivalencia en Kg],"ELVIS",0)</f>
        <v>2.9182340388007053</v>
      </c>
      <c r="M303">
        <v>531.93499999999995</v>
      </c>
      <c r="N303" s="2">
        <f>(Tabla2[[#This Row],[Productividad (kg/TAS)]]*Tabla2[[#This Row],[Precio por kg]]-Tabla2[[#This Row],[Costos (En RD$/Tarea)]])</f>
        <v>-334.64252429090527</v>
      </c>
      <c r="O303" s="6">
        <f>IF(Tabla2[[#This Row],[Costos (En RD$/Tarea)]]=0,0,Tabla2[[#This Row],[Beneficio Neto  (En RD$/Tarea)]]/Tabla2[[#This Row],[Costos (En RD$/Tarea)]])</f>
        <v>-0.62910416552944493</v>
      </c>
      <c r="P303" s="4">
        <f>Tabla2[[#This Row],[Rentabilidad (%)]]/12</f>
        <v>-5.2425347127453746E-2</v>
      </c>
    </row>
    <row r="304" spans="1:16" x14ac:dyDescent="0.35">
      <c r="A304" s="1">
        <v>37288</v>
      </c>
      <c r="B304" t="s">
        <v>21</v>
      </c>
      <c r="C304" s="2">
        <v>6841</v>
      </c>
      <c r="D304" s="5" t="s">
        <v>17</v>
      </c>
      <c r="E304" s="2">
        <f>IF(Tabla2[[#This Row],[Frecuencia]]="Annual", Tabla2[[#This Row],[Cosecha/Tarea]]/12,Tabla2[[#This Row],[Cosecha/Tarea]])</f>
        <v>6841</v>
      </c>
      <c r="F304" s="2">
        <v>55481</v>
      </c>
      <c r="G304" t="s">
        <v>18</v>
      </c>
      <c r="H304">
        <f>F304/Tabla2[[#This Row],[Cosecha Mensual]]</f>
        <v>8.1100716269551238</v>
      </c>
      <c r="I304">
        <f>H304*_xlfn.XLOOKUP(Tabla2[[#This Row],[Unidad de producción]],Tabla3[Medida],Tabla3[Equivalencia en Kg],"ELVIS",0)</f>
        <v>367.87284899868439</v>
      </c>
      <c r="J304">
        <v>154.66714285714301</v>
      </c>
      <c r="K304" t="s">
        <v>18</v>
      </c>
      <c r="L304">
        <f>J304/_xlfn.XLOOKUP(Tabla2[[#This Row],[Unidad de precio]],Tabla3[Medida],Tabla3[Equivalencia en Kg],"ELVIS",0)</f>
        <v>3.4097694633408953</v>
      </c>
      <c r="M304">
        <v>945.93</v>
      </c>
      <c r="N304" s="2">
        <f>(Tabla2[[#This Row],[Productividad (kg/TAS)]]*Tabla2[[#This Row],[Precio por kg]]-Tabla2[[#This Row],[Costos (En RD$/Tarea)]])</f>
        <v>308.43160690793036</v>
      </c>
      <c r="O304" s="6">
        <f>IF(Tabla2[[#This Row],[Costos (En RD$/Tarea)]]=0,0,Tabla2[[#This Row],[Beneficio Neto  (En RD$/Tarea)]]/Tabla2[[#This Row],[Costos (En RD$/Tarea)]])</f>
        <v>0.32606176662959246</v>
      </c>
      <c r="P304" s="4">
        <f>Tabla2[[#This Row],[Rentabilidad (%)]]/12</f>
        <v>2.7171813885799371E-2</v>
      </c>
    </row>
    <row r="305" spans="1:16" x14ac:dyDescent="0.35">
      <c r="A305" s="1">
        <v>37288</v>
      </c>
      <c r="B305" t="s">
        <v>22</v>
      </c>
      <c r="C305" s="2">
        <v>3497</v>
      </c>
      <c r="D305" s="5" t="s">
        <v>17</v>
      </c>
      <c r="E305" s="2">
        <f>IF(Tabla2[[#This Row],[Frecuencia]]="Annual", Tabla2[[#This Row],[Cosecha/Tarea]]/12,Tabla2[[#This Row],[Cosecha/Tarea]])</f>
        <v>3497</v>
      </c>
      <c r="F305" s="2">
        <v>31020</v>
      </c>
      <c r="G305" t="s">
        <v>18</v>
      </c>
      <c r="H305">
        <f>F305/Tabla2[[#This Row],[Cosecha Mensual]]</f>
        <v>8.8704603946239633</v>
      </c>
      <c r="I305">
        <f>H305*_xlfn.XLOOKUP(Tabla2[[#This Row],[Unidad de producción]],Tabla3[Medida],Tabla3[Equivalencia en Kg],"ELVIS",0)</f>
        <v>402.36408350014295</v>
      </c>
      <c r="J305">
        <v>341.57857142857199</v>
      </c>
      <c r="K305" t="s">
        <v>18</v>
      </c>
      <c r="L305">
        <f>J305/_xlfn.XLOOKUP(Tabla2[[#This Row],[Unidad de precio]],Tabla3[Medida],Tabla3[Equivalencia en Kg],"ELVIS",0)</f>
        <v>7.5303917863441798</v>
      </c>
      <c r="M305">
        <v>2751.22</v>
      </c>
      <c r="N305" s="2">
        <f>(Tabla2[[#This Row],[Productividad (kg/TAS)]]*Tabla2[[#This Row],[Precio por kg]]-Tabla2[[#This Row],[Costos (En RD$/Tarea)]])</f>
        <v>278.73918950938059</v>
      </c>
      <c r="O305" s="6">
        <f>IF(Tabla2[[#This Row],[Costos (En RD$/Tarea)]]=0,0,Tabla2[[#This Row],[Beneficio Neto  (En RD$/Tarea)]]/Tabla2[[#This Row],[Costos (En RD$/Tarea)]])</f>
        <v>0.10131475836515459</v>
      </c>
      <c r="P305" s="4">
        <f>Tabla2[[#This Row],[Rentabilidad (%)]]/12</f>
        <v>8.4428965304295493E-3</v>
      </c>
    </row>
    <row r="306" spans="1:16" x14ac:dyDescent="0.35">
      <c r="A306" s="1">
        <v>37288</v>
      </c>
      <c r="B306" t="s">
        <v>23</v>
      </c>
      <c r="C306" s="2">
        <v>4396</v>
      </c>
      <c r="D306" s="5" t="s">
        <v>17</v>
      </c>
      <c r="E306" s="2">
        <f>IF(Tabla2[[#This Row],[Frecuencia]]="Annual", Tabla2[[#This Row],[Cosecha/Tarea]]/12,Tabla2[[#This Row],[Cosecha/Tarea]])</f>
        <v>4396</v>
      </c>
      <c r="F306" s="2">
        <v>101519</v>
      </c>
      <c r="G306" t="s">
        <v>18</v>
      </c>
      <c r="H306">
        <f>F306/Tabla2[[#This Row],[Cosecha Mensual]]</f>
        <v>23.093494085532303</v>
      </c>
      <c r="I306">
        <f>H306*_xlfn.XLOOKUP(Tabla2[[#This Row],[Unidad de producción]],Tabla3[Medida],Tabla3[Equivalencia en Kg],"ELVIS",0)</f>
        <v>1047.5208917197454</v>
      </c>
      <c r="J306">
        <v>254.45</v>
      </c>
      <c r="K306" t="s">
        <v>18</v>
      </c>
      <c r="L306">
        <f>J306/_xlfn.XLOOKUP(Tabla2[[#This Row],[Unidad de precio]],Tabla3[Medida],Tabla3[Equivalencia en Kg],"ELVIS",0)</f>
        <v>5.6095679012345681</v>
      </c>
      <c r="M306">
        <v>5786.34</v>
      </c>
      <c r="N306" s="2">
        <f>(Tabla2[[#This Row],[Productividad (kg/TAS)]]*Tabla2[[#This Row],[Precio por kg]]-Tabla2[[#This Row],[Costos (En RD$/Tarea)]])</f>
        <v>89.799570063694773</v>
      </c>
      <c r="O306" s="6">
        <f>IF(Tabla2[[#This Row],[Costos (En RD$/Tarea)]]=0,0,Tabla2[[#This Row],[Beneficio Neto  (En RD$/Tarea)]]/Tabla2[[#This Row],[Costos (En RD$/Tarea)]])</f>
        <v>1.5519234967819861E-2</v>
      </c>
      <c r="P306" s="4">
        <f>Tabla2[[#This Row],[Rentabilidad (%)]]/12</f>
        <v>1.2932695806516551E-3</v>
      </c>
    </row>
    <row r="307" spans="1:16" x14ac:dyDescent="0.35">
      <c r="A307" s="1">
        <v>37288</v>
      </c>
      <c r="B307" t="s">
        <v>24</v>
      </c>
      <c r="C307" s="2">
        <v>7506</v>
      </c>
      <c r="D307" s="5" t="s">
        <v>17</v>
      </c>
      <c r="E307" s="2">
        <f>IF(Tabla2[[#This Row],[Frecuencia]]="Annual", Tabla2[[#This Row],[Cosecha/Tarea]]/12,Tabla2[[#This Row],[Cosecha/Tarea]])</f>
        <v>7506</v>
      </c>
      <c r="F307" s="2">
        <v>67366</v>
      </c>
      <c r="G307" t="s">
        <v>18</v>
      </c>
      <c r="H307">
        <f>F307/Tabla2[[#This Row],[Cosecha Mensual]]</f>
        <v>8.9749533706368236</v>
      </c>
      <c r="I307">
        <f>H307*_xlfn.XLOOKUP(Tabla2[[#This Row],[Unidad de producción]],Tabla3[Medida],Tabla3[Equivalencia en Kg],"ELVIS",0)</f>
        <v>407.10388489208634</v>
      </c>
      <c r="J307">
        <v>483.7</v>
      </c>
      <c r="K307" t="s">
        <v>18</v>
      </c>
      <c r="L307">
        <f>J307/_xlfn.XLOOKUP(Tabla2[[#This Row],[Unidad de precio]],Tabla3[Medida],Tabla3[Equivalencia en Kg],"ELVIS",0)</f>
        <v>10.663580246913581</v>
      </c>
      <c r="M307">
        <v>1994.96</v>
      </c>
      <c r="N307" s="2">
        <f>(Tabla2[[#This Row],[Productividad (kg/TAS)]]*Tabla2[[#This Row],[Precio por kg]]-Tabla2[[#This Row],[Costos (En RD$/Tarea)]])</f>
        <v>2346.2249453770319</v>
      </c>
      <c r="O307" s="6">
        <f>IF(Tabla2[[#This Row],[Costos (En RD$/Tarea)]]=0,0,Tabla2[[#This Row],[Beneficio Neto  (En RD$/Tarea)]]/Tabla2[[#This Row],[Costos (En RD$/Tarea)]])</f>
        <v>1.1760761846738941</v>
      </c>
      <c r="P307" s="4">
        <f>Tabla2[[#This Row],[Rentabilidad (%)]]/12</f>
        <v>9.8006348722824502E-2</v>
      </c>
    </row>
    <row r="308" spans="1:16" x14ac:dyDescent="0.35">
      <c r="A308" s="1">
        <v>37288</v>
      </c>
      <c r="B308" t="s">
        <v>25</v>
      </c>
      <c r="C308" s="2">
        <v>27478</v>
      </c>
      <c r="D308" s="5" t="s">
        <v>17</v>
      </c>
      <c r="E308" s="2">
        <f>IF(Tabla2[[#This Row],[Frecuencia]]="Annual", Tabla2[[#This Row],[Cosecha/Tarea]]/12,Tabla2[[#This Row],[Cosecha/Tarea]])</f>
        <v>27478</v>
      </c>
      <c r="F308" s="2">
        <v>253771</v>
      </c>
      <c r="G308" t="s">
        <v>18</v>
      </c>
      <c r="H308">
        <f>F308/Tabla2[[#This Row],[Cosecha Mensual]]</f>
        <v>9.2354247033990831</v>
      </c>
      <c r="I308">
        <f>H308*_xlfn.XLOOKUP(Tabla2[[#This Row],[Unidad de producción]],Tabla3[Medida],Tabla3[Equivalencia en Kg],"ELVIS",0)</f>
        <v>418.91886454618242</v>
      </c>
      <c r="J308">
        <v>94.831687500000001</v>
      </c>
      <c r="K308" t="s">
        <v>18</v>
      </c>
      <c r="L308">
        <f>J308/_xlfn.XLOOKUP(Tabla2[[#This Row],[Unidad de precio]],Tabla3[Medida],Tabla3[Equivalencia en Kg],"ELVIS",0)</f>
        <v>2.0906456679894179</v>
      </c>
      <c r="M308">
        <v>966.8</v>
      </c>
      <c r="N308" s="2">
        <f>(Tabla2[[#This Row],[Productividad (kg/TAS)]]*Tabla2[[#This Row],[Precio por kg]]-Tabla2[[#This Row],[Costos (En RD$/Tarea)]])</f>
        <v>-90.989090597477912</v>
      </c>
      <c r="O308" s="6">
        <f>IF(Tabla2[[#This Row],[Costos (En RD$/Tarea)]]=0,0,Tabla2[[#This Row],[Beneficio Neto  (En RD$/Tarea)]]/Tabla2[[#This Row],[Costos (En RD$/Tarea)]])</f>
        <v>-9.4113664250597764E-2</v>
      </c>
      <c r="P308" s="4">
        <f>Tabla2[[#This Row],[Rentabilidad (%)]]/12</f>
        <v>-7.8428053542164804E-3</v>
      </c>
    </row>
    <row r="309" spans="1:16" x14ac:dyDescent="0.35">
      <c r="A309" s="1">
        <v>37288</v>
      </c>
      <c r="B309" t="s">
        <v>26</v>
      </c>
      <c r="C309" s="2">
        <v>7882</v>
      </c>
      <c r="D309" s="5" t="s">
        <v>17</v>
      </c>
      <c r="E309" s="2">
        <f>IF(Tabla2[[#This Row],[Frecuencia]]="Annual", Tabla2[[#This Row],[Cosecha/Tarea]]/12,Tabla2[[#This Row],[Cosecha/Tarea]])</f>
        <v>7882</v>
      </c>
      <c r="F309" s="2">
        <v>42631</v>
      </c>
      <c r="G309" t="s">
        <v>18</v>
      </c>
      <c r="H309">
        <f>F309/Tabla2[[#This Row],[Cosecha Mensual]]</f>
        <v>5.4086526262369956</v>
      </c>
      <c r="I309">
        <f>H309*_xlfn.XLOOKUP(Tabla2[[#This Row],[Unidad de producción]],Tabla3[Medida],Tabla3[Equivalencia en Kg],"ELVIS",0)</f>
        <v>245.33648312611012</v>
      </c>
      <c r="J309">
        <v>182.72571428571399</v>
      </c>
      <c r="K309" t="s">
        <v>18</v>
      </c>
      <c r="L309">
        <f>J309/_xlfn.XLOOKUP(Tabla2[[#This Row],[Unidad de precio]],Tabla3[Medida],Tabla3[Equivalencia en Kg],"ELVIS",0)</f>
        <v>4.0283446712018076</v>
      </c>
      <c r="M309">
        <v>360.52</v>
      </c>
      <c r="N309" s="2">
        <f>(Tabla2[[#This Row],[Productividad (kg/TAS)]]*Tabla2[[#This Row],[Precio por kg]]-Tabla2[[#This Row],[Costos (En RD$/Tarea)]])</f>
        <v>627.77991445245789</v>
      </c>
      <c r="O309" s="6">
        <f>IF(Tabla2[[#This Row],[Costos (En RD$/Tarea)]]=0,0,Tabla2[[#This Row],[Beneficio Neto  (En RD$/Tarea)]]/Tabla2[[#This Row],[Costos (En RD$/Tarea)]])</f>
        <v>1.7413178587941249</v>
      </c>
      <c r="P309" s="4">
        <f>Tabla2[[#This Row],[Rentabilidad (%)]]/12</f>
        <v>0.14510982156617708</v>
      </c>
    </row>
    <row r="310" spans="1:16" x14ac:dyDescent="0.35">
      <c r="A310" s="1">
        <v>37288</v>
      </c>
      <c r="B310" t="s">
        <v>27</v>
      </c>
      <c r="C310" s="2">
        <v>3978</v>
      </c>
      <c r="D310" s="5" t="s">
        <v>17</v>
      </c>
      <c r="E310" s="2">
        <f>IF(Tabla2[[#This Row],[Frecuencia]]="Annual", Tabla2[[#This Row],[Cosecha/Tarea]]/12,Tabla2[[#This Row],[Cosecha/Tarea]])</f>
        <v>3978</v>
      </c>
      <c r="F310" s="2">
        <v>32616</v>
      </c>
      <c r="G310" t="s">
        <v>18</v>
      </c>
      <c r="H310">
        <f>F310/Tabla2[[#This Row],[Cosecha Mensual]]</f>
        <v>8.1990950226244337</v>
      </c>
      <c r="I310">
        <f>H310*_xlfn.XLOOKUP(Tabla2[[#This Row],[Unidad de producción]],Tabla3[Medida],Tabla3[Equivalencia en Kg],"ELVIS",0)</f>
        <v>371.91095022624432</v>
      </c>
      <c r="J310">
        <v>185.202857142857</v>
      </c>
      <c r="K310" t="s">
        <v>18</v>
      </c>
      <c r="L310">
        <f>J310/_xlfn.XLOOKUP(Tabla2[[#This Row],[Unidad de precio]],Tabla3[Medida],Tabla3[Equivalencia en Kg],"ELVIS",0)</f>
        <v>4.0829554043839726</v>
      </c>
      <c r="M310">
        <v>2321.75</v>
      </c>
      <c r="N310" s="2">
        <f>(Tabla2[[#This Row],[Productividad (kg/TAS)]]*Tabla2[[#This Row],[Precio por kg]]-Tabla2[[#This Row],[Costos (En RD$/Tarea)]])</f>
        <v>-803.25417582417708</v>
      </c>
      <c r="O310" s="6">
        <f>IF(Tabla2[[#This Row],[Costos (En RD$/Tarea)]]=0,0,Tabla2[[#This Row],[Beneficio Neto  (En RD$/Tarea)]]/Tabla2[[#This Row],[Costos (En RD$/Tarea)]])</f>
        <v>-0.34596927999318494</v>
      </c>
      <c r="P310" s="4">
        <f>Tabla2[[#This Row],[Rentabilidad (%)]]/12</f>
        <v>-2.8830773332765413E-2</v>
      </c>
    </row>
    <row r="311" spans="1:16" x14ac:dyDescent="0.35">
      <c r="A311" s="1">
        <v>37288</v>
      </c>
      <c r="B311" t="s">
        <v>28</v>
      </c>
      <c r="C311" s="2">
        <v>13507</v>
      </c>
      <c r="D311" s="5" t="s">
        <v>17</v>
      </c>
      <c r="E311" s="2">
        <f>IF(Tabla2[[#This Row],[Frecuencia]]="Annual", Tabla2[[#This Row],[Cosecha/Tarea]]/12,Tabla2[[#This Row],[Cosecha/Tarea]])</f>
        <v>13507</v>
      </c>
      <c r="F311" s="2">
        <v>19797</v>
      </c>
      <c r="G311" t="s">
        <v>18</v>
      </c>
      <c r="H311">
        <f>F311/Tabla2[[#This Row],[Cosecha Mensual]]</f>
        <v>1.4656844599096766</v>
      </c>
      <c r="I311">
        <f>H311*_xlfn.XLOOKUP(Tabla2[[#This Row],[Unidad de producción]],Tabla3[Medida],Tabla3[Equivalencia en Kg],"ELVIS",0)</f>
        <v>66.483447101502932</v>
      </c>
      <c r="J311">
        <v>2991.6</v>
      </c>
      <c r="K311" t="s">
        <v>29</v>
      </c>
      <c r="L311">
        <f>J311/_xlfn.XLOOKUP(Tabla2[[#This Row],[Unidad de precio]],Tabla3[Medida],Tabla3[Equivalencia en Kg],"ELVIS",0)</f>
        <v>5.319913219760287</v>
      </c>
      <c r="M311">
        <v>3619.46</v>
      </c>
      <c r="N311" s="2">
        <f>(Tabla2[[#This Row],[Productividad (kg/TAS)]]*Tabla2[[#This Row],[Precio por kg]]-Tabla2[[#This Row],[Costos (En RD$/Tarea)]])</f>
        <v>-3265.7738308694807</v>
      </c>
      <c r="O311" s="6">
        <f>IF(Tabla2[[#This Row],[Costos (En RD$/Tarea)]]=0,0,Tabla2[[#This Row],[Beneficio Neto  (En RD$/Tarea)]]/Tabla2[[#This Row],[Costos (En RD$/Tarea)]])</f>
        <v>-0.90228206165269975</v>
      </c>
      <c r="P311" s="4">
        <f>Tabla2[[#This Row],[Rentabilidad (%)]]/12</f>
        <v>-7.5190171804391651E-2</v>
      </c>
    </row>
    <row r="312" spans="1:16" x14ac:dyDescent="0.35">
      <c r="A312" s="1">
        <v>37288</v>
      </c>
      <c r="B312" t="s">
        <v>30</v>
      </c>
      <c r="C312" s="2">
        <v>250801</v>
      </c>
      <c r="D312" s="2" t="s">
        <v>31</v>
      </c>
      <c r="E312" s="2">
        <f>IF(Tabla2[[#This Row],[Frecuencia]]="Annual", Tabla2[[#This Row],[Cosecha/Tarea]]/12,Tabla2[[#This Row],[Cosecha/Tarea]])</f>
        <v>20900.083333333332</v>
      </c>
      <c r="F312" s="2">
        <v>1496606</v>
      </c>
      <c r="G312" t="s">
        <v>32</v>
      </c>
      <c r="H312">
        <f>F312/Tabla2[[#This Row],[Cosecha Mensual]]</f>
        <v>71.607657066758108</v>
      </c>
      <c r="I312">
        <f>H312*_xlfn.XLOOKUP(Tabla2[[#This Row],[Unidad de producción]],Tabla3[Medida],Tabla3[Equivalencia en Kg],"ELVIS",0)</f>
        <v>1948.4443487864883</v>
      </c>
      <c r="J312">
        <v>27.8333333333333</v>
      </c>
      <c r="K312" t="s">
        <v>32</v>
      </c>
      <c r="L312">
        <f>J312/_xlfn.XLOOKUP(Tabla2[[#This Row],[Unidad de precio]],Tabla3[Medida],Tabla3[Equivalencia en Kg],"ELVIS",0)</f>
        <v>1.0229082445179456</v>
      </c>
      <c r="M312" s="2">
        <v>3727.21</v>
      </c>
      <c r="N312" s="2">
        <f>(Tabla2[[#This Row],[Productividad (kg/TAS)]]*Tabla2[[#This Row],[Precio por kg]]-Tabla2[[#This Row],[Costos (En RD$/Tarea)]])</f>
        <v>-1734.1302116419017</v>
      </c>
      <c r="O312" s="6">
        <f>IF(Tabla2[[#This Row],[Costos (En RD$/Tarea)]]=0,0,Tabla2[[#This Row],[Beneficio Neto  (En RD$/Tarea)]]/Tabla2[[#This Row],[Costos (En RD$/Tarea)]])</f>
        <v>-0.46526227704956302</v>
      </c>
      <c r="P312" s="4">
        <f>Tabla2[[#This Row],[Rentabilidad (%)]]/12</f>
        <v>-3.8771856420796919E-2</v>
      </c>
    </row>
    <row r="313" spans="1:16" x14ac:dyDescent="0.35">
      <c r="A313" s="1">
        <v>37288</v>
      </c>
      <c r="B313" t="s">
        <v>33</v>
      </c>
      <c r="C313" s="2">
        <v>668706</v>
      </c>
      <c r="D313" s="2" t="s">
        <v>31</v>
      </c>
      <c r="E313" s="2">
        <f>IF(Tabla2[[#This Row],[Frecuencia]]="Annual", Tabla2[[#This Row],[Cosecha/Tarea]]/12,Tabla2[[#This Row],[Cosecha/Tarea]])</f>
        <v>55725.5</v>
      </c>
      <c r="F313" s="2">
        <v>97297</v>
      </c>
      <c r="G313" t="s">
        <v>34</v>
      </c>
      <c r="H313">
        <f>F313/Tabla2[[#This Row],[Cosecha Mensual]]</f>
        <v>1.7460049707943401</v>
      </c>
      <c r="I313">
        <f>H313*_xlfn.XLOOKUP(Tabla2[[#This Row],[Unidad de producción]],Tabla3[Medida],Tabla3[Equivalencia en Kg],"ELVIS",0)</f>
        <v>712.63192882970986</v>
      </c>
      <c r="J313">
        <v>1169.89106666667</v>
      </c>
      <c r="K313" t="s">
        <v>34</v>
      </c>
      <c r="L313">
        <f>J313/_xlfn.XLOOKUP(Tabla2[[#This Row],[Unidad de precio]],Tabla3[Medida],Tabla3[Equivalencia en Kg],"ELVIS",0)</f>
        <v>2.8663262689370819</v>
      </c>
      <c r="M313" s="2">
        <v>3949.84</v>
      </c>
      <c r="N313" s="2">
        <f>(Tabla2[[#This Row],[Productividad (kg/TAS)]]*Tabla2[[#This Row],[Precio por kg]]-Tabla2[[#This Row],[Costos (En RD$/Tarea)]])</f>
        <v>-1907.2043823121019</v>
      </c>
      <c r="O313" s="6">
        <f>IF(Tabla2[[#This Row],[Costos (En RD$/Tarea)]]=0,0,Tabla2[[#This Row],[Beneficio Neto  (En RD$/Tarea)]]/Tabla2[[#This Row],[Costos (En RD$/Tarea)]])</f>
        <v>-0.48285611121263183</v>
      </c>
      <c r="P313" s="4">
        <f>Tabla2[[#This Row],[Rentabilidad (%)]]/12</f>
        <v>-4.0238009267719317E-2</v>
      </c>
    </row>
    <row r="314" spans="1:16" x14ac:dyDescent="0.35">
      <c r="A314" s="1">
        <v>37316</v>
      </c>
      <c r="B314" t="s">
        <v>16</v>
      </c>
      <c r="C314" s="2">
        <v>6440</v>
      </c>
      <c r="D314" s="5" t="s">
        <v>17</v>
      </c>
      <c r="E314" s="2">
        <f>IF(Tabla2[[#This Row],[Frecuencia]]="Annual", Tabla2[[#This Row],[Cosecha/Tarea]]/12,Tabla2[[#This Row],[Cosecha/Tarea]])</f>
        <v>6440</v>
      </c>
      <c r="F314" s="2">
        <v>20308</v>
      </c>
      <c r="G314" t="s">
        <v>18</v>
      </c>
      <c r="H314">
        <f>F314/Tabla2[[#This Row],[Cosecha Mensual]]</f>
        <v>3.153416149068323</v>
      </c>
      <c r="I314">
        <f>H314*_xlfn.XLOOKUP(Tabla2[[#This Row],[Unidad de producción]],Tabla3[Medida],Tabla3[Equivalencia en Kg],"ELVIS",0)</f>
        <v>143.03895652173912</v>
      </c>
      <c r="J314">
        <v>821.91419141914196</v>
      </c>
      <c r="K314" t="s">
        <v>19</v>
      </c>
      <c r="L314">
        <f>J314/_xlfn.XLOOKUP(Tabla2[[#This Row],[Unidad de precio]],Tabla3[Medida],Tabla3[Equivalencia en Kg],"ELVIS",0)</f>
        <v>7.4719471947194727</v>
      </c>
      <c r="M314">
        <v>1921.06</v>
      </c>
      <c r="N314" s="2">
        <f>(Tabla2[[#This Row],[Productividad (kg/TAS)]]*Tabla2[[#This Row],[Precio por kg]]-Tabla2[[#This Row],[Costos (En RD$/Tarea)]])</f>
        <v>-852.28047008179078</v>
      </c>
      <c r="O314" s="6">
        <f>IF(Tabla2[[#This Row],[Costos (En RD$/Tarea)]]=0,0,Tabla2[[#This Row],[Beneficio Neto  (En RD$/Tarea)]]/Tabla2[[#This Row],[Costos (En RD$/Tarea)]])</f>
        <v>-0.44365114576420872</v>
      </c>
      <c r="P314" s="4">
        <f>Tabla2[[#This Row],[Rentabilidad (%)]]/12</f>
        <v>-3.6970928813684058E-2</v>
      </c>
    </row>
    <row r="315" spans="1:16" x14ac:dyDescent="0.35">
      <c r="A315" s="1">
        <v>37316</v>
      </c>
      <c r="B315" t="s">
        <v>20</v>
      </c>
      <c r="C315" s="2">
        <v>25926</v>
      </c>
      <c r="D315" s="5" t="s">
        <v>17</v>
      </c>
      <c r="E315" s="2">
        <f>IF(Tabla2[[#This Row],[Frecuencia]]="Annual", Tabla2[[#This Row],[Cosecha/Tarea]]/12,Tabla2[[#This Row],[Cosecha/Tarea]])</f>
        <v>25926</v>
      </c>
      <c r="F315" s="2">
        <v>52980</v>
      </c>
      <c r="G315" t="s">
        <v>18</v>
      </c>
      <c r="H315">
        <f>F315/Tabla2[[#This Row],[Cosecha Mensual]]</f>
        <v>2.0435084471187226</v>
      </c>
      <c r="I315">
        <f>H315*_xlfn.XLOOKUP(Tabla2[[#This Row],[Unidad de producción]],Tabla3[Medida],Tabla3[Equivalencia en Kg],"ELVIS",0)</f>
        <v>92.693543161305257</v>
      </c>
      <c r="J315">
        <v>117.74144250000001</v>
      </c>
      <c r="K315" t="s">
        <v>18</v>
      </c>
      <c r="L315">
        <f>J315/_xlfn.XLOOKUP(Tabla2[[#This Row],[Unidad de precio]],Tabla3[Medida],Tabla3[Equivalencia en Kg],"ELVIS",0)</f>
        <v>2.5957108134920635</v>
      </c>
      <c r="M315">
        <v>531.93499999999995</v>
      </c>
      <c r="N315" s="2">
        <f>(Tabla2[[#This Row],[Productividad (kg/TAS)]]*Tabla2[[#This Row],[Precio por kg]]-Tabla2[[#This Row],[Costos (En RD$/Tarea)]])</f>
        <v>-291.32936767530657</v>
      </c>
      <c r="O315" s="6">
        <f>IF(Tabla2[[#This Row],[Costos (En RD$/Tarea)]]=0,0,Tabla2[[#This Row],[Beneficio Neto  (En RD$/Tarea)]]/Tabla2[[#This Row],[Costos (En RD$/Tarea)]])</f>
        <v>-0.54767850898193693</v>
      </c>
      <c r="P315" s="4">
        <f>Tabla2[[#This Row],[Rentabilidad (%)]]/12</f>
        <v>-4.5639875748494742E-2</v>
      </c>
    </row>
    <row r="316" spans="1:16" x14ac:dyDescent="0.35">
      <c r="A316" s="1">
        <v>37316</v>
      </c>
      <c r="B316" t="s">
        <v>21</v>
      </c>
      <c r="C316" s="2">
        <v>7671</v>
      </c>
      <c r="D316" s="5" t="s">
        <v>17</v>
      </c>
      <c r="E316" s="2">
        <f>IF(Tabla2[[#This Row],[Frecuencia]]="Annual", Tabla2[[#This Row],[Cosecha/Tarea]]/12,Tabla2[[#This Row],[Cosecha/Tarea]])</f>
        <v>7671</v>
      </c>
      <c r="F316" s="2">
        <v>61537</v>
      </c>
      <c r="G316" t="s">
        <v>18</v>
      </c>
      <c r="H316">
        <f>F316/Tabla2[[#This Row],[Cosecha Mensual]]</f>
        <v>8.0220310259418586</v>
      </c>
      <c r="I316">
        <f>H316*_xlfn.XLOOKUP(Tabla2[[#This Row],[Unidad de producción]],Tabla3[Medida],Tabla3[Equivalencia en Kg],"ELVIS",0)</f>
        <v>363.87932733672272</v>
      </c>
      <c r="J316">
        <v>147.03142857142899</v>
      </c>
      <c r="K316" t="s">
        <v>18</v>
      </c>
      <c r="L316">
        <f>J316/_xlfn.XLOOKUP(Tabla2[[#This Row],[Unidad de precio]],Tabla3[Medida],Tabla3[Equivalencia en Kg],"ELVIS",0)</f>
        <v>3.2414336104812387</v>
      </c>
      <c r="M316">
        <v>945.93</v>
      </c>
      <c r="N316" s="2">
        <f>(Tabla2[[#This Row],[Productividad (kg/TAS)]]*Tabla2[[#This Row],[Precio por kg]]-Tabla2[[#This Row],[Costos (En RD$/Tarea)]])</f>
        <v>233.56068178855764</v>
      </c>
      <c r="O316" s="6">
        <f>IF(Tabla2[[#This Row],[Costos (En RD$/Tarea)]]=0,0,Tabla2[[#This Row],[Beneficio Neto  (En RD$/Tarea)]]/Tabla2[[#This Row],[Costos (En RD$/Tarea)]])</f>
        <v>0.24691116867903298</v>
      </c>
      <c r="P316" s="4">
        <f>Tabla2[[#This Row],[Rentabilidad (%)]]/12</f>
        <v>2.0575930723252749E-2</v>
      </c>
    </row>
    <row r="317" spans="1:16" x14ac:dyDescent="0.35">
      <c r="A317" s="1">
        <v>37316</v>
      </c>
      <c r="B317" t="s">
        <v>22</v>
      </c>
      <c r="C317" s="2">
        <v>3823</v>
      </c>
      <c r="D317" s="5" t="s">
        <v>17</v>
      </c>
      <c r="E317" s="2">
        <f>IF(Tabla2[[#This Row],[Frecuencia]]="Annual", Tabla2[[#This Row],[Cosecha/Tarea]]/12,Tabla2[[#This Row],[Cosecha/Tarea]])</f>
        <v>3823</v>
      </c>
      <c r="F317" s="2">
        <v>34906</v>
      </c>
      <c r="G317" t="s">
        <v>18</v>
      </c>
      <c r="H317">
        <f>F317/Tabla2[[#This Row],[Cosecha Mensual]]</f>
        <v>9.1305257651059382</v>
      </c>
      <c r="I317">
        <f>H317*_xlfn.XLOOKUP(Tabla2[[#This Row],[Unidad de producción]],Tabla3[Medida],Tabla3[Equivalencia en Kg],"ELVIS",0)</f>
        <v>414.16064870520535</v>
      </c>
      <c r="J317">
        <v>320.357142857143</v>
      </c>
      <c r="K317" t="s">
        <v>18</v>
      </c>
      <c r="L317">
        <f>J317/_xlfn.XLOOKUP(Tabla2[[#This Row],[Unidad de precio]],Tabla3[Medida],Tabla3[Equivalencia en Kg],"ELVIS",0)</f>
        <v>7.0625472411186729</v>
      </c>
      <c r="M317">
        <v>2751.22</v>
      </c>
      <c r="N317" s="2">
        <f>(Tabla2[[#This Row],[Productividad (kg/TAS)]]*Tabla2[[#This Row],[Precio por kg]]-Tabla2[[#This Row],[Costos (En RD$/Tarea)]])</f>
        <v>173.80914689286828</v>
      </c>
      <c r="O317" s="6">
        <f>IF(Tabla2[[#This Row],[Costos (En RD$/Tarea)]]=0,0,Tabla2[[#This Row],[Beneficio Neto  (En RD$/Tarea)]]/Tabla2[[#This Row],[Costos (En RD$/Tarea)]])</f>
        <v>6.3175299282815733E-2</v>
      </c>
      <c r="P317" s="4">
        <f>Tabla2[[#This Row],[Rentabilidad (%)]]/12</f>
        <v>5.2646082735679778E-3</v>
      </c>
    </row>
    <row r="318" spans="1:16" x14ac:dyDescent="0.35">
      <c r="A318" s="1">
        <v>37316</v>
      </c>
      <c r="B318" t="s">
        <v>23</v>
      </c>
      <c r="C318" s="2">
        <v>2620</v>
      </c>
      <c r="D318" s="5" t="s">
        <v>17</v>
      </c>
      <c r="E318" s="2">
        <f>IF(Tabla2[[#This Row],[Frecuencia]]="Annual", Tabla2[[#This Row],[Cosecha/Tarea]]/12,Tabla2[[#This Row],[Cosecha/Tarea]])</f>
        <v>2620</v>
      </c>
      <c r="F318" s="2">
        <v>51603</v>
      </c>
      <c r="G318" t="s">
        <v>18</v>
      </c>
      <c r="H318">
        <f>F318/Tabla2[[#This Row],[Cosecha Mensual]]</f>
        <v>19.695801526717556</v>
      </c>
      <c r="I318">
        <f>H318*_xlfn.XLOOKUP(Tabla2[[#This Row],[Unidad de producción]],Tabla3[Medida],Tabla3[Equivalencia en Kg],"ELVIS",0)</f>
        <v>893.40155725190834</v>
      </c>
      <c r="J318">
        <v>222.54750000000001</v>
      </c>
      <c r="K318" t="s">
        <v>18</v>
      </c>
      <c r="L318">
        <f>J318/_xlfn.XLOOKUP(Tabla2[[#This Row],[Unidad de precio]],Tabla3[Medida],Tabla3[Equivalencia en Kg],"ELVIS",0)</f>
        <v>4.90625</v>
      </c>
      <c r="M318">
        <v>5786.34</v>
      </c>
      <c r="N318" s="2">
        <f>(Tabla2[[#This Row],[Productividad (kg/TAS)]]*Tabla2[[#This Row],[Precio por kg]]-Tabla2[[#This Row],[Costos (En RD$/Tarea)]])</f>
        <v>-1403.0886097328248</v>
      </c>
      <c r="O318" s="6">
        <f>IF(Tabla2[[#This Row],[Costos (En RD$/Tarea)]]=0,0,Tabla2[[#This Row],[Beneficio Neto  (En RD$/Tarea)]]/Tabla2[[#This Row],[Costos (En RD$/Tarea)]])</f>
        <v>-0.24248291834438088</v>
      </c>
      <c r="P318" s="4">
        <f>Tabla2[[#This Row],[Rentabilidad (%)]]/12</f>
        <v>-2.020690986203174E-2</v>
      </c>
    </row>
    <row r="319" spans="1:16" x14ac:dyDescent="0.35">
      <c r="A319" s="1">
        <v>37316</v>
      </c>
      <c r="B319" t="s">
        <v>24</v>
      </c>
      <c r="C319" s="2">
        <v>9046</v>
      </c>
      <c r="D319" s="5" t="s">
        <v>17</v>
      </c>
      <c r="E319" s="2">
        <f>IF(Tabla2[[#This Row],[Frecuencia]]="Annual", Tabla2[[#This Row],[Cosecha/Tarea]]/12,Tabla2[[#This Row],[Cosecha/Tarea]])</f>
        <v>9046</v>
      </c>
      <c r="F319" s="2">
        <v>113200</v>
      </c>
      <c r="G319" t="s">
        <v>18</v>
      </c>
      <c r="H319">
        <f>F319/Tabla2[[#This Row],[Cosecha Mensual]]</f>
        <v>12.513818262215343</v>
      </c>
      <c r="I319">
        <f>H319*_xlfn.XLOOKUP(Tabla2[[#This Row],[Unidad de producción]],Tabla3[Medida],Tabla3[Equivalencia en Kg],"ELVIS",0)</f>
        <v>567.62679637408792</v>
      </c>
      <c r="J319">
        <v>424.18833333333299</v>
      </c>
      <c r="K319" t="s">
        <v>18</v>
      </c>
      <c r="L319">
        <f>J319/_xlfn.XLOOKUP(Tabla2[[#This Row],[Unidad de precio]],Tabla3[Medida],Tabla3[Equivalencia en Kg],"ELVIS",0)</f>
        <v>9.3515946502057545</v>
      </c>
      <c r="M319">
        <v>1994.96</v>
      </c>
      <c r="N319" s="2">
        <f>(Tabla2[[#This Row],[Productividad (kg/TAS)]]*Tabla2[[#This Row],[Precio por kg]]-Tabla2[[#This Row],[Costos (En RD$/Tarea)]])</f>
        <v>3313.2557122853514</v>
      </c>
      <c r="O319" s="6">
        <f>IF(Tabla2[[#This Row],[Costos (En RD$/Tarea)]]=0,0,Tabla2[[#This Row],[Beneficio Neto  (En RD$/Tarea)]]/Tabla2[[#This Row],[Costos (En RD$/Tarea)]])</f>
        <v>1.6608131051676982</v>
      </c>
      <c r="P319" s="4">
        <f>Tabla2[[#This Row],[Rentabilidad (%)]]/12</f>
        <v>0.13840109209730819</v>
      </c>
    </row>
    <row r="320" spans="1:16" x14ac:dyDescent="0.35">
      <c r="A320" s="1">
        <v>37316</v>
      </c>
      <c r="B320" t="s">
        <v>25</v>
      </c>
      <c r="C320" s="2">
        <v>20766</v>
      </c>
      <c r="D320" s="5" t="s">
        <v>17</v>
      </c>
      <c r="E320" s="2">
        <f>IF(Tabla2[[#This Row],[Frecuencia]]="Annual", Tabla2[[#This Row],[Cosecha/Tarea]]/12,Tabla2[[#This Row],[Cosecha/Tarea]])</f>
        <v>20766</v>
      </c>
      <c r="F320" s="2">
        <v>194928</v>
      </c>
      <c r="G320" t="s">
        <v>18</v>
      </c>
      <c r="H320">
        <f>F320/Tabla2[[#This Row],[Cosecha Mensual]]</f>
        <v>9.3868824039294996</v>
      </c>
      <c r="I320">
        <f>H320*_xlfn.XLOOKUP(Tabla2[[#This Row],[Unidad de producción]],Tabla3[Medida],Tabla3[Equivalencia en Kg],"ELVIS",0)</f>
        <v>425.78898584224208</v>
      </c>
      <c r="J320">
        <v>90.543062500000005</v>
      </c>
      <c r="K320" t="s">
        <v>18</v>
      </c>
      <c r="L320">
        <f>J320/_xlfn.XLOOKUP(Tabla2[[#This Row],[Unidad de precio]],Tabla3[Medida],Tabla3[Equivalencia en Kg],"ELVIS",0)</f>
        <v>1.9960992614638449</v>
      </c>
      <c r="M320">
        <v>966.8</v>
      </c>
      <c r="N320" s="2">
        <f>(Tabla2[[#This Row],[Productividad (kg/TAS)]]*Tabla2[[#This Row],[Precio por kg]]-Tabla2[[#This Row],[Costos (En RD$/Tarea)]])</f>
        <v>-116.88291982086105</v>
      </c>
      <c r="O320" s="6">
        <f>IF(Tabla2[[#This Row],[Costos (En RD$/Tarea)]]=0,0,Tabla2[[#This Row],[Beneficio Neto  (En RD$/Tarea)]]/Tabla2[[#This Row],[Costos (En RD$/Tarea)]])</f>
        <v>-0.12089668992641814</v>
      </c>
      <c r="P320" s="4">
        <f>Tabla2[[#This Row],[Rentabilidad (%)]]/12</f>
        <v>-1.0074724160534844E-2</v>
      </c>
    </row>
    <row r="321" spans="1:16" x14ac:dyDescent="0.35">
      <c r="A321" s="1">
        <v>37316</v>
      </c>
      <c r="B321" t="s">
        <v>26</v>
      </c>
      <c r="C321" s="2">
        <v>6782</v>
      </c>
      <c r="D321" s="5" t="s">
        <v>17</v>
      </c>
      <c r="E321" s="2">
        <f>IF(Tabla2[[#This Row],[Frecuencia]]="Annual", Tabla2[[#This Row],[Cosecha/Tarea]]/12,Tabla2[[#This Row],[Cosecha/Tarea]])</f>
        <v>6782</v>
      </c>
      <c r="F321" s="2">
        <v>34627</v>
      </c>
      <c r="G321" t="s">
        <v>18</v>
      </c>
      <c r="H321">
        <f>F321/Tabla2[[#This Row],[Cosecha Mensual]]</f>
        <v>5.1057210262459449</v>
      </c>
      <c r="I321">
        <f>H321*_xlfn.XLOOKUP(Tabla2[[#This Row],[Unidad de producción]],Tabla3[Medida],Tabla3[Equivalencia en Kg],"ELVIS",0)</f>
        <v>231.59550575051605</v>
      </c>
      <c r="J321">
        <v>186.458333333333</v>
      </c>
      <c r="K321" t="s">
        <v>18</v>
      </c>
      <c r="L321">
        <f>J321/_xlfn.XLOOKUP(Tabla2[[#This Row],[Unidad de precio]],Tabla3[Medida],Tabla3[Equivalencia en Kg],"ELVIS",0)</f>
        <v>4.1106334509112212</v>
      </c>
      <c r="M321">
        <v>360.52</v>
      </c>
      <c r="N321" s="2">
        <f>(Tabla2[[#This Row],[Productividad (kg/TAS)]]*Tabla2[[#This Row],[Precio por kg]]-Tabla2[[#This Row],[Costos (En RD$/Tarea)]])</f>
        <v>591.48423301877335</v>
      </c>
      <c r="O321" s="6">
        <f>IF(Tabla2[[#This Row],[Costos (En RD$/Tarea)]]=0,0,Tabla2[[#This Row],[Beneficio Neto  (En RD$/Tarea)]]/Tabla2[[#This Row],[Costos (En RD$/Tarea)]])</f>
        <v>1.6406419422466809</v>
      </c>
      <c r="P321" s="4">
        <f>Tabla2[[#This Row],[Rentabilidad (%)]]/12</f>
        <v>0.13672016185389008</v>
      </c>
    </row>
    <row r="322" spans="1:16" x14ac:dyDescent="0.35">
      <c r="A322" s="1">
        <v>37316</v>
      </c>
      <c r="B322" t="s">
        <v>27</v>
      </c>
      <c r="C322" s="2">
        <v>3828</v>
      </c>
      <c r="D322" s="5" t="s">
        <v>17</v>
      </c>
      <c r="E322" s="2">
        <f>IF(Tabla2[[#This Row],[Frecuencia]]="Annual", Tabla2[[#This Row],[Cosecha/Tarea]]/12,Tabla2[[#This Row],[Cosecha/Tarea]])</f>
        <v>3828</v>
      </c>
      <c r="F322" s="2">
        <v>38827</v>
      </c>
      <c r="G322" t="s">
        <v>18</v>
      </c>
      <c r="H322">
        <f>F322/Tabla2[[#This Row],[Cosecha Mensual]]</f>
        <v>10.14289446185998</v>
      </c>
      <c r="I322">
        <f>H322*_xlfn.XLOOKUP(Tabla2[[#This Row],[Unidad de producción]],Tabla3[Medida],Tabla3[Equivalencia en Kg],"ELVIS",0)</f>
        <v>460.08169278996866</v>
      </c>
      <c r="J322">
        <v>185.26142857142901</v>
      </c>
      <c r="K322" t="s">
        <v>18</v>
      </c>
      <c r="L322">
        <f>J322/_xlfn.XLOOKUP(Tabla2[[#This Row],[Unidad de precio]],Tabla3[Medida],Tabla3[Equivalencia en Kg],"ELVIS",0)</f>
        <v>4.0842466616276241</v>
      </c>
      <c r="M322">
        <v>2321.75</v>
      </c>
      <c r="N322" s="2">
        <f>(Tabla2[[#This Row],[Productividad (kg/TAS)]]*Tabla2[[#This Row],[Precio por kg]]-Tabla2[[#This Row],[Costos (En RD$/Tarea)]])</f>
        <v>-442.66288214658448</v>
      </c>
      <c r="O322" s="6">
        <f>IF(Tabla2[[#This Row],[Costos (En RD$/Tarea)]]=0,0,Tabla2[[#This Row],[Beneficio Neto  (En RD$/Tarea)]]/Tabla2[[#This Row],[Costos (En RD$/Tarea)]])</f>
        <v>-0.19065915027310626</v>
      </c>
      <c r="P322" s="4">
        <f>Tabla2[[#This Row],[Rentabilidad (%)]]/12</f>
        <v>-1.5888262522758854E-2</v>
      </c>
    </row>
    <row r="323" spans="1:16" x14ac:dyDescent="0.35">
      <c r="A323" s="1">
        <v>37316</v>
      </c>
      <c r="B323" t="s">
        <v>28</v>
      </c>
      <c r="C323" s="2">
        <v>1810</v>
      </c>
      <c r="D323" s="5" t="s">
        <v>17</v>
      </c>
      <c r="E323" s="2">
        <f>IF(Tabla2[[#This Row],[Frecuencia]]="Annual", Tabla2[[#This Row],[Cosecha/Tarea]]/12,Tabla2[[#This Row],[Cosecha/Tarea]])</f>
        <v>1810</v>
      </c>
      <c r="F323" s="2">
        <v>1529</v>
      </c>
      <c r="G323" t="s">
        <v>18</v>
      </c>
      <c r="H323">
        <f>F323/Tabla2[[#This Row],[Cosecha Mensual]]</f>
        <v>0.84475138121546967</v>
      </c>
      <c r="I323">
        <f>H323*_xlfn.XLOOKUP(Tabla2[[#This Row],[Unidad de producción]],Tabla3[Medida],Tabla3[Equivalencia en Kg],"ELVIS",0)</f>
        <v>38.317922651933706</v>
      </c>
      <c r="J323">
        <v>5750</v>
      </c>
      <c r="K323" t="s">
        <v>29</v>
      </c>
      <c r="L323">
        <f>J323/_xlfn.XLOOKUP(Tabla2[[#This Row],[Unidad de precio]],Tabla3[Medida],Tabla3[Equivalencia en Kg],"ELVIS",0)</f>
        <v>10.225130703844648</v>
      </c>
      <c r="M323">
        <v>3619.46</v>
      </c>
      <c r="N323" s="2">
        <f>(Tabla2[[#This Row],[Productividad (kg/TAS)]]*Tabla2[[#This Row],[Precio por kg]]-Tabla2[[#This Row],[Costos (En RD$/Tarea)]])</f>
        <v>-3227.6542325841683</v>
      </c>
      <c r="O323" s="6">
        <f>IF(Tabla2[[#This Row],[Costos (En RD$/Tarea)]]=0,0,Tabla2[[#This Row],[Beneficio Neto  (En RD$/Tarea)]]/Tabla2[[#This Row],[Costos (En RD$/Tarea)]])</f>
        <v>-0.8917502148343035</v>
      </c>
      <c r="P323" s="4">
        <f>Tabla2[[#This Row],[Rentabilidad (%)]]/12</f>
        <v>-7.431251790285863E-2</v>
      </c>
    </row>
    <row r="324" spans="1:16" x14ac:dyDescent="0.35">
      <c r="A324" s="1">
        <v>37316</v>
      </c>
      <c r="B324" t="s">
        <v>30</v>
      </c>
      <c r="C324" s="2">
        <v>249265</v>
      </c>
      <c r="D324" s="2" t="s">
        <v>31</v>
      </c>
      <c r="E324" s="2">
        <f>IF(Tabla2[[#This Row],[Frecuencia]]="Annual", Tabla2[[#This Row],[Cosecha/Tarea]]/12,Tabla2[[#This Row],[Cosecha/Tarea]])</f>
        <v>20772.083333333332</v>
      </c>
      <c r="F324" s="2">
        <v>1547694</v>
      </c>
      <c r="G324" t="s">
        <v>32</v>
      </c>
      <c r="H324">
        <f>F324/Tabla2[[#This Row],[Cosecha Mensual]]</f>
        <v>74.508366597797533</v>
      </c>
      <c r="I324">
        <f>H324*_xlfn.XLOOKUP(Tabla2[[#This Row],[Unidad de producción]],Tabla3[Medida],Tabla3[Equivalencia en Kg],"ELVIS",0)</f>
        <v>2027.3726551260709</v>
      </c>
      <c r="J324">
        <v>26.848749999999999</v>
      </c>
      <c r="K324" t="s">
        <v>32</v>
      </c>
      <c r="L324">
        <f>J324/_xlfn.XLOOKUP(Tabla2[[#This Row],[Unidad de precio]],Tabla3[Medida],Tabla3[Equivalencia en Kg],"ELVIS",0)</f>
        <v>0.98672363101800797</v>
      </c>
      <c r="M324" s="2">
        <v>3727.21</v>
      </c>
      <c r="N324" s="2">
        <f>(Tabla2[[#This Row],[Productividad (kg/TAS)]]*Tabla2[[#This Row],[Precio por kg]]-Tabla2[[#This Row],[Costos (En RD$/Tarea)]])</f>
        <v>-1726.7534923073838</v>
      </c>
      <c r="O324" s="6">
        <f>IF(Tabla2[[#This Row],[Costos (En RD$/Tarea)]]=0,0,Tabla2[[#This Row],[Beneficio Neto  (En RD$/Tarea)]]/Tabla2[[#This Row],[Costos (En RD$/Tarea)]])</f>
        <v>-0.46328312392040799</v>
      </c>
      <c r="P324" s="4">
        <f>Tabla2[[#This Row],[Rentabilidad (%)]]/12</f>
        <v>-3.8606926993367333E-2</v>
      </c>
    </row>
    <row r="325" spans="1:16" x14ac:dyDescent="0.35">
      <c r="A325" s="1">
        <v>37316</v>
      </c>
      <c r="B325" t="s">
        <v>33</v>
      </c>
      <c r="C325" s="2">
        <v>589136</v>
      </c>
      <c r="D325" s="2" t="s">
        <v>31</v>
      </c>
      <c r="E325" s="2">
        <f>IF(Tabla2[[#This Row],[Frecuencia]]="Annual", Tabla2[[#This Row],[Cosecha/Tarea]]/12,Tabla2[[#This Row],[Cosecha/Tarea]])</f>
        <v>49094.666666666664</v>
      </c>
      <c r="F325" s="2">
        <v>82750</v>
      </c>
      <c r="G325" t="s">
        <v>34</v>
      </c>
      <c r="H325">
        <f>F325/Tabla2[[#This Row],[Cosecha Mensual]]</f>
        <v>1.6855191331033921</v>
      </c>
      <c r="I325">
        <f>H325*_xlfn.XLOOKUP(Tabla2[[#This Row],[Unidad de producción]],Tabla3[Medida],Tabla3[Equivalencia en Kg],"ELVIS",0)</f>
        <v>687.94463417614941</v>
      </c>
      <c r="J325">
        <v>1231.8362500000001</v>
      </c>
      <c r="K325" t="s">
        <v>34</v>
      </c>
      <c r="L325">
        <f>J325/_xlfn.XLOOKUP(Tabla2[[#This Row],[Unidad de precio]],Tabla3[Medida],Tabla3[Equivalencia en Kg],"ELVIS",0)</f>
        <v>3.0180969006492715</v>
      </c>
      <c r="M325" s="2">
        <v>3949.84</v>
      </c>
      <c r="N325" s="2">
        <f>(Tabla2[[#This Row],[Productividad (kg/TAS)]]*Tabla2[[#This Row],[Precio por kg]]-Tabla2[[#This Row],[Costos (En RD$/Tarea)]])</f>
        <v>-1873.5564317746666</v>
      </c>
      <c r="O325" s="6">
        <f>IF(Tabla2[[#This Row],[Costos (En RD$/Tarea)]]=0,0,Tabla2[[#This Row],[Beneficio Neto  (En RD$/Tarea)]]/Tabla2[[#This Row],[Costos (En RD$/Tarea)]])</f>
        <v>-0.47433729765627636</v>
      </c>
      <c r="P325" s="4">
        <f>Tabla2[[#This Row],[Rentabilidad (%)]]/12</f>
        <v>-3.952810813802303E-2</v>
      </c>
    </row>
    <row r="326" spans="1:16" x14ac:dyDescent="0.35">
      <c r="A326" s="1">
        <v>37347</v>
      </c>
      <c r="B326" t="s">
        <v>16</v>
      </c>
      <c r="C326" s="2">
        <v>20146</v>
      </c>
      <c r="D326" s="5" t="s">
        <v>17</v>
      </c>
      <c r="E326" s="2">
        <f>IF(Tabla2[[#This Row],[Frecuencia]]="Annual", Tabla2[[#This Row],[Cosecha/Tarea]]/12,Tabla2[[#This Row],[Cosecha/Tarea]])</f>
        <v>20146</v>
      </c>
      <c r="F326" s="2">
        <v>86861</v>
      </c>
      <c r="G326" t="s">
        <v>18</v>
      </c>
      <c r="H326">
        <f>F326/Tabla2[[#This Row],[Cosecha Mensual]]</f>
        <v>4.3115754988583346</v>
      </c>
      <c r="I326">
        <f>H326*_xlfn.XLOOKUP(Tabla2[[#This Row],[Unidad de producción]],Tabla3[Medida],Tabla3[Equivalencia en Kg],"ELVIS",0)</f>
        <v>195.57306462821404</v>
      </c>
      <c r="J326">
        <v>757.68096809681003</v>
      </c>
      <c r="K326" t="s">
        <v>19</v>
      </c>
      <c r="L326">
        <f>J326/_xlfn.XLOOKUP(Tabla2[[#This Row],[Unidad de precio]],Tabla3[Medida],Tabla3[Equivalencia en Kg],"ELVIS",0)</f>
        <v>6.8880088008800913</v>
      </c>
      <c r="M326">
        <v>1921.06</v>
      </c>
      <c r="N326" s="2">
        <f>(Tabla2[[#This Row],[Productividad (kg/TAS)]]*Tabla2[[#This Row],[Precio por kg]]-Tabla2[[#This Row],[Costos (En RD$/Tarea)]])</f>
        <v>-573.95100962577067</v>
      </c>
      <c r="O326" s="6">
        <f>IF(Tabla2[[#This Row],[Costos (En RD$/Tarea)]]=0,0,Tabla2[[#This Row],[Beneficio Neto  (En RD$/Tarea)]]/Tabla2[[#This Row],[Costos (En RD$/Tarea)]])</f>
        <v>-0.29876787275034133</v>
      </c>
      <c r="P326" s="4">
        <f>Tabla2[[#This Row],[Rentabilidad (%)]]/12</f>
        <v>-2.489732272919511E-2</v>
      </c>
    </row>
    <row r="327" spans="1:16" x14ac:dyDescent="0.35">
      <c r="A327" s="1">
        <v>37347</v>
      </c>
      <c r="B327" t="s">
        <v>20</v>
      </c>
      <c r="C327" s="2">
        <v>38796</v>
      </c>
      <c r="D327" s="5" t="s">
        <v>17</v>
      </c>
      <c r="E327" s="2">
        <f>IF(Tabla2[[#This Row],[Frecuencia]]="Annual", Tabla2[[#This Row],[Cosecha/Tarea]]/12,Tabla2[[#This Row],[Cosecha/Tarea]])</f>
        <v>38796</v>
      </c>
      <c r="F327" s="2">
        <v>92655</v>
      </c>
      <c r="G327" t="s">
        <v>18</v>
      </c>
      <c r="H327">
        <f>F327/Tabla2[[#This Row],[Cosecha Mensual]]</f>
        <v>2.3882616764614908</v>
      </c>
      <c r="I327">
        <f>H327*_xlfn.XLOOKUP(Tabla2[[#This Row],[Unidad de producción]],Tabla3[Medida],Tabla3[Equivalencia en Kg],"ELVIS",0)</f>
        <v>108.33154964429322</v>
      </c>
      <c r="J327">
        <v>107.693218285714</v>
      </c>
      <c r="K327" t="s">
        <v>18</v>
      </c>
      <c r="L327">
        <f>J327/_xlfn.XLOOKUP(Tabla2[[#This Row],[Unidad de precio]],Tabla3[Medida],Tabla3[Equivalencia en Kg],"ELVIS",0)</f>
        <v>2.374189115646252</v>
      </c>
      <c r="M327">
        <v>531.93499999999995</v>
      </c>
      <c r="N327" s="2">
        <f>(Tabla2[[#This Row],[Productividad (kg/TAS)]]*Tabla2[[#This Row],[Precio por kg]]-Tabla2[[#This Row],[Costos (En RD$/Tarea)]])</f>
        <v>-274.73541395342738</v>
      </c>
      <c r="O327" s="6">
        <f>IF(Tabla2[[#This Row],[Costos (En RD$/Tarea)]]=0,0,Tabla2[[#This Row],[Beneficio Neto  (En RD$/Tarea)]]/Tabla2[[#This Row],[Costos (En RD$/Tarea)]])</f>
        <v>-0.51648305517295801</v>
      </c>
      <c r="P327" s="4">
        <f>Tabla2[[#This Row],[Rentabilidad (%)]]/12</f>
        <v>-4.3040254597746498E-2</v>
      </c>
    </row>
    <row r="328" spans="1:16" x14ac:dyDescent="0.35">
      <c r="A328" s="1">
        <v>37347</v>
      </c>
      <c r="B328" t="s">
        <v>21</v>
      </c>
      <c r="C328" s="2">
        <v>13062</v>
      </c>
      <c r="D328" s="5" t="s">
        <v>17</v>
      </c>
      <c r="E328" s="2">
        <f>IF(Tabla2[[#This Row],[Frecuencia]]="Annual", Tabla2[[#This Row],[Cosecha/Tarea]]/12,Tabla2[[#This Row],[Cosecha/Tarea]])</f>
        <v>13062</v>
      </c>
      <c r="F328" s="2">
        <v>110151</v>
      </c>
      <c r="G328" t="s">
        <v>18</v>
      </c>
      <c r="H328">
        <f>F328/Tabla2[[#This Row],[Cosecha Mensual]]</f>
        <v>8.4329352319706015</v>
      </c>
      <c r="I328">
        <f>H328*_xlfn.XLOOKUP(Tabla2[[#This Row],[Unidad de producción]],Tabla3[Medida],Tabla3[Equivalencia en Kg],"ELVIS",0)</f>
        <v>382.51794212218647</v>
      </c>
      <c r="J328">
        <v>158.47714285714301</v>
      </c>
      <c r="K328" t="s">
        <v>18</v>
      </c>
      <c r="L328">
        <f>J328/_xlfn.XLOOKUP(Tabla2[[#This Row],[Unidad de precio]],Tabla3[Medida],Tabla3[Equivalencia en Kg],"ELVIS",0)</f>
        <v>3.4937641723356041</v>
      </c>
      <c r="M328">
        <v>945.93</v>
      </c>
      <c r="N328" s="2">
        <f>(Tabla2[[#This Row],[Productividad (kg/TAS)]]*Tabla2[[#This Row],[Precio por kg]]-Tabla2[[#This Row],[Costos (En RD$/Tarea)]])</f>
        <v>390.49748146203945</v>
      </c>
      <c r="O328" s="6">
        <f>IF(Tabla2[[#This Row],[Costos (En RD$/Tarea)]]=0,0,Tabla2[[#This Row],[Beneficio Neto  (En RD$/Tarea)]]/Tabla2[[#This Row],[Costos (En RD$/Tarea)]])</f>
        <v>0.41281858220168455</v>
      </c>
      <c r="P328" s="4">
        <f>Tabla2[[#This Row],[Rentabilidad (%)]]/12</f>
        <v>3.4401548516807046E-2</v>
      </c>
    </row>
    <row r="329" spans="1:16" x14ac:dyDescent="0.35">
      <c r="A329" s="1">
        <v>37347</v>
      </c>
      <c r="B329" t="s">
        <v>22</v>
      </c>
      <c r="C329" s="2">
        <v>3031</v>
      </c>
      <c r="D329" s="5" t="s">
        <v>17</v>
      </c>
      <c r="E329" s="2">
        <f>IF(Tabla2[[#This Row],[Frecuencia]]="Annual", Tabla2[[#This Row],[Cosecha/Tarea]]/12,Tabla2[[#This Row],[Cosecha/Tarea]])</f>
        <v>3031</v>
      </c>
      <c r="F329" s="2">
        <v>26512</v>
      </c>
      <c r="G329" t="s">
        <v>18</v>
      </c>
      <c r="H329">
        <f>F329/Tabla2[[#This Row],[Cosecha Mensual]]</f>
        <v>8.7469482019135594</v>
      </c>
      <c r="I329">
        <f>H329*_xlfn.XLOOKUP(Tabla2[[#This Row],[Unidad de producción]],Tabla3[Medida],Tabla3[Equivalencia en Kg],"ELVIS",0)</f>
        <v>396.76157043879903</v>
      </c>
      <c r="J329">
        <v>407.625</v>
      </c>
      <c r="K329" t="s">
        <v>18</v>
      </c>
      <c r="L329">
        <f>J329/_xlfn.XLOOKUP(Tabla2[[#This Row],[Unidad de precio]],Tabla3[Medida],Tabla3[Equivalencia en Kg],"ELVIS",0)</f>
        <v>8.9864417989417991</v>
      </c>
      <c r="M329">
        <v>2751.22</v>
      </c>
      <c r="N329" s="2">
        <f>(Tabla2[[#This Row],[Productividad (kg/TAS)]]*Tabla2[[#This Row],[Precio por kg]]-Tabla2[[#This Row],[Costos (En RD$/Tarea)]])</f>
        <v>814.25476080501448</v>
      </c>
      <c r="O329" s="6">
        <f>IF(Tabla2[[#This Row],[Costos (En RD$/Tarea)]]=0,0,Tabla2[[#This Row],[Beneficio Neto  (En RD$/Tarea)]]/Tabla2[[#This Row],[Costos (En RD$/Tarea)]])</f>
        <v>0.29596134107959909</v>
      </c>
      <c r="P329" s="4">
        <f>Tabla2[[#This Row],[Rentabilidad (%)]]/12</f>
        <v>2.4663445089966592E-2</v>
      </c>
    </row>
    <row r="330" spans="1:16" x14ac:dyDescent="0.35">
      <c r="A330" s="1">
        <v>37347</v>
      </c>
      <c r="B330" t="s">
        <v>23</v>
      </c>
      <c r="C330" s="2">
        <v>3391</v>
      </c>
      <c r="D330" s="5" t="s">
        <v>17</v>
      </c>
      <c r="E330" s="2">
        <f>IF(Tabla2[[#This Row],[Frecuencia]]="Annual", Tabla2[[#This Row],[Cosecha/Tarea]]/12,Tabla2[[#This Row],[Cosecha/Tarea]])</f>
        <v>3391</v>
      </c>
      <c r="F330" s="2">
        <v>64795</v>
      </c>
      <c r="G330" t="s">
        <v>18</v>
      </c>
      <c r="H330">
        <f>F330/Tabla2[[#This Row],[Cosecha Mensual]]</f>
        <v>19.107932763196697</v>
      </c>
      <c r="I330">
        <f>H330*_xlfn.XLOOKUP(Tabla2[[#This Row],[Unidad de producción]],Tabla3[Medida],Tabla3[Equivalencia en Kg],"ELVIS",0)</f>
        <v>866.73583013860218</v>
      </c>
      <c r="J330">
        <v>210.8</v>
      </c>
      <c r="K330" t="s">
        <v>18</v>
      </c>
      <c r="L330">
        <f>J330/_xlfn.XLOOKUP(Tabla2[[#This Row],[Unidad de precio]],Tabla3[Medida],Tabla3[Equivalencia en Kg],"ELVIS",0)</f>
        <v>4.6472663139329811</v>
      </c>
      <c r="M330">
        <v>5786.34</v>
      </c>
      <c r="N330" s="2">
        <f>(Tabla2[[#This Row],[Productividad (kg/TAS)]]*Tabla2[[#This Row],[Precio por kg]]-Tabla2[[#This Row],[Costos (En RD$/Tarea)]])</f>
        <v>-1758.3877735181359</v>
      </c>
      <c r="O330" s="6">
        <f>IF(Tabla2[[#This Row],[Costos (En RD$/Tarea)]]=0,0,Tabla2[[#This Row],[Beneficio Neto  (En RD$/Tarea)]]/Tabla2[[#This Row],[Costos (En RD$/Tarea)]])</f>
        <v>-0.30388600972603336</v>
      </c>
      <c r="P330" s="4">
        <f>Tabla2[[#This Row],[Rentabilidad (%)]]/12</f>
        <v>-2.5323834143836113E-2</v>
      </c>
    </row>
    <row r="331" spans="1:16" x14ac:dyDescent="0.35">
      <c r="A331" s="1">
        <v>37347</v>
      </c>
      <c r="B331" t="s">
        <v>24</v>
      </c>
      <c r="C331" s="2">
        <v>8448</v>
      </c>
      <c r="D331" s="5" t="s">
        <v>17</v>
      </c>
      <c r="E331" s="2">
        <f>IF(Tabla2[[#This Row],[Frecuencia]]="Annual", Tabla2[[#This Row],[Cosecha/Tarea]]/12,Tabla2[[#This Row],[Cosecha/Tarea]])</f>
        <v>8448</v>
      </c>
      <c r="F331" s="2">
        <v>122524</v>
      </c>
      <c r="G331" t="s">
        <v>18</v>
      </c>
      <c r="H331">
        <f>F331/Tabla2[[#This Row],[Cosecha Mensual]]</f>
        <v>14.503314393939394</v>
      </c>
      <c r="I331">
        <f>H331*_xlfn.XLOOKUP(Tabla2[[#This Row],[Unidad de producción]],Tabla3[Medida],Tabla3[Equivalencia en Kg],"ELVIS",0)</f>
        <v>657.87034090909094</v>
      </c>
      <c r="J331">
        <v>375.375</v>
      </c>
      <c r="K331" t="s">
        <v>18</v>
      </c>
      <c r="L331">
        <f>J331/_xlfn.XLOOKUP(Tabla2[[#This Row],[Unidad de precio]],Tabla3[Medida],Tabla3[Equivalencia en Kg],"ELVIS",0)</f>
        <v>8.2754629629629637</v>
      </c>
      <c r="M331">
        <v>1994.96</v>
      </c>
      <c r="N331" s="2">
        <f>(Tabla2[[#This Row],[Productividad (kg/TAS)]]*Tabla2[[#This Row],[Precio por kg]]-Tabla2[[#This Row],[Costos (En RD$/Tarea)]])</f>
        <v>3449.2216406250009</v>
      </c>
      <c r="O331" s="6">
        <f>IF(Tabla2[[#This Row],[Costos (En RD$/Tarea)]]=0,0,Tabla2[[#This Row],[Beneficio Neto  (En RD$/Tarea)]]/Tabla2[[#This Row],[Costos (En RD$/Tarea)]])</f>
        <v>1.7289678192169271</v>
      </c>
      <c r="P331" s="4">
        <f>Tabla2[[#This Row],[Rentabilidad (%)]]/12</f>
        <v>0.14408065160141059</v>
      </c>
    </row>
    <row r="332" spans="1:16" x14ac:dyDescent="0.35">
      <c r="A332" s="1">
        <v>37347</v>
      </c>
      <c r="B332" t="s">
        <v>25</v>
      </c>
      <c r="C332" s="2">
        <v>21155</v>
      </c>
      <c r="D332" s="5" t="s">
        <v>17</v>
      </c>
      <c r="E332" s="2">
        <f>IF(Tabla2[[#This Row],[Frecuencia]]="Annual", Tabla2[[#This Row],[Cosecha/Tarea]]/12,Tabla2[[#This Row],[Cosecha/Tarea]])</f>
        <v>21155</v>
      </c>
      <c r="F332" s="2">
        <v>206723</v>
      </c>
      <c r="G332" t="s">
        <v>18</v>
      </c>
      <c r="H332">
        <f>F332/Tabla2[[#This Row],[Cosecha Mensual]]</f>
        <v>9.771826991255022</v>
      </c>
      <c r="I332">
        <f>H332*_xlfn.XLOOKUP(Tabla2[[#This Row],[Unidad de producción]],Tabla3[Medida],Tabla3[Equivalencia en Kg],"ELVIS",0)</f>
        <v>443.2500723233278</v>
      </c>
      <c r="J332">
        <v>96.230062500000003</v>
      </c>
      <c r="K332" t="s">
        <v>18</v>
      </c>
      <c r="L332">
        <f>J332/_xlfn.XLOOKUP(Tabla2[[#This Row],[Unidad de precio]],Tabla3[Medida],Tabla3[Equivalencia en Kg],"ELVIS",0)</f>
        <v>2.1214740410052912</v>
      </c>
      <c r="M332">
        <v>966.8</v>
      </c>
      <c r="N332" s="2">
        <f>(Tabla2[[#This Row],[Productividad (kg/TAS)]]*Tabla2[[#This Row],[Precio por kg]]-Tabla2[[#This Row],[Costos (En RD$/Tarea)]])</f>
        <v>-26.45647789234215</v>
      </c>
      <c r="O332" s="6">
        <f>IF(Tabla2[[#This Row],[Costos (En RD$/Tarea)]]=0,0,Tabla2[[#This Row],[Beneficio Neto  (En RD$/Tarea)]]/Tabla2[[#This Row],[Costos (En RD$/Tarea)]])</f>
        <v>-2.7364995751284808E-2</v>
      </c>
      <c r="P332" s="4">
        <f>Tabla2[[#This Row],[Rentabilidad (%)]]/12</f>
        <v>-2.2804163126070674E-3</v>
      </c>
    </row>
    <row r="333" spans="1:16" x14ac:dyDescent="0.35">
      <c r="A333" s="1">
        <v>37347</v>
      </c>
      <c r="B333" t="s">
        <v>26</v>
      </c>
      <c r="C333" s="2">
        <v>9836</v>
      </c>
      <c r="D333" s="5" t="s">
        <v>17</v>
      </c>
      <c r="E333" s="2">
        <f>IF(Tabla2[[#This Row],[Frecuencia]]="Annual", Tabla2[[#This Row],[Cosecha/Tarea]]/12,Tabla2[[#This Row],[Cosecha/Tarea]])</f>
        <v>9836</v>
      </c>
      <c r="F333" s="2">
        <v>61429</v>
      </c>
      <c r="G333" t="s">
        <v>18</v>
      </c>
      <c r="H333">
        <f>F333/Tabla2[[#This Row],[Cosecha Mensual]]</f>
        <v>6.2453233021553478</v>
      </c>
      <c r="I333">
        <f>H333*_xlfn.XLOOKUP(Tabla2[[#This Row],[Unidad de producción]],Tabla3[Medida],Tabla3[Equivalencia en Kg],"ELVIS",0)</f>
        <v>283.28786498576659</v>
      </c>
      <c r="J333">
        <v>283.2</v>
      </c>
      <c r="K333" t="s">
        <v>18</v>
      </c>
      <c r="L333">
        <f>J333/_xlfn.XLOOKUP(Tabla2[[#This Row],[Unidad de precio]],Tabla3[Medida],Tabla3[Equivalencia en Kg],"ELVIS",0)</f>
        <v>6.2433862433862428</v>
      </c>
      <c r="M333">
        <v>360.52</v>
      </c>
      <c r="N333" s="2">
        <f>(Tabla2[[#This Row],[Productividad (kg/TAS)]]*Tabla2[[#This Row],[Precio por kg]]-Tabla2[[#This Row],[Costos (En RD$/Tarea)]])</f>
        <v>1408.1555591703943</v>
      </c>
      <c r="O333" s="6">
        <f>IF(Tabla2[[#This Row],[Costos (En RD$/Tarea)]]=0,0,Tabla2[[#This Row],[Beneficio Neto  (En RD$/Tarea)]]/Tabla2[[#This Row],[Costos (En RD$/Tarea)]])</f>
        <v>3.905901362394304</v>
      </c>
      <c r="P333" s="4">
        <f>Tabla2[[#This Row],[Rentabilidad (%)]]/12</f>
        <v>0.32549178019952535</v>
      </c>
    </row>
    <row r="334" spans="1:16" x14ac:dyDescent="0.35">
      <c r="A334" s="1">
        <v>37347</v>
      </c>
      <c r="B334" t="s">
        <v>27</v>
      </c>
      <c r="C334" s="2">
        <v>4836</v>
      </c>
      <c r="D334" s="5" t="s">
        <v>17</v>
      </c>
      <c r="E334" s="2">
        <f>IF(Tabla2[[#This Row],[Frecuencia]]="Annual", Tabla2[[#This Row],[Cosecha/Tarea]]/12,Tabla2[[#This Row],[Cosecha/Tarea]])</f>
        <v>4836</v>
      </c>
      <c r="F334" s="2">
        <v>51661</v>
      </c>
      <c r="G334" t="s">
        <v>18</v>
      </c>
      <c r="H334">
        <f>F334/Tabla2[[#This Row],[Cosecha Mensual]]</f>
        <v>10.682588916459885</v>
      </c>
      <c r="I334">
        <f>H334*_xlfn.XLOOKUP(Tabla2[[#This Row],[Unidad de producción]],Tabla3[Medida],Tabla3[Equivalencia en Kg],"ELVIS",0)</f>
        <v>484.56223325062035</v>
      </c>
      <c r="J334">
        <v>184.55166666666699</v>
      </c>
      <c r="K334" t="s">
        <v>18</v>
      </c>
      <c r="L334">
        <f>J334/_xlfn.XLOOKUP(Tabla2[[#This Row],[Unidad de precio]],Tabla3[Medida],Tabla3[Equivalencia en Kg],"ELVIS",0)</f>
        <v>4.0685993533215825</v>
      </c>
      <c r="M334">
        <v>2321.75</v>
      </c>
      <c r="N334" s="2">
        <f>(Tabla2[[#This Row],[Productividad (kg/TAS)]]*Tabla2[[#This Row],[Precio por kg]]-Tabla2[[#This Row],[Costos (En RD$/Tarea)]])</f>
        <v>-350.26041115246426</v>
      </c>
      <c r="O334" s="6">
        <f>IF(Tabla2[[#This Row],[Costos (En RD$/Tarea)]]=0,0,Tabla2[[#This Row],[Beneficio Neto  (En RD$/Tarea)]]/Tabla2[[#This Row],[Costos (En RD$/Tarea)]])</f>
        <v>-0.15086051950143825</v>
      </c>
      <c r="P334" s="4">
        <f>Tabla2[[#This Row],[Rentabilidad (%)]]/12</f>
        <v>-1.2571709958453187E-2</v>
      </c>
    </row>
    <row r="335" spans="1:16" x14ac:dyDescent="0.35">
      <c r="A335" s="1">
        <v>37347</v>
      </c>
      <c r="B335" t="s">
        <v>28</v>
      </c>
      <c r="C335" s="2">
        <v>754</v>
      </c>
      <c r="D335" s="5" t="s">
        <v>17</v>
      </c>
      <c r="E335" s="2">
        <f>IF(Tabla2[[#This Row],[Frecuencia]]="Annual", Tabla2[[#This Row],[Cosecha/Tarea]]/12,Tabla2[[#This Row],[Cosecha/Tarea]])</f>
        <v>754</v>
      </c>
      <c r="F335" s="2">
        <v>232</v>
      </c>
      <c r="G335" t="s">
        <v>18</v>
      </c>
      <c r="H335">
        <f>F335/Tabla2[[#This Row],[Cosecha Mensual]]</f>
        <v>0.30769230769230771</v>
      </c>
      <c r="I335">
        <f>H335*_xlfn.XLOOKUP(Tabla2[[#This Row],[Unidad de producción]],Tabla3[Medida],Tabla3[Equivalencia en Kg],"ELVIS",0)</f>
        <v>13.956923076923077</v>
      </c>
      <c r="J335">
        <v>5375</v>
      </c>
      <c r="K335" t="s">
        <v>29</v>
      </c>
      <c r="L335">
        <f>J335/_xlfn.XLOOKUP(Tabla2[[#This Row],[Unidad de precio]],Tabla3[Medida],Tabla3[Equivalencia en Kg],"ELVIS",0)</f>
        <v>9.5582743535939105</v>
      </c>
      <c r="M335">
        <v>3619.46</v>
      </c>
      <c r="N335" s="2">
        <f>(Tabla2[[#This Row],[Productividad (kg/TAS)]]*Tabla2[[#This Row],[Precio por kg]]-Tabla2[[#This Row],[Costos (En RD$/Tarea)]])</f>
        <v>-3486.0559000987632</v>
      </c>
      <c r="O335" s="6">
        <f>IF(Tabla2[[#This Row],[Costos (En RD$/Tarea)]]=0,0,Tabla2[[#This Row],[Beneficio Neto  (En RD$/Tarea)]]/Tabla2[[#This Row],[Costos (En RD$/Tarea)]])</f>
        <v>-0.96314254062726568</v>
      </c>
      <c r="P335" s="4">
        <f>Tabla2[[#This Row],[Rentabilidad (%)]]/12</f>
        <v>-8.0261878385605473E-2</v>
      </c>
    </row>
    <row r="336" spans="1:16" x14ac:dyDescent="0.35">
      <c r="A336" s="1">
        <v>37347</v>
      </c>
      <c r="B336" t="s">
        <v>30</v>
      </c>
      <c r="C336" s="2">
        <v>249015</v>
      </c>
      <c r="D336" s="2" t="s">
        <v>31</v>
      </c>
      <c r="E336" s="2">
        <f>IF(Tabla2[[#This Row],[Frecuencia]]="Annual", Tabla2[[#This Row],[Cosecha/Tarea]]/12,Tabla2[[#This Row],[Cosecha/Tarea]])</f>
        <v>20751.25</v>
      </c>
      <c r="F336" s="2">
        <v>1494804</v>
      </c>
      <c r="G336" t="s">
        <v>32</v>
      </c>
      <c r="H336">
        <f>F336/Tabla2[[#This Row],[Cosecha Mensual]]</f>
        <v>72.034407565809289</v>
      </c>
      <c r="I336">
        <f>H336*_xlfn.XLOOKUP(Tabla2[[#This Row],[Unidad de producción]],Tabla3[Medida],Tabla3[Equivalencia en Kg],"ELVIS",0)</f>
        <v>1960.0562298656707</v>
      </c>
      <c r="J336">
        <v>24.4585714285714</v>
      </c>
      <c r="K336" t="s">
        <v>32</v>
      </c>
      <c r="L336">
        <f>J336/_xlfn.XLOOKUP(Tabla2[[#This Row],[Unidad de precio]],Tabla3[Medida],Tabla3[Equivalencia en Kg],"ELVIS",0)</f>
        <v>0.89888171365569269</v>
      </c>
      <c r="M336" s="2">
        <v>3727.21</v>
      </c>
      <c r="N336" s="2">
        <f>(Tabla2[[#This Row],[Productividad (kg/TAS)]]*Tabla2[[#This Row],[Precio por kg]]-Tabla2[[#This Row],[Costos (En RD$/Tarea)]])</f>
        <v>-1965.3512972368296</v>
      </c>
      <c r="O336" s="6">
        <f>IF(Tabla2[[#This Row],[Costos (En RD$/Tarea)]]=0,0,Tabla2[[#This Row],[Beneficio Neto  (En RD$/Tarea)]]/Tabla2[[#This Row],[Costos (En RD$/Tarea)]])</f>
        <v>-0.52729824647305346</v>
      </c>
      <c r="P336" s="4">
        <f>Tabla2[[#This Row],[Rentabilidad (%)]]/12</f>
        <v>-4.3941520539421124E-2</v>
      </c>
    </row>
    <row r="337" spans="1:16" x14ac:dyDescent="0.35">
      <c r="A337" s="1">
        <v>37347</v>
      </c>
      <c r="B337" t="s">
        <v>33</v>
      </c>
      <c r="C337" s="2">
        <v>650182</v>
      </c>
      <c r="D337" s="2" t="s">
        <v>31</v>
      </c>
      <c r="E337" s="2">
        <f>IF(Tabla2[[#This Row],[Frecuencia]]="Annual", Tabla2[[#This Row],[Cosecha/Tarea]]/12,Tabla2[[#This Row],[Cosecha/Tarea]])</f>
        <v>54181.833333333336</v>
      </c>
      <c r="F337" s="2">
        <v>104033</v>
      </c>
      <c r="G337" t="s">
        <v>34</v>
      </c>
      <c r="H337">
        <f>F337/Tabla2[[#This Row],[Cosecha Mensual]]</f>
        <v>1.9200716107182296</v>
      </c>
      <c r="I337">
        <f>H337*_xlfn.XLOOKUP(Tabla2[[#This Row],[Unidad de producción]],Tabla3[Medida],Tabla3[Equivalencia en Kg],"ELVIS",0)</f>
        <v>783.67722791464541</v>
      </c>
      <c r="J337">
        <v>1231.8262500000001</v>
      </c>
      <c r="K337" t="s">
        <v>34</v>
      </c>
      <c r="L337">
        <f>J337/_xlfn.XLOOKUP(Tabla2[[#This Row],[Unidad de precio]],Tabla3[Medida],Tabla3[Equivalencia en Kg],"ELVIS",0)</f>
        <v>3.0180723998529957</v>
      </c>
      <c r="M337" s="2">
        <v>3949.84</v>
      </c>
      <c r="N337" s="2">
        <f>(Tabla2[[#This Row],[Productividad (kg/TAS)]]*Tabla2[[#This Row],[Precio por kg]]-Tabla2[[#This Row],[Costos (En RD$/Tarea)]])</f>
        <v>-1584.6453880375034</v>
      </c>
      <c r="O337" s="6">
        <f>IF(Tabla2[[#This Row],[Costos (En RD$/Tarea)]]=0,0,Tabla2[[#This Row],[Beneficio Neto  (En RD$/Tarea)]]/Tabla2[[#This Row],[Costos (En RD$/Tarea)]])</f>
        <v>-0.40119229843170945</v>
      </c>
      <c r="P337" s="4">
        <f>Tabla2[[#This Row],[Rentabilidad (%)]]/12</f>
        <v>-3.3432691535975785E-2</v>
      </c>
    </row>
    <row r="338" spans="1:16" x14ac:dyDescent="0.35">
      <c r="A338" s="1">
        <v>37377</v>
      </c>
      <c r="B338" t="s">
        <v>16</v>
      </c>
      <c r="C338" s="2">
        <v>137336</v>
      </c>
      <c r="D338" s="5" t="s">
        <v>17</v>
      </c>
      <c r="E338" s="2">
        <f>IF(Tabla2[[#This Row],[Frecuencia]]="Annual", Tabla2[[#This Row],[Cosecha/Tarea]]/12,Tabla2[[#This Row],[Cosecha/Tarea]])</f>
        <v>137336</v>
      </c>
      <c r="F338" s="2">
        <v>683761</v>
      </c>
      <c r="G338" t="s">
        <v>18</v>
      </c>
      <c r="H338">
        <f>F338/Tabla2[[#This Row],[Cosecha Mensual]]</f>
        <v>4.978745558338673</v>
      </c>
      <c r="I338">
        <f>H338*_xlfn.XLOOKUP(Tabla2[[#This Row],[Unidad de producción]],Tabla3[Medida],Tabla3[Equivalencia en Kg],"ELVIS",0)</f>
        <v>225.8358985262422</v>
      </c>
      <c r="J338">
        <v>999.55995599560003</v>
      </c>
      <c r="K338" t="s">
        <v>19</v>
      </c>
      <c r="L338">
        <f>J338/_xlfn.XLOOKUP(Tabla2[[#This Row],[Unidad de precio]],Tabla3[Medida],Tabla3[Equivalencia en Kg],"ELVIS",0)</f>
        <v>9.086908690869091</v>
      </c>
      <c r="M338">
        <v>1921.06</v>
      </c>
      <c r="N338" s="2">
        <f>(Tabla2[[#This Row],[Productividad (kg/TAS)]]*Tabla2[[#This Row],[Precio por kg]]-Tabla2[[#This Row],[Costos (En RD$/Tarea)]])</f>
        <v>131.09018902834032</v>
      </c>
      <c r="O338" s="6">
        <f>IF(Tabla2[[#This Row],[Costos (En RD$/Tarea)]]=0,0,Tabla2[[#This Row],[Beneficio Neto  (En RD$/Tarea)]]/Tabla2[[#This Row],[Costos (En RD$/Tarea)]])</f>
        <v>6.8238466798715466E-2</v>
      </c>
      <c r="P338" s="4">
        <f>Tabla2[[#This Row],[Rentabilidad (%)]]/12</f>
        <v>5.6865388998929558E-3</v>
      </c>
    </row>
    <row r="339" spans="1:16" x14ac:dyDescent="0.35">
      <c r="A339" s="1">
        <v>37377</v>
      </c>
      <c r="B339" t="s">
        <v>20</v>
      </c>
      <c r="C339" s="2">
        <v>20271</v>
      </c>
      <c r="D339" s="5" t="s">
        <v>17</v>
      </c>
      <c r="E339" s="2">
        <f>IF(Tabla2[[#This Row],[Frecuencia]]="Annual", Tabla2[[#This Row],[Cosecha/Tarea]]/12,Tabla2[[#This Row],[Cosecha/Tarea]])</f>
        <v>20271</v>
      </c>
      <c r="F339" s="2">
        <v>36092</v>
      </c>
      <c r="G339" t="s">
        <v>18</v>
      </c>
      <c r="H339">
        <f>F339/Tabla2[[#This Row],[Cosecha Mensual]]</f>
        <v>1.7804745695821618</v>
      </c>
      <c r="I339">
        <f>H339*_xlfn.XLOOKUP(Tabla2[[#This Row],[Unidad de producción]],Tabla3[Medida],Tabla3[Equivalencia en Kg],"ELVIS",0)</f>
        <v>80.762326476246855</v>
      </c>
      <c r="J339">
        <v>160.91810742857101</v>
      </c>
      <c r="K339" t="s">
        <v>18</v>
      </c>
      <c r="L339">
        <f>J339/_xlfn.XLOOKUP(Tabla2[[#This Row],[Unidad de precio]],Tabla3[Medida],Tabla3[Equivalencia en Kg],"ELVIS",0)</f>
        <v>3.5475773242630293</v>
      </c>
      <c r="M339">
        <v>531.93499999999995</v>
      </c>
      <c r="N339" s="2">
        <f>(Tabla2[[#This Row],[Productividad (kg/TAS)]]*Tabla2[[#This Row],[Precio por kg]]-Tabla2[[#This Row],[Costos (En RD$/Tarea)]])</f>
        <v>-245.42440193813894</v>
      </c>
      <c r="O339" s="6">
        <f>IF(Tabla2[[#This Row],[Costos (En RD$/Tarea)]]=0,0,Tabla2[[#This Row],[Beneficio Neto  (En RD$/Tarea)]]/Tabla2[[#This Row],[Costos (En RD$/Tarea)]])</f>
        <v>-0.46138043546324076</v>
      </c>
      <c r="P339" s="4">
        <f>Tabla2[[#This Row],[Rentabilidad (%)]]/12</f>
        <v>-3.8448369621936727E-2</v>
      </c>
    </row>
    <row r="340" spans="1:16" x14ac:dyDescent="0.35">
      <c r="A340" s="1">
        <v>37377</v>
      </c>
      <c r="B340" t="s">
        <v>21</v>
      </c>
      <c r="C340" s="2">
        <v>8112</v>
      </c>
      <c r="D340" s="5" t="s">
        <v>17</v>
      </c>
      <c r="E340" s="2">
        <f>IF(Tabla2[[#This Row],[Frecuencia]]="Annual", Tabla2[[#This Row],[Cosecha/Tarea]]/12,Tabla2[[#This Row],[Cosecha/Tarea]])</f>
        <v>8112</v>
      </c>
      <c r="F340" s="2">
        <v>76824</v>
      </c>
      <c r="G340" t="s">
        <v>18</v>
      </c>
      <c r="H340">
        <f>F340/Tabla2[[#This Row],[Cosecha Mensual]]</f>
        <v>9.4704142011834325</v>
      </c>
      <c r="I340">
        <f>H340*_xlfn.XLOOKUP(Tabla2[[#This Row],[Unidad de producción]],Tabla3[Medida],Tabla3[Equivalencia en Kg],"ELVIS",0)</f>
        <v>429.57798816568049</v>
      </c>
      <c r="J340">
        <v>156</v>
      </c>
      <c r="K340" t="s">
        <v>18</v>
      </c>
      <c r="L340">
        <f>J340/_xlfn.XLOOKUP(Tabla2[[#This Row],[Unidad de precio]],Tabla3[Medida],Tabla3[Equivalencia en Kg],"ELVIS",0)</f>
        <v>3.4391534391534391</v>
      </c>
      <c r="M340">
        <v>945.93</v>
      </c>
      <c r="N340" s="2">
        <f>(Tabla2[[#This Row],[Productividad (kg/TAS)]]*Tabla2[[#This Row],[Precio por kg]]-Tabla2[[#This Row],[Costos (En RD$/Tarea)]])</f>
        <v>531.45461538461552</v>
      </c>
      <c r="O340" s="6">
        <f>IF(Tabla2[[#This Row],[Costos (En RD$/Tarea)]]=0,0,Tabla2[[#This Row],[Beneficio Neto  (En RD$/Tarea)]]/Tabla2[[#This Row],[Costos (En RD$/Tarea)]])</f>
        <v>0.56183292144726937</v>
      </c>
      <c r="P340" s="4">
        <f>Tabla2[[#This Row],[Rentabilidad (%)]]/12</f>
        <v>4.6819410120605781E-2</v>
      </c>
    </row>
    <row r="341" spans="1:16" x14ac:dyDescent="0.35">
      <c r="A341" s="1">
        <v>37377</v>
      </c>
      <c r="B341" t="s">
        <v>22</v>
      </c>
      <c r="C341" s="2">
        <v>6112</v>
      </c>
      <c r="D341" s="5" t="s">
        <v>17</v>
      </c>
      <c r="E341" s="2">
        <f>IF(Tabla2[[#This Row],[Frecuencia]]="Annual", Tabla2[[#This Row],[Cosecha/Tarea]]/12,Tabla2[[#This Row],[Cosecha/Tarea]])</f>
        <v>6112</v>
      </c>
      <c r="F341" s="2">
        <v>58124</v>
      </c>
      <c r="G341" t="s">
        <v>18</v>
      </c>
      <c r="H341">
        <f>F341/Tabla2[[#This Row],[Cosecha Mensual]]</f>
        <v>9.5098167539267013</v>
      </c>
      <c r="I341">
        <f>H341*_xlfn.XLOOKUP(Tabla2[[#This Row],[Unidad de producción]],Tabla3[Medida],Tabla3[Equivalencia en Kg],"ELVIS",0)</f>
        <v>431.36528795811518</v>
      </c>
      <c r="J341">
        <v>377.07499999999999</v>
      </c>
      <c r="K341" t="s">
        <v>18</v>
      </c>
      <c r="L341">
        <f>J341/_xlfn.XLOOKUP(Tabla2[[#This Row],[Unidad de precio]],Tabla3[Medida],Tabla3[Equivalencia en Kg],"ELVIS",0)</f>
        <v>8.3129409171075839</v>
      </c>
      <c r="M341">
        <v>2751.22</v>
      </c>
      <c r="N341" s="2">
        <f>(Tabla2[[#This Row],[Productividad (kg/TAS)]]*Tabla2[[#This Row],[Precio por kg]]-Tabla2[[#This Row],[Costos (En RD$/Tarea)]])</f>
        <v>834.69415248691121</v>
      </c>
      <c r="O341" s="6">
        <f>IF(Tabla2[[#This Row],[Costos (En RD$/Tarea)]]=0,0,Tabla2[[#This Row],[Beneficio Neto  (En RD$/Tarea)]]/Tabla2[[#This Row],[Costos (En RD$/Tarea)]])</f>
        <v>0.30339055127794623</v>
      </c>
      <c r="P341" s="4">
        <f>Tabla2[[#This Row],[Rentabilidad (%)]]/12</f>
        <v>2.5282545939828854E-2</v>
      </c>
    </row>
    <row r="342" spans="1:16" x14ac:dyDescent="0.35">
      <c r="A342" s="1">
        <v>37377</v>
      </c>
      <c r="B342" t="s">
        <v>23</v>
      </c>
      <c r="C342" s="2">
        <v>7418</v>
      </c>
      <c r="D342" s="5" t="s">
        <v>17</v>
      </c>
      <c r="E342" s="2">
        <f>IF(Tabla2[[#This Row],[Frecuencia]]="Annual", Tabla2[[#This Row],[Cosecha/Tarea]]/12,Tabla2[[#This Row],[Cosecha/Tarea]])</f>
        <v>7418</v>
      </c>
      <c r="F342" s="2">
        <v>194290</v>
      </c>
      <c r="G342" t="s">
        <v>18</v>
      </c>
      <c r="H342">
        <f>F342/Tabla2[[#This Row],[Cosecha Mensual]]</f>
        <v>26.191695874898894</v>
      </c>
      <c r="I342">
        <f>H342*_xlfn.XLOOKUP(Tabla2[[#This Row],[Unidad de producción]],Tabla3[Medida],Tabla3[Equivalencia en Kg],"ELVIS",0)</f>
        <v>1188.0553248854137</v>
      </c>
      <c r="J342">
        <v>187.5</v>
      </c>
      <c r="K342" t="s">
        <v>18</v>
      </c>
      <c r="L342">
        <f>J342/_xlfn.XLOOKUP(Tabla2[[#This Row],[Unidad de precio]],Tabla3[Medida],Tabla3[Equivalencia en Kg],"ELVIS",0)</f>
        <v>4.1335978835978837</v>
      </c>
      <c r="M342">
        <v>5786.34</v>
      </c>
      <c r="N342" s="2">
        <f>(Tabla2[[#This Row],[Productividad (kg/TAS)]]*Tabla2[[#This Row],[Precio por kg]]-Tabla2[[#This Row],[Costos (En RD$/Tarea)]])</f>
        <v>-875.39702345645765</v>
      </c>
      <c r="O342" s="6">
        <f>IF(Tabla2[[#This Row],[Costos (En RD$/Tarea)]]=0,0,Tabla2[[#This Row],[Beneficio Neto  (En RD$/Tarea)]]/Tabla2[[#This Row],[Costos (En RD$/Tarea)]])</f>
        <v>-0.15128682784911665</v>
      </c>
      <c r="P342" s="4">
        <f>Tabla2[[#This Row],[Rentabilidad (%)]]/12</f>
        <v>-1.2607235654093054E-2</v>
      </c>
    </row>
    <row r="343" spans="1:16" x14ac:dyDescent="0.35">
      <c r="A343" s="1">
        <v>37377</v>
      </c>
      <c r="B343" t="s">
        <v>24</v>
      </c>
      <c r="C343" s="2">
        <v>5542</v>
      </c>
      <c r="D343" s="5" t="s">
        <v>17</v>
      </c>
      <c r="E343" s="2">
        <f>IF(Tabla2[[#This Row],[Frecuencia]]="Annual", Tabla2[[#This Row],[Cosecha/Tarea]]/12,Tabla2[[#This Row],[Cosecha/Tarea]])</f>
        <v>5542</v>
      </c>
      <c r="F343" s="2">
        <v>75892</v>
      </c>
      <c r="G343" t="s">
        <v>18</v>
      </c>
      <c r="H343">
        <f>F343/Tabla2[[#This Row],[Cosecha Mensual]]</f>
        <v>13.693973294839408</v>
      </c>
      <c r="I343">
        <f>H343*_xlfn.XLOOKUP(Tabla2[[#This Row],[Unidad de producción]],Tabla3[Medida],Tabla3[Equivalencia en Kg],"ELVIS",0)</f>
        <v>621.15862865391557</v>
      </c>
      <c r="J343">
        <v>313.863333333333</v>
      </c>
      <c r="K343" t="s">
        <v>18</v>
      </c>
      <c r="L343">
        <f>J343/_xlfn.XLOOKUP(Tabla2[[#This Row],[Unidad de precio]],Tabla3[Medida],Tabla3[Equivalencia en Kg],"ELVIS",0)</f>
        <v>6.9193856554967592</v>
      </c>
      <c r="M343">
        <v>1994.96</v>
      </c>
      <c r="N343" s="2">
        <f>(Tabla2[[#This Row],[Productividad (kg/TAS)]]*Tabla2[[#This Row],[Precio por kg]]-Tabla2[[#This Row],[Costos (En RD$/Tarea)]])</f>
        <v>2303.0761048959412</v>
      </c>
      <c r="O343" s="6">
        <f>IF(Tabla2[[#This Row],[Costos (En RD$/Tarea)]]=0,0,Tabla2[[#This Row],[Beneficio Neto  (En RD$/Tarea)]]/Tabla2[[#This Row],[Costos (En RD$/Tarea)]])</f>
        <v>1.1544472595420165</v>
      </c>
      <c r="P343" s="4">
        <f>Tabla2[[#This Row],[Rentabilidad (%)]]/12</f>
        <v>9.6203938295168046E-2</v>
      </c>
    </row>
    <row r="344" spans="1:16" x14ac:dyDescent="0.35">
      <c r="A344" s="1">
        <v>37377</v>
      </c>
      <c r="B344" t="s">
        <v>25</v>
      </c>
      <c r="C344" s="2">
        <v>20268</v>
      </c>
      <c r="D344" s="5" t="s">
        <v>17</v>
      </c>
      <c r="E344" s="2">
        <f>IF(Tabla2[[#This Row],[Frecuencia]]="Annual", Tabla2[[#This Row],[Cosecha/Tarea]]/12,Tabla2[[#This Row],[Cosecha/Tarea]])</f>
        <v>20268</v>
      </c>
      <c r="F344" s="2">
        <v>193980</v>
      </c>
      <c r="G344" t="s">
        <v>18</v>
      </c>
      <c r="H344">
        <f>F344/Tabla2[[#This Row],[Cosecha Mensual]]</f>
        <v>9.5707519242155126</v>
      </c>
      <c r="I344">
        <f>H344*_xlfn.XLOOKUP(Tabla2[[#This Row],[Unidad de producción]],Tabla3[Medida],Tabla3[Equivalencia en Kg],"ELVIS",0)</f>
        <v>434.12930728241565</v>
      </c>
      <c r="J344">
        <v>92.784037499999997</v>
      </c>
      <c r="K344" t="s">
        <v>18</v>
      </c>
      <c r="L344">
        <f>J344/_xlfn.XLOOKUP(Tabla2[[#This Row],[Unidad de precio]],Tabla3[Medida],Tabla3[Equivalencia en Kg],"ELVIS",0)</f>
        <v>2.0455034722222223</v>
      </c>
      <c r="M344">
        <v>966.8</v>
      </c>
      <c r="N344" s="2">
        <f>(Tabla2[[#This Row],[Productividad (kg/TAS)]]*Tabla2[[#This Row],[Precio por kg]]-Tabla2[[#This Row],[Costos (En RD$/Tarea)]])</f>
        <v>-78.786994560390667</v>
      </c>
      <c r="O344" s="6">
        <f>IF(Tabla2[[#This Row],[Costos (En RD$/Tarea)]]=0,0,Tabla2[[#This Row],[Beneficio Neto  (En RD$/Tarea)]]/Tabla2[[#This Row],[Costos (En RD$/Tarea)]])</f>
        <v>-8.1492547124938627E-2</v>
      </c>
      <c r="P344" s="4">
        <f>Tabla2[[#This Row],[Rentabilidad (%)]]/12</f>
        <v>-6.7910455937448856E-3</v>
      </c>
    </row>
    <row r="345" spans="1:16" x14ac:dyDescent="0.35">
      <c r="A345" s="1">
        <v>37377</v>
      </c>
      <c r="B345" t="s">
        <v>26</v>
      </c>
      <c r="C345" s="2">
        <v>12729</v>
      </c>
      <c r="D345" s="5" t="s">
        <v>17</v>
      </c>
      <c r="E345" s="2">
        <f>IF(Tabla2[[#This Row],[Frecuencia]]="Annual", Tabla2[[#This Row],[Cosecha/Tarea]]/12,Tabla2[[#This Row],[Cosecha/Tarea]])</f>
        <v>12729</v>
      </c>
      <c r="F345" s="2">
        <v>151432</v>
      </c>
      <c r="G345" t="s">
        <v>18</v>
      </c>
      <c r="H345">
        <f>F345/Tabla2[[#This Row],[Cosecha Mensual]]</f>
        <v>11.896614030952943</v>
      </c>
      <c r="I345">
        <f>H345*_xlfn.XLOOKUP(Tabla2[[#This Row],[Unidad de producción]],Tabla3[Medida],Tabla3[Equivalencia en Kg],"ELVIS",0)</f>
        <v>539.63041244402552</v>
      </c>
      <c r="J345">
        <v>168.58799999999999</v>
      </c>
      <c r="K345" t="s">
        <v>18</v>
      </c>
      <c r="L345">
        <f>J345/_xlfn.XLOOKUP(Tabla2[[#This Row],[Unidad de precio]],Tabla3[Medida],Tabla3[Equivalencia en Kg],"ELVIS",0)</f>
        <v>3.7166666666666668</v>
      </c>
      <c r="M345">
        <v>360.52</v>
      </c>
      <c r="N345" s="2">
        <f>(Tabla2[[#This Row],[Productividad (kg/TAS)]]*Tabla2[[#This Row],[Precio por kg]]-Tabla2[[#This Row],[Costos (En RD$/Tarea)]])</f>
        <v>1645.106366250295</v>
      </c>
      <c r="O345" s="6">
        <f>IF(Tabla2[[#This Row],[Costos (En RD$/Tarea)]]=0,0,Tabla2[[#This Row],[Beneficio Neto  (En RD$/Tarea)]]/Tabla2[[#This Row],[Costos (En RD$/Tarea)]])</f>
        <v>4.5631486914742458</v>
      </c>
      <c r="P345" s="4">
        <f>Tabla2[[#This Row],[Rentabilidad (%)]]/12</f>
        <v>0.38026239095618714</v>
      </c>
    </row>
    <row r="346" spans="1:16" x14ac:dyDescent="0.35">
      <c r="A346" s="1">
        <v>37377</v>
      </c>
      <c r="B346" t="s">
        <v>27</v>
      </c>
      <c r="C346" s="2">
        <v>4766</v>
      </c>
      <c r="D346" s="5" t="s">
        <v>17</v>
      </c>
      <c r="E346" s="2">
        <f>IF(Tabla2[[#This Row],[Frecuencia]]="Annual", Tabla2[[#This Row],[Cosecha/Tarea]]/12,Tabla2[[#This Row],[Cosecha/Tarea]])</f>
        <v>4766</v>
      </c>
      <c r="F346" s="2">
        <v>41763</v>
      </c>
      <c r="G346" t="s">
        <v>18</v>
      </c>
      <c r="H346">
        <f>F346/Tabla2[[#This Row],[Cosecha Mensual]]</f>
        <v>8.7626940830885438</v>
      </c>
      <c r="I346">
        <f>H346*_xlfn.XLOOKUP(Tabla2[[#This Row],[Unidad de producción]],Tabla3[Medida],Tabla3[Equivalencia en Kg],"ELVIS",0)</f>
        <v>397.47580360889634</v>
      </c>
      <c r="J346">
        <v>172.834</v>
      </c>
      <c r="K346" t="s">
        <v>18</v>
      </c>
      <c r="L346">
        <f>J346/_xlfn.XLOOKUP(Tabla2[[#This Row],[Unidad de precio]],Tabla3[Medida],Tabla3[Equivalencia en Kg],"ELVIS",0)</f>
        <v>3.8102733686067021</v>
      </c>
      <c r="M346">
        <v>2321.75</v>
      </c>
      <c r="N346" s="2">
        <f>(Tabla2[[#This Row],[Productividad (kg/TAS)]]*Tabla2[[#This Row],[Precio por kg]]-Tabla2[[#This Row],[Costos (En RD$/Tarea)]])</f>
        <v>-807.25853084347455</v>
      </c>
      <c r="O346" s="6">
        <f>IF(Tabla2[[#This Row],[Costos (En RD$/Tarea)]]=0,0,Tabla2[[#This Row],[Beneficio Neto  (En RD$/Tarea)]]/Tabla2[[#This Row],[Costos (En RD$/Tarea)]])</f>
        <v>-0.34769399411800345</v>
      </c>
      <c r="P346" s="4">
        <f>Tabla2[[#This Row],[Rentabilidad (%)]]/12</f>
        <v>-2.8974499509833621E-2</v>
      </c>
    </row>
    <row r="347" spans="1:16" x14ac:dyDescent="0.35">
      <c r="A347" s="1">
        <v>37377</v>
      </c>
      <c r="B347" t="s">
        <v>28</v>
      </c>
      <c r="C347" s="2">
        <v>7</v>
      </c>
      <c r="D347" s="5" t="s">
        <v>17</v>
      </c>
      <c r="E347" s="2">
        <f>IF(Tabla2[[#This Row],[Frecuencia]]="Annual", Tabla2[[#This Row],[Cosecha/Tarea]]/12,Tabla2[[#This Row],[Cosecha/Tarea]])</f>
        <v>7</v>
      </c>
      <c r="F347" s="2">
        <v>4</v>
      </c>
      <c r="G347" t="s">
        <v>18</v>
      </c>
      <c r="H347">
        <f>F347/Tabla2[[#This Row],[Cosecha Mensual]]</f>
        <v>0.5714285714285714</v>
      </c>
      <c r="I347">
        <f>H347*_xlfn.XLOOKUP(Tabla2[[#This Row],[Unidad de producción]],Tabla3[Medida],Tabla3[Equivalencia en Kg],"ELVIS",0)</f>
        <v>25.919999999999998</v>
      </c>
      <c r="J347">
        <v>4500</v>
      </c>
      <c r="K347" t="s">
        <v>29</v>
      </c>
      <c r="L347">
        <f>J347/_xlfn.XLOOKUP(Tabla2[[#This Row],[Unidad de precio]],Tabla3[Medida],Tabla3[Equivalencia en Kg],"ELVIS",0)</f>
        <v>8.0022762030088561</v>
      </c>
      <c r="M347">
        <v>3619.46</v>
      </c>
      <c r="N347" s="2">
        <f>(Tabla2[[#This Row],[Productividad (kg/TAS)]]*Tabla2[[#This Row],[Precio por kg]]-Tabla2[[#This Row],[Costos (En RD$/Tarea)]])</f>
        <v>-3412.0410008180106</v>
      </c>
      <c r="O347" s="6">
        <f>IF(Tabla2[[#This Row],[Costos (En RD$/Tarea)]]=0,0,Tabla2[[#This Row],[Beneficio Neto  (En RD$/Tarea)]]/Tabla2[[#This Row],[Costos (En RD$/Tarea)]])</f>
        <v>-0.94269338542711079</v>
      </c>
      <c r="P347" s="4">
        <f>Tabla2[[#This Row],[Rentabilidad (%)]]/12</f>
        <v>-7.8557782118925903E-2</v>
      </c>
    </row>
    <row r="348" spans="1:16" x14ac:dyDescent="0.35">
      <c r="A348" s="1">
        <v>37377</v>
      </c>
      <c r="B348" t="s">
        <v>30</v>
      </c>
      <c r="C348" s="2">
        <v>254003</v>
      </c>
      <c r="D348" s="2" t="s">
        <v>31</v>
      </c>
      <c r="E348" s="2">
        <f>IF(Tabla2[[#This Row],[Frecuencia]]="Annual", Tabla2[[#This Row],[Cosecha/Tarea]]/12,Tabla2[[#This Row],[Cosecha/Tarea]])</f>
        <v>21166.916666666668</v>
      </c>
      <c r="F348" s="2">
        <v>1727612</v>
      </c>
      <c r="G348" t="s">
        <v>32</v>
      </c>
      <c r="H348">
        <f>F348/Tabla2[[#This Row],[Cosecha Mensual]]</f>
        <v>81.618500568890909</v>
      </c>
      <c r="I348">
        <f>H348*_xlfn.XLOOKUP(Tabla2[[#This Row],[Unidad de producción]],Tabla3[Medida],Tabla3[Equivalencia en Kg],"ELVIS",0)</f>
        <v>2220.8394004795218</v>
      </c>
      <c r="J348">
        <v>29.006250000000001</v>
      </c>
      <c r="K348" t="s">
        <v>32</v>
      </c>
      <c r="L348">
        <f>J348/_xlfn.XLOOKUP(Tabla2[[#This Row],[Unidad de precio]],Tabla3[Medida],Tabla3[Equivalencia en Kg],"ELVIS",0)</f>
        <v>1.0660143329658214</v>
      </c>
      <c r="M348" s="2">
        <v>3727.21</v>
      </c>
      <c r="N348" s="2">
        <f>(Tabla2[[#This Row],[Productividad (kg/TAS)]]*Tabla2[[#This Row],[Precio por kg]]-Tabla2[[#This Row],[Costos (En RD$/Tarea)]])</f>
        <v>-1359.7633678736079</v>
      </c>
      <c r="O348" s="6">
        <f>IF(Tabla2[[#This Row],[Costos (En RD$/Tarea)]]=0,0,Tabla2[[#This Row],[Beneficio Neto  (En RD$/Tarea)]]/Tabla2[[#This Row],[Costos (En RD$/Tarea)]])</f>
        <v>-0.36482070177790032</v>
      </c>
      <c r="P348" s="4">
        <f>Tabla2[[#This Row],[Rentabilidad (%)]]/12</f>
        <v>-3.0401725148158362E-2</v>
      </c>
    </row>
    <row r="349" spans="1:16" x14ac:dyDescent="0.35">
      <c r="A349" s="1">
        <v>37377</v>
      </c>
      <c r="B349" t="s">
        <v>33</v>
      </c>
      <c r="C349" s="2">
        <v>648238</v>
      </c>
      <c r="D349" s="2" t="s">
        <v>31</v>
      </c>
      <c r="E349" s="2">
        <f>IF(Tabla2[[#This Row],[Frecuencia]]="Annual", Tabla2[[#This Row],[Cosecha/Tarea]]/12,Tabla2[[#This Row],[Cosecha/Tarea]])</f>
        <v>54019.833333333336</v>
      </c>
      <c r="F349" s="2">
        <v>96109</v>
      </c>
      <c r="G349" t="s">
        <v>34</v>
      </c>
      <c r="H349">
        <f>F349/Tabla2[[#This Row],[Cosecha Mensual]]</f>
        <v>1.7791428456832212</v>
      </c>
      <c r="I349">
        <f>H349*_xlfn.XLOOKUP(Tabla2[[#This Row],[Unidad de producción]],Tabla3[Medida],Tabla3[Equivalencia en Kg],"ELVIS",0)</f>
        <v>726.15715246560671</v>
      </c>
      <c r="J349">
        <v>1146.2425000000001</v>
      </c>
      <c r="K349" t="s">
        <v>34</v>
      </c>
      <c r="L349">
        <f>J349/_xlfn.XLOOKUP(Tabla2[[#This Row],[Unidad de precio]],Tabla3[Medida],Tabla3[Equivalencia en Kg],"ELVIS",0)</f>
        <v>2.80838539752542</v>
      </c>
      <c r="M349" s="2">
        <v>3949.84</v>
      </c>
      <c r="N349" s="2">
        <f>(Tabla2[[#This Row],[Productividad (kg/TAS)]]*Tabla2[[#This Row],[Precio por kg]]-Tabla2[[#This Row],[Costos (En RD$/Tarea)]])</f>
        <v>-1910.5108567069501</v>
      </c>
      <c r="O349" s="6">
        <f>IF(Tabla2[[#This Row],[Costos (En RD$/Tarea)]]=0,0,Tabla2[[#This Row],[Beneficio Neto  (En RD$/Tarea)]]/Tabla2[[#This Row],[Costos (En RD$/Tarea)]])</f>
        <v>-0.48369322724640745</v>
      </c>
      <c r="P349" s="4">
        <f>Tabla2[[#This Row],[Rentabilidad (%)]]/12</f>
        <v>-4.0307768937200623E-2</v>
      </c>
    </row>
    <row r="350" spans="1:16" x14ac:dyDescent="0.35">
      <c r="A350" s="1">
        <v>37408</v>
      </c>
      <c r="B350" t="s">
        <v>16</v>
      </c>
      <c r="C350" s="2">
        <v>547886</v>
      </c>
      <c r="D350" s="5" t="s">
        <v>17</v>
      </c>
      <c r="E350" s="2">
        <f>IF(Tabla2[[#This Row],[Frecuencia]]="Annual", Tabla2[[#This Row],[Cosecha/Tarea]]/12,Tabla2[[#This Row],[Cosecha/Tarea]])</f>
        <v>547886</v>
      </c>
      <c r="F350" s="2">
        <v>2891546</v>
      </c>
      <c r="G350" t="s">
        <v>18</v>
      </c>
      <c r="H350">
        <f>F350/Tabla2[[#This Row],[Cosecha Mensual]]</f>
        <v>5.2776416991855974</v>
      </c>
      <c r="I350">
        <f>H350*_xlfn.XLOOKUP(Tabla2[[#This Row],[Unidad de producción]],Tabla3[Medida],Tabla3[Equivalencia en Kg],"ELVIS",0)</f>
        <v>239.39382747505869</v>
      </c>
      <c r="J350">
        <v>924.70187018701904</v>
      </c>
      <c r="K350" t="s">
        <v>19</v>
      </c>
      <c r="L350">
        <f>J350/_xlfn.XLOOKUP(Tabla2[[#This Row],[Unidad de precio]],Tabla3[Medida],Tabla3[Equivalencia en Kg],"ELVIS",0)</f>
        <v>8.4063806380638102</v>
      </c>
      <c r="M350">
        <v>1921.06</v>
      </c>
      <c r="N350" s="2">
        <f>(Tabla2[[#This Row],[Productividad (kg/TAS)]]*Tabla2[[#This Row],[Precio por kg]]-Tabla2[[#This Row],[Costos (En RD$/Tarea)]])</f>
        <v>91.37563615832164</v>
      </c>
      <c r="O350" s="6">
        <f>IF(Tabla2[[#This Row],[Costos (En RD$/Tarea)]]=0,0,Tabla2[[#This Row],[Beneficio Neto  (En RD$/Tarea)]]/Tabla2[[#This Row],[Costos (En RD$/Tarea)]])</f>
        <v>4.7565217202128848E-2</v>
      </c>
      <c r="P350" s="4">
        <f>Tabla2[[#This Row],[Rentabilidad (%)]]/12</f>
        <v>3.963768100177404E-3</v>
      </c>
    </row>
    <row r="351" spans="1:16" x14ac:dyDescent="0.35">
      <c r="A351" s="1">
        <v>37408</v>
      </c>
      <c r="B351" t="s">
        <v>20</v>
      </c>
      <c r="C351" s="2">
        <v>26083</v>
      </c>
      <c r="D351" s="5" t="s">
        <v>17</v>
      </c>
      <c r="E351" s="2">
        <f>IF(Tabla2[[#This Row],[Frecuencia]]="Annual", Tabla2[[#This Row],[Cosecha/Tarea]]/12,Tabla2[[#This Row],[Cosecha/Tarea]])</f>
        <v>26083</v>
      </c>
      <c r="F351" s="2">
        <v>49993</v>
      </c>
      <c r="G351" t="s">
        <v>18</v>
      </c>
      <c r="H351">
        <f>F351/Tabla2[[#This Row],[Cosecha Mensual]]</f>
        <v>1.9166890311697273</v>
      </c>
      <c r="I351">
        <f>H351*_xlfn.XLOOKUP(Tabla2[[#This Row],[Unidad de producción]],Tabla3[Medida],Tabla3[Equivalencia en Kg],"ELVIS",0)</f>
        <v>86.941014453858827</v>
      </c>
      <c r="J351">
        <v>177.79831428571401</v>
      </c>
      <c r="K351" t="s">
        <v>18</v>
      </c>
      <c r="L351">
        <f>J351/_xlfn.XLOOKUP(Tabla2[[#This Row],[Unidad de precio]],Tabla3[Medida],Tabla3[Equivalencia en Kg],"ELVIS",0)</f>
        <v>3.9197159234063936</v>
      </c>
      <c r="M351">
        <v>531.93499999999995</v>
      </c>
      <c r="N351" s="2">
        <f>(Tabla2[[#This Row],[Productividad (kg/TAS)]]*Tabla2[[#This Row],[Precio por kg]]-Tabla2[[#This Row],[Costos (En RD$/Tarea)]])</f>
        <v>-191.15092124810405</v>
      </c>
      <c r="O351" s="6">
        <f>IF(Tabla2[[#This Row],[Costos (En RD$/Tarea)]]=0,0,Tabla2[[#This Row],[Beneficio Neto  (En RD$/Tarea)]]/Tabla2[[#This Row],[Costos (En RD$/Tarea)]])</f>
        <v>-0.35935014851082198</v>
      </c>
      <c r="P351" s="4">
        <f>Tabla2[[#This Row],[Rentabilidad (%)]]/12</f>
        <v>-2.9945845709235166E-2</v>
      </c>
    </row>
    <row r="352" spans="1:16" x14ac:dyDescent="0.35">
      <c r="A352" s="1">
        <v>37408</v>
      </c>
      <c r="B352" t="s">
        <v>21</v>
      </c>
      <c r="C352" s="2">
        <v>5537</v>
      </c>
      <c r="D352" s="5" t="s">
        <v>17</v>
      </c>
      <c r="E352" s="2">
        <f>IF(Tabla2[[#This Row],[Frecuencia]]="Annual", Tabla2[[#This Row],[Cosecha/Tarea]]/12,Tabla2[[#This Row],[Cosecha/Tarea]])</f>
        <v>5537</v>
      </c>
      <c r="F352" s="2">
        <v>55532</v>
      </c>
      <c r="G352" t="s">
        <v>18</v>
      </c>
      <c r="H352">
        <f>F352/Tabla2[[#This Row],[Cosecha Mensual]]</f>
        <v>10.029257720787429</v>
      </c>
      <c r="I352">
        <f>H352*_xlfn.XLOOKUP(Tabla2[[#This Row],[Unidad de producción]],Tabla3[Medida],Tabla3[Equivalencia en Kg],"ELVIS",0)</f>
        <v>454.92713021491778</v>
      </c>
      <c r="J352">
        <v>136.55199999999999</v>
      </c>
      <c r="K352" t="s">
        <v>18</v>
      </c>
      <c r="L352">
        <f>J352/_xlfn.XLOOKUP(Tabla2[[#This Row],[Unidad de precio]],Tabla3[Medida],Tabla3[Equivalencia en Kg],"ELVIS",0)</f>
        <v>3.0104056437389768</v>
      </c>
      <c r="M352">
        <v>945.93</v>
      </c>
      <c r="N352" s="2">
        <f>(Tabla2[[#This Row],[Productividad (kg/TAS)]]*Tabla2[[#This Row],[Precio por kg]]-Tabla2[[#This Row],[Costos (En RD$/Tarea)]])</f>
        <v>423.58520028896498</v>
      </c>
      <c r="O352" s="6">
        <f>IF(Tabla2[[#This Row],[Costos (En RD$/Tarea)]]=0,0,Tabla2[[#This Row],[Beneficio Neto  (En RD$/Tarea)]]/Tabla2[[#This Row],[Costos (En RD$/Tarea)]])</f>
        <v>0.44779761746531455</v>
      </c>
      <c r="P352" s="4">
        <f>Tabla2[[#This Row],[Rentabilidad (%)]]/12</f>
        <v>3.7316468122109543E-2</v>
      </c>
    </row>
    <row r="353" spans="1:16" x14ac:dyDescent="0.35">
      <c r="A353" s="1">
        <v>37408</v>
      </c>
      <c r="B353" t="s">
        <v>22</v>
      </c>
      <c r="C353" s="2">
        <v>5898</v>
      </c>
      <c r="D353" s="5" t="s">
        <v>17</v>
      </c>
      <c r="E353" s="2">
        <f>IF(Tabla2[[#This Row],[Frecuencia]]="Annual", Tabla2[[#This Row],[Cosecha/Tarea]]/12,Tabla2[[#This Row],[Cosecha/Tarea]])</f>
        <v>5898</v>
      </c>
      <c r="F353" s="2">
        <v>56846</v>
      </c>
      <c r="G353" t="s">
        <v>18</v>
      </c>
      <c r="H353">
        <f>F353/Tabla2[[#This Row],[Cosecha Mensual]]</f>
        <v>9.6381824347236353</v>
      </c>
      <c r="I353">
        <f>H353*_xlfn.XLOOKUP(Tabla2[[#This Row],[Unidad de producción]],Tabla3[Medida],Tabla3[Equivalencia en Kg],"ELVIS",0)</f>
        <v>437.18795523906408</v>
      </c>
      <c r="J353">
        <v>317.77600000000001</v>
      </c>
      <c r="K353" t="s">
        <v>18</v>
      </c>
      <c r="L353">
        <f>J353/_xlfn.XLOOKUP(Tabla2[[#This Row],[Unidad de precio]],Tabla3[Medida],Tabla3[Equivalencia en Kg],"ELVIS",0)</f>
        <v>7.0056437389770725</v>
      </c>
      <c r="M353">
        <v>2751.22</v>
      </c>
      <c r="N353" s="2">
        <f>(Tabla2[[#This Row],[Productividad (kg/TAS)]]*Tabla2[[#This Row],[Precio por kg]]-Tabla2[[#This Row],[Costos (En RD$/Tarea)]])</f>
        <v>311.56306137673801</v>
      </c>
      <c r="O353" s="6">
        <f>IF(Tabla2[[#This Row],[Costos (En RD$/Tarea)]]=0,0,Tabla2[[#This Row],[Beneficio Neto  (En RD$/Tarea)]]/Tabla2[[#This Row],[Costos (En RD$/Tarea)]])</f>
        <v>0.11324541889661242</v>
      </c>
      <c r="P353" s="4">
        <f>Tabla2[[#This Row],[Rentabilidad (%)]]/12</f>
        <v>9.4371182413843686E-3</v>
      </c>
    </row>
    <row r="354" spans="1:16" x14ac:dyDescent="0.35">
      <c r="A354" s="1">
        <v>37408</v>
      </c>
      <c r="B354" t="s">
        <v>23</v>
      </c>
      <c r="C354" s="2">
        <v>3261</v>
      </c>
      <c r="D354" s="5" t="s">
        <v>17</v>
      </c>
      <c r="E354" s="2">
        <f>IF(Tabla2[[#This Row],[Frecuencia]]="Annual", Tabla2[[#This Row],[Cosecha/Tarea]]/12,Tabla2[[#This Row],[Cosecha/Tarea]])</f>
        <v>3261</v>
      </c>
      <c r="F354" s="2">
        <v>74314</v>
      </c>
      <c r="G354" t="s">
        <v>18</v>
      </c>
      <c r="H354">
        <f>F354/Tabla2[[#This Row],[Cosecha Mensual]]</f>
        <v>22.788715118061944</v>
      </c>
      <c r="I354">
        <f>H354*_xlfn.XLOOKUP(Tabla2[[#This Row],[Unidad de producción]],Tabla3[Medida],Tabla3[Equivalencia en Kg],"ELVIS",0)</f>
        <v>1033.6961177552898</v>
      </c>
      <c r="J354">
        <v>208.65</v>
      </c>
      <c r="K354" t="s">
        <v>18</v>
      </c>
      <c r="L354">
        <f>J354/_xlfn.XLOOKUP(Tabla2[[#This Row],[Unidad de precio]],Tabla3[Medida],Tabla3[Equivalencia en Kg],"ELVIS",0)</f>
        <v>4.5998677248677247</v>
      </c>
      <c r="M354">
        <v>5786.34</v>
      </c>
      <c r="N354" s="2">
        <f>(Tabla2[[#This Row],[Productividad (kg/TAS)]]*Tabla2[[#This Row],[Precio por kg]]-Tabla2[[#This Row],[Costos (En RD$/Tarea)]])</f>
        <v>-1031.4745906163753</v>
      </c>
      <c r="O354" s="6">
        <f>IF(Tabla2[[#This Row],[Costos (En RD$/Tarea)]]=0,0,Tabla2[[#This Row],[Beneficio Neto  (En RD$/Tarea)]]/Tabla2[[#This Row],[Costos (En RD$/Tarea)]])</f>
        <v>-0.17826028035275757</v>
      </c>
      <c r="P354" s="4">
        <f>Tabla2[[#This Row],[Rentabilidad (%)]]/12</f>
        <v>-1.4855023362729798E-2</v>
      </c>
    </row>
    <row r="355" spans="1:16" x14ac:dyDescent="0.35">
      <c r="A355" s="1">
        <v>37408</v>
      </c>
      <c r="B355" t="s">
        <v>24</v>
      </c>
      <c r="C355" s="2">
        <v>7390</v>
      </c>
      <c r="D355" s="5" t="s">
        <v>17</v>
      </c>
      <c r="E355" s="2">
        <f>IF(Tabla2[[#This Row],[Frecuencia]]="Annual", Tabla2[[#This Row],[Cosecha/Tarea]]/12,Tabla2[[#This Row],[Cosecha/Tarea]])</f>
        <v>7390</v>
      </c>
      <c r="F355" s="2">
        <v>87207</v>
      </c>
      <c r="G355" t="s">
        <v>18</v>
      </c>
      <c r="H355">
        <f>F355/Tabla2[[#This Row],[Cosecha Mensual]]</f>
        <v>11.800676589986468</v>
      </c>
      <c r="I355">
        <f>H355*_xlfn.XLOOKUP(Tabla2[[#This Row],[Unidad de producción]],Tabla3[Medida],Tabla3[Equivalencia en Kg],"ELVIS",0)</f>
        <v>535.27869012178621</v>
      </c>
      <c r="J355">
        <v>388.88833333333298</v>
      </c>
      <c r="K355" t="s">
        <v>18</v>
      </c>
      <c r="L355">
        <f>J355/_xlfn.XLOOKUP(Tabla2[[#This Row],[Unidad de precio]],Tabla3[Medida],Tabla3[Equivalencia en Kg],"ELVIS",0)</f>
        <v>8.5733759553203921</v>
      </c>
      <c r="M355">
        <v>1994.96</v>
      </c>
      <c r="N355" s="2">
        <f>(Tabla2[[#This Row],[Productividad (kg/TAS)]]*Tabla2[[#This Row],[Precio por kg]]-Tabla2[[#This Row],[Costos (En RD$/Tarea)]])</f>
        <v>2594.185451285517</v>
      </c>
      <c r="O355" s="6">
        <f>IF(Tabla2[[#This Row],[Costos (En RD$/Tarea)]]=0,0,Tabla2[[#This Row],[Beneficio Neto  (En RD$/Tarea)]]/Tabla2[[#This Row],[Costos (En RD$/Tarea)]])</f>
        <v>1.3003696571788492</v>
      </c>
      <c r="P355" s="4">
        <f>Tabla2[[#This Row],[Rentabilidad (%)]]/12</f>
        <v>0.10836413809823743</v>
      </c>
    </row>
    <row r="356" spans="1:16" x14ac:dyDescent="0.35">
      <c r="A356" s="1">
        <v>37408</v>
      </c>
      <c r="B356" t="s">
        <v>25</v>
      </c>
      <c r="C356" s="2">
        <v>24249</v>
      </c>
      <c r="D356" s="5" t="s">
        <v>17</v>
      </c>
      <c r="E356" s="2">
        <f>IF(Tabla2[[#This Row],[Frecuencia]]="Annual", Tabla2[[#This Row],[Cosecha/Tarea]]/12,Tabla2[[#This Row],[Cosecha/Tarea]])</f>
        <v>24249</v>
      </c>
      <c r="F356" s="2">
        <v>225284</v>
      </c>
      <c r="G356" t="s">
        <v>18</v>
      </c>
      <c r="H356">
        <f>F356/Tabla2[[#This Row],[Cosecha Mensual]]</f>
        <v>9.2904449668027542</v>
      </c>
      <c r="I356">
        <f>H356*_xlfn.XLOOKUP(Tabla2[[#This Row],[Unidad de producción]],Tabla3[Medida],Tabla3[Equivalencia en Kg],"ELVIS",0)</f>
        <v>421.4145836941729</v>
      </c>
      <c r="J356">
        <v>97.938706249999996</v>
      </c>
      <c r="K356" t="s">
        <v>18</v>
      </c>
      <c r="L356">
        <f>J356/_xlfn.XLOOKUP(Tabla2[[#This Row],[Unidad de precio]],Tabla3[Medida],Tabla3[Equivalencia en Kg],"ELVIS",0)</f>
        <v>2.1591425540123454</v>
      </c>
      <c r="M356">
        <v>966.8</v>
      </c>
      <c r="N356" s="2">
        <f>(Tabla2[[#This Row],[Productividad (kg/TAS)]]*Tabla2[[#This Row],[Precio por kg]]-Tabla2[[#This Row],[Costos (En RD$/Tarea)]])</f>
        <v>-56.905839464514202</v>
      </c>
      <c r="O356" s="6">
        <f>IF(Tabla2[[#This Row],[Costos (En RD$/Tarea)]]=0,0,Tabla2[[#This Row],[Beneficio Neto  (En RD$/Tarea)]]/Tabla2[[#This Row],[Costos (En RD$/Tarea)]])</f>
        <v>-5.8859991171404842E-2</v>
      </c>
      <c r="P356" s="4">
        <f>Tabla2[[#This Row],[Rentabilidad (%)]]/12</f>
        <v>-4.9049992642837366E-3</v>
      </c>
    </row>
    <row r="357" spans="1:16" x14ac:dyDescent="0.35">
      <c r="A357" s="1">
        <v>37408</v>
      </c>
      <c r="B357" t="s">
        <v>26</v>
      </c>
      <c r="C357" s="2">
        <v>11091</v>
      </c>
      <c r="D357" s="5" t="s">
        <v>17</v>
      </c>
      <c r="E357" s="2">
        <f>IF(Tabla2[[#This Row],[Frecuencia]]="Annual", Tabla2[[#This Row],[Cosecha/Tarea]]/12,Tabla2[[#This Row],[Cosecha/Tarea]])</f>
        <v>11091</v>
      </c>
      <c r="F357" s="2">
        <v>53250</v>
      </c>
      <c r="G357" t="s">
        <v>18</v>
      </c>
      <c r="H357">
        <f>F357/Tabla2[[#This Row],[Cosecha Mensual]]</f>
        <v>4.8011901541790643</v>
      </c>
      <c r="I357">
        <f>H357*_xlfn.XLOOKUP(Tabla2[[#This Row],[Unidad de producción]],Tabla3[Medida],Tabla3[Equivalencia en Kg],"ELVIS",0)</f>
        <v>217.78198539356237</v>
      </c>
      <c r="J357">
        <v>191.16</v>
      </c>
      <c r="K357" t="s">
        <v>18</v>
      </c>
      <c r="L357">
        <f>J357/_xlfn.XLOOKUP(Tabla2[[#This Row],[Unidad de precio]],Tabla3[Medida],Tabla3[Equivalencia en Kg],"ELVIS",0)</f>
        <v>4.2142857142857144</v>
      </c>
      <c r="M357">
        <v>360.52</v>
      </c>
      <c r="N357" s="2">
        <f>(Tabla2[[#This Row],[Productividad (kg/TAS)]]*Tabla2[[#This Row],[Precio por kg]]-Tabla2[[#This Row],[Costos (En RD$/Tarea)]])</f>
        <v>557.27550987286997</v>
      </c>
      <c r="O357" s="6">
        <f>IF(Tabla2[[#This Row],[Costos (En RD$/Tarea)]]=0,0,Tabla2[[#This Row],[Beneficio Neto  (En RD$/Tarea)]]/Tabla2[[#This Row],[Costos (En RD$/Tarea)]])</f>
        <v>1.5457547705338677</v>
      </c>
      <c r="P357" s="4">
        <f>Tabla2[[#This Row],[Rentabilidad (%)]]/12</f>
        <v>0.12881289754448896</v>
      </c>
    </row>
    <row r="358" spans="1:16" x14ac:dyDescent="0.35">
      <c r="A358" s="1">
        <v>37408</v>
      </c>
      <c r="B358" t="s">
        <v>27</v>
      </c>
      <c r="C358" s="2">
        <v>4032</v>
      </c>
      <c r="D358" s="5" t="s">
        <v>17</v>
      </c>
      <c r="E358" s="2">
        <f>IF(Tabla2[[#This Row],[Frecuencia]]="Annual", Tabla2[[#This Row],[Cosecha/Tarea]]/12,Tabla2[[#This Row],[Cosecha/Tarea]])</f>
        <v>4032</v>
      </c>
      <c r="F358" s="2">
        <v>37672</v>
      </c>
      <c r="G358" t="s">
        <v>18</v>
      </c>
      <c r="H358">
        <f>F358/Tabla2[[#This Row],[Cosecha Mensual]]</f>
        <v>9.3432539682539684</v>
      </c>
      <c r="I358">
        <f>H358*_xlfn.XLOOKUP(Tabla2[[#This Row],[Unidad de producción]],Tabla3[Medida],Tabla3[Equivalencia en Kg],"ELVIS",0)</f>
        <v>423.81</v>
      </c>
      <c r="J358">
        <v>202.08285714285699</v>
      </c>
      <c r="K358" t="s">
        <v>18</v>
      </c>
      <c r="L358">
        <f>J358/_xlfn.XLOOKUP(Tabla2[[#This Row],[Unidad de precio]],Tabla3[Medida],Tabla3[Equivalencia en Kg],"ELVIS",0)</f>
        <v>4.4550894431846784</v>
      </c>
      <c r="M358">
        <v>2321.75</v>
      </c>
      <c r="N358" s="2">
        <f>(Tabla2[[#This Row],[Productividad (kg/TAS)]]*Tabla2[[#This Row],[Precio por kg]]-Tabla2[[#This Row],[Costos (En RD$/Tarea)]])</f>
        <v>-433.63854308390137</v>
      </c>
      <c r="O358" s="6">
        <f>IF(Tabla2[[#This Row],[Costos (En RD$/Tarea)]]=0,0,Tabla2[[#This Row],[Beneficio Neto  (En RD$/Tarea)]]/Tabla2[[#This Row],[Costos (En RD$/Tarea)]])</f>
        <v>-0.18677228085879244</v>
      </c>
      <c r="P358" s="4">
        <f>Tabla2[[#This Row],[Rentabilidad (%)]]/12</f>
        <v>-1.5564356738232704E-2</v>
      </c>
    </row>
    <row r="359" spans="1:16" x14ac:dyDescent="0.35">
      <c r="A359" s="1">
        <v>37408</v>
      </c>
      <c r="B359" t="s">
        <v>28</v>
      </c>
      <c r="C359" s="2">
        <v>13525</v>
      </c>
      <c r="D359" s="5" t="s">
        <v>17</v>
      </c>
      <c r="E359" s="2">
        <f>IF(Tabla2[[#This Row],[Frecuencia]]="Annual", Tabla2[[#This Row],[Cosecha/Tarea]]/12,Tabla2[[#This Row],[Cosecha/Tarea]])</f>
        <v>13525</v>
      </c>
      <c r="F359" s="2">
        <v>6704</v>
      </c>
      <c r="G359" t="s">
        <v>18</v>
      </c>
      <c r="H359">
        <f>F359/Tabla2[[#This Row],[Cosecha Mensual]]</f>
        <v>0.49567467652495378</v>
      </c>
      <c r="I359">
        <f>H359*_xlfn.XLOOKUP(Tabla2[[#This Row],[Unidad de producción]],Tabla3[Medida],Tabla3[Equivalencia en Kg],"ELVIS",0)</f>
        <v>22.483803327171902</v>
      </c>
      <c r="J359">
        <v>4500</v>
      </c>
      <c r="K359" t="s">
        <v>29</v>
      </c>
      <c r="L359">
        <f>J359/_xlfn.XLOOKUP(Tabla2[[#This Row],[Unidad de precio]],Tabla3[Medida],Tabla3[Equivalencia en Kg],"ELVIS",0)</f>
        <v>8.0022762030088561</v>
      </c>
      <c r="M359">
        <v>3619.46</v>
      </c>
      <c r="N359" s="2">
        <f>(Tabla2[[#This Row],[Productividad (kg/TAS)]]*Tabla2[[#This Row],[Precio por kg]]-Tabla2[[#This Row],[Costos (En RD$/Tarea)]])</f>
        <v>-3439.5383956818409</v>
      </c>
      <c r="O359" s="6">
        <f>IF(Tabla2[[#This Row],[Costos (En RD$/Tarea)]]=0,0,Tabla2[[#This Row],[Beneficio Neto  (En RD$/Tarea)]]/Tabla2[[#This Row],[Costos (En RD$/Tarea)]])</f>
        <v>-0.95029048412797512</v>
      </c>
      <c r="P359" s="4">
        <f>Tabla2[[#This Row],[Rentabilidad (%)]]/12</f>
        <v>-7.9190873677331255E-2</v>
      </c>
    </row>
    <row r="360" spans="1:16" x14ac:dyDescent="0.35">
      <c r="A360" s="1">
        <v>37408</v>
      </c>
      <c r="B360" t="s">
        <v>30</v>
      </c>
      <c r="C360" s="2">
        <v>242492</v>
      </c>
      <c r="D360" s="2" t="s">
        <v>31</v>
      </c>
      <c r="E360" s="2">
        <f>IF(Tabla2[[#This Row],[Frecuencia]]="Annual", Tabla2[[#This Row],[Cosecha/Tarea]]/12,Tabla2[[#This Row],[Cosecha/Tarea]])</f>
        <v>20207.666666666668</v>
      </c>
      <c r="F360" s="2">
        <v>1744347</v>
      </c>
      <c r="G360" t="s">
        <v>32</v>
      </c>
      <c r="H360">
        <f>F360/Tabla2[[#This Row],[Cosecha Mensual]]</f>
        <v>86.321049766590235</v>
      </c>
      <c r="I360">
        <f>H360*_xlfn.XLOOKUP(Tabla2[[#This Row],[Unidad de producción]],Tabla3[Medida],Tabla3[Equivalencia en Kg],"ELVIS",0)</f>
        <v>2348.7957641489202</v>
      </c>
      <c r="J360">
        <v>24.5066666666667</v>
      </c>
      <c r="K360" t="s">
        <v>32</v>
      </c>
      <c r="L360">
        <f>J360/_xlfn.XLOOKUP(Tabla2[[#This Row],[Unidad de precio]],Tabla3[Medida],Tabla3[Equivalencia en Kg],"ELVIS",0)</f>
        <v>0.90064927110131199</v>
      </c>
      <c r="M360" s="2">
        <v>3727.21</v>
      </c>
      <c r="N360" s="2">
        <f>(Tabla2[[#This Row],[Productividad (kg/TAS)]]*Tabla2[[#This Row],[Precio por kg]]-Tabla2[[#This Row],[Costos (En RD$/Tarea)]])</f>
        <v>-1611.7688070534259</v>
      </c>
      <c r="O360" s="6">
        <f>IF(Tabla2[[#This Row],[Costos (En RD$/Tarea)]]=0,0,Tabla2[[#This Row],[Beneficio Neto  (En RD$/Tarea)]]/Tabla2[[#This Row],[Costos (En RD$/Tarea)]])</f>
        <v>-0.43243305503404045</v>
      </c>
      <c r="P360" s="4">
        <f>Tabla2[[#This Row],[Rentabilidad (%)]]/12</f>
        <v>-3.6036087919503371E-2</v>
      </c>
    </row>
    <row r="361" spans="1:16" x14ac:dyDescent="0.35">
      <c r="A361" s="1">
        <v>37408</v>
      </c>
      <c r="B361" t="s">
        <v>33</v>
      </c>
      <c r="C361" s="2">
        <v>678170</v>
      </c>
      <c r="D361" s="2" t="s">
        <v>31</v>
      </c>
      <c r="E361" s="2">
        <f>IF(Tabla2[[#This Row],[Frecuencia]]="Annual", Tabla2[[#This Row],[Cosecha/Tarea]]/12,Tabla2[[#This Row],[Cosecha/Tarea]])</f>
        <v>56514.166666666664</v>
      </c>
      <c r="F361" s="2">
        <v>117459</v>
      </c>
      <c r="G361" t="s">
        <v>34</v>
      </c>
      <c r="H361">
        <f>F361/Tabla2[[#This Row],[Cosecha Mensual]]</f>
        <v>2.0783992214341538</v>
      </c>
      <c r="I361">
        <f>H361*_xlfn.XLOOKUP(Tabla2[[#This Row],[Unidad de producción]],Tabla3[Medida],Tabla3[Equivalencia en Kg],"ELVIS",0)</f>
        <v>848.29864222834988</v>
      </c>
      <c r="J361">
        <v>948.012857142857</v>
      </c>
      <c r="K361" t="s">
        <v>34</v>
      </c>
      <c r="L361">
        <f>J361/_xlfn.XLOOKUP(Tabla2[[#This Row],[Unidad de precio]],Tabla3[Medida],Tabla3[Equivalencia en Kg],"ELVIS",0)</f>
        <v>2.3227069879771092</v>
      </c>
      <c r="M361" s="2">
        <v>3949.84</v>
      </c>
      <c r="N361" s="2">
        <f>(Tabla2[[#This Row],[Productividad (kg/TAS)]]*Tabla2[[#This Row],[Precio por kg]]-Tabla2[[#This Row],[Costos (En RD$/Tarea)]])</f>
        <v>-1979.4908158047183</v>
      </c>
      <c r="O361" s="6">
        <f>IF(Tabla2[[#This Row],[Costos (En RD$/Tarea)]]=0,0,Tabla2[[#This Row],[Beneficio Neto  (En RD$/Tarea)]]/Tabla2[[#This Row],[Costos (En RD$/Tarea)]])</f>
        <v>-0.50115721543270564</v>
      </c>
      <c r="P361" s="4">
        <f>Tabla2[[#This Row],[Rentabilidad (%)]]/12</f>
        <v>-4.1763101286058806E-2</v>
      </c>
    </row>
    <row r="362" spans="1:16" x14ac:dyDescent="0.35">
      <c r="A362" s="1">
        <v>37438</v>
      </c>
      <c r="B362" t="s">
        <v>16</v>
      </c>
      <c r="C362" s="2">
        <v>300721</v>
      </c>
      <c r="D362" s="5" t="s">
        <v>17</v>
      </c>
      <c r="E362" s="2">
        <f>IF(Tabla2[[#This Row],[Frecuencia]]="Annual", Tabla2[[#This Row],[Cosecha/Tarea]]/12,Tabla2[[#This Row],[Cosecha/Tarea]])</f>
        <v>300721</v>
      </c>
      <c r="F362" s="2">
        <v>1541745</v>
      </c>
      <c r="G362" t="s">
        <v>18</v>
      </c>
      <c r="H362">
        <f>F362/Tabla2[[#This Row],[Cosecha Mensual]]</f>
        <v>5.1268285221185081</v>
      </c>
      <c r="I362">
        <f>H362*_xlfn.XLOOKUP(Tabla2[[#This Row],[Unidad de producción]],Tabla3[Medida],Tabla3[Equivalencia en Kg],"ELVIS",0)</f>
        <v>232.55294176329554</v>
      </c>
      <c r="J362">
        <v>848.77887788778901</v>
      </c>
      <c r="K362" t="s">
        <v>19</v>
      </c>
      <c r="L362">
        <f>J362/_xlfn.XLOOKUP(Tabla2[[#This Row],[Unidad de precio]],Tabla3[Medida],Tabla3[Equivalencia en Kg],"ELVIS",0)</f>
        <v>7.7161716171617183</v>
      </c>
      <c r="M362">
        <v>1921.06</v>
      </c>
      <c r="N362" s="2">
        <f>(Tabla2[[#This Row],[Productividad (kg/TAS)]]*Tabla2[[#This Row],[Precio por kg]]-Tabla2[[#This Row],[Costos (En RD$/Tarea)]])</f>
        <v>-126.64159127859693</v>
      </c>
      <c r="O362" s="6">
        <f>IF(Tabla2[[#This Row],[Costos (En RD$/Tarea)]]=0,0,Tabla2[[#This Row],[Beneficio Neto  (En RD$/Tarea)]]/Tabla2[[#This Row],[Costos (En RD$/Tarea)]])</f>
        <v>-6.592276726317603E-2</v>
      </c>
      <c r="P362" s="4">
        <f>Tabla2[[#This Row],[Rentabilidad (%)]]/12</f>
        <v>-5.4935639385980022E-3</v>
      </c>
    </row>
    <row r="363" spans="1:16" x14ac:dyDescent="0.35">
      <c r="A363" s="1">
        <v>37438</v>
      </c>
      <c r="B363" t="s">
        <v>20</v>
      </c>
      <c r="C363" s="2">
        <v>32177</v>
      </c>
      <c r="D363" s="5" t="s">
        <v>17</v>
      </c>
      <c r="E363" s="2">
        <f>IF(Tabla2[[#This Row],[Frecuencia]]="Annual", Tabla2[[#This Row],[Cosecha/Tarea]]/12,Tabla2[[#This Row],[Cosecha/Tarea]])</f>
        <v>32177</v>
      </c>
      <c r="F363" s="2">
        <v>57897</v>
      </c>
      <c r="G363" t="s">
        <v>18</v>
      </c>
      <c r="H363">
        <f>F363/Tabla2[[#This Row],[Cosecha Mensual]]</f>
        <v>1.7993287130559095</v>
      </c>
      <c r="I363">
        <f>H363*_xlfn.XLOOKUP(Tabla2[[#This Row],[Unidad de producción]],Tabla3[Medida],Tabla3[Equivalencia en Kg],"ELVIS",0)</f>
        <v>81.617550424216049</v>
      </c>
      <c r="J363">
        <v>153.39594450000001</v>
      </c>
      <c r="K363" t="s">
        <v>18</v>
      </c>
      <c r="L363">
        <f>J363/_xlfn.XLOOKUP(Tabla2[[#This Row],[Unidad de precio]],Tabla3[Medida],Tabla3[Equivalencia en Kg],"ELVIS",0)</f>
        <v>3.3817448082010584</v>
      </c>
      <c r="M363">
        <v>531.93499999999995</v>
      </c>
      <c r="N363" s="2">
        <f>(Tabla2[[#This Row],[Productividad (kg/TAS)]]*Tabla2[[#This Row],[Precio por kg]]-Tabla2[[#This Row],[Costos (En RD$/Tarea)]])</f>
        <v>-255.92527259481921</v>
      </c>
      <c r="O363" s="6">
        <f>IF(Tabla2[[#This Row],[Costos (En RD$/Tarea)]]=0,0,Tabla2[[#This Row],[Beneficio Neto  (En RD$/Tarea)]]/Tabla2[[#This Row],[Costos (En RD$/Tarea)]])</f>
        <v>-0.48112132609213387</v>
      </c>
      <c r="P363" s="4">
        <f>Tabla2[[#This Row],[Rentabilidad (%)]]/12</f>
        <v>-4.0093443841011156E-2</v>
      </c>
    </row>
    <row r="364" spans="1:16" x14ac:dyDescent="0.35">
      <c r="A364" s="1">
        <v>37438</v>
      </c>
      <c r="B364" t="s">
        <v>21</v>
      </c>
      <c r="C364" s="2">
        <v>5969</v>
      </c>
      <c r="D364" s="5" t="s">
        <v>17</v>
      </c>
      <c r="E364" s="2">
        <f>IF(Tabla2[[#This Row],[Frecuencia]]="Annual", Tabla2[[#This Row],[Cosecha/Tarea]]/12,Tabla2[[#This Row],[Cosecha/Tarea]])</f>
        <v>5969</v>
      </c>
      <c r="F364" s="2">
        <v>61422</v>
      </c>
      <c r="G364" t="s">
        <v>18</v>
      </c>
      <c r="H364">
        <f>F364/Tabla2[[#This Row],[Cosecha Mensual]]</f>
        <v>10.290165856927459</v>
      </c>
      <c r="I364">
        <f>H364*_xlfn.XLOOKUP(Tabla2[[#This Row],[Unidad de producción]],Tabla3[Medida],Tabla3[Equivalencia en Kg],"ELVIS",0)</f>
        <v>466.76192327022954</v>
      </c>
      <c r="J364">
        <v>132.8125</v>
      </c>
      <c r="K364" t="s">
        <v>18</v>
      </c>
      <c r="L364">
        <f>J364/_xlfn.XLOOKUP(Tabla2[[#This Row],[Unidad de precio]],Tabla3[Medida],Tabla3[Equivalencia en Kg],"ELVIS",0)</f>
        <v>2.9279651675485008</v>
      </c>
      <c r="M364">
        <v>945.93</v>
      </c>
      <c r="N364" s="2">
        <f>(Tabla2[[#This Row],[Productividad (kg/TAS)]]*Tabla2[[#This Row],[Precio por kg]]-Tabla2[[#This Row],[Costos (En RD$/Tarea)]])</f>
        <v>420.73265287317815</v>
      </c>
      <c r="O364" s="6">
        <f>IF(Tabla2[[#This Row],[Costos (En RD$/Tarea)]]=0,0,Tabla2[[#This Row],[Beneficio Neto  (En RD$/Tarea)]]/Tabla2[[#This Row],[Costos (En RD$/Tarea)]])</f>
        <v>0.44478201650563803</v>
      </c>
      <c r="P364" s="4">
        <f>Tabla2[[#This Row],[Rentabilidad (%)]]/12</f>
        <v>3.7065168042136505E-2</v>
      </c>
    </row>
    <row r="365" spans="1:16" x14ac:dyDescent="0.35">
      <c r="A365" s="1">
        <v>37438</v>
      </c>
      <c r="B365" t="s">
        <v>22</v>
      </c>
      <c r="C365" s="2">
        <v>4730</v>
      </c>
      <c r="D365" s="5" t="s">
        <v>17</v>
      </c>
      <c r="E365" s="2">
        <f>IF(Tabla2[[#This Row],[Frecuencia]]="Annual", Tabla2[[#This Row],[Cosecha/Tarea]]/12,Tabla2[[#This Row],[Cosecha/Tarea]])</f>
        <v>4730</v>
      </c>
      <c r="F365" s="2">
        <v>44542</v>
      </c>
      <c r="G365" t="s">
        <v>18</v>
      </c>
      <c r="H365">
        <f>F365/Tabla2[[#This Row],[Cosecha Mensual]]</f>
        <v>9.4169133192389012</v>
      </c>
      <c r="I365">
        <f>H365*_xlfn.XLOOKUP(Tabla2[[#This Row],[Unidad de producción]],Tabla3[Medida],Tabla3[Equivalencia en Kg],"ELVIS",0)</f>
        <v>427.15118816067655</v>
      </c>
      <c r="J365">
        <v>388.6</v>
      </c>
      <c r="K365" t="s">
        <v>18</v>
      </c>
      <c r="L365">
        <f>J365/_xlfn.XLOOKUP(Tabla2[[#This Row],[Unidad de precio]],Tabla3[Medida],Tabla3[Equivalencia en Kg],"ELVIS",0)</f>
        <v>8.5670194003527342</v>
      </c>
      <c r="M365">
        <v>2751.22</v>
      </c>
      <c r="N365" s="2">
        <f>(Tabla2[[#This Row],[Productividad (kg/TAS)]]*Tabla2[[#This Row],[Precio por kg]]-Tabla2[[#This Row],[Costos (En RD$/Tarea)]])</f>
        <v>908.19251585623761</v>
      </c>
      <c r="O365" s="6">
        <f>IF(Tabla2[[#This Row],[Costos (En RD$/Tarea)]]=0,0,Tabla2[[#This Row],[Beneficio Neto  (En RD$/Tarea)]]/Tabla2[[#This Row],[Costos (En RD$/Tarea)]])</f>
        <v>0.33010537719856559</v>
      </c>
      <c r="P365" s="4">
        <f>Tabla2[[#This Row],[Rentabilidad (%)]]/12</f>
        <v>2.7508781433213798E-2</v>
      </c>
    </row>
    <row r="366" spans="1:16" x14ac:dyDescent="0.35">
      <c r="A366" s="1">
        <v>37438</v>
      </c>
      <c r="B366" t="s">
        <v>23</v>
      </c>
      <c r="C366" s="2">
        <v>1518</v>
      </c>
      <c r="D366" s="5" t="s">
        <v>17</v>
      </c>
      <c r="E366" s="2">
        <f>IF(Tabla2[[#This Row],[Frecuencia]]="Annual", Tabla2[[#This Row],[Cosecha/Tarea]]/12,Tabla2[[#This Row],[Cosecha/Tarea]])</f>
        <v>1518</v>
      </c>
      <c r="F366" s="2">
        <v>33860</v>
      </c>
      <c r="G366" t="s">
        <v>18</v>
      </c>
      <c r="H366">
        <f>F366/Tabla2[[#This Row],[Cosecha Mensual]]</f>
        <v>22.305665349143609</v>
      </c>
      <c r="I366">
        <f>H366*_xlfn.XLOOKUP(Tabla2[[#This Row],[Unidad de producción]],Tabla3[Medida],Tabla3[Equivalencia en Kg],"ELVIS",0)</f>
        <v>1011.7849802371541</v>
      </c>
      <c r="J366">
        <v>191.953125</v>
      </c>
      <c r="K366" t="s">
        <v>18</v>
      </c>
      <c r="L366">
        <f>J366/_xlfn.XLOOKUP(Tabla2[[#This Row],[Unidad de precio]],Tabla3[Medida],Tabla3[Equivalencia en Kg],"ELVIS",0)</f>
        <v>4.231770833333333</v>
      </c>
      <c r="M366">
        <v>5786.34</v>
      </c>
      <c r="N366" s="2">
        <f>(Tabla2[[#This Row],[Productividad (kg/TAS)]]*Tabla2[[#This Row],[Precio por kg]]-Tabla2[[#This Row],[Costos (En RD$/Tarea)]])</f>
        <v>-1504.6978310276691</v>
      </c>
      <c r="O366" s="6">
        <f>IF(Tabla2[[#This Row],[Costos (En RD$/Tarea)]]=0,0,Tabla2[[#This Row],[Beneficio Neto  (En RD$/Tarea)]]/Tabla2[[#This Row],[Costos (En RD$/Tarea)]])</f>
        <v>-0.26004310687371796</v>
      </c>
      <c r="P366" s="4">
        <f>Tabla2[[#This Row],[Rentabilidad (%)]]/12</f>
        <v>-2.1670258906143162E-2</v>
      </c>
    </row>
    <row r="367" spans="1:16" x14ac:dyDescent="0.35">
      <c r="A367" s="1">
        <v>37438</v>
      </c>
      <c r="B367" t="s">
        <v>24</v>
      </c>
      <c r="C367" s="2">
        <v>8443</v>
      </c>
      <c r="D367" s="5" t="s">
        <v>17</v>
      </c>
      <c r="E367" s="2">
        <f>IF(Tabla2[[#This Row],[Frecuencia]]="Annual", Tabla2[[#This Row],[Cosecha/Tarea]]/12,Tabla2[[#This Row],[Cosecha/Tarea]])</f>
        <v>8443</v>
      </c>
      <c r="F367" s="2">
        <v>94204</v>
      </c>
      <c r="G367" t="s">
        <v>18</v>
      </c>
      <c r="H367">
        <f>F367/Tabla2[[#This Row],[Cosecha Mensual]]</f>
        <v>11.157645386710884</v>
      </c>
      <c r="I367">
        <f>H367*_xlfn.XLOOKUP(Tabla2[[#This Row],[Unidad de producción]],Tabla3[Medida],Tabla3[Equivalencia en Kg],"ELVIS",0)</f>
        <v>506.11079474120572</v>
      </c>
      <c r="J367">
        <v>328.80428571428598</v>
      </c>
      <c r="K367" t="s">
        <v>18</v>
      </c>
      <c r="L367">
        <f>J367/_xlfn.XLOOKUP(Tabla2[[#This Row],[Unidad de precio]],Tabla3[Medida],Tabla3[Equivalencia en Kg],"ELVIS",0)</f>
        <v>7.2487717309145943</v>
      </c>
      <c r="M367">
        <v>1994.96</v>
      </c>
      <c r="N367" s="2">
        <f>(Tabla2[[#This Row],[Productividad (kg/TAS)]]*Tabla2[[#This Row],[Precio por kg]]-Tabla2[[#This Row],[Costos (En RD$/Tarea)]])</f>
        <v>1673.7216216307706</v>
      </c>
      <c r="O367" s="6">
        <f>IF(Tabla2[[#This Row],[Costos (En RD$/Tarea)]]=0,0,Tabla2[[#This Row],[Beneficio Neto  (En RD$/Tarea)]]/Tabla2[[#This Row],[Costos (En RD$/Tarea)]])</f>
        <v>0.83897502788565714</v>
      </c>
      <c r="P367" s="4">
        <f>Tabla2[[#This Row],[Rentabilidad (%)]]/12</f>
        <v>6.9914585657138095E-2</v>
      </c>
    </row>
    <row r="368" spans="1:16" x14ac:dyDescent="0.35">
      <c r="A368" s="1">
        <v>37438</v>
      </c>
      <c r="B368" t="s">
        <v>25</v>
      </c>
      <c r="C368" s="2">
        <v>22834</v>
      </c>
      <c r="D368" s="5" t="s">
        <v>17</v>
      </c>
      <c r="E368" s="2">
        <f>IF(Tabla2[[#This Row],[Frecuencia]]="Annual", Tabla2[[#This Row],[Cosecha/Tarea]]/12,Tabla2[[#This Row],[Cosecha/Tarea]])</f>
        <v>22834</v>
      </c>
      <c r="F368" s="2">
        <v>217603</v>
      </c>
      <c r="G368" t="s">
        <v>18</v>
      </c>
      <c r="H368">
        <f>F368/Tabla2[[#This Row],[Cosecha Mensual]]</f>
        <v>9.5297801524043102</v>
      </c>
      <c r="I368">
        <f>H368*_xlfn.XLOOKUP(Tabla2[[#This Row],[Unidad de producción]],Tabla3[Medida],Tabla3[Equivalencia en Kg],"ELVIS",0)</f>
        <v>432.27082771305953</v>
      </c>
      <c r="J368">
        <v>107.2176875</v>
      </c>
      <c r="K368" t="s">
        <v>18</v>
      </c>
      <c r="L368">
        <f>J368/_xlfn.XLOOKUP(Tabla2[[#This Row],[Unidad de precio]],Tabla3[Medida],Tabla3[Equivalencia en Kg],"ELVIS",0)</f>
        <v>2.3637056327160493</v>
      </c>
      <c r="M368">
        <v>966.8</v>
      </c>
      <c r="N368" s="2">
        <f>(Tabla2[[#This Row],[Productividad (kg/TAS)]]*Tabla2[[#This Row],[Precio por kg]]-Tabla2[[#This Row],[Costos (En RD$/Tarea)]])</f>
        <v>54.960990324187719</v>
      </c>
      <c r="O368" s="6">
        <f>IF(Tabla2[[#This Row],[Costos (En RD$/Tarea)]]=0,0,Tabla2[[#This Row],[Beneficio Neto  (En RD$/Tarea)]]/Tabla2[[#This Row],[Costos (En RD$/Tarea)]])</f>
        <v>5.6848355734575633E-2</v>
      </c>
      <c r="P368" s="4">
        <f>Tabla2[[#This Row],[Rentabilidad (%)]]/12</f>
        <v>4.737362977881303E-3</v>
      </c>
    </row>
    <row r="369" spans="1:16" x14ac:dyDescent="0.35">
      <c r="A369" s="1">
        <v>37438</v>
      </c>
      <c r="B369" t="s">
        <v>26</v>
      </c>
      <c r="C369" s="2">
        <v>7607</v>
      </c>
      <c r="D369" s="5" t="s">
        <v>17</v>
      </c>
      <c r="E369" s="2">
        <f>IF(Tabla2[[#This Row],[Frecuencia]]="Annual", Tabla2[[#This Row],[Cosecha/Tarea]]/12,Tabla2[[#This Row],[Cosecha/Tarea]])</f>
        <v>7607</v>
      </c>
      <c r="F369" s="2">
        <v>41651</v>
      </c>
      <c r="G369" t="s">
        <v>18</v>
      </c>
      <c r="H369">
        <f>F369/Tabla2[[#This Row],[Cosecha Mensual]]</f>
        <v>5.4753516497962407</v>
      </c>
      <c r="I369">
        <f>H369*_xlfn.XLOOKUP(Tabla2[[#This Row],[Unidad de producción]],Tabla3[Medida],Tabla3[Equivalencia en Kg],"ELVIS",0)</f>
        <v>248.36195083475747</v>
      </c>
      <c r="J369">
        <v>203.03571428571399</v>
      </c>
      <c r="K369" t="s">
        <v>18</v>
      </c>
      <c r="L369">
        <f>J369/_xlfn.XLOOKUP(Tabla2[[#This Row],[Unidad de precio]],Tabla3[Medida],Tabla3[Equivalencia en Kg],"ELVIS",0)</f>
        <v>4.4760959939531304</v>
      </c>
      <c r="M369">
        <v>360.52</v>
      </c>
      <c r="N369" s="2">
        <f>(Tabla2[[#This Row],[Productividad (kg/TAS)]]*Tabla2[[#This Row],[Precio por kg]]-Tabla2[[#This Row],[Costos (En RD$/Tarea)]])</f>
        <v>751.17193318184218</v>
      </c>
      <c r="O369" s="6">
        <f>IF(Tabla2[[#This Row],[Costos (En RD$/Tarea)]]=0,0,Tabla2[[#This Row],[Beneficio Neto  (En RD$/Tarea)]]/Tabla2[[#This Row],[Costos (En RD$/Tarea)]])</f>
        <v>2.083579089043166</v>
      </c>
      <c r="P369" s="4">
        <f>Tabla2[[#This Row],[Rentabilidad (%)]]/12</f>
        <v>0.17363159075359716</v>
      </c>
    </row>
    <row r="370" spans="1:16" x14ac:dyDescent="0.35">
      <c r="A370" s="1">
        <v>37438</v>
      </c>
      <c r="B370" t="s">
        <v>27</v>
      </c>
      <c r="C370" s="2">
        <v>4169</v>
      </c>
      <c r="D370" s="5" t="s">
        <v>17</v>
      </c>
      <c r="E370" s="2">
        <f>IF(Tabla2[[#This Row],[Frecuencia]]="Annual", Tabla2[[#This Row],[Cosecha/Tarea]]/12,Tabla2[[#This Row],[Cosecha/Tarea]])</f>
        <v>4169</v>
      </c>
      <c r="F370" s="2">
        <v>40911</v>
      </c>
      <c r="G370" t="s">
        <v>18</v>
      </c>
      <c r="H370">
        <f>F370/Tabla2[[#This Row],[Cosecha Mensual]]</f>
        <v>9.8131446390021591</v>
      </c>
      <c r="I370">
        <f>H370*_xlfn.XLOOKUP(Tabla2[[#This Row],[Unidad de producción]],Tabla3[Medida],Tabla3[Equivalencia en Kg],"ELVIS",0)</f>
        <v>445.12424082513792</v>
      </c>
      <c r="J370">
        <v>232.208333333333</v>
      </c>
      <c r="K370" t="s">
        <v>18</v>
      </c>
      <c r="L370">
        <f>J370/_xlfn.XLOOKUP(Tabla2[[#This Row],[Unidad de precio]],Tabla3[Medida],Tabla3[Equivalencia en Kg],"ELVIS",0)</f>
        <v>5.1192313345091049</v>
      </c>
      <c r="M370">
        <v>2321.75</v>
      </c>
      <c r="N370" s="2">
        <f>(Tabla2[[#This Row],[Productividad (kg/TAS)]]*Tabla2[[#This Row],[Precio por kg]]-Tabla2[[#This Row],[Costos (En RD$/Tarea)]])</f>
        <v>-43.056038618376988</v>
      </c>
      <c r="O370" s="6">
        <f>IF(Tabla2[[#This Row],[Costos (En RD$/Tarea)]]=0,0,Tabla2[[#This Row],[Beneficio Neto  (En RD$/Tarea)]]/Tabla2[[#This Row],[Costos (En RD$/Tarea)]])</f>
        <v>-1.854464891498955E-2</v>
      </c>
      <c r="P370" s="4">
        <f>Tabla2[[#This Row],[Rentabilidad (%)]]/12</f>
        <v>-1.5453874095824624E-3</v>
      </c>
    </row>
    <row r="371" spans="1:16" x14ac:dyDescent="0.35">
      <c r="A371" s="1">
        <v>37438</v>
      </c>
      <c r="B371" t="s">
        <v>28</v>
      </c>
      <c r="C371" s="2">
        <v>19303</v>
      </c>
      <c r="D371" s="5" t="s">
        <v>17</v>
      </c>
      <c r="E371" s="2">
        <f>IF(Tabla2[[#This Row],[Frecuencia]]="Annual", Tabla2[[#This Row],[Cosecha/Tarea]]/12,Tabla2[[#This Row],[Cosecha/Tarea]])</f>
        <v>19303</v>
      </c>
      <c r="F371" s="2">
        <v>36235</v>
      </c>
      <c r="G371" t="s">
        <v>18</v>
      </c>
      <c r="H371">
        <f>F371/Tabla2[[#This Row],[Cosecha Mensual]]</f>
        <v>1.8771693519142103</v>
      </c>
      <c r="I371">
        <f>H371*_xlfn.XLOOKUP(Tabla2[[#This Row],[Unidad de producción]],Tabla3[Medida],Tabla3[Equivalencia en Kg],"ELVIS",0)</f>
        <v>85.148401802828573</v>
      </c>
      <c r="J371">
        <v>1886.6875</v>
      </c>
      <c r="K371" t="s">
        <v>29</v>
      </c>
      <c r="L371">
        <f>J371/_xlfn.XLOOKUP(Tabla2[[#This Row],[Unidad de precio]],Tabla3[Medida],Tabla3[Equivalencia en Kg],"ELVIS",0)</f>
        <v>3.3550654408365044</v>
      </c>
      <c r="M371">
        <v>3619.46</v>
      </c>
      <c r="N371" s="2">
        <f>(Tabla2[[#This Row],[Productividad (kg/TAS)]]*Tabla2[[#This Row],[Precio por kg]]-Tabla2[[#This Row],[Costos (En RD$/Tarea)]])</f>
        <v>-3333.7815397688692</v>
      </c>
      <c r="O371" s="6">
        <f>IF(Tabla2[[#This Row],[Costos (En RD$/Tarea)]]=0,0,Tabla2[[#This Row],[Beneficio Neto  (En RD$/Tarea)]]/Tabla2[[#This Row],[Costos (En RD$/Tarea)]])</f>
        <v>-0.92107152441769469</v>
      </c>
      <c r="P371" s="4">
        <f>Tabla2[[#This Row],[Rentabilidad (%)]]/12</f>
        <v>-7.6755960368141224E-2</v>
      </c>
    </row>
    <row r="372" spans="1:16" x14ac:dyDescent="0.35">
      <c r="A372" s="1">
        <v>37438</v>
      </c>
      <c r="B372" t="s">
        <v>30</v>
      </c>
      <c r="C372" s="2">
        <v>318821</v>
      </c>
      <c r="D372" s="2" t="s">
        <v>31</v>
      </c>
      <c r="E372" s="2">
        <f>IF(Tabla2[[#This Row],[Frecuencia]]="Annual", Tabla2[[#This Row],[Cosecha/Tarea]]/12,Tabla2[[#This Row],[Cosecha/Tarea]])</f>
        <v>26568.416666666668</v>
      </c>
      <c r="F372" s="2">
        <v>2114026</v>
      </c>
      <c r="G372" t="s">
        <v>32</v>
      </c>
      <c r="H372">
        <f>F372/Tabla2[[#This Row],[Cosecha Mensual]]</f>
        <v>79.569137541128086</v>
      </c>
      <c r="I372">
        <f>H372*_xlfn.XLOOKUP(Tabla2[[#This Row],[Unidad de producción]],Tabla3[Medida],Tabla3[Equivalencia en Kg],"ELVIS",0)</f>
        <v>2165.0762324940952</v>
      </c>
      <c r="J372">
        <v>26.2742857142857</v>
      </c>
      <c r="K372" t="s">
        <v>32</v>
      </c>
      <c r="L372">
        <f>J372/_xlfn.XLOOKUP(Tabla2[[#This Row],[Unidad de precio]],Tabla3[Medida],Tabla3[Equivalencia en Kg],"ELVIS",0)</f>
        <v>0.9656113823699265</v>
      </c>
      <c r="M372" s="2">
        <v>3727.21</v>
      </c>
      <c r="N372" s="2">
        <f>(Tabla2[[#This Row],[Productividad (kg/TAS)]]*Tabla2[[#This Row],[Precio por kg]]-Tabla2[[#This Row],[Costos (En RD$/Tarea)]])</f>
        <v>-1636.5877462051044</v>
      </c>
      <c r="O372" s="6">
        <f>IF(Tabla2[[#This Row],[Costos (En RD$/Tarea)]]=0,0,Tabla2[[#This Row],[Beneficio Neto  (En RD$/Tarea)]]/Tabla2[[#This Row],[Costos (En RD$/Tarea)]])</f>
        <v>-0.43909190687004607</v>
      </c>
      <c r="P372" s="4">
        <f>Tabla2[[#This Row],[Rentabilidad (%)]]/12</f>
        <v>-3.6590992239170506E-2</v>
      </c>
    </row>
    <row r="373" spans="1:16" x14ac:dyDescent="0.35">
      <c r="A373" s="1">
        <v>37438</v>
      </c>
      <c r="B373" t="s">
        <v>33</v>
      </c>
      <c r="C373" s="2">
        <v>697620</v>
      </c>
      <c r="D373" s="2" t="s">
        <v>31</v>
      </c>
      <c r="E373" s="2">
        <f>IF(Tabla2[[#This Row],[Frecuencia]]="Annual", Tabla2[[#This Row],[Cosecha/Tarea]]/12,Tabla2[[#This Row],[Cosecha/Tarea]])</f>
        <v>58135</v>
      </c>
      <c r="F373" s="2">
        <v>131955</v>
      </c>
      <c r="G373" t="s">
        <v>34</v>
      </c>
      <c r="H373">
        <f>F373/Tabla2[[#This Row],[Cosecha Mensual]]</f>
        <v>2.2698030446374817</v>
      </c>
      <c r="I373">
        <f>H373*_xlfn.XLOOKUP(Tabla2[[#This Row],[Unidad de producción]],Tabla3[Medida],Tabla3[Equivalencia en Kg],"ELVIS",0)</f>
        <v>926.42011266878808</v>
      </c>
      <c r="J373">
        <v>1039.1925000000001</v>
      </c>
      <c r="K373" t="s">
        <v>34</v>
      </c>
      <c r="L373">
        <f>J373/_xlfn.XLOOKUP(Tabla2[[#This Row],[Unidad de precio]],Tabla3[Medida],Tabla3[Equivalencia en Kg],"ELVIS",0)</f>
        <v>2.5461043733921356</v>
      </c>
      <c r="M373" s="2">
        <v>3949.84</v>
      </c>
      <c r="N373" s="2">
        <f>(Tabla2[[#This Row],[Productividad (kg/TAS)]]*Tabla2[[#This Row],[Precio por kg]]-Tabla2[[#This Row],[Costos (En RD$/Tarea)]])</f>
        <v>-1591.0776995355636</v>
      </c>
      <c r="O373" s="6">
        <f>IF(Tabla2[[#This Row],[Costos (En RD$/Tarea)]]=0,0,Tabla2[[#This Row],[Beneficio Neto  (En RD$/Tarea)]]/Tabla2[[#This Row],[Costos (En RD$/Tarea)]])</f>
        <v>-0.40282079768688445</v>
      </c>
      <c r="P373" s="4">
        <f>Tabla2[[#This Row],[Rentabilidad (%)]]/12</f>
        <v>-3.3568399807240371E-2</v>
      </c>
    </row>
    <row r="374" spans="1:16" x14ac:dyDescent="0.35">
      <c r="A374" s="1">
        <v>37469</v>
      </c>
      <c r="B374" t="s">
        <v>16</v>
      </c>
      <c r="C374" s="2">
        <v>155204</v>
      </c>
      <c r="D374" s="5" t="s">
        <v>17</v>
      </c>
      <c r="E374" s="2">
        <f>IF(Tabla2[[#This Row],[Frecuencia]]="Annual", Tabla2[[#This Row],[Cosecha/Tarea]]/12,Tabla2[[#This Row],[Cosecha/Tarea]])</f>
        <v>155204</v>
      </c>
      <c r="F374" s="2">
        <v>731350</v>
      </c>
      <c r="G374" t="s">
        <v>18</v>
      </c>
      <c r="H374">
        <f>F374/Tabla2[[#This Row],[Cosecha Mensual]]</f>
        <v>4.712185252957398</v>
      </c>
      <c r="I374">
        <f>H374*_xlfn.XLOOKUP(Tabla2[[#This Row],[Unidad de producción]],Tabla3[Medida],Tabla3[Equivalencia en Kg],"ELVIS",0)</f>
        <v>213.74472307414757</v>
      </c>
      <c r="J374">
        <v>856.13641364136402</v>
      </c>
      <c r="K374" t="s">
        <v>19</v>
      </c>
      <c r="L374">
        <f>J374/_xlfn.XLOOKUP(Tabla2[[#This Row],[Unidad de precio]],Tabla3[Medida],Tabla3[Equivalencia en Kg],"ELVIS",0)</f>
        <v>7.7830583058305818</v>
      </c>
      <c r="M374">
        <v>1921.06</v>
      </c>
      <c r="N374" s="2">
        <f>(Tabla2[[#This Row],[Productividad (kg/TAS)]]*Tabla2[[#This Row],[Precio por kg]]-Tabla2[[#This Row],[Costos (En RD$/Tarea)]])</f>
        <v>-257.47235775029799</v>
      </c>
      <c r="O374" s="6">
        <f>IF(Tabla2[[#This Row],[Costos (En RD$/Tarea)]]=0,0,Tabla2[[#This Row],[Beneficio Neto  (En RD$/Tarea)]]/Tabla2[[#This Row],[Costos (En RD$/Tarea)]])</f>
        <v>-0.13402619270105984</v>
      </c>
      <c r="P374" s="4">
        <f>Tabla2[[#This Row],[Rentabilidad (%)]]/12</f>
        <v>-1.1168849391754986E-2</v>
      </c>
    </row>
    <row r="375" spans="1:16" x14ac:dyDescent="0.35">
      <c r="A375" s="1">
        <v>37469</v>
      </c>
      <c r="B375" t="s">
        <v>20</v>
      </c>
      <c r="C375" s="2">
        <v>45332</v>
      </c>
      <c r="D375" s="5" t="s">
        <v>17</v>
      </c>
      <c r="E375" s="2">
        <f>IF(Tabla2[[#This Row],[Frecuencia]]="Annual", Tabla2[[#This Row],[Cosecha/Tarea]]/12,Tabla2[[#This Row],[Cosecha/Tarea]])</f>
        <v>45332</v>
      </c>
      <c r="F375" s="2">
        <v>78474</v>
      </c>
      <c r="G375" t="s">
        <v>18</v>
      </c>
      <c r="H375">
        <f>F375/Tabla2[[#This Row],[Cosecha Mensual]]</f>
        <v>1.7310950322068297</v>
      </c>
      <c r="I375">
        <f>H375*_xlfn.XLOOKUP(Tabla2[[#This Row],[Unidad de producción]],Tabla3[Medida],Tabla3[Equivalencia en Kg],"ELVIS",0)</f>
        <v>78.522470660901789</v>
      </c>
      <c r="J375">
        <v>107.46428</v>
      </c>
      <c r="K375" t="s">
        <v>18</v>
      </c>
      <c r="L375">
        <f>J375/_xlfn.XLOOKUP(Tabla2[[#This Row],[Unidad de precio]],Tabla3[Medida],Tabla3[Equivalencia en Kg],"ELVIS",0)</f>
        <v>2.3691419753086422</v>
      </c>
      <c r="M375">
        <v>531.93499999999995</v>
      </c>
      <c r="N375" s="2">
        <f>(Tabla2[[#This Row],[Productividad (kg/TAS)]]*Tabla2[[#This Row],[Precio por kg]]-Tabla2[[#This Row],[Costos (En RD$/Tarea)]])</f>
        <v>-345.90411875231621</v>
      </c>
      <c r="O375" s="6">
        <f>IF(Tabla2[[#This Row],[Costos (En RD$/Tarea)]]=0,0,Tabla2[[#This Row],[Beneficio Neto  (En RD$/Tarea)]]/Tabla2[[#This Row],[Costos (En RD$/Tarea)]])</f>
        <v>-0.65027516285319864</v>
      </c>
      <c r="P375" s="4">
        <f>Tabla2[[#This Row],[Rentabilidad (%)]]/12</f>
        <v>-5.4189596904433222E-2</v>
      </c>
    </row>
    <row r="376" spans="1:16" x14ac:dyDescent="0.35">
      <c r="A376" s="1">
        <v>37469</v>
      </c>
      <c r="B376" t="s">
        <v>21</v>
      </c>
      <c r="C376" s="2">
        <v>5397</v>
      </c>
      <c r="D376" s="5" t="s">
        <v>17</v>
      </c>
      <c r="E376" s="2">
        <f>IF(Tabla2[[#This Row],[Frecuencia]]="Annual", Tabla2[[#This Row],[Cosecha/Tarea]]/12,Tabla2[[#This Row],[Cosecha/Tarea]])</f>
        <v>5397</v>
      </c>
      <c r="F376" s="2">
        <v>50727</v>
      </c>
      <c r="G376" t="s">
        <v>18</v>
      </c>
      <c r="H376">
        <f>F376/Tabla2[[#This Row],[Cosecha Mensual]]</f>
        <v>9.3991106170094501</v>
      </c>
      <c r="I376">
        <f>H376*_xlfn.XLOOKUP(Tabla2[[#This Row],[Unidad de producción]],Tabla3[Medida],Tabla3[Equivalencia en Kg],"ELVIS",0)</f>
        <v>426.34365758754865</v>
      </c>
      <c r="J376">
        <v>129.16</v>
      </c>
      <c r="K376" t="s">
        <v>18</v>
      </c>
      <c r="L376">
        <f>J376/_xlfn.XLOOKUP(Tabla2[[#This Row],[Unidad de precio]],Tabla3[Medida],Tabla3[Equivalencia en Kg],"ELVIS",0)</f>
        <v>2.8474426807760143</v>
      </c>
      <c r="M376">
        <v>945.93</v>
      </c>
      <c r="N376" s="2">
        <f>(Tabla2[[#This Row],[Productividad (kg/TAS)]]*Tabla2[[#This Row],[Precio por kg]]-Tabla2[[#This Row],[Costos (En RD$/Tarea)]])</f>
        <v>268.05912729294062</v>
      </c>
      <c r="O376" s="6">
        <f>IF(Tabla2[[#This Row],[Costos (En RD$/Tarea)]]=0,0,Tabla2[[#This Row],[Beneficio Neto  (En RD$/Tarea)]]/Tabla2[[#This Row],[Costos (En RD$/Tarea)]])</f>
        <v>0.28338156871326697</v>
      </c>
      <c r="P376" s="4">
        <f>Tabla2[[#This Row],[Rentabilidad (%)]]/12</f>
        <v>2.361513072610558E-2</v>
      </c>
    </row>
    <row r="377" spans="1:16" x14ac:dyDescent="0.35">
      <c r="A377" s="1">
        <v>37469</v>
      </c>
      <c r="B377" t="s">
        <v>22</v>
      </c>
      <c r="C377" s="2">
        <v>5886</v>
      </c>
      <c r="D377" s="5" t="s">
        <v>17</v>
      </c>
      <c r="E377" s="2">
        <f>IF(Tabla2[[#This Row],[Frecuencia]]="Annual", Tabla2[[#This Row],[Cosecha/Tarea]]/12,Tabla2[[#This Row],[Cosecha/Tarea]])</f>
        <v>5886</v>
      </c>
      <c r="F377" s="2">
        <v>59249</v>
      </c>
      <c r="G377" t="s">
        <v>18</v>
      </c>
      <c r="H377">
        <f>F377/Tabla2[[#This Row],[Cosecha Mensual]]</f>
        <v>10.06608902480462</v>
      </c>
      <c r="I377">
        <f>H377*_xlfn.XLOOKUP(Tabla2[[#This Row],[Unidad de producción]],Tabla3[Medida],Tabla3[Equivalencia en Kg],"ELVIS",0)</f>
        <v>456.59779816513759</v>
      </c>
      <c r="J377">
        <v>358.33333333333297</v>
      </c>
      <c r="K377" t="s">
        <v>18</v>
      </c>
      <c r="L377">
        <f>J377/_xlfn.XLOOKUP(Tabla2[[#This Row],[Unidad de precio]],Tabla3[Medida],Tabla3[Equivalencia en Kg],"ELVIS",0)</f>
        <v>7.8997648442092805</v>
      </c>
      <c r="M377">
        <v>2751.22</v>
      </c>
      <c r="N377" s="2">
        <f>(Tabla2[[#This Row],[Productividad (kg/TAS)]]*Tabla2[[#This Row],[Precio por kg]]-Tabla2[[#This Row],[Costos (En RD$/Tarea)]])</f>
        <v>855.79523388831876</v>
      </c>
      <c r="O377" s="6">
        <f>IF(Tabla2[[#This Row],[Costos (En RD$/Tarea)]]=0,0,Tabla2[[#This Row],[Beneficio Neto  (En RD$/Tarea)]]/Tabla2[[#This Row],[Costos (En RD$/Tarea)]])</f>
        <v>0.31106026922177027</v>
      </c>
      <c r="P377" s="4">
        <f>Tabla2[[#This Row],[Rentabilidad (%)]]/12</f>
        <v>2.592168910181419E-2</v>
      </c>
    </row>
    <row r="378" spans="1:16" x14ac:dyDescent="0.35">
      <c r="A378" s="1">
        <v>37469</v>
      </c>
      <c r="B378" t="s">
        <v>23</v>
      </c>
      <c r="C378" s="2">
        <v>718</v>
      </c>
      <c r="D378" s="5" t="s">
        <v>17</v>
      </c>
      <c r="E378" s="2">
        <f>IF(Tabla2[[#This Row],[Frecuencia]]="Annual", Tabla2[[#This Row],[Cosecha/Tarea]]/12,Tabla2[[#This Row],[Cosecha/Tarea]])</f>
        <v>718</v>
      </c>
      <c r="F378" s="2">
        <v>12465</v>
      </c>
      <c r="G378" t="s">
        <v>18</v>
      </c>
      <c r="H378">
        <f>F378/Tabla2[[#This Row],[Cosecha Mensual]]</f>
        <v>17.360724233983287</v>
      </c>
      <c r="I378">
        <f>H378*_xlfn.XLOOKUP(Tabla2[[#This Row],[Unidad de producción]],Tabla3[Medida],Tabla3[Equivalencia en Kg],"ELVIS",0)</f>
        <v>787.48245125348194</v>
      </c>
      <c r="J378">
        <v>233.75</v>
      </c>
      <c r="K378" t="s">
        <v>18</v>
      </c>
      <c r="L378">
        <f>J378/_xlfn.XLOOKUP(Tabla2[[#This Row],[Unidad de precio]],Tabla3[Medida],Tabla3[Equivalencia en Kg],"ELVIS",0)</f>
        <v>5.1532186948853616</v>
      </c>
      <c r="M378">
        <v>5786.34</v>
      </c>
      <c r="N378" s="2">
        <f>(Tabla2[[#This Row],[Productividad (kg/TAS)]]*Tabla2[[#This Row],[Precio por kg]]-Tabla2[[#This Row],[Costos (En RD$/Tarea)]])</f>
        <v>-1728.2707103064067</v>
      </c>
      <c r="O378" s="6">
        <f>IF(Tabla2[[#This Row],[Costos (En RD$/Tarea)]]=0,0,Tabla2[[#This Row],[Beneficio Neto  (En RD$/Tarea)]]/Tabla2[[#This Row],[Costos (En RD$/Tarea)]])</f>
        <v>-0.29868115428861886</v>
      </c>
      <c r="P378" s="4">
        <f>Tabla2[[#This Row],[Rentabilidad (%)]]/12</f>
        <v>-2.4890096190718237E-2</v>
      </c>
    </row>
    <row r="379" spans="1:16" x14ac:dyDescent="0.35">
      <c r="A379" s="1">
        <v>37469</v>
      </c>
      <c r="B379" t="s">
        <v>24</v>
      </c>
      <c r="C379" s="2">
        <v>8872</v>
      </c>
      <c r="D379" s="5" t="s">
        <v>17</v>
      </c>
      <c r="E379" s="2">
        <f>IF(Tabla2[[#This Row],[Frecuencia]]="Annual", Tabla2[[#This Row],[Cosecha/Tarea]]/12,Tabla2[[#This Row],[Cosecha/Tarea]])</f>
        <v>8872</v>
      </c>
      <c r="F379" s="2">
        <v>112299</v>
      </c>
      <c r="G379" t="s">
        <v>18</v>
      </c>
      <c r="H379">
        <f>F379/Tabla2[[#This Row],[Cosecha Mensual]]</f>
        <v>12.65768710550045</v>
      </c>
      <c r="I379">
        <f>H379*_xlfn.XLOOKUP(Tabla2[[#This Row],[Unidad de producción]],Tabla3[Medida],Tabla3[Equivalencia en Kg],"ELVIS",0)</f>
        <v>574.15268710550038</v>
      </c>
      <c r="J379">
        <v>371.41</v>
      </c>
      <c r="K379" t="s">
        <v>18</v>
      </c>
      <c r="L379">
        <f>J379/_xlfn.XLOOKUP(Tabla2[[#This Row],[Unidad de precio]],Tabla3[Medida],Tabla3[Equivalencia en Kg],"ELVIS",0)</f>
        <v>8.1880511463844812</v>
      </c>
      <c r="M379">
        <v>1994.96</v>
      </c>
      <c r="N379" s="2">
        <f>(Tabla2[[#This Row],[Productividad (kg/TAS)]]*Tabla2[[#This Row],[Precio por kg]]-Tabla2[[#This Row],[Costos (En RD$/Tarea)]])</f>
        <v>2706.2315678539226</v>
      </c>
      <c r="O379" s="6">
        <f>IF(Tabla2[[#This Row],[Costos (En RD$/Tarea)]]=0,0,Tabla2[[#This Row],[Beneficio Neto  (En RD$/Tarea)]]/Tabla2[[#This Row],[Costos (En RD$/Tarea)]])</f>
        <v>1.3565342502375599</v>
      </c>
      <c r="P379" s="4">
        <f>Tabla2[[#This Row],[Rentabilidad (%)]]/12</f>
        <v>0.11304452085312999</v>
      </c>
    </row>
    <row r="380" spans="1:16" x14ac:dyDescent="0.35">
      <c r="A380" s="1">
        <v>37469</v>
      </c>
      <c r="B380" t="s">
        <v>25</v>
      </c>
      <c r="C380" s="2">
        <v>20880</v>
      </c>
      <c r="D380" s="5" t="s">
        <v>17</v>
      </c>
      <c r="E380" s="2">
        <f>IF(Tabla2[[#This Row],[Frecuencia]]="Annual", Tabla2[[#This Row],[Cosecha/Tarea]]/12,Tabla2[[#This Row],[Cosecha/Tarea]])</f>
        <v>20880</v>
      </c>
      <c r="F380" s="2">
        <v>196953</v>
      </c>
      <c r="G380" t="s">
        <v>18</v>
      </c>
      <c r="H380">
        <f>F380/Tabla2[[#This Row],[Cosecha Mensual]]</f>
        <v>9.4326149425287351</v>
      </c>
      <c r="I380">
        <f>H380*_xlfn.XLOOKUP(Tabla2[[#This Row],[Unidad de producción]],Tabla3[Medida],Tabla3[Equivalencia en Kg],"ELVIS",0)</f>
        <v>427.8634137931034</v>
      </c>
      <c r="J380">
        <v>97.882583333333301</v>
      </c>
      <c r="K380" t="s">
        <v>18</v>
      </c>
      <c r="L380">
        <f>J380/_xlfn.XLOOKUP(Tabla2[[#This Row],[Unidad de precio]],Tabla3[Medida],Tabla3[Equivalencia en Kg],"ELVIS",0)</f>
        <v>2.1579052763080533</v>
      </c>
      <c r="M380">
        <v>966.8</v>
      </c>
      <c r="N380" s="2">
        <f>(Tabla2[[#This Row],[Productividad (kg/TAS)]]*Tabla2[[#This Row],[Precio por kg]]-Tabla2[[#This Row],[Costos (En RD$/Tarea)]])</f>
        <v>-43.51128183668618</v>
      </c>
      <c r="O380" s="6">
        <f>IF(Tabla2[[#This Row],[Costos (En RD$/Tarea)]]=0,0,Tabla2[[#This Row],[Beneficio Neto  (En RD$/Tarea)]]/Tabla2[[#This Row],[Costos (En RD$/Tarea)]])</f>
        <v>-4.5005463215438746E-2</v>
      </c>
      <c r="P380" s="4">
        <f>Tabla2[[#This Row],[Rentabilidad (%)]]/12</f>
        <v>-3.7504552679532288E-3</v>
      </c>
    </row>
    <row r="381" spans="1:16" x14ac:dyDescent="0.35">
      <c r="A381" s="1">
        <v>37469</v>
      </c>
      <c r="B381" t="s">
        <v>26</v>
      </c>
      <c r="C381" s="2">
        <v>11202</v>
      </c>
      <c r="D381" s="5" t="s">
        <v>17</v>
      </c>
      <c r="E381" s="2">
        <f>IF(Tabla2[[#This Row],[Frecuencia]]="Annual", Tabla2[[#This Row],[Cosecha/Tarea]]/12,Tabla2[[#This Row],[Cosecha/Tarea]])</f>
        <v>11202</v>
      </c>
      <c r="F381" s="2">
        <v>66965</v>
      </c>
      <c r="G381" t="s">
        <v>18</v>
      </c>
      <c r="H381">
        <f>F381/Tabla2[[#This Row],[Cosecha Mensual]]</f>
        <v>5.9779503660060707</v>
      </c>
      <c r="I381">
        <f>H381*_xlfn.XLOOKUP(Tabla2[[#This Row],[Unidad de producción]],Tabla3[Medida],Tabla3[Equivalencia en Kg],"ELVIS",0)</f>
        <v>271.15982860203536</v>
      </c>
      <c r="J381">
        <v>188.93833333333299</v>
      </c>
      <c r="K381" t="s">
        <v>18</v>
      </c>
      <c r="L381">
        <f>J381/_xlfn.XLOOKUP(Tabla2[[#This Row],[Unidad de precio]],Tabla3[Medida],Tabla3[Equivalencia en Kg],"ELVIS",0)</f>
        <v>4.1653071722516088</v>
      </c>
      <c r="M381">
        <v>360.52</v>
      </c>
      <c r="N381" s="2">
        <f>(Tabla2[[#This Row],[Productividad (kg/TAS)]]*Tabla2[[#This Row],[Precio por kg]]-Tabla2[[#This Row],[Costos (En RD$/Tarea)]])</f>
        <v>768.94397890257483</v>
      </c>
      <c r="O381" s="6">
        <f>IF(Tabla2[[#This Row],[Costos (En RD$/Tarea)]]=0,0,Tabla2[[#This Row],[Beneficio Neto  (En RD$/Tarea)]]/Tabla2[[#This Row],[Costos (En RD$/Tarea)]])</f>
        <v>2.1328746779723033</v>
      </c>
      <c r="P381" s="4">
        <f>Tabla2[[#This Row],[Rentabilidad (%)]]/12</f>
        <v>0.17773955649769194</v>
      </c>
    </row>
    <row r="382" spans="1:16" x14ac:dyDescent="0.35">
      <c r="A382" s="1">
        <v>37469</v>
      </c>
      <c r="B382" t="s">
        <v>27</v>
      </c>
      <c r="C382" s="2">
        <v>2395</v>
      </c>
      <c r="D382" s="5" t="s">
        <v>17</v>
      </c>
      <c r="E382" s="2">
        <f>IF(Tabla2[[#This Row],[Frecuencia]]="Annual", Tabla2[[#This Row],[Cosecha/Tarea]]/12,Tabla2[[#This Row],[Cosecha/Tarea]])</f>
        <v>2395</v>
      </c>
      <c r="F382" s="2">
        <v>25725</v>
      </c>
      <c r="G382" t="s">
        <v>18</v>
      </c>
      <c r="H382">
        <f>F382/Tabla2[[#This Row],[Cosecha Mensual]]</f>
        <v>10.741127348643007</v>
      </c>
      <c r="I382">
        <f>H382*_xlfn.XLOOKUP(Tabla2[[#This Row],[Unidad de producción]],Tabla3[Medida],Tabla3[Equivalencia en Kg],"ELVIS",0)</f>
        <v>487.21753653444677</v>
      </c>
      <c r="J382">
        <v>206.041666666667</v>
      </c>
      <c r="K382" t="s">
        <v>18</v>
      </c>
      <c r="L382">
        <f>J382/_xlfn.XLOOKUP(Tabla2[[#This Row],[Unidad de precio]],Tabla3[Medida],Tabla3[Equivalencia en Kg],"ELVIS",0)</f>
        <v>4.5423647854203484</v>
      </c>
      <c r="M382">
        <v>2321.75</v>
      </c>
      <c r="N382" s="2">
        <f>(Tabla2[[#This Row],[Productividad (kg/TAS)]]*Tabla2[[#This Row],[Precio por kg]]-Tabla2[[#This Row],[Costos (En RD$/Tarea)]])</f>
        <v>-108.63021920667688</v>
      </c>
      <c r="O382" s="6">
        <f>IF(Tabla2[[#This Row],[Costos (En RD$/Tarea)]]=0,0,Tabla2[[#This Row],[Beneficio Neto  (En RD$/Tarea)]]/Tabla2[[#This Row],[Costos (En RD$/Tarea)]])</f>
        <v>-4.6788077616744646E-2</v>
      </c>
      <c r="P382" s="4">
        <f>Tabla2[[#This Row],[Rentabilidad (%)]]/12</f>
        <v>-3.899006468062054E-3</v>
      </c>
    </row>
    <row r="383" spans="1:16" x14ac:dyDescent="0.35">
      <c r="A383" s="1">
        <v>37469</v>
      </c>
      <c r="B383" t="s">
        <v>28</v>
      </c>
      <c r="C383" s="2">
        <v>30964</v>
      </c>
      <c r="D383" s="5" t="s">
        <v>17</v>
      </c>
      <c r="E383" s="2">
        <f>IF(Tabla2[[#This Row],[Frecuencia]]="Annual", Tabla2[[#This Row],[Cosecha/Tarea]]/12,Tabla2[[#This Row],[Cosecha/Tarea]])</f>
        <v>30964</v>
      </c>
      <c r="F383" s="2">
        <v>64395</v>
      </c>
      <c r="G383" t="s">
        <v>18</v>
      </c>
      <c r="H383">
        <f>F383/Tabla2[[#This Row],[Cosecha Mensual]]</f>
        <v>2.0796731688412349</v>
      </c>
      <c r="I383">
        <f>H383*_xlfn.XLOOKUP(Tabla2[[#This Row],[Unidad de producción]],Tabla3[Medida],Tabla3[Equivalencia en Kg],"ELVIS",0)</f>
        <v>94.33397493863842</v>
      </c>
      <c r="J383">
        <v>1154.5</v>
      </c>
      <c r="K383" t="s">
        <v>29</v>
      </c>
      <c r="L383">
        <f>J383/_xlfn.XLOOKUP(Tabla2[[#This Row],[Unidad de precio]],Tabla3[Medida],Tabla3[Equivalencia en Kg],"ELVIS",0)</f>
        <v>2.0530284169719386</v>
      </c>
      <c r="M383">
        <v>3619.46</v>
      </c>
      <c r="N383" s="2">
        <f>(Tabla2[[#This Row],[Productividad (kg/TAS)]]*Tabla2[[#This Row],[Precio por kg]]-Tabla2[[#This Row],[Costos (En RD$/Tarea)]])</f>
        <v>-3425.7896687650568</v>
      </c>
      <c r="O383" s="6">
        <f>IF(Tabla2[[#This Row],[Costos (En RD$/Tarea)]]=0,0,Tabla2[[#This Row],[Beneficio Neto  (En RD$/Tarea)]]/Tabla2[[#This Row],[Costos (En RD$/Tarea)]])</f>
        <v>-0.94649192663133641</v>
      </c>
      <c r="P383" s="4">
        <f>Tabla2[[#This Row],[Rentabilidad (%)]]/12</f>
        <v>-7.8874327219278034E-2</v>
      </c>
    </row>
    <row r="384" spans="1:16" x14ac:dyDescent="0.35">
      <c r="A384" s="1">
        <v>37469</v>
      </c>
      <c r="B384" t="s">
        <v>30</v>
      </c>
      <c r="C384" s="2">
        <v>225547</v>
      </c>
      <c r="D384" s="2" t="s">
        <v>31</v>
      </c>
      <c r="E384" s="2">
        <f>IF(Tabla2[[#This Row],[Frecuencia]]="Annual", Tabla2[[#This Row],[Cosecha/Tarea]]/12,Tabla2[[#This Row],[Cosecha/Tarea]])</f>
        <v>18795.583333333332</v>
      </c>
      <c r="F384" s="2">
        <v>1754017</v>
      </c>
      <c r="G384" t="s">
        <v>32</v>
      </c>
      <c r="H384">
        <f>F384/Tabla2[[#This Row],[Cosecha Mensual]]</f>
        <v>93.320700341835632</v>
      </c>
      <c r="I384">
        <f>H384*_xlfn.XLOOKUP(Tabla2[[#This Row],[Unidad de producción]],Tabla3[Medida],Tabla3[Equivalencia en Kg],"ELVIS",0)</f>
        <v>2539.2562563013475</v>
      </c>
      <c r="J384">
        <v>23.905999999999999</v>
      </c>
      <c r="K384" t="s">
        <v>32</v>
      </c>
      <c r="L384">
        <f>J384/_xlfn.XLOOKUP(Tabla2[[#This Row],[Unidad de precio]],Tabla3[Medida],Tabla3[Equivalencia en Kg],"ELVIS",0)</f>
        <v>0.87857405365674379</v>
      </c>
      <c r="M384" s="2">
        <v>3727.21</v>
      </c>
      <c r="N384" s="2">
        <f>(Tabla2[[#This Row],[Productividad (kg/TAS)]]*Tabla2[[#This Row],[Precio por kg]]-Tabla2[[#This Row],[Costos (En RD$/Tarea)]])</f>
        <v>-1496.2853376280777</v>
      </c>
      <c r="O384" s="6">
        <f>IF(Tabla2[[#This Row],[Costos (En RD$/Tarea)]]=0,0,Tabla2[[#This Row],[Beneficio Neto  (En RD$/Tarea)]]/Tabla2[[#This Row],[Costos (En RD$/Tarea)]])</f>
        <v>-0.40144916375199619</v>
      </c>
      <c r="P384" s="4">
        <f>Tabla2[[#This Row],[Rentabilidad (%)]]/12</f>
        <v>-3.3454096979333013E-2</v>
      </c>
    </row>
    <row r="385" spans="1:16" x14ac:dyDescent="0.35">
      <c r="A385" s="1">
        <v>37469</v>
      </c>
      <c r="B385" t="s">
        <v>33</v>
      </c>
      <c r="C385" s="2">
        <v>661112</v>
      </c>
      <c r="D385" s="2" t="s">
        <v>31</v>
      </c>
      <c r="E385" s="2">
        <f>IF(Tabla2[[#This Row],[Frecuencia]]="Annual", Tabla2[[#This Row],[Cosecha/Tarea]]/12,Tabla2[[#This Row],[Cosecha/Tarea]])</f>
        <v>55092.666666666664</v>
      </c>
      <c r="F385" s="2">
        <v>107962</v>
      </c>
      <c r="G385" t="s">
        <v>34</v>
      </c>
      <c r="H385">
        <f>F385/Tabla2[[#This Row],[Cosecha Mensual]]</f>
        <v>1.9596437517394936</v>
      </c>
      <c r="I385">
        <f>H385*_xlfn.XLOOKUP(Tabla2[[#This Row],[Unidad de producción]],Tabla3[Medida],Tabla3[Equivalencia en Kg],"ELVIS",0)</f>
        <v>799.82859727247421</v>
      </c>
      <c r="J385">
        <v>1139.7114285714299</v>
      </c>
      <c r="K385" t="s">
        <v>34</v>
      </c>
      <c r="L385">
        <f>J385/_xlfn.XLOOKUP(Tabla2[[#This Row],[Unidad de precio]],Tabla3[Medida],Tabla3[Equivalencia en Kg],"ELVIS",0)</f>
        <v>2.7923837524719586</v>
      </c>
      <c r="M385" s="2">
        <v>3949.84</v>
      </c>
      <c r="N385" s="2">
        <f>(Tabla2[[#This Row],[Productividad (kg/TAS)]]*Tabla2[[#This Row],[Precio por kg]]-Tabla2[[#This Row],[Costos (En RD$/Tarea)]])</f>
        <v>-1716.4116202139057</v>
      </c>
      <c r="O385" s="6">
        <f>IF(Tabla2[[#This Row],[Costos (En RD$/Tarea)]]=0,0,Tabla2[[#This Row],[Beneficio Neto  (En RD$/Tarea)]]/Tabla2[[#This Row],[Costos (En RD$/Tarea)]])</f>
        <v>-0.43455218950993096</v>
      </c>
      <c r="P385" s="4">
        <f>Tabla2[[#This Row],[Rentabilidad (%)]]/12</f>
        <v>-3.6212682459160914E-2</v>
      </c>
    </row>
    <row r="386" spans="1:16" x14ac:dyDescent="0.35">
      <c r="A386" s="1">
        <v>37500</v>
      </c>
      <c r="B386" t="s">
        <v>16</v>
      </c>
      <c r="C386" s="2">
        <v>296915</v>
      </c>
      <c r="D386" s="5" t="s">
        <v>17</v>
      </c>
      <c r="E386" s="2">
        <f>IF(Tabla2[[#This Row],[Frecuencia]]="Annual", Tabla2[[#This Row],[Cosecha/Tarea]]/12,Tabla2[[#This Row],[Cosecha/Tarea]])</f>
        <v>296915</v>
      </c>
      <c r="F386" s="2">
        <v>1116022</v>
      </c>
      <c r="G386" t="s">
        <v>18</v>
      </c>
      <c r="H386">
        <f>F386/Tabla2[[#This Row],[Cosecha Mensual]]</f>
        <v>3.7587255611875454</v>
      </c>
      <c r="I386">
        <f>H386*_xlfn.XLOOKUP(Tabla2[[#This Row],[Unidad de producción]],Tabla3[Medida],Tabla3[Equivalencia en Kg],"ELVIS",0)</f>
        <v>170.49579145546707</v>
      </c>
      <c r="J386">
        <v>835.97579757975802</v>
      </c>
      <c r="K386" t="s">
        <v>19</v>
      </c>
      <c r="L386">
        <f>J386/_xlfn.XLOOKUP(Tabla2[[#This Row],[Unidad de precio]],Tabla3[Medida],Tabla3[Equivalencia en Kg],"ELVIS",0)</f>
        <v>7.5997799779977999</v>
      </c>
      <c r="M386">
        <v>1921.06</v>
      </c>
      <c r="N386" s="2">
        <f>(Tabla2[[#This Row],[Productividad (kg/TAS)]]*Tabla2[[#This Row],[Precio por kg]]-Tabla2[[#This Row],[Costos (En RD$/Tarea)]])</f>
        <v>-625.32949776385294</v>
      </c>
      <c r="O386" s="6">
        <f>IF(Tabla2[[#This Row],[Costos (En RD$/Tarea)]]=0,0,Tabla2[[#This Row],[Beneficio Neto  (En RD$/Tarea)]]/Tabla2[[#This Row],[Costos (En RD$/Tarea)]])</f>
        <v>-0.32551273659534474</v>
      </c>
      <c r="P386" s="4">
        <f>Tabla2[[#This Row],[Rentabilidad (%)]]/12</f>
        <v>-2.7126061382945394E-2</v>
      </c>
    </row>
    <row r="387" spans="1:16" x14ac:dyDescent="0.35">
      <c r="A387" s="1">
        <v>37500</v>
      </c>
      <c r="B387" t="s">
        <v>20</v>
      </c>
      <c r="C387" s="2">
        <v>36691</v>
      </c>
      <c r="D387" s="5" t="s">
        <v>17</v>
      </c>
      <c r="E387" s="2">
        <f>IF(Tabla2[[#This Row],[Frecuencia]]="Annual", Tabla2[[#This Row],[Cosecha/Tarea]]/12,Tabla2[[#This Row],[Cosecha/Tarea]])</f>
        <v>36691</v>
      </c>
      <c r="F387" s="2">
        <v>64303</v>
      </c>
      <c r="G387" t="s">
        <v>18</v>
      </c>
      <c r="H387">
        <f>F387/Tabla2[[#This Row],[Cosecha Mensual]]</f>
        <v>1.7525551225096072</v>
      </c>
      <c r="I387">
        <f>H387*_xlfn.XLOOKUP(Tabla2[[#This Row],[Unidad de producción]],Tabla3[Medida],Tabla3[Equivalencia en Kg],"ELVIS",0)</f>
        <v>79.495900357035779</v>
      </c>
      <c r="J387">
        <v>93.005279999999999</v>
      </c>
      <c r="K387" t="s">
        <v>18</v>
      </c>
      <c r="L387">
        <f>J387/_xlfn.XLOOKUP(Tabla2[[#This Row],[Unidad de precio]],Tabla3[Medida],Tabla3[Equivalencia en Kg],"ELVIS",0)</f>
        <v>2.0503809523809524</v>
      </c>
      <c r="M387">
        <v>531.93499999999995</v>
      </c>
      <c r="N387" s="2">
        <f>(Tabla2[[#This Row],[Productividad (kg/TAS)]]*Tabla2[[#This Row],[Precio por kg]]-Tabla2[[#This Row],[Costos (En RD$/Tarea)]])</f>
        <v>-368.93812011555963</v>
      </c>
      <c r="O387" s="6">
        <f>IF(Tabla2[[#This Row],[Costos (En RD$/Tarea)]]=0,0,Tabla2[[#This Row],[Beneficio Neto  (En RD$/Tarea)]]/Tabla2[[#This Row],[Costos (En RD$/Tarea)]])</f>
        <v>-0.6935774485896955</v>
      </c>
      <c r="P387" s="4">
        <f>Tabla2[[#This Row],[Rentabilidad (%)]]/12</f>
        <v>-5.7798120715807956E-2</v>
      </c>
    </row>
    <row r="388" spans="1:16" x14ac:dyDescent="0.35">
      <c r="A388" s="1">
        <v>37500</v>
      </c>
      <c r="B388" t="s">
        <v>21</v>
      </c>
      <c r="C388" s="2">
        <v>6618</v>
      </c>
      <c r="D388" s="5" t="s">
        <v>17</v>
      </c>
      <c r="E388" s="2">
        <f>IF(Tabla2[[#This Row],[Frecuencia]]="Annual", Tabla2[[#This Row],[Cosecha/Tarea]]/12,Tabla2[[#This Row],[Cosecha/Tarea]])</f>
        <v>6618</v>
      </c>
      <c r="F388" s="2">
        <v>47719</v>
      </c>
      <c r="G388" t="s">
        <v>18</v>
      </c>
      <c r="H388">
        <f>F388/Tabla2[[#This Row],[Cosecha Mensual]]</f>
        <v>7.210486551828347</v>
      </c>
      <c r="I388">
        <f>H388*_xlfn.XLOOKUP(Tabla2[[#This Row],[Unidad de producción]],Tabla3[Medida],Tabla3[Equivalencia en Kg],"ELVIS",0)</f>
        <v>327.06766999093384</v>
      </c>
      <c r="J388">
        <v>123.298</v>
      </c>
      <c r="K388" t="s">
        <v>18</v>
      </c>
      <c r="L388">
        <f>J388/_xlfn.XLOOKUP(Tabla2[[#This Row],[Unidad de precio]],Tabla3[Medida],Tabla3[Equivalencia en Kg],"ELVIS",0)</f>
        <v>2.7182098765432099</v>
      </c>
      <c r="M388">
        <v>945.93</v>
      </c>
      <c r="N388" s="2">
        <f>(Tabla2[[#This Row],[Productividad (kg/TAS)]]*Tabla2[[#This Row],[Precio por kg]]-Tabla2[[#This Row],[Costos (En RD$/Tarea)]])</f>
        <v>-56.89142913266835</v>
      </c>
      <c r="O388" s="6">
        <f>IF(Tabla2[[#This Row],[Costos (En RD$/Tarea)]]=0,0,Tabla2[[#This Row],[Beneficio Neto  (En RD$/Tarea)]]/Tabla2[[#This Row],[Costos (En RD$/Tarea)]])</f>
        <v>-6.0143381785828079E-2</v>
      </c>
      <c r="P388" s="4">
        <f>Tabla2[[#This Row],[Rentabilidad (%)]]/12</f>
        <v>-5.0119484821523402E-3</v>
      </c>
    </row>
    <row r="389" spans="1:16" x14ac:dyDescent="0.35">
      <c r="A389" s="1">
        <v>37500</v>
      </c>
      <c r="B389" t="s">
        <v>22</v>
      </c>
      <c r="C389" s="2">
        <v>2686</v>
      </c>
      <c r="D389" s="5" t="s">
        <v>17</v>
      </c>
      <c r="E389" s="2">
        <f>IF(Tabla2[[#This Row],[Frecuencia]]="Annual", Tabla2[[#This Row],[Cosecha/Tarea]]/12,Tabla2[[#This Row],[Cosecha/Tarea]])</f>
        <v>2686</v>
      </c>
      <c r="F389" s="2">
        <v>25867</v>
      </c>
      <c r="G389" t="s">
        <v>18</v>
      </c>
      <c r="H389">
        <f>F389/Tabla2[[#This Row],[Cosecha Mensual]]</f>
        <v>9.6303052866716303</v>
      </c>
      <c r="I389">
        <f>H389*_xlfn.XLOOKUP(Tabla2[[#This Row],[Unidad de producción]],Tabla3[Medida],Tabla3[Equivalencia en Kg],"ELVIS",0)</f>
        <v>436.83064780342517</v>
      </c>
      <c r="J389">
        <v>376</v>
      </c>
      <c r="K389" t="s">
        <v>18</v>
      </c>
      <c r="L389">
        <f>J389/_xlfn.XLOOKUP(Tabla2[[#This Row],[Unidad de precio]],Tabla3[Medida],Tabla3[Equivalencia en Kg],"ELVIS",0)</f>
        <v>8.2892416225749557</v>
      </c>
      <c r="M389">
        <v>2751.22</v>
      </c>
      <c r="N389" s="2">
        <f>(Tabla2[[#This Row],[Productividad (kg/TAS)]]*Tabla2[[#This Row],[Precio por kg]]-Tabla2[[#This Row],[Costos (En RD$/Tarea)]])</f>
        <v>869.7747877885331</v>
      </c>
      <c r="O389" s="6">
        <f>IF(Tabla2[[#This Row],[Costos (En RD$/Tarea)]]=0,0,Tabla2[[#This Row],[Beneficio Neto  (En RD$/Tarea)]]/Tabla2[[#This Row],[Costos (En RD$/Tarea)]])</f>
        <v>0.31614148915336948</v>
      </c>
      <c r="P389" s="4">
        <f>Tabla2[[#This Row],[Rentabilidad (%)]]/12</f>
        <v>2.6345124096114125E-2</v>
      </c>
    </row>
    <row r="390" spans="1:16" x14ac:dyDescent="0.35">
      <c r="A390" s="1">
        <v>37500</v>
      </c>
      <c r="B390" t="s">
        <v>23</v>
      </c>
      <c r="C390" s="2">
        <v>1822</v>
      </c>
      <c r="D390" s="5" t="s">
        <v>17</v>
      </c>
      <c r="E390" s="2">
        <f>IF(Tabla2[[#This Row],[Frecuencia]]="Annual", Tabla2[[#This Row],[Cosecha/Tarea]]/12,Tabla2[[#This Row],[Cosecha/Tarea]])</f>
        <v>1822</v>
      </c>
      <c r="F390" s="2">
        <v>55352</v>
      </c>
      <c r="G390" t="s">
        <v>18</v>
      </c>
      <c r="H390">
        <f>F390/Tabla2[[#This Row],[Cosecha Mensual]]</f>
        <v>30.379802414928651</v>
      </c>
      <c r="I390">
        <f>H390*_xlfn.XLOOKUP(Tabla2[[#This Row],[Unidad de producción]],Tabla3[Medida],Tabla3[Equivalencia en Kg],"ELVIS",0)</f>
        <v>1378.0278375411635</v>
      </c>
      <c r="J390">
        <v>211.01249999999999</v>
      </c>
      <c r="K390" t="s">
        <v>18</v>
      </c>
      <c r="L390">
        <f>J390/_xlfn.XLOOKUP(Tabla2[[#This Row],[Unidad de precio]],Tabla3[Medida],Tabla3[Equivalencia en Kg],"ELVIS",0)</f>
        <v>4.6519510582010577</v>
      </c>
      <c r="M390">
        <v>5786.34</v>
      </c>
      <c r="N390" s="2">
        <f>(Tabla2[[#This Row],[Productividad (kg/TAS)]]*Tabla2[[#This Row],[Precio por kg]]-Tabla2[[#This Row],[Costos (En RD$/Tarea)]])</f>
        <v>624.17805708013111</v>
      </c>
      <c r="O390" s="6">
        <f>IF(Tabla2[[#This Row],[Costos (En RD$/Tarea)]]=0,0,Tabla2[[#This Row],[Beneficio Neto  (En RD$/Tarea)]]/Tabla2[[#This Row],[Costos (En RD$/Tarea)]])</f>
        <v>0.10787096110496983</v>
      </c>
      <c r="P390" s="4">
        <f>Tabla2[[#This Row],[Rentabilidad (%)]]/12</f>
        <v>8.9892467587474861E-3</v>
      </c>
    </row>
    <row r="391" spans="1:16" x14ac:dyDescent="0.35">
      <c r="A391" s="1">
        <v>37500</v>
      </c>
      <c r="B391" t="s">
        <v>24</v>
      </c>
      <c r="C391" s="2">
        <v>8026</v>
      </c>
      <c r="D391" s="5" t="s">
        <v>17</v>
      </c>
      <c r="E391" s="2">
        <f>IF(Tabla2[[#This Row],[Frecuencia]]="Annual", Tabla2[[#This Row],[Cosecha/Tarea]]/12,Tabla2[[#This Row],[Cosecha/Tarea]])</f>
        <v>8026</v>
      </c>
      <c r="F391" s="2">
        <v>97288</v>
      </c>
      <c r="G391" t="s">
        <v>18</v>
      </c>
      <c r="H391">
        <f>F391/Tabla2[[#This Row],[Cosecha Mensual]]</f>
        <v>12.121604784450536</v>
      </c>
      <c r="I391">
        <f>H391*_xlfn.XLOOKUP(Tabla2[[#This Row],[Unidad de producción]],Tabla3[Medida],Tabla3[Equivalencia en Kg],"ELVIS",0)</f>
        <v>549.83599302267635</v>
      </c>
      <c r="J391">
        <v>405.54166666666703</v>
      </c>
      <c r="K391" t="s">
        <v>18</v>
      </c>
      <c r="L391">
        <f>J391/_xlfn.XLOOKUP(Tabla2[[#This Row],[Unidad de precio]],Tabla3[Medida],Tabla3[Equivalencia en Kg],"ELVIS",0)</f>
        <v>8.9405129335684972</v>
      </c>
      <c r="M391">
        <v>1994.96</v>
      </c>
      <c r="N391" s="2">
        <f>(Tabla2[[#This Row],[Productividad (kg/TAS)]]*Tabla2[[#This Row],[Precio por kg]]-Tabla2[[#This Row],[Costos (En RD$/Tarea)]])</f>
        <v>2920.8558069607161</v>
      </c>
      <c r="O391" s="6">
        <f>IF(Tabla2[[#This Row],[Costos (En RD$/Tarea)]]=0,0,Tabla2[[#This Row],[Beneficio Neto  (En RD$/Tarea)]]/Tabla2[[#This Row],[Costos (En RD$/Tarea)]])</f>
        <v>1.4641174795287706</v>
      </c>
      <c r="P391" s="4">
        <f>Tabla2[[#This Row],[Rentabilidad (%)]]/12</f>
        <v>0.12200978996073088</v>
      </c>
    </row>
    <row r="392" spans="1:16" x14ac:dyDescent="0.35">
      <c r="A392" s="1">
        <v>37500</v>
      </c>
      <c r="B392" t="s">
        <v>25</v>
      </c>
      <c r="C392" s="2">
        <v>20196</v>
      </c>
      <c r="D392" s="5" t="s">
        <v>17</v>
      </c>
      <c r="E392" s="2">
        <f>IF(Tabla2[[#This Row],[Frecuencia]]="Annual", Tabla2[[#This Row],[Cosecha/Tarea]]/12,Tabla2[[#This Row],[Cosecha/Tarea]])</f>
        <v>20196</v>
      </c>
      <c r="F392" s="2">
        <v>198343</v>
      </c>
      <c r="G392" t="s">
        <v>18</v>
      </c>
      <c r="H392">
        <f>F392/Tabla2[[#This Row],[Cosecha Mensual]]</f>
        <v>9.8209051297286596</v>
      </c>
      <c r="I392">
        <f>H392*_xlfn.XLOOKUP(Tabla2[[#This Row],[Unidad de producción]],Tabla3[Medida],Tabla3[Equivalencia en Kg],"ELVIS",0)</f>
        <v>445.476256684492</v>
      </c>
      <c r="J392">
        <v>94.061785714285705</v>
      </c>
      <c r="K392" t="s">
        <v>18</v>
      </c>
      <c r="L392">
        <f>J392/_xlfn.XLOOKUP(Tabla2[[#This Row],[Unidad de precio]],Tabla3[Medida],Tabla3[Equivalencia en Kg],"ELVIS",0)</f>
        <v>2.0736725245653815</v>
      </c>
      <c r="M392">
        <v>966.8</v>
      </c>
      <c r="N392" s="2">
        <f>(Tabla2[[#This Row],[Productividad (kg/TAS)]]*Tabla2[[#This Row],[Precio por kg]]-Tabla2[[#This Row],[Costos (En RD$/Tarea)]])</f>
        <v>-43.028126167133451</v>
      </c>
      <c r="O392" s="6">
        <f>IF(Tabla2[[#This Row],[Costos (En RD$/Tarea)]]=0,0,Tabla2[[#This Row],[Beneficio Neto  (En RD$/Tarea)]]/Tabla2[[#This Row],[Costos (En RD$/Tarea)]])</f>
        <v>-4.4505715936215814E-2</v>
      </c>
      <c r="P392" s="4">
        <f>Tabla2[[#This Row],[Rentabilidad (%)]]/12</f>
        <v>-3.7088096613513179E-3</v>
      </c>
    </row>
    <row r="393" spans="1:16" x14ac:dyDescent="0.35">
      <c r="A393" s="1">
        <v>37500</v>
      </c>
      <c r="B393" t="s">
        <v>26</v>
      </c>
      <c r="C393" s="2">
        <v>9043</v>
      </c>
      <c r="D393" s="5" t="s">
        <v>17</v>
      </c>
      <c r="E393" s="2">
        <f>IF(Tabla2[[#This Row],[Frecuencia]]="Annual", Tabla2[[#This Row],[Cosecha/Tarea]]/12,Tabla2[[#This Row],[Cosecha/Tarea]])</f>
        <v>9043</v>
      </c>
      <c r="F393" s="2">
        <v>46355</v>
      </c>
      <c r="G393" t="s">
        <v>18</v>
      </c>
      <c r="H393">
        <f>F393/Tabla2[[#This Row],[Cosecha Mensual]]</f>
        <v>5.1260643591728412</v>
      </c>
      <c r="I393">
        <f>H393*_xlfn.XLOOKUP(Tabla2[[#This Row],[Unidad de producción]],Tabla3[Medida],Tabla3[Equivalencia en Kg],"ELVIS",0)</f>
        <v>232.51827933208008</v>
      </c>
      <c r="J393">
        <v>252.684</v>
      </c>
      <c r="K393" t="s">
        <v>18</v>
      </c>
      <c r="L393">
        <f>J393/_xlfn.XLOOKUP(Tabla2[[#This Row],[Unidad de precio]],Tabla3[Medida],Tabla3[Equivalencia en Kg],"ELVIS",0)</f>
        <v>5.5706349206349204</v>
      </c>
      <c r="M393">
        <v>360.52</v>
      </c>
      <c r="N393" s="2">
        <f>(Tabla2[[#This Row],[Productividad (kg/TAS)]]*Tabla2[[#This Row],[Precio por kg]]-Tabla2[[#This Row],[Costos (En RD$/Tarea)]])</f>
        <v>934.75444653323029</v>
      </c>
      <c r="O393" s="6">
        <f>IF(Tabla2[[#This Row],[Costos (En RD$/Tarea)]]=0,0,Tabla2[[#This Row],[Beneficio Neto  (En RD$/Tarea)]]/Tabla2[[#This Row],[Costos (En RD$/Tarea)]])</f>
        <v>2.5927949809531521</v>
      </c>
      <c r="P393" s="4">
        <f>Tabla2[[#This Row],[Rentabilidad (%)]]/12</f>
        <v>0.21606624841276267</v>
      </c>
    </row>
    <row r="394" spans="1:16" x14ac:dyDescent="0.35">
      <c r="A394" s="1">
        <v>37500</v>
      </c>
      <c r="B394" t="s">
        <v>27</v>
      </c>
      <c r="C394" s="2">
        <v>2328</v>
      </c>
      <c r="D394" s="5" t="s">
        <v>17</v>
      </c>
      <c r="E394" s="2">
        <f>IF(Tabla2[[#This Row],[Frecuencia]]="Annual", Tabla2[[#This Row],[Cosecha/Tarea]]/12,Tabla2[[#This Row],[Cosecha/Tarea]])</f>
        <v>2328</v>
      </c>
      <c r="F394" s="2">
        <v>20710</v>
      </c>
      <c r="G394" t="s">
        <v>18</v>
      </c>
      <c r="H394">
        <f>F394/Tabla2[[#This Row],[Cosecha Mensual]]</f>
        <v>8.8960481099656352</v>
      </c>
      <c r="I394">
        <f>H394*_xlfn.XLOOKUP(Tabla2[[#This Row],[Unidad de producción]],Tabla3[Medida],Tabla3[Equivalencia en Kg],"ELVIS",0)</f>
        <v>403.52474226804122</v>
      </c>
      <c r="J394">
        <v>213.297142857143</v>
      </c>
      <c r="K394" t="s">
        <v>18</v>
      </c>
      <c r="L394">
        <f>J394/_xlfn.XLOOKUP(Tabla2[[#This Row],[Unidad de precio]],Tabla3[Medida],Tabla3[Equivalencia en Kg],"ELVIS",0)</f>
        <v>4.7023179642227291</v>
      </c>
      <c r="M394">
        <v>2321.75</v>
      </c>
      <c r="N394" s="2">
        <f>(Tabla2[[#This Row],[Productividad (kg/TAS)]]*Tabla2[[#This Row],[Precio por kg]]-Tabla2[[#This Row],[Costos (En RD$/Tarea)]])</f>
        <v>-424.24835542464302</v>
      </c>
      <c r="O394" s="6">
        <f>IF(Tabla2[[#This Row],[Costos (En RD$/Tarea)]]=0,0,Tabla2[[#This Row],[Beneficio Neto  (En RD$/Tarea)]]/Tabla2[[#This Row],[Costos (En RD$/Tarea)]])</f>
        <v>-0.18272783694396166</v>
      </c>
      <c r="P394" s="4">
        <f>Tabla2[[#This Row],[Rentabilidad (%)]]/12</f>
        <v>-1.5227319745330139E-2</v>
      </c>
    </row>
    <row r="395" spans="1:16" x14ac:dyDescent="0.35">
      <c r="A395" s="1">
        <v>37500</v>
      </c>
      <c r="B395" t="s">
        <v>28</v>
      </c>
      <c r="C395" s="2">
        <v>26053</v>
      </c>
      <c r="D395" s="5" t="s">
        <v>17</v>
      </c>
      <c r="E395" s="2">
        <f>IF(Tabla2[[#This Row],[Frecuencia]]="Annual", Tabla2[[#This Row],[Cosecha/Tarea]]/12,Tabla2[[#This Row],[Cosecha/Tarea]])</f>
        <v>26053</v>
      </c>
      <c r="F395" s="2">
        <v>39532</v>
      </c>
      <c r="G395" t="s">
        <v>18</v>
      </c>
      <c r="H395">
        <f>F395/Tabla2[[#This Row],[Cosecha Mensual]]</f>
        <v>1.5173684412543662</v>
      </c>
      <c r="I395">
        <f>H395*_xlfn.XLOOKUP(Tabla2[[#This Row],[Unidad de producción]],Tabla3[Medida],Tabla3[Equivalencia en Kg],"ELVIS",0)</f>
        <v>68.827832495298054</v>
      </c>
      <c r="J395">
        <v>1097.2</v>
      </c>
      <c r="K395" t="s">
        <v>29</v>
      </c>
      <c r="L395">
        <f>J395/_xlfn.XLOOKUP(Tabla2[[#This Row],[Unidad de precio]],Tabla3[Medida],Tabla3[Equivalencia en Kg],"ELVIS",0)</f>
        <v>1.9511327666536258</v>
      </c>
      <c r="M395">
        <v>3619.46</v>
      </c>
      <c r="N395" s="2">
        <f>(Tabla2[[#This Row],[Productividad (kg/TAS)]]*Tabla2[[#This Row],[Precio por kg]]-Tabla2[[#This Row],[Costos (En RD$/Tarea)]])</f>
        <v>-3485.1677607606766</v>
      </c>
      <c r="O395" s="6">
        <f>IF(Tabla2[[#This Row],[Costos (En RD$/Tarea)]]=0,0,Tabla2[[#This Row],[Beneficio Neto  (En RD$/Tarea)]]/Tabla2[[#This Row],[Costos (En RD$/Tarea)]])</f>
        <v>-0.96289716166518668</v>
      </c>
      <c r="P395" s="4">
        <f>Tabla2[[#This Row],[Rentabilidad (%)]]/12</f>
        <v>-8.0241430138765557E-2</v>
      </c>
    </row>
    <row r="396" spans="1:16" x14ac:dyDescent="0.35">
      <c r="A396" s="1">
        <v>37500</v>
      </c>
      <c r="B396" t="s">
        <v>30</v>
      </c>
      <c r="C396" s="2">
        <v>251859</v>
      </c>
      <c r="D396" s="2" t="s">
        <v>31</v>
      </c>
      <c r="E396" s="2">
        <f>IF(Tabla2[[#This Row],[Frecuencia]]="Annual", Tabla2[[#This Row],[Cosecha/Tarea]]/12,Tabla2[[#This Row],[Cosecha/Tarea]])</f>
        <v>20988.25</v>
      </c>
      <c r="F396" s="2">
        <v>1952420</v>
      </c>
      <c r="G396" t="s">
        <v>32</v>
      </c>
      <c r="H396">
        <f>F396/Tabla2[[#This Row],[Cosecha Mensual]]</f>
        <v>93.024430336021339</v>
      </c>
      <c r="I396">
        <f>H396*_xlfn.XLOOKUP(Tabla2[[#This Row],[Unidad de producción]],Tabla3[Medida],Tabla3[Equivalencia en Kg],"ELVIS",0)</f>
        <v>2531.1947494431406</v>
      </c>
      <c r="J396">
        <v>26.828333333333301</v>
      </c>
      <c r="K396" t="s">
        <v>32</v>
      </c>
      <c r="L396">
        <f>J396/_xlfn.XLOOKUP(Tabla2[[#This Row],[Unidad de precio]],Tabla3[Medida],Tabla3[Equivalencia en Kg],"ELVIS",0)</f>
        <v>0.98597329413205803</v>
      </c>
      <c r="M396" s="2">
        <v>3727.21</v>
      </c>
      <c r="N396" s="2">
        <f>(Tabla2[[#This Row],[Productividad (kg/TAS)]]*Tabla2[[#This Row],[Precio por kg]]-Tabla2[[#This Row],[Costos (En RD$/Tarea)]])</f>
        <v>-1231.5195748017773</v>
      </c>
      <c r="O396" s="6">
        <f>IF(Tabla2[[#This Row],[Costos (En RD$/Tarea)]]=0,0,Tabla2[[#This Row],[Beneficio Neto  (En RD$/Tarea)]]/Tabla2[[#This Row],[Costos (En RD$/Tarea)]])</f>
        <v>-0.33041325141373235</v>
      </c>
      <c r="P396" s="4">
        <f>Tabla2[[#This Row],[Rentabilidad (%)]]/12</f>
        <v>-2.753443761781103E-2</v>
      </c>
    </row>
    <row r="397" spans="1:16" x14ac:dyDescent="0.35">
      <c r="A397" s="1">
        <v>37500</v>
      </c>
      <c r="B397" t="s">
        <v>33</v>
      </c>
      <c r="C397" s="2">
        <v>667433</v>
      </c>
      <c r="D397" s="2" t="s">
        <v>31</v>
      </c>
      <c r="E397" s="2">
        <f>IF(Tabla2[[#This Row],[Frecuencia]]="Annual", Tabla2[[#This Row],[Cosecha/Tarea]]/12,Tabla2[[#This Row],[Cosecha/Tarea]])</f>
        <v>55619.416666666664</v>
      </c>
      <c r="F397" s="2">
        <v>106785</v>
      </c>
      <c r="G397" t="s">
        <v>34</v>
      </c>
      <c r="H397">
        <f>F397/Tabla2[[#This Row],[Cosecha Mensual]]</f>
        <v>1.9199230484558001</v>
      </c>
      <c r="I397">
        <f>H397*_xlfn.XLOOKUP(Tabla2[[#This Row],[Unidad de producción]],Tabla3[Medida],Tabla3[Equivalencia en Kg],"ELVIS",0)</f>
        <v>783.61659222723472</v>
      </c>
      <c r="J397">
        <v>1358.2142857142901</v>
      </c>
      <c r="K397" t="s">
        <v>34</v>
      </c>
      <c r="L397">
        <f>J397/_xlfn.XLOOKUP(Tabla2[[#This Row],[Unidad de precio]],Tabla3[Medida],Tabla3[Equivalencia en Kg],"ELVIS",0)</f>
        <v>3.3277331513274291</v>
      </c>
      <c r="M397" s="2">
        <v>3949.84</v>
      </c>
      <c r="N397" s="2">
        <f>(Tabla2[[#This Row],[Productividad (kg/TAS)]]*Tabla2[[#This Row],[Precio por kg]]-Tabla2[[#This Row],[Costos (En RD$/Tarea)]])</f>
        <v>-1342.1730881152034</v>
      </c>
      <c r="O397" s="6">
        <f>IF(Tabla2[[#This Row],[Costos (En RD$/Tarea)]]=0,0,Tabla2[[#This Row],[Beneficio Neto  (En RD$/Tarea)]]/Tabla2[[#This Row],[Costos (En RD$/Tarea)]])</f>
        <v>-0.33980441944868739</v>
      </c>
      <c r="P397" s="4">
        <f>Tabla2[[#This Row],[Rentabilidad (%)]]/12</f>
        <v>-2.8317034954057282E-2</v>
      </c>
    </row>
    <row r="398" spans="1:16" x14ac:dyDescent="0.35">
      <c r="A398" s="1">
        <v>37530</v>
      </c>
      <c r="B398" t="s">
        <v>16</v>
      </c>
      <c r="C398" s="2">
        <v>398435</v>
      </c>
      <c r="D398" s="5" t="s">
        <v>17</v>
      </c>
      <c r="E398" s="2">
        <f>IF(Tabla2[[#This Row],[Frecuencia]]="Annual", Tabla2[[#This Row],[Cosecha/Tarea]]/12,Tabla2[[#This Row],[Cosecha/Tarea]])</f>
        <v>398435</v>
      </c>
      <c r="F398" s="2">
        <v>1507853</v>
      </c>
      <c r="G398" t="s">
        <v>18</v>
      </c>
      <c r="H398">
        <f>F398/Tabla2[[#This Row],[Cosecha Mensual]]</f>
        <v>3.7844391180493679</v>
      </c>
      <c r="I398">
        <f>H398*_xlfn.XLOOKUP(Tabla2[[#This Row],[Unidad de producción]],Tabla3[Medida],Tabla3[Equivalencia en Kg],"ELVIS",0)</f>
        <v>171.66215839471934</v>
      </c>
      <c r="J398">
        <v>842.07480748074795</v>
      </c>
      <c r="K398" t="s">
        <v>19</v>
      </c>
      <c r="L398">
        <f>J398/_xlfn.XLOOKUP(Tabla2[[#This Row],[Unidad de precio]],Tabla3[Medida],Tabla3[Equivalencia en Kg],"ELVIS",0)</f>
        <v>7.6552255225522545</v>
      </c>
      <c r="M398">
        <v>1921.06</v>
      </c>
      <c r="N398" s="2">
        <f>(Tabla2[[#This Row],[Productividad (kg/TAS)]]*Tabla2[[#This Row],[Precio por kg]]-Tabla2[[#This Row],[Costos (En RD$/Tarea)]])</f>
        <v>-606.94746380033666</v>
      </c>
      <c r="O398" s="6">
        <f>IF(Tabla2[[#This Row],[Costos (En RD$/Tarea)]]=0,0,Tabla2[[#This Row],[Beneficio Neto  (En RD$/Tarea)]]/Tabla2[[#This Row],[Costos (En RD$/Tarea)]])</f>
        <v>-0.31594404328877634</v>
      </c>
      <c r="P398" s="4">
        <f>Tabla2[[#This Row],[Rentabilidad (%)]]/12</f>
        <v>-2.6328670274064696E-2</v>
      </c>
    </row>
    <row r="399" spans="1:16" x14ac:dyDescent="0.35">
      <c r="A399" s="1">
        <v>37530</v>
      </c>
      <c r="B399" t="s">
        <v>20</v>
      </c>
      <c r="C399" s="2">
        <v>33889</v>
      </c>
      <c r="D399" s="5" t="s">
        <v>17</v>
      </c>
      <c r="E399" s="2">
        <f>IF(Tabla2[[#This Row],[Frecuencia]]="Annual", Tabla2[[#This Row],[Cosecha/Tarea]]/12,Tabla2[[#This Row],[Cosecha/Tarea]])</f>
        <v>33889</v>
      </c>
      <c r="F399" s="2">
        <v>58873</v>
      </c>
      <c r="G399" t="s">
        <v>18</v>
      </c>
      <c r="H399">
        <f>F399/Tabla2[[#This Row],[Cosecha Mensual]]</f>
        <v>1.7372303697364926</v>
      </c>
      <c r="I399">
        <f>H399*_xlfn.XLOOKUP(Tabla2[[#This Row],[Unidad de producción]],Tabla3[Medida],Tabla3[Equivalencia en Kg],"ELVIS",0)</f>
        <v>78.800769571247301</v>
      </c>
      <c r="J399">
        <v>94.469914285714296</v>
      </c>
      <c r="K399" t="s">
        <v>18</v>
      </c>
      <c r="L399">
        <f>J399/_xlfn.XLOOKUP(Tabla2[[#This Row],[Unidad de precio]],Tabla3[Medida],Tabla3[Equivalencia en Kg],"ELVIS",0)</f>
        <v>2.0826700680272112</v>
      </c>
      <c r="M399">
        <v>531.93499999999995</v>
      </c>
      <c r="N399" s="2">
        <f>(Tabla2[[#This Row],[Productividad (kg/TAS)]]*Tabla2[[#This Row],[Precio por kg]]-Tabla2[[#This Row],[Costos (En RD$/Tarea)]])</f>
        <v>-367.81899587645376</v>
      </c>
      <c r="O399" s="6">
        <f>IF(Tabla2[[#This Row],[Costos (En RD$/Tarea)]]=0,0,Tabla2[[#This Row],[Beneficio Neto  (En RD$/Tarea)]]/Tabla2[[#This Row],[Costos (En RD$/Tarea)]])</f>
        <v>-0.69147357454661529</v>
      </c>
      <c r="P399" s="4">
        <f>Tabla2[[#This Row],[Rentabilidad (%)]]/12</f>
        <v>-5.7622797878884607E-2</v>
      </c>
    </row>
    <row r="400" spans="1:16" x14ac:dyDescent="0.35">
      <c r="A400" s="1">
        <v>37530</v>
      </c>
      <c r="B400" t="s">
        <v>21</v>
      </c>
      <c r="C400" s="2">
        <v>7145</v>
      </c>
      <c r="D400" s="5" t="s">
        <v>17</v>
      </c>
      <c r="E400" s="2">
        <f>IF(Tabla2[[#This Row],[Frecuencia]]="Annual", Tabla2[[#This Row],[Cosecha/Tarea]]/12,Tabla2[[#This Row],[Cosecha/Tarea]])</f>
        <v>7145</v>
      </c>
      <c r="F400" s="2">
        <v>52126</v>
      </c>
      <c r="G400" t="s">
        <v>18</v>
      </c>
      <c r="H400">
        <f>F400/Tabla2[[#This Row],[Cosecha Mensual]]</f>
        <v>7.2954513645906225</v>
      </c>
      <c r="I400">
        <f>H400*_xlfn.XLOOKUP(Tabla2[[#This Row],[Unidad de producción]],Tabla3[Medida],Tabla3[Equivalencia en Kg],"ELVIS",0)</f>
        <v>330.92167389783066</v>
      </c>
      <c r="J400">
        <v>91.40625</v>
      </c>
      <c r="K400" t="s">
        <v>18</v>
      </c>
      <c r="L400">
        <f>J400/_xlfn.XLOOKUP(Tabla2[[#This Row],[Unidad de precio]],Tabla3[Medida],Tabla3[Equivalencia en Kg],"ELVIS",0)</f>
        <v>2.0151289682539684</v>
      </c>
      <c r="M400">
        <v>945.93</v>
      </c>
      <c r="N400" s="2">
        <f>(Tabla2[[#This Row],[Productividad (kg/TAS)]]*Tabla2[[#This Row],[Precio por kg]]-Tabla2[[#This Row],[Costos (En RD$/Tarea)]])</f>
        <v>-279.0801487053883</v>
      </c>
      <c r="O400" s="6">
        <f>IF(Tabla2[[#This Row],[Costos (En RD$/Tarea)]]=0,0,Tabla2[[#This Row],[Beneficio Neto  (En RD$/Tarea)]]/Tabla2[[#This Row],[Costos (En RD$/Tarea)]])</f>
        <v>-0.29503255918026527</v>
      </c>
      <c r="P400" s="4">
        <f>Tabla2[[#This Row],[Rentabilidad (%)]]/12</f>
        <v>-2.4586046598355438E-2</v>
      </c>
    </row>
    <row r="401" spans="1:16" x14ac:dyDescent="0.35">
      <c r="A401" s="1">
        <v>37530</v>
      </c>
      <c r="B401" t="s">
        <v>22</v>
      </c>
      <c r="C401" s="2">
        <v>3107</v>
      </c>
      <c r="D401" s="5" t="s">
        <v>17</v>
      </c>
      <c r="E401" s="2">
        <f>IF(Tabla2[[#This Row],[Frecuencia]]="Annual", Tabla2[[#This Row],[Cosecha/Tarea]]/12,Tabla2[[#This Row],[Cosecha/Tarea]])</f>
        <v>3107</v>
      </c>
      <c r="F401" s="2">
        <v>32120</v>
      </c>
      <c r="G401" t="s">
        <v>18</v>
      </c>
      <c r="H401">
        <f>F401/Tabla2[[#This Row],[Cosecha Mensual]]</f>
        <v>10.337946572256195</v>
      </c>
      <c r="I401">
        <f>H401*_xlfn.XLOOKUP(Tabla2[[#This Row],[Unidad de producción]],Tabla3[Medida],Tabla3[Equivalencia en Kg],"ELVIS",0)</f>
        <v>468.92925651754098</v>
      </c>
      <c r="J401">
        <v>409.33333333333297</v>
      </c>
      <c r="K401" t="s">
        <v>18</v>
      </c>
      <c r="L401">
        <f>J401/_xlfn.XLOOKUP(Tabla2[[#This Row],[Unidad de precio]],Tabla3[Medida],Tabla3[Equivalencia en Kg],"ELVIS",0)</f>
        <v>9.0241034685479047</v>
      </c>
      <c r="M401">
        <v>2751.22</v>
      </c>
      <c r="N401" s="2">
        <f>(Tabla2[[#This Row],[Productividad (kg/TAS)]]*Tabla2[[#This Row],[Precio por kg]]-Tabla2[[#This Row],[Costos (En RD$/Tarea)]])</f>
        <v>1480.4461302435316</v>
      </c>
      <c r="O401" s="6">
        <f>IF(Tabla2[[#This Row],[Costos (En RD$/Tarea)]]=0,0,Tabla2[[#This Row],[Beneficio Neto  (En RD$/Tarea)]]/Tabla2[[#This Row],[Costos (En RD$/Tarea)]])</f>
        <v>0.53810532427197089</v>
      </c>
      <c r="P401" s="4">
        <f>Tabla2[[#This Row],[Rentabilidad (%)]]/12</f>
        <v>4.4842110355997576E-2</v>
      </c>
    </row>
    <row r="402" spans="1:16" x14ac:dyDescent="0.35">
      <c r="A402" s="1">
        <v>37530</v>
      </c>
      <c r="B402" t="s">
        <v>23</v>
      </c>
      <c r="C402" s="2">
        <v>5349</v>
      </c>
      <c r="D402" s="5" t="s">
        <v>17</v>
      </c>
      <c r="E402" s="2">
        <f>IF(Tabla2[[#This Row],[Frecuencia]]="Annual", Tabla2[[#This Row],[Cosecha/Tarea]]/12,Tabla2[[#This Row],[Cosecha/Tarea]])</f>
        <v>5349</v>
      </c>
      <c r="F402" s="2">
        <v>150674</v>
      </c>
      <c r="G402" t="s">
        <v>18</v>
      </c>
      <c r="H402">
        <f>F402/Tabla2[[#This Row],[Cosecha Mensual]]</f>
        <v>28.168629650401943</v>
      </c>
      <c r="I402">
        <f>H402*_xlfn.XLOOKUP(Tabla2[[#This Row],[Unidad de producción]],Tabla3[Medida],Tabla3[Equivalencia en Kg],"ELVIS",0)</f>
        <v>1277.7290409422321</v>
      </c>
      <c r="J402">
        <v>272.2</v>
      </c>
      <c r="K402" t="s">
        <v>18</v>
      </c>
      <c r="L402">
        <f>J402/_xlfn.XLOOKUP(Tabla2[[#This Row],[Unidad de precio]],Tabla3[Medida],Tabla3[Equivalencia en Kg],"ELVIS",0)</f>
        <v>6.0008818342151677</v>
      </c>
      <c r="M402">
        <v>5786.34</v>
      </c>
      <c r="N402" s="2">
        <f>(Tabla2[[#This Row],[Productividad (kg/TAS)]]*Tabla2[[#This Row],[Precio por kg]]-Tabla2[[#This Row],[Costos (En RD$/Tarea)]])</f>
        <v>1881.1609908394094</v>
      </c>
      <c r="O402" s="6">
        <f>IF(Tabla2[[#This Row],[Costos (En RD$/Tarea)]]=0,0,Tabla2[[#This Row],[Beneficio Neto  (En RD$/Tarea)]]/Tabla2[[#This Row],[Costos (En RD$/Tarea)]])</f>
        <v>0.32510377731682016</v>
      </c>
      <c r="P402" s="4">
        <f>Tabla2[[#This Row],[Rentabilidad (%)]]/12</f>
        <v>2.7091981443068347E-2</v>
      </c>
    </row>
    <row r="403" spans="1:16" x14ac:dyDescent="0.35">
      <c r="A403" s="1">
        <v>37530</v>
      </c>
      <c r="B403" t="s">
        <v>24</v>
      </c>
      <c r="C403" s="2">
        <v>30585</v>
      </c>
      <c r="D403" s="5" t="s">
        <v>17</v>
      </c>
      <c r="E403" s="2">
        <f>IF(Tabla2[[#This Row],[Frecuencia]]="Annual", Tabla2[[#This Row],[Cosecha/Tarea]]/12,Tabla2[[#This Row],[Cosecha/Tarea]])</f>
        <v>30585</v>
      </c>
      <c r="F403" s="2">
        <v>144401</v>
      </c>
      <c r="G403" t="s">
        <v>18</v>
      </c>
      <c r="H403">
        <f>F403/Tabla2[[#This Row],[Cosecha Mensual]]</f>
        <v>4.721301291482753</v>
      </c>
      <c r="I403">
        <f>H403*_xlfn.XLOOKUP(Tabla2[[#This Row],[Unidad de producción]],Tabla3[Medida],Tabla3[Equivalencia en Kg],"ELVIS",0)</f>
        <v>214.15822658165769</v>
      </c>
      <c r="J403">
        <v>451.2</v>
      </c>
      <c r="K403" t="s">
        <v>18</v>
      </c>
      <c r="L403">
        <f>J403/_xlfn.XLOOKUP(Tabla2[[#This Row],[Unidad de precio]],Tabla3[Medida],Tabla3[Equivalencia en Kg],"ELVIS",0)</f>
        <v>9.9470899470899461</v>
      </c>
      <c r="M403">
        <v>1994.96</v>
      </c>
      <c r="N403" s="2">
        <f>(Tabla2[[#This Row],[Productividad (kg/TAS)]]*Tabla2[[#This Row],[Precio por kg]]-Tabla2[[#This Row],[Costos (En RD$/Tarea)]])</f>
        <v>135.29114271701792</v>
      </c>
      <c r="O403" s="6">
        <f>IF(Tabla2[[#This Row],[Costos (En RD$/Tarea)]]=0,0,Tabla2[[#This Row],[Beneficio Neto  (En RD$/Tarea)]]/Tabla2[[#This Row],[Costos (En RD$/Tarea)]])</f>
        <v>6.7816468860036255E-2</v>
      </c>
      <c r="P403" s="4">
        <f>Tabla2[[#This Row],[Rentabilidad (%)]]/12</f>
        <v>5.6513724050030216E-3</v>
      </c>
    </row>
    <row r="404" spans="1:16" x14ac:dyDescent="0.35">
      <c r="A404" s="1">
        <v>37530</v>
      </c>
      <c r="B404" t="s">
        <v>25</v>
      </c>
      <c r="C404" s="2">
        <v>21114</v>
      </c>
      <c r="D404" s="5" t="s">
        <v>17</v>
      </c>
      <c r="E404" s="2">
        <f>IF(Tabla2[[#This Row],[Frecuencia]]="Annual", Tabla2[[#This Row],[Cosecha/Tarea]]/12,Tabla2[[#This Row],[Cosecha/Tarea]])</f>
        <v>21114</v>
      </c>
      <c r="F404" s="2">
        <v>206584</v>
      </c>
      <c r="G404" t="s">
        <v>18</v>
      </c>
      <c r="H404">
        <f>F404/Tabla2[[#This Row],[Cosecha Mensual]]</f>
        <v>9.7842190016103068</v>
      </c>
      <c r="I404">
        <f>H404*_xlfn.XLOOKUP(Tabla2[[#This Row],[Unidad de producción]],Tabla3[Medida],Tabla3[Equivalencia en Kg],"ELVIS",0)</f>
        <v>443.81217391304352</v>
      </c>
      <c r="J404">
        <v>89.761571428571401</v>
      </c>
      <c r="K404" t="s">
        <v>18</v>
      </c>
      <c r="L404">
        <f>J404/_xlfn.XLOOKUP(Tabla2[[#This Row],[Unidad de precio]],Tabla3[Medida],Tabla3[Equivalencia en Kg],"ELVIS",0)</f>
        <v>1.9788706223230026</v>
      </c>
      <c r="M404">
        <v>966.8</v>
      </c>
      <c r="N404" s="2">
        <f>(Tabla2[[#This Row],[Productividad (kg/TAS)]]*Tabla2[[#This Row],[Precio por kg]]-Tabla2[[#This Row],[Costos (En RD$/Tarea)]])</f>
        <v>-88.5531272141709</v>
      </c>
      <c r="O404" s="6">
        <f>IF(Tabla2[[#This Row],[Costos (En RD$/Tarea)]]=0,0,Tabla2[[#This Row],[Beneficio Neto  (En RD$/Tarea)]]/Tabla2[[#This Row],[Costos (En RD$/Tarea)]])</f>
        <v>-9.1594049662981902E-2</v>
      </c>
      <c r="P404" s="4">
        <f>Tabla2[[#This Row],[Rentabilidad (%)]]/12</f>
        <v>-7.6328374719151588E-3</v>
      </c>
    </row>
    <row r="405" spans="1:16" x14ac:dyDescent="0.35">
      <c r="A405" s="1">
        <v>37530</v>
      </c>
      <c r="B405" t="s">
        <v>26</v>
      </c>
      <c r="C405" s="2">
        <v>10573</v>
      </c>
      <c r="D405" s="5" t="s">
        <v>17</v>
      </c>
      <c r="E405" s="2">
        <f>IF(Tabla2[[#This Row],[Frecuencia]]="Annual", Tabla2[[#This Row],[Cosecha/Tarea]]/12,Tabla2[[#This Row],[Cosecha/Tarea]])</f>
        <v>10573</v>
      </c>
      <c r="F405" s="2">
        <v>57824</v>
      </c>
      <c r="G405" t="s">
        <v>18</v>
      </c>
      <c r="H405">
        <f>F405/Tabla2[[#This Row],[Cosecha Mensual]]</f>
        <v>5.469024874680791</v>
      </c>
      <c r="I405">
        <f>H405*_xlfn.XLOOKUP(Tabla2[[#This Row],[Unidad de producción]],Tabla3[Medida],Tabla3[Equivalencia en Kg],"ELVIS",0)</f>
        <v>248.07496831552066</v>
      </c>
      <c r="J405">
        <v>209.23666666666699</v>
      </c>
      <c r="K405" t="s">
        <v>18</v>
      </c>
      <c r="L405">
        <f>J405/_xlfn.XLOOKUP(Tabla2[[#This Row],[Unidad de precio]],Tabla3[Medida],Tabla3[Equivalencia en Kg],"ELVIS",0)</f>
        <v>4.6128012933568563</v>
      </c>
      <c r="M405">
        <v>360.52</v>
      </c>
      <c r="N405" s="2">
        <f>(Tabla2[[#This Row],[Productividad (kg/TAS)]]*Tabla2[[#This Row],[Precio por kg]]-Tabla2[[#This Row],[Costos (En RD$/Tarea)]])</f>
        <v>783.8005346952948</v>
      </c>
      <c r="O405" s="6">
        <f>IF(Tabla2[[#This Row],[Costos (En RD$/Tarea)]]=0,0,Tabla2[[#This Row],[Beneficio Neto  (En RD$/Tarea)]]/Tabla2[[#This Row],[Costos (En RD$/Tarea)]])</f>
        <v>2.1740833648488151</v>
      </c>
      <c r="P405" s="4">
        <f>Tabla2[[#This Row],[Rentabilidad (%)]]/12</f>
        <v>0.18117361373740126</v>
      </c>
    </row>
    <row r="406" spans="1:16" x14ac:dyDescent="0.35">
      <c r="A406" s="1">
        <v>37530</v>
      </c>
      <c r="B406" t="s">
        <v>27</v>
      </c>
      <c r="C406" s="2">
        <v>2750</v>
      </c>
      <c r="D406" s="5" t="s">
        <v>17</v>
      </c>
      <c r="E406" s="2">
        <f>IF(Tabla2[[#This Row],[Frecuencia]]="Annual", Tabla2[[#This Row],[Cosecha/Tarea]]/12,Tabla2[[#This Row],[Cosecha/Tarea]])</f>
        <v>2750</v>
      </c>
      <c r="F406" s="2">
        <v>24440</v>
      </c>
      <c r="G406" t="s">
        <v>18</v>
      </c>
      <c r="H406">
        <f>F406/Tabla2[[#This Row],[Cosecha Mensual]]</f>
        <v>8.8872727272727268</v>
      </c>
      <c r="I406">
        <f>H406*_xlfn.XLOOKUP(Tabla2[[#This Row],[Unidad de producción]],Tabla3[Medida],Tabla3[Equivalencia en Kg],"ELVIS",0)</f>
        <v>403.12669090909088</v>
      </c>
      <c r="J406">
        <v>202.98666666666699</v>
      </c>
      <c r="K406" t="s">
        <v>18</v>
      </c>
      <c r="L406">
        <f>J406/_xlfn.XLOOKUP(Tabla2[[#This Row],[Unidad de precio]],Tabla3[Medida],Tabla3[Equivalencia en Kg],"ELVIS",0)</f>
        <v>4.4750146972369267</v>
      </c>
      <c r="M406">
        <v>2321.75</v>
      </c>
      <c r="N406" s="2">
        <f>(Tabla2[[#This Row],[Productividad (kg/TAS)]]*Tabla2[[#This Row],[Precio por kg]]-Tabla2[[#This Row],[Costos (En RD$/Tarea)]])</f>
        <v>-517.75213333333045</v>
      </c>
      <c r="O406" s="6">
        <f>IF(Tabla2[[#This Row],[Costos (En RD$/Tarea)]]=0,0,Tabla2[[#This Row],[Beneficio Neto  (En RD$/Tarea)]]/Tabla2[[#This Row],[Costos (En RD$/Tarea)]])</f>
        <v>-0.22300081116973422</v>
      </c>
      <c r="P406" s="4">
        <f>Tabla2[[#This Row],[Rentabilidad (%)]]/12</f>
        <v>-1.8583400930811185E-2</v>
      </c>
    </row>
    <row r="407" spans="1:16" x14ac:dyDescent="0.35">
      <c r="A407" s="1">
        <v>37530</v>
      </c>
      <c r="B407" t="s">
        <v>28</v>
      </c>
      <c r="C407" s="2">
        <v>19685</v>
      </c>
      <c r="D407" s="5" t="s">
        <v>17</v>
      </c>
      <c r="E407" s="2">
        <f>IF(Tabla2[[#This Row],[Frecuencia]]="Annual", Tabla2[[#This Row],[Cosecha/Tarea]]/12,Tabla2[[#This Row],[Cosecha/Tarea]])</f>
        <v>19685</v>
      </c>
      <c r="F407" s="2">
        <v>37414</v>
      </c>
      <c r="G407" t="s">
        <v>18</v>
      </c>
      <c r="H407">
        <f>F407/Tabla2[[#This Row],[Cosecha Mensual]]</f>
        <v>1.9006350012700026</v>
      </c>
      <c r="I407">
        <f>H407*_xlfn.XLOOKUP(Tabla2[[#This Row],[Unidad de producción]],Tabla3[Medida],Tabla3[Equivalencia en Kg],"ELVIS",0)</f>
        <v>86.212803657607324</v>
      </c>
      <c r="J407">
        <v>995</v>
      </c>
      <c r="K407" t="s">
        <v>29</v>
      </c>
      <c r="L407">
        <f>J407/_xlfn.XLOOKUP(Tabla2[[#This Row],[Unidad de precio]],Tabla3[Medida],Tabla3[Equivalencia en Kg],"ELVIS",0)</f>
        <v>1.7693921826652914</v>
      </c>
      <c r="M407">
        <v>3619.46</v>
      </c>
      <c r="N407" s="2">
        <f>(Tabla2[[#This Row],[Productividad (kg/TAS)]]*Tabla2[[#This Row],[Precio por kg]]-Tabla2[[#This Row],[Costos (En RD$/Tarea)]])</f>
        <v>-3466.9157391625722</v>
      </c>
      <c r="O407" s="6">
        <f>IF(Tabla2[[#This Row],[Costos (En RD$/Tarea)]]=0,0,Tabla2[[#This Row],[Beneficio Neto  (En RD$/Tarea)]]/Tabla2[[#This Row],[Costos (En RD$/Tarea)]])</f>
        <v>-0.95785441451558306</v>
      </c>
      <c r="P407" s="4">
        <f>Tabla2[[#This Row],[Rentabilidad (%)]]/12</f>
        <v>-7.9821201209631917E-2</v>
      </c>
    </row>
    <row r="408" spans="1:16" x14ac:dyDescent="0.35">
      <c r="A408" s="1">
        <v>37530</v>
      </c>
      <c r="B408" t="s">
        <v>30</v>
      </c>
      <c r="C408" s="2">
        <v>241696</v>
      </c>
      <c r="D408" s="2" t="s">
        <v>31</v>
      </c>
      <c r="E408" s="2">
        <f>IF(Tabla2[[#This Row],[Frecuencia]]="Annual", Tabla2[[#This Row],[Cosecha/Tarea]]/12,Tabla2[[#This Row],[Cosecha/Tarea]])</f>
        <v>20141.333333333332</v>
      </c>
      <c r="F408" s="2">
        <v>1685540</v>
      </c>
      <c r="G408" t="s">
        <v>32</v>
      </c>
      <c r="H408">
        <f>F408/Tabla2[[#This Row],[Cosecha Mensual]]</f>
        <v>83.685621607308363</v>
      </c>
      <c r="I408">
        <f>H408*_xlfn.XLOOKUP(Tabla2[[#This Row],[Unidad de producción]],Tabla3[Medida],Tabla3[Equivalencia en Kg],"ELVIS",0)</f>
        <v>2277.0857639348606</v>
      </c>
      <c r="J408">
        <v>26.375</v>
      </c>
      <c r="K408" t="s">
        <v>32</v>
      </c>
      <c r="L408">
        <f>J408/_xlfn.XLOOKUP(Tabla2[[#This Row],[Unidad de precio]],Tabla3[Medida],Tabla3[Equivalencia en Kg],"ELVIS",0)</f>
        <v>0.9693127526644616</v>
      </c>
      <c r="M408" s="2">
        <v>3727.21</v>
      </c>
      <c r="N408" s="2">
        <f>(Tabla2[[#This Row],[Productividad (kg/TAS)]]*Tabla2[[#This Row],[Precio por kg]]-Tabla2[[#This Row],[Costos (En RD$/Tarea)]])</f>
        <v>-1520.0017301072421</v>
      </c>
      <c r="O408" s="6">
        <f>IF(Tabla2[[#This Row],[Costos (En RD$/Tarea)]]=0,0,Tabla2[[#This Row],[Beneficio Neto  (En RD$/Tarea)]]/Tabla2[[#This Row],[Costos (En RD$/Tarea)]])</f>
        <v>-0.40781220540491203</v>
      </c>
      <c r="P408" s="4">
        <f>Tabla2[[#This Row],[Rentabilidad (%)]]/12</f>
        <v>-3.3984350450409338E-2</v>
      </c>
    </row>
    <row r="409" spans="1:16" x14ac:dyDescent="0.35">
      <c r="A409" s="1">
        <v>37530</v>
      </c>
      <c r="B409" t="s">
        <v>33</v>
      </c>
      <c r="C409" s="2">
        <v>660088</v>
      </c>
      <c r="D409" s="2" t="s">
        <v>31</v>
      </c>
      <c r="E409" s="2">
        <f>IF(Tabla2[[#This Row],[Frecuencia]]="Annual", Tabla2[[#This Row],[Cosecha/Tarea]]/12,Tabla2[[#This Row],[Cosecha/Tarea]])</f>
        <v>55007.333333333336</v>
      </c>
      <c r="F409" s="2">
        <v>96305</v>
      </c>
      <c r="G409" t="s">
        <v>34</v>
      </c>
      <c r="H409">
        <f>F409/Tabla2[[#This Row],[Cosecha Mensual]]</f>
        <v>1.7507665644580721</v>
      </c>
      <c r="I409">
        <f>H409*_xlfn.XLOOKUP(Tabla2[[#This Row],[Unidad de producción]],Tabla3[Medida],Tabla3[Equivalencia en Kg],"ELVIS",0)</f>
        <v>714.57537328356204</v>
      </c>
      <c r="J409">
        <v>1269.54714285714</v>
      </c>
      <c r="K409" t="s">
        <v>34</v>
      </c>
      <c r="L409">
        <f>J409/_xlfn.XLOOKUP(Tabla2[[#This Row],[Unidad de precio]],Tabla3[Medida],Tabla3[Equivalencia en Kg],"ELVIS",0)</f>
        <v>3.1104915909766997</v>
      </c>
      <c r="M409" s="2">
        <v>3949.84</v>
      </c>
      <c r="N409" s="2">
        <f>(Tabla2[[#This Row],[Productividad (kg/TAS)]]*Tabla2[[#This Row],[Precio por kg]]-Tabla2[[#This Row],[Costos (En RD$/Tarea)]])</f>
        <v>-1727.159310282444</v>
      </c>
      <c r="O409" s="6">
        <f>IF(Tabla2[[#This Row],[Costos (En RD$/Tarea)]]=0,0,Tabla2[[#This Row],[Beneficio Neto  (En RD$/Tarea)]]/Tabla2[[#This Row],[Costos (En RD$/Tarea)]])</f>
        <v>-0.43727323392401818</v>
      </c>
      <c r="P409" s="4">
        <f>Tabla2[[#This Row],[Rentabilidad (%)]]/12</f>
        <v>-3.6439436160334848E-2</v>
      </c>
    </row>
    <row r="410" spans="1:16" x14ac:dyDescent="0.35">
      <c r="A410" s="1">
        <v>37561</v>
      </c>
      <c r="B410" t="s">
        <v>16</v>
      </c>
      <c r="C410" s="2">
        <v>294496</v>
      </c>
      <c r="D410" s="5" t="s">
        <v>17</v>
      </c>
      <c r="E410" s="2">
        <f>IF(Tabla2[[#This Row],[Frecuencia]]="Annual", Tabla2[[#This Row],[Cosecha/Tarea]]/12,Tabla2[[#This Row],[Cosecha/Tarea]])</f>
        <v>294496</v>
      </c>
      <c r="F410" s="2">
        <v>1104189</v>
      </c>
      <c r="G410" t="s">
        <v>18</v>
      </c>
      <c r="H410">
        <f>F410/Tabla2[[#This Row],[Cosecha Mensual]]</f>
        <v>3.7494193469520809</v>
      </c>
      <c r="I410">
        <f>H410*_xlfn.XLOOKUP(Tabla2[[#This Row],[Unidad de producción]],Tabla3[Medida],Tabla3[Equivalencia en Kg],"ELVIS",0)</f>
        <v>170.07366157774638</v>
      </c>
      <c r="J410">
        <v>886.82508250825094</v>
      </c>
      <c r="K410" t="s">
        <v>19</v>
      </c>
      <c r="L410">
        <f>J410/_xlfn.XLOOKUP(Tabla2[[#This Row],[Unidad de precio]],Tabla3[Medida],Tabla3[Equivalencia en Kg],"ELVIS",0)</f>
        <v>8.0620462046204633</v>
      </c>
      <c r="M410">
        <v>1921.06</v>
      </c>
      <c r="N410" s="2">
        <f>(Tabla2[[#This Row],[Productividad (kg/TAS)]]*Tabla2[[#This Row],[Precio por kg]]-Tabla2[[#This Row],[Costos (En RD$/Tarea)]])</f>
        <v>-549.91828217122475</v>
      </c>
      <c r="O410" s="6">
        <f>IF(Tabla2[[#This Row],[Costos (En RD$/Tarea)]]=0,0,Tabla2[[#This Row],[Beneficio Neto  (En RD$/Tarea)]]/Tabla2[[#This Row],[Costos (En RD$/Tarea)]])</f>
        <v>-0.28625773384028858</v>
      </c>
      <c r="P410" s="4">
        <f>Tabla2[[#This Row],[Rentabilidad (%)]]/12</f>
        <v>-2.3854811153357382E-2</v>
      </c>
    </row>
    <row r="411" spans="1:16" x14ac:dyDescent="0.35">
      <c r="A411" s="1">
        <v>37561</v>
      </c>
      <c r="B411" t="s">
        <v>20</v>
      </c>
      <c r="C411" s="2">
        <v>26110</v>
      </c>
      <c r="D411" s="5" t="s">
        <v>17</v>
      </c>
      <c r="E411" s="2">
        <f>IF(Tabla2[[#This Row],[Frecuencia]]="Annual", Tabla2[[#This Row],[Cosecha/Tarea]]/12,Tabla2[[#This Row],[Cosecha/Tarea]])</f>
        <v>26110</v>
      </c>
      <c r="F411" s="2">
        <v>44772</v>
      </c>
      <c r="G411" t="s">
        <v>18</v>
      </c>
      <c r="H411">
        <f>F411/Tabla2[[#This Row],[Cosecha Mensual]]</f>
        <v>1.714745308310992</v>
      </c>
      <c r="I411">
        <f>H411*_xlfn.XLOOKUP(Tabla2[[#This Row],[Unidad de producción]],Tabla3[Medida],Tabla3[Equivalencia en Kg],"ELVIS",0)</f>
        <v>77.780847184986598</v>
      </c>
      <c r="J411">
        <v>107.067985714286</v>
      </c>
      <c r="K411" t="s">
        <v>18</v>
      </c>
      <c r="L411">
        <f>J411/_xlfn.XLOOKUP(Tabla2[[#This Row],[Unidad de precio]],Tabla3[Medida],Tabla3[Equivalencia en Kg],"ELVIS",0)</f>
        <v>2.3604053287981923</v>
      </c>
      <c r="M411">
        <v>531.93499999999995</v>
      </c>
      <c r="N411" s="2">
        <f>(Tabla2[[#This Row],[Productividad (kg/TAS)]]*Tabla2[[#This Row],[Precio por kg]]-Tabla2[[#This Row],[Costos (En RD$/Tarea)]])</f>
        <v>-348.34067382611971</v>
      </c>
      <c r="O411" s="6">
        <f>IF(Tabla2[[#This Row],[Costos (En RD$/Tarea)]]=0,0,Tabla2[[#This Row],[Beneficio Neto  (En RD$/Tarea)]]/Tabla2[[#This Row],[Costos (En RD$/Tarea)]])</f>
        <v>-0.65485571324714442</v>
      </c>
      <c r="P411" s="4">
        <f>Tabla2[[#This Row],[Rentabilidad (%)]]/12</f>
        <v>-5.4571309437262037E-2</v>
      </c>
    </row>
    <row r="412" spans="1:16" x14ac:dyDescent="0.35">
      <c r="A412" s="1">
        <v>37561</v>
      </c>
      <c r="B412" t="s">
        <v>21</v>
      </c>
      <c r="C412" s="2">
        <v>5757</v>
      </c>
      <c r="D412" s="5" t="s">
        <v>17</v>
      </c>
      <c r="E412" s="2">
        <f>IF(Tabla2[[#This Row],[Frecuencia]]="Annual", Tabla2[[#This Row],[Cosecha/Tarea]]/12,Tabla2[[#This Row],[Cosecha/Tarea]])</f>
        <v>5757</v>
      </c>
      <c r="F412" s="2">
        <v>44285</v>
      </c>
      <c r="G412" t="s">
        <v>18</v>
      </c>
      <c r="H412">
        <f>F412/Tabla2[[#This Row],[Cosecha Mensual]]</f>
        <v>7.6923745006079551</v>
      </c>
      <c r="I412">
        <f>H412*_xlfn.XLOOKUP(Tabla2[[#This Row],[Unidad de producción]],Tabla3[Medida],Tabla3[Equivalencia en Kg],"ELVIS",0)</f>
        <v>348.92610734757682</v>
      </c>
      <c r="J412">
        <v>99.361199999999997</v>
      </c>
      <c r="K412" t="s">
        <v>18</v>
      </c>
      <c r="L412">
        <f>J412/_xlfn.XLOOKUP(Tabla2[[#This Row],[Unidad de precio]],Tabla3[Medida],Tabla3[Equivalencia en Kg],"ELVIS",0)</f>
        <v>2.1905026455026455</v>
      </c>
      <c r="M412">
        <v>945.93</v>
      </c>
      <c r="N412" s="2">
        <f>(Tabla2[[#This Row],[Productividad (kg/TAS)]]*Tabla2[[#This Row],[Precio por kg]]-Tabla2[[#This Row],[Costos (En RD$/Tarea)]])</f>
        <v>-181.60643877019288</v>
      </c>
      <c r="O412" s="6">
        <f>IF(Tabla2[[#This Row],[Costos (En RD$/Tarea)]]=0,0,Tabla2[[#This Row],[Beneficio Neto  (En RD$/Tarea)]]/Tabla2[[#This Row],[Costos (En RD$/Tarea)]])</f>
        <v>-0.19198718591248073</v>
      </c>
      <c r="P412" s="4">
        <f>Tabla2[[#This Row],[Rentabilidad (%)]]/12</f>
        <v>-1.5998932159373393E-2</v>
      </c>
    </row>
    <row r="413" spans="1:16" x14ac:dyDescent="0.35">
      <c r="A413" s="1">
        <v>37561</v>
      </c>
      <c r="B413" t="s">
        <v>22</v>
      </c>
      <c r="C413" s="2">
        <v>5912</v>
      </c>
      <c r="D413" s="5" t="s">
        <v>17</v>
      </c>
      <c r="E413" s="2">
        <f>IF(Tabla2[[#This Row],[Frecuencia]]="Annual", Tabla2[[#This Row],[Cosecha/Tarea]]/12,Tabla2[[#This Row],[Cosecha/Tarea]])</f>
        <v>5912</v>
      </c>
      <c r="F413" s="2">
        <v>52836</v>
      </c>
      <c r="G413" t="s">
        <v>18</v>
      </c>
      <c r="H413">
        <f>F413/Tabla2[[#This Row],[Cosecha Mensual]]</f>
        <v>8.9370771312584569</v>
      </c>
      <c r="I413">
        <f>H413*_xlfn.XLOOKUP(Tabla2[[#This Row],[Unidad de producción]],Tabla3[Medida],Tabla3[Equivalencia en Kg],"ELVIS",0)</f>
        <v>405.38581867388359</v>
      </c>
      <c r="J413">
        <v>400</v>
      </c>
      <c r="K413" t="s">
        <v>18</v>
      </c>
      <c r="L413">
        <f>J413/_xlfn.XLOOKUP(Tabla2[[#This Row],[Unidad de precio]],Tabla3[Medida],Tabla3[Equivalencia en Kg],"ELVIS",0)</f>
        <v>8.8183421516754859</v>
      </c>
      <c r="M413">
        <v>2751.22</v>
      </c>
      <c r="N413" s="2">
        <f>(Tabla2[[#This Row],[Productividad (kg/TAS)]]*Tabla2[[#This Row],[Precio por kg]]-Tabla2[[#This Row],[Costos (En RD$/Tarea)]])</f>
        <v>823.61085250338328</v>
      </c>
      <c r="O413" s="6">
        <f>IF(Tabla2[[#This Row],[Costos (En RD$/Tarea)]]=0,0,Tabla2[[#This Row],[Beneficio Neto  (En RD$/Tarea)]]/Tabla2[[#This Row],[Costos (En RD$/Tarea)]])</f>
        <v>0.29936204756558304</v>
      </c>
      <c r="P413" s="4">
        <f>Tabla2[[#This Row],[Rentabilidad (%)]]/12</f>
        <v>2.4946837297131919E-2</v>
      </c>
    </row>
    <row r="414" spans="1:16" x14ac:dyDescent="0.35">
      <c r="A414" s="1">
        <v>37561</v>
      </c>
      <c r="B414" t="s">
        <v>23</v>
      </c>
      <c r="C414" s="2">
        <v>3700</v>
      </c>
      <c r="D414" s="5" t="s">
        <v>17</v>
      </c>
      <c r="E414" s="2">
        <f>IF(Tabla2[[#This Row],[Frecuencia]]="Annual", Tabla2[[#This Row],[Cosecha/Tarea]]/12,Tabla2[[#This Row],[Cosecha/Tarea]])</f>
        <v>3700</v>
      </c>
      <c r="F414" s="2">
        <v>74355</v>
      </c>
      <c r="G414" t="s">
        <v>18</v>
      </c>
      <c r="H414">
        <f>F414/Tabla2[[#This Row],[Cosecha Mensual]]</f>
        <v>20.095945945945946</v>
      </c>
      <c r="I414">
        <f>H414*_xlfn.XLOOKUP(Tabla2[[#This Row],[Unidad de producción]],Tabla3[Medida],Tabla3[Equivalencia en Kg],"ELVIS",0)</f>
        <v>911.55210810810809</v>
      </c>
      <c r="J414">
        <v>313.33333333333297</v>
      </c>
      <c r="K414" t="s">
        <v>18</v>
      </c>
      <c r="L414">
        <f>J414/_xlfn.XLOOKUP(Tabla2[[#This Row],[Unidad de precio]],Tabla3[Medida],Tabla3[Equivalencia en Kg],"ELVIS",0)</f>
        <v>6.9077013521457884</v>
      </c>
      <c r="M414">
        <v>5786.34</v>
      </c>
      <c r="N414" s="2">
        <f>(Tabla2[[#This Row],[Productividad (kg/TAS)]]*Tabla2[[#This Row],[Precio por kg]]-Tabla2[[#This Row],[Costos (En RD$/Tarea)]])</f>
        <v>510.38972972972169</v>
      </c>
      <c r="O414" s="6">
        <f>IF(Tabla2[[#This Row],[Costos (En RD$/Tarea)]]=0,0,Tabla2[[#This Row],[Beneficio Neto  (En RD$/Tarea)]]/Tabla2[[#This Row],[Costos (En RD$/Tarea)]])</f>
        <v>8.8205969529913844E-2</v>
      </c>
      <c r="P414" s="4">
        <f>Tabla2[[#This Row],[Rentabilidad (%)]]/12</f>
        <v>7.3504974608261534E-3</v>
      </c>
    </row>
    <row r="415" spans="1:16" x14ac:dyDescent="0.35">
      <c r="A415" s="1">
        <v>37561</v>
      </c>
      <c r="B415" t="s">
        <v>24</v>
      </c>
      <c r="C415" s="2">
        <v>6939</v>
      </c>
      <c r="D415" s="5" t="s">
        <v>17</v>
      </c>
      <c r="E415" s="2">
        <f>IF(Tabla2[[#This Row],[Frecuencia]]="Annual", Tabla2[[#This Row],[Cosecha/Tarea]]/12,Tabla2[[#This Row],[Cosecha/Tarea]])</f>
        <v>6939</v>
      </c>
      <c r="F415" s="2">
        <v>103663</v>
      </c>
      <c r="G415" t="s">
        <v>18</v>
      </c>
      <c r="H415">
        <f>F415/Tabla2[[#This Row],[Cosecha Mensual]]</f>
        <v>14.939184320507279</v>
      </c>
      <c r="I415">
        <f>H415*_xlfn.XLOOKUP(Tabla2[[#This Row],[Unidad de producción]],Tabla3[Medida],Tabla3[Equivalencia en Kg],"ELVIS",0)</f>
        <v>677.64140077821014</v>
      </c>
      <c r="J415">
        <v>462.3125</v>
      </c>
      <c r="K415" t="s">
        <v>18</v>
      </c>
      <c r="L415">
        <f>J415/_xlfn.XLOOKUP(Tabla2[[#This Row],[Unidad de precio]],Tabla3[Medida],Tabla3[Equivalencia en Kg],"ELVIS",0)</f>
        <v>10.192074514991182</v>
      </c>
      <c r="M415">
        <v>1994.96</v>
      </c>
      <c r="N415" s="2">
        <f>(Tabla2[[#This Row],[Productividad (kg/TAS)]]*Tabla2[[#This Row],[Precio por kg]]-Tabla2[[#This Row],[Costos (En RD$/Tarea)]])</f>
        <v>4911.6116511745213</v>
      </c>
      <c r="O415" s="6">
        <f>IF(Tabla2[[#This Row],[Costos (En RD$/Tarea)]]=0,0,Tabla2[[#This Row],[Beneficio Neto  (En RD$/Tarea)]]/Tabla2[[#This Row],[Costos (En RD$/Tarea)]])</f>
        <v>2.4620100910166225</v>
      </c>
      <c r="P415" s="4">
        <f>Tabla2[[#This Row],[Rentabilidad (%)]]/12</f>
        <v>0.20516750758471855</v>
      </c>
    </row>
    <row r="416" spans="1:16" x14ac:dyDescent="0.35">
      <c r="A416" s="1">
        <v>37561</v>
      </c>
      <c r="B416" t="s">
        <v>25</v>
      </c>
      <c r="C416" s="2">
        <v>25296</v>
      </c>
      <c r="D416" s="5" t="s">
        <v>17</v>
      </c>
      <c r="E416" s="2">
        <f>IF(Tabla2[[#This Row],[Frecuencia]]="Annual", Tabla2[[#This Row],[Cosecha/Tarea]]/12,Tabla2[[#This Row],[Cosecha/Tarea]])</f>
        <v>25296</v>
      </c>
      <c r="F416" s="2">
        <v>274212</v>
      </c>
      <c r="G416" t="s">
        <v>18</v>
      </c>
      <c r="H416">
        <f>F416/Tabla2[[#This Row],[Cosecha Mensual]]</f>
        <v>10.840132827324478</v>
      </c>
      <c r="I416">
        <f>H416*_xlfn.XLOOKUP(Tabla2[[#This Row],[Unidad de producción]],Tabla3[Medida],Tabla3[Equivalencia en Kg],"ELVIS",0)</f>
        <v>491.70842504743831</v>
      </c>
      <c r="J416">
        <v>86.049562499999993</v>
      </c>
      <c r="K416" t="s">
        <v>18</v>
      </c>
      <c r="L416">
        <f>J416/_xlfn.XLOOKUP(Tabla2[[#This Row],[Unidad de precio]],Tabla3[Medida],Tabla3[Equivalencia en Kg],"ELVIS",0)</f>
        <v>1.8970362103174603</v>
      </c>
      <c r="M416">
        <v>966.8</v>
      </c>
      <c r="N416" s="2">
        <f>(Tabla2[[#This Row],[Productividad (kg/TAS)]]*Tabla2[[#This Row],[Precio por kg]]-Tabla2[[#This Row],[Costos (En RD$/Tarea)]])</f>
        <v>-34.011312766840661</v>
      </c>
      <c r="O416" s="6">
        <f>IF(Tabla2[[#This Row],[Costos (En RD$/Tarea)]]=0,0,Tabla2[[#This Row],[Beneficio Neto  (En RD$/Tarea)]]/Tabla2[[#This Row],[Costos (En RD$/Tarea)]])</f>
        <v>-3.5179264343029232E-2</v>
      </c>
      <c r="P416" s="4">
        <f>Tabla2[[#This Row],[Rentabilidad (%)]]/12</f>
        <v>-2.9316053619191026E-3</v>
      </c>
    </row>
    <row r="417" spans="1:16" x14ac:dyDescent="0.35">
      <c r="A417" s="1">
        <v>37561</v>
      </c>
      <c r="B417" t="s">
        <v>26</v>
      </c>
      <c r="C417" s="2">
        <v>10191</v>
      </c>
      <c r="D417" s="5" t="s">
        <v>17</v>
      </c>
      <c r="E417" s="2">
        <f>IF(Tabla2[[#This Row],[Frecuencia]]="Annual", Tabla2[[#This Row],[Cosecha/Tarea]]/12,Tabla2[[#This Row],[Cosecha/Tarea]])</f>
        <v>10191</v>
      </c>
      <c r="F417" s="2">
        <v>49948</v>
      </c>
      <c r="G417" t="s">
        <v>18</v>
      </c>
      <c r="H417">
        <f>F417/Tabla2[[#This Row],[Cosecha Mensual]]</f>
        <v>4.9011873221469928</v>
      </c>
      <c r="I417">
        <f>H417*_xlfn.XLOOKUP(Tabla2[[#This Row],[Unidad de producción]],Tabla3[Medida],Tabla3[Equivalencia en Kg],"ELVIS",0)</f>
        <v>222.3178569325876</v>
      </c>
      <c r="J417">
        <v>217.5</v>
      </c>
      <c r="K417" t="s">
        <v>18</v>
      </c>
      <c r="L417">
        <f>J417/_xlfn.XLOOKUP(Tabla2[[#This Row],[Unidad de precio]],Tabla3[Medida],Tabla3[Equivalencia en Kg],"ELVIS",0)</f>
        <v>4.7949735449735451</v>
      </c>
      <c r="M417">
        <v>360.52</v>
      </c>
      <c r="N417" s="2">
        <f>(Tabla2[[#This Row],[Productividad (kg/TAS)]]*Tabla2[[#This Row],[Precio por kg]]-Tabla2[[#This Row],[Costos (En RD$/Tarea)]])</f>
        <v>705.48824256697094</v>
      </c>
      <c r="O417" s="6">
        <f>IF(Tabla2[[#This Row],[Costos (En RD$/Tarea)]]=0,0,Tabla2[[#This Row],[Beneficio Neto  (En RD$/Tarea)]]/Tabla2[[#This Row],[Costos (En RD$/Tarea)]])</f>
        <v>1.9568629828219544</v>
      </c>
      <c r="P417" s="4">
        <f>Tabla2[[#This Row],[Rentabilidad (%)]]/12</f>
        <v>0.16307191523516287</v>
      </c>
    </row>
    <row r="418" spans="1:16" x14ac:dyDescent="0.35">
      <c r="A418" s="1">
        <v>37561</v>
      </c>
      <c r="B418" t="s">
        <v>27</v>
      </c>
      <c r="C418" s="2">
        <v>2421</v>
      </c>
      <c r="D418" s="5" t="s">
        <v>17</v>
      </c>
      <c r="E418" s="2">
        <f>IF(Tabla2[[#This Row],[Frecuencia]]="Annual", Tabla2[[#This Row],[Cosecha/Tarea]]/12,Tabla2[[#This Row],[Cosecha/Tarea]])</f>
        <v>2421</v>
      </c>
      <c r="F418" s="2">
        <v>23674</v>
      </c>
      <c r="G418" t="s">
        <v>18</v>
      </c>
      <c r="H418">
        <f>F418/Tabla2[[#This Row],[Cosecha Mensual]]</f>
        <v>9.7786038826931012</v>
      </c>
      <c r="I418">
        <f>H418*_xlfn.XLOOKUP(Tabla2[[#This Row],[Unidad de producción]],Tabla3[Medida],Tabla3[Equivalencia en Kg],"ELVIS",0)</f>
        <v>443.55747211895908</v>
      </c>
      <c r="J418">
        <v>286.875</v>
      </c>
      <c r="K418" t="s">
        <v>18</v>
      </c>
      <c r="L418">
        <f>J418/_xlfn.XLOOKUP(Tabla2[[#This Row],[Unidad de precio]],Tabla3[Medida],Tabla3[Equivalencia en Kg],"ELVIS",0)</f>
        <v>6.3244047619047619</v>
      </c>
      <c r="M418">
        <v>2321.75</v>
      </c>
      <c r="N418" s="2">
        <f>(Tabla2[[#This Row],[Productividad (kg/TAS)]]*Tabla2[[#This Row],[Precio por kg]]-Tabla2[[#This Row],[Costos (En RD$/Tarea)]])</f>
        <v>483.48698884758369</v>
      </c>
      <c r="O418" s="6">
        <f>IF(Tabla2[[#This Row],[Costos (En RD$/Tarea)]]=0,0,Tabla2[[#This Row],[Beneficio Neto  (En RD$/Tarea)]]/Tabla2[[#This Row],[Costos (En RD$/Tarea)]])</f>
        <v>0.20824248469800094</v>
      </c>
      <c r="P418" s="4">
        <f>Tabla2[[#This Row],[Rentabilidad (%)]]/12</f>
        <v>1.735354039150008E-2</v>
      </c>
    </row>
    <row r="419" spans="1:16" x14ac:dyDescent="0.35">
      <c r="A419" s="1">
        <v>37561</v>
      </c>
      <c r="B419" t="s">
        <v>28</v>
      </c>
      <c r="C419" s="2">
        <v>22010</v>
      </c>
      <c r="D419" s="5" t="s">
        <v>17</v>
      </c>
      <c r="E419" s="2">
        <f>IF(Tabla2[[#This Row],[Frecuencia]]="Annual", Tabla2[[#This Row],[Cosecha/Tarea]]/12,Tabla2[[#This Row],[Cosecha/Tarea]])</f>
        <v>22010</v>
      </c>
      <c r="F419" s="2">
        <v>52875</v>
      </c>
      <c r="G419" t="s">
        <v>18</v>
      </c>
      <c r="H419">
        <f>F419/Tabla2[[#This Row],[Cosecha Mensual]]</f>
        <v>2.402317128577919</v>
      </c>
      <c r="I419">
        <f>H419*_xlfn.XLOOKUP(Tabla2[[#This Row],[Unidad de producción]],Tabla3[Medida],Tabla3[Equivalencia en Kg],"ELVIS",0)</f>
        <v>108.9691049522944</v>
      </c>
      <c r="J419">
        <v>1296.25</v>
      </c>
      <c r="K419" t="s">
        <v>29</v>
      </c>
      <c r="L419">
        <f>J419/_xlfn.XLOOKUP(Tabla2[[#This Row],[Unidad de precio]],Tabla3[Medida],Tabla3[Equivalencia en Kg],"ELVIS",0)</f>
        <v>2.3051001173667176</v>
      </c>
      <c r="M419">
        <v>3619.46</v>
      </c>
      <c r="N419" s="2">
        <f>(Tabla2[[#This Row],[Productividad (kg/TAS)]]*Tabla2[[#This Row],[Precio por kg]]-Tabla2[[#This Row],[Costos (En RD$/Tarea)]])</f>
        <v>-3368.27530338512</v>
      </c>
      <c r="O419" s="6">
        <f>IF(Tabla2[[#This Row],[Costos (En RD$/Tarea)]]=0,0,Tabla2[[#This Row],[Beneficio Neto  (En RD$/Tarea)]]/Tabla2[[#This Row],[Costos (En RD$/Tarea)]])</f>
        <v>-0.93060161001506303</v>
      </c>
      <c r="P419" s="4">
        <f>Tabla2[[#This Row],[Rentabilidad (%)]]/12</f>
        <v>-7.7550134167921919E-2</v>
      </c>
    </row>
    <row r="420" spans="1:16" x14ac:dyDescent="0.35">
      <c r="A420" s="1">
        <v>37561</v>
      </c>
      <c r="B420" t="s">
        <v>30</v>
      </c>
      <c r="C420" s="2">
        <v>255089</v>
      </c>
      <c r="D420" s="2" t="s">
        <v>31</v>
      </c>
      <c r="E420" s="2">
        <f>IF(Tabla2[[#This Row],[Frecuencia]]="Annual", Tabla2[[#This Row],[Cosecha/Tarea]]/12,Tabla2[[#This Row],[Cosecha/Tarea]])</f>
        <v>21257.416666666668</v>
      </c>
      <c r="F420" s="2">
        <v>1889129</v>
      </c>
      <c r="G420" t="s">
        <v>32</v>
      </c>
      <c r="H420">
        <f>F420/Tabla2[[#This Row],[Cosecha Mensual]]</f>
        <v>88.869171152029281</v>
      </c>
      <c r="I420">
        <f>H420*_xlfn.XLOOKUP(Tabla2[[#This Row],[Unidad de producción]],Tabla3[Medida],Tabla3[Equivalencia en Kg],"ELVIS",0)</f>
        <v>2418.130147046717</v>
      </c>
      <c r="J420">
        <v>24.908000000000001</v>
      </c>
      <c r="K420" t="s">
        <v>32</v>
      </c>
      <c r="L420">
        <f>J420/_xlfn.XLOOKUP(Tabla2[[#This Row],[Unidad de precio]],Tabla3[Medida],Tabla3[Equivalencia en Kg],"ELVIS",0)</f>
        <v>0.9153987504593899</v>
      </c>
      <c r="M420" s="2">
        <v>3727.21</v>
      </c>
      <c r="N420" s="2">
        <f>(Tabla2[[#This Row],[Productividad (kg/TAS)]]*Tabla2[[#This Row],[Precio por kg]]-Tabla2[[#This Row],[Costos (En RD$/Tarea)]])</f>
        <v>-1513.6566849452547</v>
      </c>
      <c r="O420" s="6">
        <f>IF(Tabla2[[#This Row],[Costos (En RD$/Tarea)]]=0,0,Tabla2[[#This Row],[Beneficio Neto  (En RD$/Tarea)]]/Tabla2[[#This Row],[Costos (En RD$/Tarea)]])</f>
        <v>-0.4061098475656737</v>
      </c>
      <c r="P420" s="4">
        <f>Tabla2[[#This Row],[Rentabilidad (%)]]/12</f>
        <v>-3.3842487297139477E-2</v>
      </c>
    </row>
    <row r="421" spans="1:16" x14ac:dyDescent="0.35">
      <c r="A421" s="1">
        <v>37561</v>
      </c>
      <c r="B421" t="s">
        <v>33</v>
      </c>
      <c r="C421" s="2">
        <v>684563</v>
      </c>
      <c r="D421" s="2" t="s">
        <v>31</v>
      </c>
      <c r="E421" s="2">
        <f>IF(Tabla2[[#This Row],[Frecuencia]]="Annual", Tabla2[[#This Row],[Cosecha/Tarea]]/12,Tabla2[[#This Row],[Cosecha/Tarea]])</f>
        <v>57046.916666666664</v>
      </c>
      <c r="F421" s="2">
        <v>98507</v>
      </c>
      <c r="G421" t="s">
        <v>34</v>
      </c>
      <c r="H421">
        <f>F421/Tabla2[[#This Row],[Cosecha Mensual]]</f>
        <v>1.7267716776980351</v>
      </c>
      <c r="I421">
        <f>H421*_xlfn.XLOOKUP(Tabla2[[#This Row],[Unidad de producción]],Tabla3[Medida],Tabla3[Equivalencia en Kg],"ELVIS",0)</f>
        <v>704.78186025245293</v>
      </c>
      <c r="J421">
        <v>1168.3675000000001</v>
      </c>
      <c r="K421" t="s">
        <v>34</v>
      </c>
      <c r="L421">
        <f>J421/_xlfn.XLOOKUP(Tabla2[[#This Row],[Unidad de precio]],Tabla3[Medida],Tabla3[Equivalencia en Kg],"ELVIS",0)</f>
        <v>2.8625934092858021</v>
      </c>
      <c r="M421" s="2">
        <v>3949.84</v>
      </c>
      <c r="N421" s="2">
        <f>(Tabla2[[#This Row],[Productividad (kg/TAS)]]*Tabla2[[#This Row],[Precio por kg]]-Tabla2[[#This Row],[Costos (En RD$/Tarea)]])</f>
        <v>-1932.3360918571411</v>
      </c>
      <c r="O421" s="6">
        <f>IF(Tabla2[[#This Row],[Costos (En RD$/Tarea)]]=0,0,Tabla2[[#This Row],[Beneficio Neto  (En RD$/Tarea)]]/Tabla2[[#This Row],[Costos (En RD$/Tarea)]])</f>
        <v>-0.48921882705556202</v>
      </c>
      <c r="P421" s="4">
        <f>Tabla2[[#This Row],[Rentabilidad (%)]]/12</f>
        <v>-4.0768235587963504E-2</v>
      </c>
    </row>
    <row r="422" spans="1:16" x14ac:dyDescent="0.35">
      <c r="A422" s="1">
        <v>37591</v>
      </c>
      <c r="B422" t="s">
        <v>16</v>
      </c>
      <c r="C422" s="2">
        <v>142926</v>
      </c>
      <c r="D422" s="5" t="s">
        <v>17</v>
      </c>
      <c r="E422" s="2">
        <f>IF(Tabla2[[#This Row],[Frecuencia]]="Annual", Tabla2[[#This Row],[Cosecha/Tarea]]/12,Tabla2[[#This Row],[Cosecha/Tarea]])</f>
        <v>142926</v>
      </c>
      <c r="F422" s="2">
        <v>518668</v>
      </c>
      <c r="G422" t="s">
        <v>18</v>
      </c>
      <c r="H422">
        <f>F422/Tabla2[[#This Row],[Cosecha Mensual]]</f>
        <v>3.628926857254803</v>
      </c>
      <c r="I422">
        <f>H422*_xlfn.XLOOKUP(Tabla2[[#This Row],[Unidad de producción]],Tabla3[Medida],Tabla3[Equivalencia en Kg],"ELVIS",0)</f>
        <v>164.60812224507785</v>
      </c>
      <c r="J422">
        <v>866.88228822882297</v>
      </c>
      <c r="K422" t="s">
        <v>19</v>
      </c>
      <c r="L422">
        <f>J422/_xlfn.XLOOKUP(Tabla2[[#This Row],[Unidad de precio]],Tabla3[Medida],Tabla3[Equivalencia en Kg],"ELVIS",0)</f>
        <v>7.8807480748074816</v>
      </c>
      <c r="M422">
        <v>1921.06</v>
      </c>
      <c r="N422" s="2">
        <f>(Tabla2[[#This Row],[Productividad (kg/TAS)]]*Tabla2[[#This Row],[Precio por kg]]-Tabla2[[#This Row],[Costos (En RD$/Tarea)]])</f>
        <v>-623.82485751942818</v>
      </c>
      <c r="O422" s="6">
        <f>IF(Tabla2[[#This Row],[Costos (En RD$/Tarea)]]=0,0,Tabla2[[#This Row],[Beneficio Neto  (En RD$/Tarea)]]/Tabla2[[#This Row],[Costos (En RD$/Tarea)]])</f>
        <v>-0.32472950221202262</v>
      </c>
      <c r="P422" s="4">
        <f>Tabla2[[#This Row],[Rentabilidad (%)]]/12</f>
        <v>-2.7060791851001884E-2</v>
      </c>
    </row>
    <row r="423" spans="1:16" x14ac:dyDescent="0.35">
      <c r="A423" s="1">
        <v>37591</v>
      </c>
      <c r="B423" t="s">
        <v>20</v>
      </c>
      <c r="C423" s="2">
        <v>30392</v>
      </c>
      <c r="D423" s="5" t="s">
        <v>17</v>
      </c>
      <c r="E423" s="2">
        <f>IF(Tabla2[[#This Row],[Frecuencia]]="Annual", Tabla2[[#This Row],[Cosecha/Tarea]]/12,Tabla2[[#This Row],[Cosecha/Tarea]])</f>
        <v>30392</v>
      </c>
      <c r="F423" s="2">
        <v>49139</v>
      </c>
      <c r="G423" t="s">
        <v>18</v>
      </c>
      <c r="H423">
        <f>F423/Tabla2[[#This Row],[Cosecha Mensual]]</f>
        <v>1.6168399578836536</v>
      </c>
      <c r="I423">
        <f>H423*_xlfn.XLOOKUP(Tabla2[[#This Row],[Unidad de producción]],Tabla3[Medida],Tabla3[Equivalencia en Kg],"ELVIS",0)</f>
        <v>73.339860489602529</v>
      </c>
      <c r="J423">
        <v>140.07228749999999</v>
      </c>
      <c r="K423" t="s">
        <v>18</v>
      </c>
      <c r="L423">
        <f>J423/_xlfn.XLOOKUP(Tabla2[[#This Row],[Unidad de precio]],Tabla3[Medida],Tabla3[Equivalencia en Kg],"ELVIS",0)</f>
        <v>3.0880133928571425</v>
      </c>
      <c r="M423">
        <v>531.93499999999995</v>
      </c>
      <c r="N423" s="2">
        <f>(Tabla2[[#This Row],[Productividad (kg/TAS)]]*Tabla2[[#This Row],[Precio por kg]]-Tabla2[[#This Row],[Costos (En RD$/Tarea)]])</f>
        <v>-305.46052857783297</v>
      </c>
      <c r="O423" s="6">
        <f>IF(Tabla2[[#This Row],[Costos (En RD$/Tarea)]]=0,0,Tabla2[[#This Row],[Beneficio Neto  (En RD$/Tarea)]]/Tabla2[[#This Row],[Costos (En RD$/Tarea)]])</f>
        <v>-0.57424408729982612</v>
      </c>
      <c r="P423" s="4">
        <f>Tabla2[[#This Row],[Rentabilidad (%)]]/12</f>
        <v>-4.7853673941652179E-2</v>
      </c>
    </row>
    <row r="424" spans="1:16" x14ac:dyDescent="0.35">
      <c r="A424" s="1">
        <v>37591</v>
      </c>
      <c r="B424" t="s">
        <v>21</v>
      </c>
      <c r="C424" s="2">
        <v>4697</v>
      </c>
      <c r="D424" s="5" t="s">
        <v>17</v>
      </c>
      <c r="E424" s="2">
        <f>IF(Tabla2[[#This Row],[Frecuencia]]="Annual", Tabla2[[#This Row],[Cosecha/Tarea]]/12,Tabla2[[#This Row],[Cosecha/Tarea]])</f>
        <v>4697</v>
      </c>
      <c r="F424" s="2">
        <v>36064</v>
      </c>
      <c r="G424" t="s">
        <v>18</v>
      </c>
      <c r="H424">
        <f>F424/Tabla2[[#This Row],[Cosecha Mensual]]</f>
        <v>7.6780923994038748</v>
      </c>
      <c r="I424">
        <f>H424*_xlfn.XLOOKUP(Tabla2[[#This Row],[Unidad de producción]],Tabla3[Medida],Tabla3[Equivalencia en Kg],"ELVIS",0)</f>
        <v>348.27827123695977</v>
      </c>
      <c r="J424">
        <v>96.272000000000006</v>
      </c>
      <c r="K424" t="s">
        <v>18</v>
      </c>
      <c r="L424">
        <f>J424/_xlfn.XLOOKUP(Tabla2[[#This Row],[Unidad de precio]],Tabla3[Medida],Tabla3[Equivalencia en Kg],"ELVIS",0)</f>
        <v>2.1223985890652557</v>
      </c>
      <c r="M424">
        <v>945.93</v>
      </c>
      <c r="N424" s="2">
        <f>(Tabla2[[#This Row],[Productividad (kg/TAS)]]*Tabla2[[#This Row],[Precio por kg]]-Tabla2[[#This Row],[Costos (En RD$/Tarea)]])</f>
        <v>-206.74468852459006</v>
      </c>
      <c r="O424" s="6">
        <f>IF(Tabla2[[#This Row],[Costos (En RD$/Tarea)]]=0,0,Tabla2[[#This Row],[Beneficio Neto  (En RD$/Tarea)]]/Tabla2[[#This Row],[Costos (En RD$/Tarea)]])</f>
        <v>-0.21856235506283769</v>
      </c>
      <c r="P424" s="4">
        <f>Tabla2[[#This Row],[Rentabilidad (%)]]/12</f>
        <v>-1.8213529588569807E-2</v>
      </c>
    </row>
    <row r="425" spans="1:16" x14ac:dyDescent="0.35">
      <c r="A425" s="1">
        <v>37591</v>
      </c>
      <c r="B425" t="s">
        <v>22</v>
      </c>
      <c r="C425" s="2">
        <v>3013</v>
      </c>
      <c r="D425" s="5" t="s">
        <v>17</v>
      </c>
      <c r="E425" s="2">
        <f>IF(Tabla2[[#This Row],[Frecuencia]]="Annual", Tabla2[[#This Row],[Cosecha/Tarea]]/12,Tabla2[[#This Row],[Cosecha/Tarea]])</f>
        <v>3013</v>
      </c>
      <c r="F425" s="2">
        <v>25923</v>
      </c>
      <c r="G425" t="s">
        <v>18</v>
      </c>
      <c r="H425">
        <f>F425/Tabla2[[#This Row],[Cosecha Mensual]]</f>
        <v>8.6037172253567871</v>
      </c>
      <c r="I425">
        <f>H425*_xlfn.XLOOKUP(Tabla2[[#This Row],[Unidad de producción]],Tabla3[Medida],Tabla3[Equivalencia en Kg],"ELVIS",0)</f>
        <v>390.26461334218385</v>
      </c>
      <c r="J425">
        <v>358.6</v>
      </c>
      <c r="K425" t="s">
        <v>18</v>
      </c>
      <c r="L425">
        <f>J425/_xlfn.XLOOKUP(Tabla2[[#This Row],[Unidad de precio]],Tabla3[Medida],Tabla3[Equivalencia en Kg],"ELVIS",0)</f>
        <v>7.9056437389770728</v>
      </c>
      <c r="M425">
        <v>2751.22</v>
      </c>
      <c r="N425" s="2">
        <f>(Tabla2[[#This Row],[Productividad (kg/TAS)]]*Tabla2[[#This Row],[Precio por kg]]-Tabla2[[#This Row],[Costos (En RD$/Tarea)]])</f>
        <v>334.07299701294414</v>
      </c>
      <c r="O425" s="6">
        <f>IF(Tabla2[[#This Row],[Costos (En RD$/Tarea)]]=0,0,Tabla2[[#This Row],[Beneficio Neto  (En RD$/Tarea)]]/Tabla2[[#This Row],[Costos (En RD$/Tarea)]])</f>
        <v>0.12142722029243178</v>
      </c>
      <c r="P425" s="4">
        <f>Tabla2[[#This Row],[Rentabilidad (%)]]/12</f>
        <v>1.0118935024369315E-2</v>
      </c>
    </row>
    <row r="426" spans="1:16" x14ac:dyDescent="0.35">
      <c r="A426" s="1">
        <v>37591</v>
      </c>
      <c r="B426" t="s">
        <v>23</v>
      </c>
      <c r="C426" s="2">
        <v>4852</v>
      </c>
      <c r="D426" s="5" t="s">
        <v>17</v>
      </c>
      <c r="E426" s="2">
        <f>IF(Tabla2[[#This Row],[Frecuencia]]="Annual", Tabla2[[#This Row],[Cosecha/Tarea]]/12,Tabla2[[#This Row],[Cosecha/Tarea]])</f>
        <v>4852</v>
      </c>
      <c r="F426" s="2">
        <v>92036</v>
      </c>
      <c r="G426" t="s">
        <v>18</v>
      </c>
      <c r="H426">
        <f>F426/Tabla2[[#This Row],[Cosecha Mensual]]</f>
        <v>18.968672712283595</v>
      </c>
      <c r="I426">
        <f>H426*_xlfn.XLOOKUP(Tabla2[[#This Row],[Unidad de producción]],Tabla3[Medida],Tabla3[Equivalencia en Kg],"ELVIS",0)</f>
        <v>860.41899422918391</v>
      </c>
      <c r="J426">
        <v>320.33333333333297</v>
      </c>
      <c r="K426" t="s">
        <v>18</v>
      </c>
      <c r="L426">
        <f>J426/_xlfn.XLOOKUP(Tabla2[[#This Row],[Unidad de precio]],Tabla3[Medida],Tabla3[Equivalencia en Kg],"ELVIS",0)</f>
        <v>7.0620223398001096</v>
      </c>
      <c r="M426">
        <v>5786.34</v>
      </c>
      <c r="N426" s="2">
        <f>(Tabla2[[#This Row],[Productividad (kg/TAS)]]*Tabla2[[#This Row],[Precio por kg]]-Tabla2[[#This Row],[Costos (En RD$/Tarea)]])</f>
        <v>289.95815883483829</v>
      </c>
      <c r="O426" s="6">
        <f>IF(Tabla2[[#This Row],[Costos (En RD$/Tarea)]]=0,0,Tabla2[[#This Row],[Beneficio Neto  (En RD$/Tarea)]]/Tabla2[[#This Row],[Costos (En RD$/Tarea)]])</f>
        <v>5.0110805592972117E-2</v>
      </c>
      <c r="P426" s="4">
        <f>Tabla2[[#This Row],[Rentabilidad (%)]]/12</f>
        <v>4.1759004660810095E-3</v>
      </c>
    </row>
    <row r="427" spans="1:16" x14ac:dyDescent="0.35">
      <c r="A427" s="1">
        <v>37591</v>
      </c>
      <c r="B427" t="s">
        <v>24</v>
      </c>
      <c r="C427" s="2">
        <v>10056</v>
      </c>
      <c r="D427" s="5" t="s">
        <v>17</v>
      </c>
      <c r="E427" s="2">
        <f>IF(Tabla2[[#This Row],[Frecuencia]]="Annual", Tabla2[[#This Row],[Cosecha/Tarea]]/12,Tabla2[[#This Row],[Cosecha/Tarea]])</f>
        <v>10056</v>
      </c>
      <c r="F427" s="2">
        <v>200649</v>
      </c>
      <c r="G427" t="s">
        <v>18</v>
      </c>
      <c r="H427">
        <f>F427/Tabla2[[#This Row],[Cosecha Mensual]]</f>
        <v>19.953162291169452</v>
      </c>
      <c r="I427">
        <f>H427*_xlfn.XLOOKUP(Tabla2[[#This Row],[Unidad de producción]],Tabla3[Medida],Tabla3[Equivalencia en Kg],"ELVIS",0)</f>
        <v>905.07544152744629</v>
      </c>
      <c r="J427">
        <v>356.625</v>
      </c>
      <c r="K427" t="s">
        <v>18</v>
      </c>
      <c r="L427">
        <f>J427/_xlfn.XLOOKUP(Tabla2[[#This Row],[Unidad de precio]],Tabla3[Medida],Tabla3[Equivalencia en Kg],"ELVIS",0)</f>
        <v>7.8621031746031749</v>
      </c>
      <c r="M427">
        <v>1994.96</v>
      </c>
      <c r="N427" s="2">
        <f>(Tabla2[[#This Row],[Productividad (kg/TAS)]]*Tabla2[[#This Row],[Precio por kg]]-Tabla2[[#This Row],[Costos (En RD$/Tarea)]])</f>
        <v>5120.8365020883057</v>
      </c>
      <c r="O427" s="6">
        <f>IF(Tabla2[[#This Row],[Costos (En RD$/Tarea)]]=0,0,Tabla2[[#This Row],[Beneficio Neto  (En RD$/Tarea)]]/Tabla2[[#This Row],[Costos (En RD$/Tarea)]])</f>
        <v>2.5668868057947556</v>
      </c>
      <c r="P427" s="4">
        <f>Tabla2[[#This Row],[Rentabilidad (%)]]/12</f>
        <v>0.21390723381622964</v>
      </c>
    </row>
    <row r="428" spans="1:16" x14ac:dyDescent="0.35">
      <c r="A428" s="1">
        <v>37591</v>
      </c>
      <c r="B428" t="s">
        <v>25</v>
      </c>
      <c r="C428" s="2">
        <v>19801</v>
      </c>
      <c r="D428" s="5" t="s">
        <v>17</v>
      </c>
      <c r="E428" s="2">
        <f>IF(Tabla2[[#This Row],[Frecuencia]]="Annual", Tabla2[[#This Row],[Cosecha/Tarea]]/12,Tabla2[[#This Row],[Cosecha/Tarea]])</f>
        <v>19801</v>
      </c>
      <c r="F428" s="2">
        <v>208498</v>
      </c>
      <c r="G428" t="s">
        <v>18</v>
      </c>
      <c r="H428">
        <f>F428/Tabla2[[#This Row],[Cosecha Mensual]]</f>
        <v>10.529670218675825</v>
      </c>
      <c r="I428">
        <f>H428*_xlfn.XLOOKUP(Tabla2[[#This Row],[Unidad de producción]],Tabla3[Medida],Tabla3[Equivalencia en Kg],"ELVIS",0)</f>
        <v>477.62584111913543</v>
      </c>
      <c r="J428">
        <v>90.424499999999995</v>
      </c>
      <c r="K428" t="s">
        <v>18</v>
      </c>
      <c r="L428">
        <f>J428/_xlfn.XLOOKUP(Tabla2[[#This Row],[Unidad de precio]],Tabla3[Medida],Tabla3[Equivalencia en Kg],"ELVIS",0)</f>
        <v>1.9934854497354497</v>
      </c>
      <c r="M428">
        <v>966.8</v>
      </c>
      <c r="N428" s="2">
        <f>(Tabla2[[#This Row],[Productividad (kg/TAS)]]*Tabla2[[#This Row],[Precio por kg]]-Tabla2[[#This Row],[Costos (En RD$/Tarea)]])</f>
        <v>-14.65983531134782</v>
      </c>
      <c r="O428" s="6">
        <f>IF(Tabla2[[#This Row],[Costos (En RD$/Tarea)]]=0,0,Tabla2[[#This Row],[Beneficio Neto  (En RD$/Tarea)]]/Tabla2[[#This Row],[Costos (En RD$/Tarea)]])</f>
        <v>-1.5163255390305979E-2</v>
      </c>
      <c r="P428" s="4">
        <f>Tabla2[[#This Row],[Rentabilidad (%)]]/12</f>
        <v>-1.2636046158588316E-3</v>
      </c>
    </row>
    <row r="429" spans="1:16" x14ac:dyDescent="0.35">
      <c r="A429" s="1">
        <v>37591</v>
      </c>
      <c r="B429" t="s">
        <v>26</v>
      </c>
      <c r="C429" s="2">
        <v>10291</v>
      </c>
      <c r="D429" s="5" t="s">
        <v>17</v>
      </c>
      <c r="E429" s="2">
        <f>IF(Tabla2[[#This Row],[Frecuencia]]="Annual", Tabla2[[#This Row],[Cosecha/Tarea]]/12,Tabla2[[#This Row],[Cosecha/Tarea]])</f>
        <v>10291</v>
      </c>
      <c r="F429" s="2">
        <v>48245</v>
      </c>
      <c r="G429" t="s">
        <v>18</v>
      </c>
      <c r="H429">
        <f>F429/Tabla2[[#This Row],[Cosecha Mensual]]</f>
        <v>4.6880769604508794</v>
      </c>
      <c r="I429">
        <f>H429*_xlfn.XLOOKUP(Tabla2[[#This Row],[Unidad de producción]],Tabla3[Medida],Tabla3[Equivalencia en Kg],"ELVIS",0)</f>
        <v>212.65117092605189</v>
      </c>
      <c r="J429">
        <v>216.416</v>
      </c>
      <c r="K429" t="s">
        <v>18</v>
      </c>
      <c r="L429">
        <f>J429/_xlfn.XLOOKUP(Tabla2[[#This Row],[Unidad de precio]],Tabla3[Medida],Tabla3[Equivalencia en Kg],"ELVIS",0)</f>
        <v>4.7710758377425044</v>
      </c>
      <c r="M429">
        <v>360.52</v>
      </c>
      <c r="N429" s="2">
        <f>(Tabla2[[#This Row],[Productividad (kg/TAS)]]*Tabla2[[#This Row],[Precio por kg]]-Tabla2[[#This Row],[Costos (En RD$/Tarea)]])</f>
        <v>654.05486347293754</v>
      </c>
      <c r="O429" s="6">
        <f>IF(Tabla2[[#This Row],[Costos (En RD$/Tarea)]]=0,0,Tabla2[[#This Row],[Beneficio Neto  (En RD$/Tarea)]]/Tabla2[[#This Row],[Costos (En RD$/Tarea)]])</f>
        <v>1.8141985561770153</v>
      </c>
      <c r="P429" s="4">
        <f>Tabla2[[#This Row],[Rentabilidad (%)]]/12</f>
        <v>0.15118321301475127</v>
      </c>
    </row>
    <row r="430" spans="1:16" x14ac:dyDescent="0.35">
      <c r="A430" s="1">
        <v>37591</v>
      </c>
      <c r="B430" t="s">
        <v>27</v>
      </c>
      <c r="C430" s="2">
        <v>2539</v>
      </c>
      <c r="D430" s="5" t="s">
        <v>17</v>
      </c>
      <c r="E430" s="2">
        <f>IF(Tabla2[[#This Row],[Frecuencia]]="Annual", Tabla2[[#This Row],[Cosecha/Tarea]]/12,Tabla2[[#This Row],[Cosecha/Tarea]])</f>
        <v>2539</v>
      </c>
      <c r="F430" s="2">
        <v>23946</v>
      </c>
      <c r="G430" t="s">
        <v>18</v>
      </c>
      <c r="H430">
        <f>F430/Tabla2[[#This Row],[Cosecha Mensual]]</f>
        <v>9.4312721543914932</v>
      </c>
      <c r="I430">
        <f>H430*_xlfn.XLOOKUP(Tabla2[[#This Row],[Unidad de producción]],Tabla3[Medida],Tabla3[Equivalencia en Kg],"ELVIS",0)</f>
        <v>427.80250492319811</v>
      </c>
      <c r="J430">
        <v>236.14</v>
      </c>
      <c r="K430" t="s">
        <v>18</v>
      </c>
      <c r="L430">
        <f>J430/_xlfn.XLOOKUP(Tabla2[[#This Row],[Unidad de precio]],Tabla3[Medida],Tabla3[Equivalencia en Kg],"ELVIS",0)</f>
        <v>5.2059082892416226</v>
      </c>
      <c r="M430">
        <v>2321.75</v>
      </c>
      <c r="N430" s="2">
        <f>(Tabla2[[#This Row],[Productividad (kg/TAS)]]*Tabla2[[#This Row],[Precio por kg]]-Tabla2[[#This Row],[Costos (En RD$/Tarea)]])</f>
        <v>-94.649393461992986</v>
      </c>
      <c r="O430" s="6">
        <f>IF(Tabla2[[#This Row],[Costos (En RD$/Tarea)]]=0,0,Tabla2[[#This Row],[Beneficio Neto  (En RD$/Tarea)]]/Tabla2[[#This Row],[Costos (En RD$/Tarea)]])</f>
        <v>-4.0766401835681268E-2</v>
      </c>
      <c r="P430" s="4">
        <f>Tabla2[[#This Row],[Rentabilidad (%)]]/12</f>
        <v>-3.397200152973439E-3</v>
      </c>
    </row>
    <row r="431" spans="1:16" x14ac:dyDescent="0.35">
      <c r="A431" s="1">
        <v>37591</v>
      </c>
      <c r="B431" t="s">
        <v>28</v>
      </c>
      <c r="C431" s="2">
        <v>14731</v>
      </c>
      <c r="D431" s="5" t="s">
        <v>17</v>
      </c>
      <c r="E431" s="2">
        <f>IF(Tabla2[[#This Row],[Frecuencia]]="Annual", Tabla2[[#This Row],[Cosecha/Tarea]]/12,Tabla2[[#This Row],[Cosecha/Tarea]])</f>
        <v>14731</v>
      </c>
      <c r="F431" s="2">
        <v>27780</v>
      </c>
      <c r="G431" t="s">
        <v>18</v>
      </c>
      <c r="H431">
        <f>F431/Tabla2[[#This Row],[Cosecha Mensual]]</f>
        <v>1.8858190211119408</v>
      </c>
      <c r="I431">
        <f>H431*_xlfn.XLOOKUP(Tabla2[[#This Row],[Unidad de producción]],Tabla3[Medida],Tabla3[Equivalencia en Kg],"ELVIS",0)</f>
        <v>85.540750797637628</v>
      </c>
      <c r="J431">
        <v>1590.8</v>
      </c>
      <c r="K431" t="s">
        <v>29</v>
      </c>
      <c r="L431">
        <f>J431/_xlfn.XLOOKUP(Tabla2[[#This Row],[Unidad de precio]],Tabla3[Medida],Tabla3[Equivalencia en Kg],"ELVIS",0)</f>
        <v>2.8288935519436635</v>
      </c>
      <c r="M431">
        <v>3619.46</v>
      </c>
      <c r="N431" s="2">
        <f>(Tabla2[[#This Row],[Productividad (kg/TAS)]]*Tabla2[[#This Row],[Precio por kg]]-Tabla2[[#This Row],[Costos (En RD$/Tarea)]])</f>
        <v>-3377.474321640143</v>
      </c>
      <c r="O431" s="6">
        <f>IF(Tabla2[[#This Row],[Costos (En RD$/Tarea)]]=0,0,Tabla2[[#This Row],[Beneficio Neto  (En RD$/Tarea)]]/Tabla2[[#This Row],[Costos (En RD$/Tarea)]])</f>
        <v>-0.93314315440428763</v>
      </c>
      <c r="P431" s="4">
        <f>Tabla2[[#This Row],[Rentabilidad (%)]]/12</f>
        <v>-7.7761929533690641E-2</v>
      </c>
    </row>
    <row r="432" spans="1:16" x14ac:dyDescent="0.35">
      <c r="A432" s="1">
        <v>37591</v>
      </c>
      <c r="B432" t="s">
        <v>30</v>
      </c>
      <c r="C432" s="2">
        <v>247067</v>
      </c>
      <c r="D432" s="2" t="s">
        <v>31</v>
      </c>
      <c r="E432" s="2">
        <f>IF(Tabla2[[#This Row],[Frecuencia]]="Annual", Tabla2[[#This Row],[Cosecha/Tarea]]/12,Tabla2[[#This Row],[Cosecha/Tarea]])</f>
        <v>20588.916666666668</v>
      </c>
      <c r="F432" s="2">
        <v>1662405</v>
      </c>
      <c r="G432" t="s">
        <v>32</v>
      </c>
      <c r="H432">
        <f>F432/Tabla2[[#This Row],[Cosecha Mensual]]</f>
        <v>80.742713514957472</v>
      </c>
      <c r="I432">
        <f>H432*_xlfn.XLOOKUP(Tabla2[[#This Row],[Unidad de producción]],Tabla3[Medida],Tabla3[Equivalencia en Kg],"ELVIS",0)</f>
        <v>2197.0092347419927</v>
      </c>
      <c r="J432">
        <v>26.457999999999998</v>
      </c>
      <c r="K432" t="s">
        <v>32</v>
      </c>
      <c r="L432">
        <f>J432/_xlfn.XLOOKUP(Tabla2[[#This Row],[Unidad de precio]],Tabla3[Medida],Tabla3[Equivalencia en Kg],"ELVIS",0)</f>
        <v>0.97236310180080843</v>
      </c>
      <c r="M432" s="2">
        <v>3727.21</v>
      </c>
      <c r="N432" s="2">
        <f>(Tabla2[[#This Row],[Productividad (kg/TAS)]]*Tabla2[[#This Row],[Precio por kg]]-Tabla2[[#This Row],[Costos (En RD$/Tarea)]])</f>
        <v>-1590.9192858212555</v>
      </c>
      <c r="O432" s="6">
        <f>IF(Tabla2[[#This Row],[Costos (En RD$/Tarea)]]=0,0,Tabla2[[#This Row],[Beneficio Neto  (En RD$/Tarea)]]/Tabla2[[#This Row],[Costos (En RD$/Tarea)]])</f>
        <v>-0.42683918690421402</v>
      </c>
      <c r="P432" s="4">
        <f>Tabla2[[#This Row],[Rentabilidad (%)]]/12</f>
        <v>-3.5569932242017835E-2</v>
      </c>
    </row>
    <row r="433" spans="1:16" x14ac:dyDescent="0.35">
      <c r="A433" s="1">
        <v>37591</v>
      </c>
      <c r="B433" t="s">
        <v>33</v>
      </c>
      <c r="C433" s="2">
        <v>670905</v>
      </c>
      <c r="D433" s="2" t="s">
        <v>31</v>
      </c>
      <c r="E433" s="2">
        <f>IF(Tabla2[[#This Row],[Frecuencia]]="Annual", Tabla2[[#This Row],[Cosecha/Tarea]]/12,Tabla2[[#This Row],[Cosecha/Tarea]])</f>
        <v>55908.75</v>
      </c>
      <c r="F433" s="2">
        <v>85177</v>
      </c>
      <c r="G433" t="s">
        <v>34</v>
      </c>
      <c r="H433">
        <f>F433/Tabla2[[#This Row],[Cosecha Mensual]]</f>
        <v>1.5235003465468286</v>
      </c>
      <c r="I433">
        <f>H433*_xlfn.XLOOKUP(Tabla2[[#This Row],[Unidad de producción]],Tabla3[Medida],Tabla3[Equivalencia en Kg],"ELVIS",0)</f>
        <v>621.81666644308802</v>
      </c>
      <c r="J433">
        <v>1199.70875</v>
      </c>
      <c r="K433" t="s">
        <v>34</v>
      </c>
      <c r="L433">
        <f>J433/_xlfn.XLOOKUP(Tabla2[[#This Row],[Unidad de precio]],Tabla3[Medida],Tabla3[Equivalencia en Kg],"ELVIS",0)</f>
        <v>2.939381967413941</v>
      </c>
      <c r="M433" s="2">
        <v>3949.84</v>
      </c>
      <c r="N433" s="2">
        <f>(Tabla2[[#This Row],[Productividad (kg/TAS)]]*Tabla2[[#This Row],[Precio por kg]]-Tabla2[[#This Row],[Costos (En RD$/Tarea)]])</f>
        <v>-2122.0833036197378</v>
      </c>
      <c r="O433" s="6">
        <f>IF(Tabla2[[#This Row],[Costos (En RD$/Tarea)]]=0,0,Tabla2[[#This Row],[Beneficio Neto  (En RD$/Tarea)]]/Tabla2[[#This Row],[Costos (En RD$/Tarea)]])</f>
        <v>-0.53725804174846015</v>
      </c>
      <c r="P433" s="4">
        <f>Tabla2[[#This Row],[Rentabilidad (%)]]/12</f>
        <v>-4.4771503479038348E-2</v>
      </c>
    </row>
    <row r="434" spans="1:16" x14ac:dyDescent="0.35">
      <c r="A434" s="1">
        <v>37622</v>
      </c>
      <c r="B434" t="s">
        <v>16</v>
      </c>
      <c r="C434" s="2">
        <v>92808</v>
      </c>
      <c r="D434" s="5" t="s">
        <v>17</v>
      </c>
      <c r="E434" s="2">
        <f>IF(Tabla2[[#This Row],[Frecuencia]]="Annual", Tabla2[[#This Row],[Cosecha/Tarea]]/12,Tabla2[[#This Row],[Cosecha/Tarea]])</f>
        <v>92808</v>
      </c>
      <c r="F434" s="2">
        <v>263203</v>
      </c>
      <c r="G434" t="s">
        <v>18</v>
      </c>
      <c r="H434">
        <f>F434/Tabla2[[#This Row],[Cosecha Mensual]]</f>
        <v>2.8359947418326006</v>
      </c>
      <c r="I434">
        <f>H434*_xlfn.XLOOKUP(Tabla2[[#This Row],[Unidad de producción]],Tabla3[Medida],Tabla3[Equivalencia en Kg],"ELVIS",0)</f>
        <v>128.64072148952675</v>
      </c>
      <c r="J434">
        <v>739.52915291529098</v>
      </c>
      <c r="K434" t="s">
        <v>19</v>
      </c>
      <c r="L434">
        <f>J434/_xlfn.XLOOKUP(Tabla2[[#This Row],[Unidad de precio]],Tabla3[Medida],Tabla3[Equivalencia en Kg],"ELVIS",0)</f>
        <v>6.7229922992299178</v>
      </c>
      <c r="M434">
        <v>4275.41</v>
      </c>
      <c r="N434" s="2">
        <f>(Tabla2[[#This Row],[Productividad (kg/TAS)]]*Tabla2[[#This Row],[Precio por kg]]-Tabla2[[#This Row],[Costos (En RD$/Tarea)]])</f>
        <v>-3410.559420058531</v>
      </c>
      <c r="O434" s="6">
        <f>IF(Tabla2[[#This Row],[Costos (En RD$/Tarea)]]=0,0,Tabla2[[#This Row],[Beneficio Neto  (En RD$/Tarea)]]/Tabla2[[#This Row],[Costos (En RD$/Tarea)]])</f>
        <v>-0.7977151711902557</v>
      </c>
      <c r="P434" s="4">
        <f>Tabla2[[#This Row],[Rentabilidad (%)]]/12</f>
        <v>-6.6476264265854637E-2</v>
      </c>
    </row>
    <row r="435" spans="1:16" x14ac:dyDescent="0.35">
      <c r="A435" s="1">
        <v>37622</v>
      </c>
      <c r="B435" t="s">
        <v>20</v>
      </c>
      <c r="C435" s="2">
        <v>26798</v>
      </c>
      <c r="D435" s="5" t="s">
        <v>17</v>
      </c>
      <c r="E435" s="2">
        <f>IF(Tabla2[[#This Row],[Frecuencia]]="Annual", Tabla2[[#This Row],[Cosecha/Tarea]]/12,Tabla2[[#This Row],[Cosecha/Tarea]])</f>
        <v>26798</v>
      </c>
      <c r="F435" s="2">
        <v>39943</v>
      </c>
      <c r="G435" t="s">
        <v>18</v>
      </c>
      <c r="H435">
        <f>F435/Tabla2[[#This Row],[Cosecha Mensual]]</f>
        <v>1.490521680722442</v>
      </c>
      <c r="I435">
        <f>H435*_xlfn.XLOOKUP(Tabla2[[#This Row],[Unidad de producción]],Tabla3[Medida],Tabla3[Equivalencia en Kg],"ELVIS",0)</f>
        <v>67.610063437569963</v>
      </c>
      <c r="J435">
        <v>175.870125</v>
      </c>
      <c r="K435" t="s">
        <v>18</v>
      </c>
      <c r="L435">
        <f>J435/_xlfn.XLOOKUP(Tabla2[[#This Row],[Unidad de precio]],Tabla3[Medida],Tabla3[Equivalencia en Kg],"ELVIS",0)</f>
        <v>3.8772073412698416</v>
      </c>
      <c r="M435">
        <v>938.62</v>
      </c>
      <c r="N435" s="2">
        <f>(Tabla2[[#This Row],[Productividad (kg/TAS)]]*Tabla2[[#This Row],[Precio por kg]]-Tabla2[[#This Row],[Costos (En RD$/Tarea)]])</f>
        <v>-676.48176569613406</v>
      </c>
      <c r="O435" s="6">
        <f>IF(Tabla2[[#This Row],[Costos (En RD$/Tarea)]]=0,0,Tabla2[[#This Row],[Beneficio Neto  (En RD$/Tarea)]]/Tabla2[[#This Row],[Costos (En RD$/Tarea)]])</f>
        <v>-0.72071953047680004</v>
      </c>
      <c r="P435" s="4">
        <f>Tabla2[[#This Row],[Rentabilidad (%)]]/12</f>
        <v>-6.005996087306667E-2</v>
      </c>
    </row>
    <row r="436" spans="1:16" x14ac:dyDescent="0.35">
      <c r="A436" s="1">
        <v>37622</v>
      </c>
      <c r="B436" t="s">
        <v>21</v>
      </c>
      <c r="C436" s="2">
        <v>7695</v>
      </c>
      <c r="D436" s="5" t="s">
        <v>17</v>
      </c>
      <c r="E436" s="2">
        <f>IF(Tabla2[[#This Row],[Frecuencia]]="Annual", Tabla2[[#This Row],[Cosecha/Tarea]]/12,Tabla2[[#This Row],[Cosecha/Tarea]])</f>
        <v>7695</v>
      </c>
      <c r="F436" s="2">
        <v>53865</v>
      </c>
      <c r="G436" t="s">
        <v>18</v>
      </c>
      <c r="H436">
        <f>F436/Tabla2[[#This Row],[Cosecha Mensual]]</f>
        <v>7</v>
      </c>
      <c r="I436">
        <f>H436*_xlfn.XLOOKUP(Tabla2[[#This Row],[Unidad de producción]],Tabla3[Medida],Tabla3[Equivalencia en Kg],"ELVIS",0)</f>
        <v>317.52</v>
      </c>
      <c r="J436">
        <v>97.5</v>
      </c>
      <c r="K436" t="s">
        <v>18</v>
      </c>
      <c r="L436">
        <f>J436/_xlfn.XLOOKUP(Tabla2[[#This Row],[Unidad de precio]],Tabla3[Medida],Tabla3[Equivalencia en Kg],"ELVIS",0)</f>
        <v>2.1494708994708995</v>
      </c>
      <c r="M436">
        <v>1545.78</v>
      </c>
      <c r="N436" s="2">
        <f>(Tabla2[[#This Row],[Productividad (kg/TAS)]]*Tabla2[[#This Row],[Precio por kg]]-Tabla2[[#This Row],[Costos (En RD$/Tarea)]])</f>
        <v>-863.28</v>
      </c>
      <c r="O436" s="6">
        <f>IF(Tabla2[[#This Row],[Costos (En RD$/Tarea)]]=0,0,Tabla2[[#This Row],[Beneficio Neto  (En RD$/Tarea)]]/Tabla2[[#This Row],[Costos (En RD$/Tarea)]])</f>
        <v>-0.55847533284167217</v>
      </c>
      <c r="P436" s="4">
        <f>Tabla2[[#This Row],[Rentabilidad (%)]]/12</f>
        <v>-4.6539611070139347E-2</v>
      </c>
    </row>
    <row r="437" spans="1:16" x14ac:dyDescent="0.35">
      <c r="A437" s="1">
        <v>37622</v>
      </c>
      <c r="B437" t="s">
        <v>22</v>
      </c>
      <c r="C437" s="2">
        <v>5876</v>
      </c>
      <c r="D437" s="5" t="s">
        <v>17</v>
      </c>
      <c r="E437" s="2">
        <f>IF(Tabla2[[#This Row],[Frecuencia]]="Annual", Tabla2[[#This Row],[Cosecha/Tarea]]/12,Tabla2[[#This Row],[Cosecha/Tarea]])</f>
        <v>5876</v>
      </c>
      <c r="F437" s="2">
        <v>58314</v>
      </c>
      <c r="G437" t="s">
        <v>18</v>
      </c>
      <c r="H437">
        <f>F437/Tabla2[[#This Row],[Cosecha Mensual]]</f>
        <v>9.9240980258679379</v>
      </c>
      <c r="I437">
        <f>H437*_xlfn.XLOOKUP(Tabla2[[#This Row],[Unidad de producción]],Tabla3[Medida],Tabla3[Equivalencia en Kg],"ELVIS",0)</f>
        <v>450.15708645336963</v>
      </c>
      <c r="J437">
        <v>201.72</v>
      </c>
      <c r="K437" t="s">
        <v>18</v>
      </c>
      <c r="L437">
        <f>J437/_xlfn.XLOOKUP(Tabla2[[#This Row],[Unidad de precio]],Tabla3[Medida],Tabla3[Equivalencia en Kg],"ELVIS",0)</f>
        <v>4.447089947089947</v>
      </c>
      <c r="M437">
        <v>3985.46</v>
      </c>
      <c r="N437" s="2">
        <f>(Tabla2[[#This Row],[Productividad (kg/TAS)]]*Tabla2[[#This Row],[Precio por kg]]-Tabla2[[#This Row],[Costos (En RD$/Tarea)]])</f>
        <v>-1983.5709462219197</v>
      </c>
      <c r="O437" s="6">
        <f>IF(Tabla2[[#This Row],[Costos (En RD$/Tarea)]]=0,0,Tabla2[[#This Row],[Beneficio Neto  (En RD$/Tarea)]]/Tabla2[[#This Row],[Costos (En RD$/Tarea)]])</f>
        <v>-0.49770188289982076</v>
      </c>
      <c r="P437" s="4">
        <f>Tabla2[[#This Row],[Rentabilidad (%)]]/12</f>
        <v>-4.1475156908318399E-2</v>
      </c>
    </row>
    <row r="438" spans="1:16" x14ac:dyDescent="0.35">
      <c r="A438" s="1">
        <v>37622</v>
      </c>
      <c r="B438" t="s">
        <v>23</v>
      </c>
      <c r="C438" s="2">
        <v>4724</v>
      </c>
      <c r="D438" s="5" t="s">
        <v>17</v>
      </c>
      <c r="E438" s="2">
        <f>IF(Tabla2[[#This Row],[Frecuencia]]="Annual", Tabla2[[#This Row],[Cosecha/Tarea]]/12,Tabla2[[#This Row],[Cosecha/Tarea]])</f>
        <v>4724</v>
      </c>
      <c r="F438" s="2">
        <v>101433</v>
      </c>
      <c r="G438" t="s">
        <v>18</v>
      </c>
      <c r="H438">
        <f>F438/Tabla2[[#This Row],[Cosecha Mensual]]</f>
        <v>21.471845893310753</v>
      </c>
      <c r="I438">
        <f>H438*_xlfn.XLOOKUP(Tabla2[[#This Row],[Unidad de producción]],Tabla3[Medida],Tabla3[Equivalencia en Kg],"ELVIS",0)</f>
        <v>973.96292972057574</v>
      </c>
      <c r="J438">
        <v>298.33333333333297</v>
      </c>
      <c r="K438" t="s">
        <v>18</v>
      </c>
      <c r="L438">
        <f>J438/_xlfn.XLOOKUP(Tabla2[[#This Row],[Unidad de precio]],Tabla3[Medida],Tabla3[Equivalencia en Kg],"ELVIS",0)</f>
        <v>6.5770135214579577</v>
      </c>
      <c r="M438">
        <v>9309.9599999999991</v>
      </c>
      <c r="N438" s="2">
        <f>(Tabla2[[#This Row],[Productividad (kg/TAS)]]*Tabla2[[#This Row],[Precio por kg]]-Tabla2[[#This Row],[Costos (En RD$/Tarea)]])</f>
        <v>-2904.1926418289659</v>
      </c>
      <c r="O438" s="6">
        <f>IF(Tabla2[[#This Row],[Costos (En RD$/Tarea)]]=0,0,Tabla2[[#This Row],[Beneficio Neto  (En RD$/Tarea)]]/Tabla2[[#This Row],[Costos (En RD$/Tarea)]])</f>
        <v>-0.31194469598461927</v>
      </c>
      <c r="P438" s="4">
        <f>Tabla2[[#This Row],[Rentabilidad (%)]]/12</f>
        <v>-2.5995391332051605E-2</v>
      </c>
    </row>
    <row r="439" spans="1:16" x14ac:dyDescent="0.35">
      <c r="A439" s="1">
        <v>37622</v>
      </c>
      <c r="B439" t="s">
        <v>24</v>
      </c>
      <c r="C439" s="2">
        <v>8615</v>
      </c>
      <c r="D439" s="5" t="s">
        <v>17</v>
      </c>
      <c r="E439" s="2">
        <f>IF(Tabla2[[#This Row],[Frecuencia]]="Annual", Tabla2[[#This Row],[Cosecha/Tarea]]/12,Tabla2[[#This Row],[Cosecha/Tarea]])</f>
        <v>8615</v>
      </c>
      <c r="F439" s="2">
        <v>99719</v>
      </c>
      <c r="G439" t="s">
        <v>18</v>
      </c>
      <c r="H439">
        <f>F439/Tabla2[[#This Row],[Cosecha Mensual]]</f>
        <v>11.575043528728962</v>
      </c>
      <c r="I439">
        <f>H439*_xlfn.XLOOKUP(Tabla2[[#This Row],[Unidad de producción]],Tabla3[Medida],Tabla3[Equivalencia en Kg],"ELVIS",0)</f>
        <v>525.04397446314567</v>
      </c>
      <c r="J439">
        <v>371.5</v>
      </c>
      <c r="K439" t="s">
        <v>18</v>
      </c>
      <c r="L439">
        <f>J439/_xlfn.XLOOKUP(Tabla2[[#This Row],[Unidad de precio]],Tabla3[Medida],Tabla3[Equivalencia en Kg],"ELVIS",0)</f>
        <v>8.1900352733686059</v>
      </c>
      <c r="M439">
        <v>3188.34</v>
      </c>
      <c r="N439" s="2">
        <f>(Tabla2[[#This Row],[Productividad (kg/TAS)]]*Tabla2[[#This Row],[Precio por kg]]-Tabla2[[#This Row],[Costos (En RD$/Tarea)]])</f>
        <v>1111.7886709228087</v>
      </c>
      <c r="O439" s="6">
        <f>IF(Tabla2[[#This Row],[Costos (En RD$/Tarea)]]=0,0,Tabla2[[#This Row],[Beneficio Neto  (En RD$/Tarea)]]/Tabla2[[#This Row],[Costos (En RD$/Tarea)]])</f>
        <v>0.34870455187426957</v>
      </c>
      <c r="P439" s="4">
        <f>Tabla2[[#This Row],[Rentabilidad (%)]]/12</f>
        <v>2.9058712656189131E-2</v>
      </c>
    </row>
    <row r="440" spans="1:16" x14ac:dyDescent="0.35">
      <c r="A440" s="1">
        <v>37622</v>
      </c>
      <c r="B440" t="s">
        <v>25</v>
      </c>
      <c r="C440" s="2">
        <v>26276</v>
      </c>
      <c r="D440" s="5" t="s">
        <v>17</v>
      </c>
      <c r="E440" s="2">
        <f>IF(Tabla2[[#This Row],[Frecuencia]]="Annual", Tabla2[[#This Row],[Cosecha/Tarea]]/12,Tabla2[[#This Row],[Cosecha/Tarea]])</f>
        <v>26276</v>
      </c>
      <c r="F440" s="2">
        <v>268546</v>
      </c>
      <c r="G440" t="s">
        <v>18</v>
      </c>
      <c r="H440">
        <f>F440/Tabla2[[#This Row],[Cosecha Mensual]]</f>
        <v>10.220200943827066</v>
      </c>
      <c r="I440">
        <f>H440*_xlfn.XLOOKUP(Tabla2[[#This Row],[Unidad de producción]],Tabla3[Medida],Tabla3[Equivalencia en Kg],"ELVIS",0)</f>
        <v>463.5883148119957</v>
      </c>
      <c r="J440">
        <v>91.244249999999994</v>
      </c>
      <c r="K440" t="s">
        <v>18</v>
      </c>
      <c r="L440">
        <f>J440/_xlfn.XLOOKUP(Tabla2[[#This Row],[Unidad de precio]],Tabla3[Medida],Tabla3[Equivalencia en Kg],"ELVIS",0)</f>
        <v>2.0115575396825394</v>
      </c>
      <c r="M440">
        <v>1396.74</v>
      </c>
      <c r="N440" s="2">
        <f>(Tabla2[[#This Row],[Productividad (kg/TAS)]]*Tabla2[[#This Row],[Precio por kg]]-Tabla2[[#This Row],[Costos (En RD$/Tarea)]])</f>
        <v>-464.20543003120747</v>
      </c>
      <c r="O440" s="6">
        <f>IF(Tabla2[[#This Row],[Costos (En RD$/Tarea)]]=0,0,Tabla2[[#This Row],[Beneficio Neto  (En RD$/Tarea)]]/Tabla2[[#This Row],[Costos (En RD$/Tarea)]])</f>
        <v>-0.33234920603061952</v>
      </c>
      <c r="P440" s="4">
        <f>Tabla2[[#This Row],[Rentabilidad (%)]]/12</f>
        <v>-2.7695767169218292E-2</v>
      </c>
    </row>
    <row r="441" spans="1:16" x14ac:dyDescent="0.35">
      <c r="A441" s="1">
        <v>37622</v>
      </c>
      <c r="B441" t="s">
        <v>26</v>
      </c>
      <c r="C441" s="2">
        <v>9767</v>
      </c>
      <c r="D441" s="5" t="s">
        <v>17</v>
      </c>
      <c r="E441" s="2">
        <f>IF(Tabla2[[#This Row],[Frecuencia]]="Annual", Tabla2[[#This Row],[Cosecha/Tarea]]/12,Tabla2[[#This Row],[Cosecha/Tarea]])</f>
        <v>9767</v>
      </c>
      <c r="F441" s="2">
        <v>62399</v>
      </c>
      <c r="G441" t="s">
        <v>18</v>
      </c>
      <c r="H441">
        <f>F441/Tabla2[[#This Row],[Cosecha Mensual]]</f>
        <v>6.3887580628647482</v>
      </c>
      <c r="I441">
        <f>H441*_xlfn.XLOOKUP(Tabla2[[#This Row],[Unidad de producción]],Tabla3[Medida],Tabla3[Equivalencia en Kg],"ELVIS",0)</f>
        <v>289.794065731545</v>
      </c>
      <c r="J441">
        <v>220.376</v>
      </c>
      <c r="K441" t="s">
        <v>18</v>
      </c>
      <c r="L441">
        <f>J441/_xlfn.XLOOKUP(Tabla2[[#This Row],[Unidad de precio]],Tabla3[Medida],Tabla3[Equivalencia en Kg],"ELVIS",0)</f>
        <v>4.8583774250440923</v>
      </c>
      <c r="M441">
        <v>1217.1099999999999</v>
      </c>
      <c r="N441" s="2">
        <f>(Tabla2[[#This Row],[Productividad (kg/TAS)]]*Tabla2[[#This Row],[Precio por kg]]-Tabla2[[#This Row],[Costos (En RD$/Tarea)]])</f>
        <v>190.81894686188207</v>
      </c>
      <c r="O441" s="6">
        <f>IF(Tabla2[[#This Row],[Costos (En RD$/Tarea)]]=0,0,Tabla2[[#This Row],[Beneficio Neto  (En RD$/Tarea)]]/Tabla2[[#This Row],[Costos (En RD$/Tarea)]])</f>
        <v>0.15678036238456844</v>
      </c>
      <c r="P441" s="4">
        <f>Tabla2[[#This Row],[Rentabilidad (%)]]/12</f>
        <v>1.3065030198714037E-2</v>
      </c>
    </row>
    <row r="442" spans="1:16" x14ac:dyDescent="0.35">
      <c r="A442" s="1">
        <v>37622</v>
      </c>
      <c r="B442" t="s">
        <v>27</v>
      </c>
      <c r="C442" s="2">
        <v>2582</v>
      </c>
      <c r="D442" s="5" t="s">
        <v>17</v>
      </c>
      <c r="E442" s="2">
        <f>IF(Tabla2[[#This Row],[Frecuencia]]="Annual", Tabla2[[#This Row],[Cosecha/Tarea]]/12,Tabla2[[#This Row],[Cosecha/Tarea]])</f>
        <v>2582</v>
      </c>
      <c r="F442" s="2">
        <v>24182</v>
      </c>
      <c r="G442" t="s">
        <v>18</v>
      </c>
      <c r="H442">
        <f>F442/Tabla2[[#This Row],[Cosecha Mensual]]</f>
        <v>9.3656080557707195</v>
      </c>
      <c r="I442">
        <f>H442*_xlfn.XLOOKUP(Tabla2[[#This Row],[Unidad de producción]],Tabla3[Medida],Tabla3[Equivalencia en Kg],"ELVIS",0)</f>
        <v>424.82398140975982</v>
      </c>
      <c r="J442">
        <v>256.39666666666699</v>
      </c>
      <c r="K442" t="s">
        <v>18</v>
      </c>
      <c r="L442">
        <f>J442/_xlfn.XLOOKUP(Tabla2[[#This Row],[Unidad de precio]],Tabla3[Medida],Tabla3[Equivalencia en Kg],"ELVIS",0)</f>
        <v>5.6524838330393958</v>
      </c>
      <c r="M442">
        <v>3938.29</v>
      </c>
      <c r="N442" s="2">
        <f>(Tabla2[[#This Row],[Productividad (kg/TAS)]]*Tabla2[[#This Row],[Precio por kg]]-Tabla2[[#This Row],[Costos (En RD$/Tarea)]])</f>
        <v>-1536.9793131939036</v>
      </c>
      <c r="O442" s="6">
        <f>IF(Tabla2[[#This Row],[Costos (En RD$/Tarea)]]=0,0,Tabla2[[#This Row],[Beneficio Neto  (En RD$/Tarea)]]/Tabla2[[#This Row],[Costos (En RD$/Tarea)]])</f>
        <v>-0.39026565163913873</v>
      </c>
      <c r="P442" s="4">
        <f>Tabla2[[#This Row],[Rentabilidad (%)]]/12</f>
        <v>-3.2522137636594894E-2</v>
      </c>
    </row>
    <row r="443" spans="1:16" x14ac:dyDescent="0.35">
      <c r="A443" s="1">
        <v>37622</v>
      </c>
      <c r="B443" t="s">
        <v>28</v>
      </c>
      <c r="C443" s="2">
        <v>20640</v>
      </c>
      <c r="D443" s="5" t="s">
        <v>17</v>
      </c>
      <c r="E443" s="2">
        <f>IF(Tabla2[[#This Row],[Frecuencia]]="Annual", Tabla2[[#This Row],[Cosecha/Tarea]]/12,Tabla2[[#This Row],[Cosecha/Tarea]])</f>
        <v>20640</v>
      </c>
      <c r="F443" s="2">
        <v>42720</v>
      </c>
      <c r="G443" t="s">
        <v>29</v>
      </c>
      <c r="H443">
        <f>F443/Tabla2[[#This Row],[Cosecha Mensual]]</f>
        <v>2.0697674418604652</v>
      </c>
      <c r="I443">
        <f>H443*_xlfn.XLOOKUP(Tabla2[[#This Row],[Unidad de producción]],Tabla3[Medida],Tabla3[Equivalencia en Kg],"ELVIS",0)</f>
        <v>1163.9130232558141</v>
      </c>
      <c r="J443">
        <v>2737.6</v>
      </c>
      <c r="K443" t="s">
        <v>29</v>
      </c>
      <c r="L443">
        <f>J443/_xlfn.XLOOKUP(Tabla2[[#This Row],[Unidad de precio]],Tabla3[Medida],Tabla3[Equivalencia en Kg],"ELVIS",0)</f>
        <v>4.8682291851904536</v>
      </c>
      <c r="M443">
        <v>7517.1463872000004</v>
      </c>
      <c r="N443" s="2">
        <f>(Tabla2[[#This Row],[Productividad (kg/TAS)]]*Tabla2[[#This Row],[Precio por kg]]-Tabla2[[#This Row],[Costos (En RD$/Tarea)]])</f>
        <v>-1850.9510383627912</v>
      </c>
      <c r="O443" s="6">
        <f>IF(Tabla2[[#This Row],[Costos (En RD$/Tarea)]]=0,0,Tabla2[[#This Row],[Beneficio Neto  (En RD$/Tarea)]]/Tabla2[[#This Row],[Costos (En RD$/Tarea)]])</f>
        <v>-0.24623054321710991</v>
      </c>
      <c r="P443" s="4">
        <f>Tabla2[[#This Row],[Rentabilidad (%)]]/12</f>
        <v>-2.0519211934759158E-2</v>
      </c>
    </row>
    <row r="444" spans="1:16" x14ac:dyDescent="0.35">
      <c r="A444" s="1">
        <v>37622</v>
      </c>
      <c r="B444" t="s">
        <v>30</v>
      </c>
      <c r="C444" s="2">
        <v>256667</v>
      </c>
      <c r="D444" s="2" t="s">
        <v>31</v>
      </c>
      <c r="E444" s="2">
        <f>IF(Tabla2[[#This Row],[Frecuencia]]="Annual", Tabla2[[#This Row],[Cosecha/Tarea]]/12,Tabla2[[#This Row],[Cosecha/Tarea]])</f>
        <v>21388.916666666668</v>
      </c>
      <c r="F444" s="2">
        <v>1735173</v>
      </c>
      <c r="G444" t="s">
        <v>32</v>
      </c>
      <c r="H444">
        <f>F444/Tabla2[[#This Row],[Cosecha Mensual]]</f>
        <v>81.124866071602497</v>
      </c>
      <c r="I444">
        <f>H444*_xlfn.XLOOKUP(Tabla2[[#This Row],[Unidad de producción]],Tabla3[Medida],Tabla3[Equivalencia en Kg],"ELVIS",0)</f>
        <v>2207.4076058083042</v>
      </c>
      <c r="J444">
        <v>26.115714285714301</v>
      </c>
      <c r="K444" t="s">
        <v>32</v>
      </c>
      <c r="L444">
        <f>J444/_xlfn.XLOOKUP(Tabla2[[#This Row],[Unidad de precio]],Tabla3[Medida],Tabla3[Equivalencia en Kg],"ELVIS",0)</f>
        <v>0.95978369297002208</v>
      </c>
      <c r="M444" s="2">
        <v>6435.96</v>
      </c>
      <c r="N444" s="2">
        <f>(Tabla2[[#This Row],[Productividad (kg/TAS)]]*Tabla2[[#This Row],[Precio por kg]]-Tabla2[[#This Row],[Costos (En RD$/Tarea)]])</f>
        <v>-4317.3261762071907</v>
      </c>
      <c r="O444" s="6">
        <f>IF(Tabla2[[#This Row],[Costos (En RD$/Tarea)]]=0,0,Tabla2[[#This Row],[Beneficio Neto  (En RD$/Tarea)]]/Tabla2[[#This Row],[Costos (En RD$/Tarea)]])</f>
        <v>-0.67081308401655548</v>
      </c>
      <c r="P444" s="4">
        <f>Tabla2[[#This Row],[Rentabilidad (%)]]/12</f>
        <v>-5.5901090334712959E-2</v>
      </c>
    </row>
    <row r="445" spans="1:16" x14ac:dyDescent="0.35">
      <c r="A445" s="1">
        <v>37622</v>
      </c>
      <c r="B445" t="s">
        <v>33</v>
      </c>
      <c r="C445" s="2">
        <v>662209</v>
      </c>
      <c r="D445" s="2" t="s">
        <v>31</v>
      </c>
      <c r="E445" s="2">
        <f>IF(Tabla2[[#This Row],[Frecuencia]]="Annual", Tabla2[[#This Row],[Cosecha/Tarea]]/12,Tabla2[[#This Row],[Cosecha/Tarea]])</f>
        <v>55184.083333333336</v>
      </c>
      <c r="F445" s="2">
        <v>89773</v>
      </c>
      <c r="G445" t="s">
        <v>34</v>
      </c>
      <c r="H445">
        <f>F445/Tabla2[[#This Row],[Cosecha Mensual]]</f>
        <v>1.6267915416431971</v>
      </c>
      <c r="I445">
        <f>H445*_xlfn.XLOOKUP(Tabla2[[#This Row],[Unidad de producción]],Tabla3[Medida],Tabla3[Equivalencia en Kg],"ELVIS",0)</f>
        <v>663.97496772167085</v>
      </c>
      <c r="J445">
        <v>1385.1175000000001</v>
      </c>
      <c r="K445" t="s">
        <v>34</v>
      </c>
      <c r="L445">
        <f>J445/_xlfn.XLOOKUP(Tabla2[[#This Row],[Unidad de precio]],Tabla3[Medida],Tabla3[Equivalencia en Kg],"ELVIS",0)</f>
        <v>3.3936481685654787</v>
      </c>
      <c r="M445" s="2">
        <v>8666.64</v>
      </c>
      <c r="N445" s="2">
        <f>(Tabla2[[#This Row],[Productividad (kg/TAS)]]*Tabla2[[#This Row],[Precio por kg]]-Tabla2[[#This Row],[Costos (En RD$/Tarea)]])</f>
        <v>-6413.342566818028</v>
      </c>
      <c r="O445" s="6">
        <f>IF(Tabla2[[#This Row],[Costos (En RD$/Tarea)]]=0,0,Tabla2[[#This Row],[Beneficio Neto  (En RD$/Tarea)]]/Tabla2[[#This Row],[Costos (En RD$/Tarea)]])</f>
        <v>-0.74000334233544118</v>
      </c>
      <c r="P445" s="4">
        <f>Tabla2[[#This Row],[Rentabilidad (%)]]/12</f>
        <v>-6.1666945194620099E-2</v>
      </c>
    </row>
    <row r="446" spans="1:16" x14ac:dyDescent="0.35">
      <c r="A446" s="1">
        <v>37653</v>
      </c>
      <c r="B446" t="s">
        <v>16</v>
      </c>
      <c r="C446" s="2">
        <v>29624</v>
      </c>
      <c r="D446" s="5" t="s">
        <v>17</v>
      </c>
      <c r="E446" s="2">
        <f>IF(Tabla2[[#This Row],[Frecuencia]]="Annual", Tabla2[[#This Row],[Cosecha/Tarea]]/12,Tabla2[[#This Row],[Cosecha/Tarea]])</f>
        <v>29624</v>
      </c>
      <c r="F446" s="2">
        <v>88587</v>
      </c>
      <c r="G446" t="s">
        <v>18</v>
      </c>
      <c r="H446">
        <f>F446/Tabla2[[#This Row],[Cosecha Mensual]]</f>
        <v>2.9903794220901974</v>
      </c>
      <c r="I446">
        <f>H446*_xlfn.XLOOKUP(Tabla2[[#This Row],[Unidad de producción]],Tabla3[Medida],Tabla3[Equivalencia en Kg],"ELVIS",0)</f>
        <v>135.64361058601136</v>
      </c>
      <c r="J446">
        <v>753.44554455445495</v>
      </c>
      <c r="K446" t="s">
        <v>19</v>
      </c>
      <c r="L446">
        <f>J446/_xlfn.XLOOKUP(Tabla2[[#This Row],[Unidad de precio]],Tabla3[Medida],Tabla3[Equivalencia en Kg],"ELVIS",0)</f>
        <v>6.8495049504950449</v>
      </c>
      <c r="M446">
        <v>4275.41</v>
      </c>
      <c r="N446" s="2">
        <f>(Tabla2[[#This Row],[Productividad (kg/TAS)]]*Tabla2[[#This Row],[Precio por kg]]-Tabla2[[#This Row],[Costos (En RD$/Tarea)]])</f>
        <v>-3346.318417788093</v>
      </c>
      <c r="O446" s="6">
        <f>IF(Tabla2[[#This Row],[Costos (En RD$/Tarea)]]=0,0,Tabla2[[#This Row],[Beneficio Neto  (En RD$/Tarea)]]/Tabla2[[#This Row],[Costos (En RD$/Tarea)]])</f>
        <v>-0.78268947721694371</v>
      </c>
      <c r="P446" s="4">
        <f>Tabla2[[#This Row],[Rentabilidad (%)]]/12</f>
        <v>-6.5224123101411971E-2</v>
      </c>
    </row>
    <row r="447" spans="1:16" x14ac:dyDescent="0.35">
      <c r="A447" s="1">
        <v>37653</v>
      </c>
      <c r="B447" t="s">
        <v>20</v>
      </c>
      <c r="C447" s="2">
        <v>27861</v>
      </c>
      <c r="D447" s="5" t="s">
        <v>17</v>
      </c>
      <c r="E447" s="2">
        <f>IF(Tabla2[[#This Row],[Frecuencia]]="Annual", Tabla2[[#This Row],[Cosecha/Tarea]]/12,Tabla2[[#This Row],[Cosecha/Tarea]])</f>
        <v>27861</v>
      </c>
      <c r="F447" s="2">
        <v>39302</v>
      </c>
      <c r="G447" t="s">
        <v>18</v>
      </c>
      <c r="H447">
        <f>F447/Tabla2[[#This Row],[Cosecha Mensual]]</f>
        <v>1.4106457054664225</v>
      </c>
      <c r="I447">
        <f>H447*_xlfn.XLOOKUP(Tabla2[[#This Row],[Unidad de producción]],Tabla3[Medida],Tabla3[Equivalencia en Kg],"ELVIS",0)</f>
        <v>63.986889199956927</v>
      </c>
      <c r="J447">
        <v>186.40043333333301</v>
      </c>
      <c r="K447" t="s">
        <v>18</v>
      </c>
      <c r="L447">
        <f>J447/_xlfn.XLOOKUP(Tabla2[[#This Row],[Unidad de precio]],Tabla3[Medida],Tabla3[Equivalencia en Kg],"ELVIS",0)</f>
        <v>4.1093569958847667</v>
      </c>
      <c r="M447">
        <v>938.62</v>
      </c>
      <c r="N447" s="2">
        <f>(Tabla2[[#This Row],[Productividad (kg/TAS)]]*Tabla2[[#This Row],[Precio por kg]]-Tabla2[[#This Row],[Costos (En RD$/Tarea)]])</f>
        <v>-675.67502922125357</v>
      </c>
      <c r="O447" s="6">
        <f>IF(Tabla2[[#This Row],[Costos (En RD$/Tarea)]]=0,0,Tabla2[[#This Row],[Beneficio Neto  (En RD$/Tarea)]]/Tabla2[[#This Row],[Costos (En RD$/Tarea)]])</f>
        <v>-0.719860038376823</v>
      </c>
      <c r="P447" s="4">
        <f>Tabla2[[#This Row],[Rentabilidad (%)]]/12</f>
        <v>-5.9988336531401919E-2</v>
      </c>
    </row>
    <row r="448" spans="1:16" x14ac:dyDescent="0.35">
      <c r="A448" s="1">
        <v>37653</v>
      </c>
      <c r="B448" t="s">
        <v>21</v>
      </c>
      <c r="C448" s="2">
        <v>8322</v>
      </c>
      <c r="D448" s="5" t="s">
        <v>17</v>
      </c>
      <c r="E448" s="2">
        <f>IF(Tabla2[[#This Row],[Frecuencia]]="Annual", Tabla2[[#This Row],[Cosecha/Tarea]]/12,Tabla2[[#This Row],[Cosecha/Tarea]])</f>
        <v>8322</v>
      </c>
      <c r="F448" s="2">
        <v>68539</v>
      </c>
      <c r="G448" t="s">
        <v>18</v>
      </c>
      <c r="H448">
        <f>F448/Tabla2[[#This Row],[Cosecha Mensual]]</f>
        <v>8.2358807978851232</v>
      </c>
      <c r="I448">
        <f>H448*_xlfn.XLOOKUP(Tabla2[[#This Row],[Unidad de producción]],Tabla3[Medida],Tabla3[Equivalencia en Kg],"ELVIS",0)</f>
        <v>373.57955299206918</v>
      </c>
      <c r="J448">
        <v>94.642274999999998</v>
      </c>
      <c r="K448" t="s">
        <v>18</v>
      </c>
      <c r="L448">
        <f>J448/_xlfn.XLOOKUP(Tabla2[[#This Row],[Unidad de precio]],Tabla3[Medida],Tabla3[Equivalencia en Kg],"ELVIS",0)</f>
        <v>2.0864699074074076</v>
      </c>
      <c r="M448">
        <v>1545.78</v>
      </c>
      <c r="N448" s="2">
        <f>(Tabla2[[#This Row],[Productividad (kg/TAS)]]*Tabla2[[#This Row],[Precio por kg]]-Tabla2[[#This Row],[Costos (En RD$/Tarea)]])</f>
        <v>-766.31750465933669</v>
      </c>
      <c r="O448" s="6">
        <f>IF(Tabla2[[#This Row],[Costos (En RD$/Tarea)]]=0,0,Tabla2[[#This Row],[Beneficio Neto  (En RD$/Tarea)]]/Tabla2[[#This Row],[Costos (En RD$/Tarea)]])</f>
        <v>-0.49574810429643074</v>
      </c>
      <c r="P448" s="4">
        <f>Tabla2[[#This Row],[Rentabilidad (%)]]/12</f>
        <v>-4.1312342024702561E-2</v>
      </c>
    </row>
    <row r="449" spans="1:16" x14ac:dyDescent="0.35">
      <c r="A449" s="1">
        <v>37653</v>
      </c>
      <c r="B449" t="s">
        <v>22</v>
      </c>
      <c r="C449" s="2">
        <v>6785</v>
      </c>
      <c r="D449" s="5" t="s">
        <v>17</v>
      </c>
      <c r="E449" s="2">
        <f>IF(Tabla2[[#This Row],[Frecuencia]]="Annual", Tabla2[[#This Row],[Cosecha/Tarea]]/12,Tabla2[[#This Row],[Cosecha/Tarea]])</f>
        <v>6785</v>
      </c>
      <c r="F449" s="2">
        <v>60982</v>
      </c>
      <c r="G449" t="s">
        <v>18</v>
      </c>
      <c r="H449">
        <f>F449/Tabla2[[#This Row],[Cosecha Mensual]]</f>
        <v>8.9877671333824605</v>
      </c>
      <c r="I449">
        <f>H449*_xlfn.XLOOKUP(Tabla2[[#This Row],[Unidad de producción]],Tabla3[Medida],Tabla3[Equivalencia en Kg],"ELVIS",0)</f>
        <v>407.68511717022841</v>
      </c>
      <c r="J449">
        <v>210.74137500000001</v>
      </c>
      <c r="K449" t="s">
        <v>18</v>
      </c>
      <c r="L449">
        <f>J449/_xlfn.XLOOKUP(Tabla2[[#This Row],[Unidad de precio]],Tabla3[Medida],Tabla3[Equivalencia en Kg],"ELVIS",0)</f>
        <v>4.645973875661376</v>
      </c>
      <c r="M449">
        <v>3985.46</v>
      </c>
      <c r="N449" s="2">
        <f>(Tabla2[[#This Row],[Productividad (kg/TAS)]]*Tabla2[[#This Row],[Precio por kg]]-Tabla2[[#This Row],[Costos (En RD$/Tarea)]])</f>
        <v>-2091.3655961311715</v>
      </c>
      <c r="O449" s="6">
        <f>IF(Tabla2[[#This Row],[Costos (En RD$/Tarea)]]=0,0,Tabla2[[#This Row],[Beneficio Neto  (En RD$/Tarea)]]/Tabla2[[#This Row],[Costos (En RD$/Tarea)]])</f>
        <v>-0.52474886114304786</v>
      </c>
      <c r="P449" s="4">
        <f>Tabla2[[#This Row],[Rentabilidad (%)]]/12</f>
        <v>-4.3729071761920653E-2</v>
      </c>
    </row>
    <row r="450" spans="1:16" x14ac:dyDescent="0.35">
      <c r="A450" s="1">
        <v>37653</v>
      </c>
      <c r="B450" t="s">
        <v>23</v>
      </c>
      <c r="C450" s="2">
        <v>3570</v>
      </c>
      <c r="D450" s="5" t="s">
        <v>17</v>
      </c>
      <c r="E450" s="2">
        <f>IF(Tabla2[[#This Row],[Frecuencia]]="Annual", Tabla2[[#This Row],[Cosecha/Tarea]]/12,Tabla2[[#This Row],[Cosecha/Tarea]])</f>
        <v>3570</v>
      </c>
      <c r="F450" s="2">
        <v>76862</v>
      </c>
      <c r="G450" t="s">
        <v>18</v>
      </c>
      <c r="H450">
        <f>F450/Tabla2[[#This Row],[Cosecha Mensual]]</f>
        <v>21.52997198879552</v>
      </c>
      <c r="I450">
        <f>H450*_xlfn.XLOOKUP(Tabla2[[#This Row],[Unidad de producción]],Tabla3[Medida],Tabla3[Equivalencia en Kg],"ELVIS",0)</f>
        <v>976.59952941176482</v>
      </c>
      <c r="J450">
        <v>290</v>
      </c>
      <c r="K450" t="s">
        <v>18</v>
      </c>
      <c r="L450">
        <f>J450/_xlfn.XLOOKUP(Tabla2[[#This Row],[Unidad de precio]],Tabla3[Medida],Tabla3[Equivalencia en Kg],"ELVIS",0)</f>
        <v>6.3932980599647271</v>
      </c>
      <c r="M450">
        <v>9309.9599999999991</v>
      </c>
      <c r="N450" s="2">
        <f>(Tabla2[[#This Row],[Productividad (kg/TAS)]]*Tabla2[[#This Row],[Precio por kg]]-Tabla2[[#This Row],[Costos (En RD$/Tarea)]])</f>
        <v>-3066.2681232492978</v>
      </c>
      <c r="O450" s="6">
        <f>IF(Tabla2[[#This Row],[Costos (En RD$/Tarea)]]=0,0,Tabla2[[#This Row],[Beneficio Neto  (En RD$/Tarea)]]/Tabla2[[#This Row],[Costos (En RD$/Tarea)]])</f>
        <v>-0.3293535228131268</v>
      </c>
      <c r="P450" s="4">
        <f>Tabla2[[#This Row],[Rentabilidad (%)]]/12</f>
        <v>-2.7446126901093899E-2</v>
      </c>
    </row>
    <row r="451" spans="1:16" x14ac:dyDescent="0.35">
      <c r="A451" s="1">
        <v>37653</v>
      </c>
      <c r="B451" t="s">
        <v>24</v>
      </c>
      <c r="C451" s="2">
        <v>14335</v>
      </c>
      <c r="D451" s="5" t="s">
        <v>17</v>
      </c>
      <c r="E451" s="2">
        <f>IF(Tabla2[[#This Row],[Frecuencia]]="Annual", Tabla2[[#This Row],[Cosecha/Tarea]]/12,Tabla2[[#This Row],[Cosecha/Tarea]])</f>
        <v>14335</v>
      </c>
      <c r="F451" s="2">
        <v>156235</v>
      </c>
      <c r="G451" t="s">
        <v>18</v>
      </c>
      <c r="H451">
        <f>F451/Tabla2[[#This Row],[Cosecha Mensual]]</f>
        <v>10.898848971049878</v>
      </c>
      <c r="I451">
        <f>H451*_xlfn.XLOOKUP(Tabla2[[#This Row],[Unidad de producción]],Tabla3[Medida],Tabla3[Equivalencia en Kg],"ELVIS",0)</f>
        <v>494.37178932682247</v>
      </c>
      <c r="J451">
        <v>346</v>
      </c>
      <c r="K451" t="s">
        <v>18</v>
      </c>
      <c r="L451">
        <f>J451/_xlfn.XLOOKUP(Tabla2[[#This Row],[Unidad de precio]],Tabla3[Medida],Tabla3[Equivalencia en Kg],"ELVIS",0)</f>
        <v>7.6278659611992943</v>
      </c>
      <c r="M451">
        <v>3188.34</v>
      </c>
      <c r="N451" s="2">
        <f>(Tabla2[[#This Row],[Productividad (kg/TAS)]]*Tabla2[[#This Row],[Precio por kg]]-Tabla2[[#This Row],[Costos (En RD$/Tarea)]])</f>
        <v>582.66174398325757</v>
      </c>
      <c r="O451" s="6">
        <f>IF(Tabla2[[#This Row],[Costos (En RD$/Tarea)]]=0,0,Tabla2[[#This Row],[Beneficio Neto  (En RD$/Tarea)]]/Tabla2[[#This Row],[Costos (En RD$/Tarea)]])</f>
        <v>0.18274768186054735</v>
      </c>
      <c r="P451" s="4">
        <f>Tabla2[[#This Row],[Rentabilidad (%)]]/12</f>
        <v>1.5228973488378946E-2</v>
      </c>
    </row>
    <row r="452" spans="1:16" x14ac:dyDescent="0.35">
      <c r="A452" s="1">
        <v>37653</v>
      </c>
      <c r="B452" t="s">
        <v>25</v>
      </c>
      <c r="C452" s="2">
        <v>28814</v>
      </c>
      <c r="D452" s="5" t="s">
        <v>17</v>
      </c>
      <c r="E452" s="2">
        <f>IF(Tabla2[[#This Row],[Frecuencia]]="Annual", Tabla2[[#This Row],[Cosecha/Tarea]]/12,Tabla2[[#This Row],[Cosecha/Tarea]])</f>
        <v>28814</v>
      </c>
      <c r="F452" s="2">
        <v>286089</v>
      </c>
      <c r="G452" t="s">
        <v>18</v>
      </c>
      <c r="H452">
        <f>F452/Tabla2[[#This Row],[Cosecha Mensual]]</f>
        <v>9.9288193239397522</v>
      </c>
      <c r="I452">
        <f>H452*_xlfn.XLOOKUP(Tabla2[[#This Row],[Unidad de producción]],Tabla3[Medida],Tabla3[Equivalencia en Kg],"ELVIS",0)</f>
        <v>450.37124453390715</v>
      </c>
      <c r="J452">
        <v>97.896000000000001</v>
      </c>
      <c r="K452" t="s">
        <v>18</v>
      </c>
      <c r="L452">
        <f>J452/_xlfn.XLOOKUP(Tabla2[[#This Row],[Unidad de precio]],Tabla3[Medida],Tabla3[Equivalencia en Kg],"ELVIS",0)</f>
        <v>2.1582010582010582</v>
      </c>
      <c r="M452">
        <v>1396.74</v>
      </c>
      <c r="N452" s="2">
        <f>(Tabla2[[#This Row],[Productividad (kg/TAS)]]*Tabla2[[#This Row],[Precio por kg]]-Tabla2[[#This Row],[Costos (En RD$/Tarea)]])</f>
        <v>-424.74830346359408</v>
      </c>
      <c r="O452" s="6">
        <f>IF(Tabla2[[#This Row],[Costos (En RD$/Tarea)]]=0,0,Tabla2[[#This Row],[Beneficio Neto  (En RD$/Tarea)]]/Tabla2[[#This Row],[Costos (En RD$/Tarea)]])</f>
        <v>-0.30409976335151429</v>
      </c>
      <c r="P452" s="4">
        <f>Tabla2[[#This Row],[Rentabilidad (%)]]/12</f>
        <v>-2.5341646945959525E-2</v>
      </c>
    </row>
    <row r="453" spans="1:16" x14ac:dyDescent="0.35">
      <c r="A453" s="1">
        <v>37653</v>
      </c>
      <c r="B453" t="s">
        <v>26</v>
      </c>
      <c r="C453" s="2">
        <v>9109</v>
      </c>
      <c r="D453" s="5" t="s">
        <v>17</v>
      </c>
      <c r="E453" s="2">
        <f>IF(Tabla2[[#This Row],[Frecuencia]]="Annual", Tabla2[[#This Row],[Cosecha/Tarea]]/12,Tabla2[[#This Row],[Cosecha/Tarea]])</f>
        <v>9109</v>
      </c>
      <c r="F453" s="2">
        <v>51629</v>
      </c>
      <c r="G453" t="s">
        <v>18</v>
      </c>
      <c r="H453">
        <f>F453/Tabla2[[#This Row],[Cosecha Mensual]]</f>
        <v>5.6679108573937862</v>
      </c>
      <c r="I453">
        <f>H453*_xlfn.XLOOKUP(Tabla2[[#This Row],[Unidad de producción]],Tabla3[Medida],Tabla3[Equivalencia en Kg],"ELVIS",0)</f>
        <v>257.09643649138212</v>
      </c>
      <c r="J453">
        <v>228</v>
      </c>
      <c r="K453" t="s">
        <v>18</v>
      </c>
      <c r="L453">
        <f>J453/_xlfn.XLOOKUP(Tabla2[[#This Row],[Unidad de precio]],Tabla3[Medida],Tabla3[Equivalencia en Kg],"ELVIS",0)</f>
        <v>5.026455026455027</v>
      </c>
      <c r="M453">
        <v>1217.1099999999999</v>
      </c>
      <c r="N453" s="2">
        <f>(Tabla2[[#This Row],[Productividad (kg/TAS)]]*Tabla2[[#This Row],[Precio por kg]]-Tabla2[[#This Row],[Costos (En RD$/Tarea)]])</f>
        <v>75.173675485783406</v>
      </c>
      <c r="O453" s="6">
        <f>IF(Tabla2[[#This Row],[Costos (En RD$/Tarea)]]=0,0,Tabla2[[#This Row],[Beneficio Neto  (En RD$/Tarea)]]/Tabla2[[#This Row],[Costos (En RD$/Tarea)]])</f>
        <v>6.1764076776777296E-2</v>
      </c>
      <c r="P453" s="4">
        <f>Tabla2[[#This Row],[Rentabilidad (%)]]/12</f>
        <v>5.1470063980647747E-3</v>
      </c>
    </row>
    <row r="454" spans="1:16" x14ac:dyDescent="0.35">
      <c r="A454" s="1">
        <v>37653</v>
      </c>
      <c r="B454" t="s">
        <v>27</v>
      </c>
      <c r="C454" s="2">
        <v>2949</v>
      </c>
      <c r="D454" s="5" t="s">
        <v>17</v>
      </c>
      <c r="E454" s="2">
        <f>IF(Tabla2[[#This Row],[Frecuencia]]="Annual", Tabla2[[#This Row],[Cosecha/Tarea]]/12,Tabla2[[#This Row],[Cosecha/Tarea]])</f>
        <v>2949</v>
      </c>
      <c r="F454" s="2">
        <v>27350</v>
      </c>
      <c r="G454" t="s">
        <v>18</v>
      </c>
      <c r="H454">
        <f>F454/Tabla2[[#This Row],[Cosecha Mensual]]</f>
        <v>9.2743302814513395</v>
      </c>
      <c r="I454">
        <f>H454*_xlfn.XLOOKUP(Tabla2[[#This Row],[Unidad de producción]],Tabla3[Medida],Tabla3[Equivalencia en Kg],"ELVIS",0)</f>
        <v>420.68362156663278</v>
      </c>
      <c r="J454">
        <v>246.37200000000001</v>
      </c>
      <c r="K454" t="s">
        <v>18</v>
      </c>
      <c r="L454">
        <f>J454/_xlfn.XLOOKUP(Tabla2[[#This Row],[Unidad de precio]],Tabla3[Medida],Tabla3[Equivalencia en Kg],"ELVIS",0)</f>
        <v>5.431481481481482</v>
      </c>
      <c r="M454">
        <v>3938.29</v>
      </c>
      <c r="N454" s="2">
        <f>(Tabla2[[#This Row],[Productividad (kg/TAS)]]*Tabla2[[#This Row],[Precio por kg]]-Tabla2[[#This Row],[Costos (En RD$/Tarea)]])</f>
        <v>-1653.3546998982702</v>
      </c>
      <c r="O454" s="6">
        <f>IF(Tabla2[[#This Row],[Costos (En RD$/Tarea)]]=0,0,Tabla2[[#This Row],[Beneficio Neto  (En RD$/Tarea)]]/Tabla2[[#This Row],[Costos (En RD$/Tarea)]])</f>
        <v>-0.41981537669858499</v>
      </c>
      <c r="P454" s="4">
        <f>Tabla2[[#This Row],[Rentabilidad (%)]]/12</f>
        <v>-3.4984614724882082E-2</v>
      </c>
    </row>
    <row r="455" spans="1:16" x14ac:dyDescent="0.35">
      <c r="A455" s="1">
        <v>37653</v>
      </c>
      <c r="B455" t="s">
        <v>28</v>
      </c>
      <c r="C455" s="2">
        <v>14858</v>
      </c>
      <c r="D455" s="5" t="s">
        <v>17</v>
      </c>
      <c r="E455" s="2">
        <f>IF(Tabla2[[#This Row],[Frecuencia]]="Annual", Tabla2[[#This Row],[Cosecha/Tarea]]/12,Tabla2[[#This Row],[Cosecha/Tarea]])</f>
        <v>14858</v>
      </c>
      <c r="F455" s="2">
        <v>22138</v>
      </c>
      <c r="G455" t="s">
        <v>29</v>
      </c>
      <c r="H455">
        <f>F455/Tabla2[[#This Row],[Cosecha Mensual]]</f>
        <v>1.4899717324000539</v>
      </c>
      <c r="I455">
        <f>H455*_xlfn.XLOOKUP(Tabla2[[#This Row],[Unidad de producción]],Tabla3[Medida],Tabla3[Equivalencia en Kg],"ELVIS",0)</f>
        <v>837.87070399784636</v>
      </c>
      <c r="J455">
        <v>2940</v>
      </c>
      <c r="K455" t="s">
        <v>29</v>
      </c>
      <c r="L455">
        <f>J455/_xlfn.XLOOKUP(Tabla2[[#This Row],[Unidad de precio]],Tabla3[Medida],Tabla3[Equivalencia en Kg],"ELVIS",0)</f>
        <v>5.2281537859657856</v>
      </c>
      <c r="M455">
        <v>7517.1463872000004</v>
      </c>
      <c r="N455" s="2">
        <f>(Tabla2[[#This Row],[Productividad (kg/TAS)]]*Tabla2[[#This Row],[Precio por kg]]-Tabla2[[#This Row],[Costos (En RD$/Tarea)]])</f>
        <v>-3136.6294939438421</v>
      </c>
      <c r="O455" s="6">
        <f>IF(Tabla2[[#This Row],[Costos (En RD$/Tarea)]]=0,0,Tabla2[[#This Row],[Beneficio Neto  (En RD$/Tarea)]]/Tabla2[[#This Row],[Costos (En RD$/Tarea)]])</f>
        <v>-0.41726332472184025</v>
      </c>
      <c r="P455" s="4">
        <f>Tabla2[[#This Row],[Rentabilidad (%)]]/12</f>
        <v>-3.477194372682002E-2</v>
      </c>
    </row>
    <row r="456" spans="1:16" x14ac:dyDescent="0.35">
      <c r="A456" s="1">
        <v>37653</v>
      </c>
      <c r="B456" t="s">
        <v>30</v>
      </c>
      <c r="C456" s="2">
        <v>249356</v>
      </c>
      <c r="D456" s="2" t="s">
        <v>31</v>
      </c>
      <c r="E456" s="2">
        <f>IF(Tabla2[[#This Row],[Frecuencia]]="Annual", Tabla2[[#This Row],[Cosecha/Tarea]]/12,Tabla2[[#This Row],[Cosecha/Tarea]])</f>
        <v>20779.666666666668</v>
      </c>
      <c r="F456" s="2">
        <v>1466678</v>
      </c>
      <c r="G456" t="s">
        <v>32</v>
      </c>
      <c r="H456">
        <f>F456/Tabla2[[#This Row],[Cosecha Mensual]]</f>
        <v>70.582364170102181</v>
      </c>
      <c r="I456">
        <f>H456*_xlfn.XLOOKUP(Tabla2[[#This Row],[Unidad de producción]],Tabla3[Medida],Tabla3[Equivalencia en Kg],"ELVIS",0)</f>
        <v>1920.5461290684805</v>
      </c>
      <c r="J456">
        <v>31.446000000000002</v>
      </c>
      <c r="K456" t="s">
        <v>32</v>
      </c>
      <c r="L456">
        <f>J456/_xlfn.XLOOKUP(Tabla2[[#This Row],[Unidad de precio]],Tabla3[Medida],Tabla3[Equivalencia en Kg],"ELVIS",0)</f>
        <v>1.1556780595369349</v>
      </c>
      <c r="M456" s="2">
        <v>6435.96</v>
      </c>
      <c r="N456" s="2">
        <f>(Tabla2[[#This Row],[Productividad (kg/TAS)]]*Tabla2[[#This Row],[Precio por kg]]-Tabla2[[#This Row],[Costos (En RD$/Tarea)]])</f>
        <v>-4216.4269763069669</v>
      </c>
      <c r="O456" s="6">
        <f>IF(Tabla2[[#This Row],[Costos (En RD$/Tarea)]]=0,0,Tabla2[[#This Row],[Beneficio Neto  (En RD$/Tarea)]]/Tabla2[[#This Row],[Costos (En RD$/Tarea)]])</f>
        <v>-0.65513567149375806</v>
      </c>
      <c r="P456" s="4">
        <f>Tabla2[[#This Row],[Rentabilidad (%)]]/12</f>
        <v>-5.4594639291146503E-2</v>
      </c>
    </row>
    <row r="457" spans="1:16" x14ac:dyDescent="0.35">
      <c r="A457" s="1">
        <v>37653</v>
      </c>
      <c r="B457" t="s">
        <v>33</v>
      </c>
      <c r="C457" s="2">
        <v>674945</v>
      </c>
      <c r="D457" s="2" t="s">
        <v>31</v>
      </c>
      <c r="E457" s="2">
        <f>IF(Tabla2[[#This Row],[Frecuencia]]="Annual", Tabla2[[#This Row],[Cosecha/Tarea]]/12,Tabla2[[#This Row],[Cosecha/Tarea]])</f>
        <v>56245.416666666664</v>
      </c>
      <c r="F457" s="2">
        <v>101443</v>
      </c>
      <c r="G457" t="s">
        <v>34</v>
      </c>
      <c r="H457">
        <f>F457/Tabla2[[#This Row],[Cosecha Mensual]]</f>
        <v>1.8035780693241672</v>
      </c>
      <c r="I457">
        <f>H457*_xlfn.XLOOKUP(Tabla2[[#This Row],[Unidad de producción]],Tabla3[Medida],Tabla3[Equivalencia en Kg],"ELVIS",0)</f>
        <v>736.1303889946588</v>
      </c>
      <c r="J457">
        <v>1308.70166666667</v>
      </c>
      <c r="K457" t="s">
        <v>34</v>
      </c>
      <c r="L457">
        <f>J457/_xlfn.XLOOKUP(Tabla2[[#This Row],[Unidad de precio]],Tabla3[Medida],Tabla3[Equivalencia en Kg],"ELVIS",0)</f>
        <v>3.2064232920903346</v>
      </c>
      <c r="M457" s="2">
        <v>8666.64</v>
      </c>
      <c r="N457" s="2">
        <f>(Tabla2[[#This Row],[Productividad (kg/TAS)]]*Tabla2[[#This Row],[Precio por kg]]-Tabla2[[#This Row],[Costos (En RD$/Tarea)]])</f>
        <v>-6306.2943747120071</v>
      </c>
      <c r="O457" s="6">
        <f>IF(Tabla2[[#This Row],[Costos (En RD$/Tarea)]]=0,0,Tabla2[[#This Row],[Beneficio Neto  (En RD$/Tarea)]]/Tabla2[[#This Row],[Costos (En RD$/Tarea)]])</f>
        <v>-0.72765158985627731</v>
      </c>
      <c r="P457" s="4">
        <f>Tabla2[[#This Row],[Rentabilidad (%)]]/12</f>
        <v>-6.0637632488023112E-2</v>
      </c>
    </row>
    <row r="458" spans="1:16" x14ac:dyDescent="0.35">
      <c r="A458" s="1">
        <v>37681</v>
      </c>
      <c r="B458" t="s">
        <v>16</v>
      </c>
      <c r="C458" s="2">
        <v>3688</v>
      </c>
      <c r="D458" s="5" t="s">
        <v>17</v>
      </c>
      <c r="E458" s="2">
        <f>IF(Tabla2[[#This Row],[Frecuencia]]="Annual", Tabla2[[#This Row],[Cosecha/Tarea]]/12,Tabla2[[#This Row],[Cosecha/Tarea]])</f>
        <v>3688</v>
      </c>
      <c r="F458" s="2">
        <v>11642</v>
      </c>
      <c r="G458" t="s">
        <v>18</v>
      </c>
      <c r="H458">
        <f>F458/Tabla2[[#This Row],[Cosecha Mensual]]</f>
        <v>3.1567245119305856</v>
      </c>
      <c r="I458">
        <f>H458*_xlfn.XLOOKUP(Tabla2[[#This Row],[Unidad de producción]],Tabla3[Medida],Tabla3[Equivalencia en Kg],"ELVIS",0)</f>
        <v>143.18902386117136</v>
      </c>
      <c r="J458">
        <v>933.80198019802003</v>
      </c>
      <c r="K458" t="s">
        <v>19</v>
      </c>
      <c r="L458">
        <f>J458/_xlfn.XLOOKUP(Tabla2[[#This Row],[Unidad de precio]],Tabla3[Medida],Tabla3[Equivalencia en Kg],"ELVIS",0)</f>
        <v>8.4891089108910904</v>
      </c>
      <c r="M458">
        <v>4275.41</v>
      </c>
      <c r="N458" s="2">
        <f>(Tabla2[[#This Row],[Productividad (kg/TAS)]]*Tabla2[[#This Row],[Precio por kg]]-Tabla2[[#This Row],[Costos (En RD$/Tarea)]])</f>
        <v>-3059.8627815983327</v>
      </c>
      <c r="O458" s="6">
        <f>IF(Tabla2[[#This Row],[Costos (En RD$/Tarea)]]=0,0,Tabla2[[#This Row],[Beneficio Neto  (En RD$/Tarea)]]/Tabla2[[#This Row],[Costos (En RD$/Tarea)]])</f>
        <v>-0.7156887366587843</v>
      </c>
      <c r="P458" s="4">
        <f>Tabla2[[#This Row],[Rentabilidad (%)]]/12</f>
        <v>-5.9640728054898694E-2</v>
      </c>
    </row>
    <row r="459" spans="1:16" x14ac:dyDescent="0.35">
      <c r="A459" s="1">
        <v>37681</v>
      </c>
      <c r="B459" t="s">
        <v>20</v>
      </c>
      <c r="C459" s="2">
        <v>27128</v>
      </c>
      <c r="D459" s="5" t="s">
        <v>17</v>
      </c>
      <c r="E459" s="2">
        <f>IF(Tabla2[[#This Row],[Frecuencia]]="Annual", Tabla2[[#This Row],[Cosecha/Tarea]]/12,Tabla2[[#This Row],[Cosecha/Tarea]])</f>
        <v>27128</v>
      </c>
      <c r="F459" s="2">
        <v>59257</v>
      </c>
      <c r="G459" t="s">
        <v>18</v>
      </c>
      <c r="H459">
        <f>F459/Tabla2[[#This Row],[Cosecha Mensual]]</f>
        <v>2.1843482748451786</v>
      </c>
      <c r="I459">
        <f>H459*_xlfn.XLOOKUP(Tabla2[[#This Row],[Unidad de producción]],Tabla3[Medida],Tabla3[Equivalencia en Kg],"ELVIS",0)</f>
        <v>99.082037746977292</v>
      </c>
      <c r="J459">
        <v>174.18713333333301</v>
      </c>
      <c r="K459" t="s">
        <v>18</v>
      </c>
      <c r="L459">
        <f>J459/_xlfn.XLOOKUP(Tabla2[[#This Row],[Unidad de precio]],Tabla3[Medida],Tabla3[Equivalencia en Kg],"ELVIS",0)</f>
        <v>3.8401043503821208</v>
      </c>
      <c r="M459">
        <v>938.62</v>
      </c>
      <c r="N459" s="2">
        <f>(Tabla2[[#This Row],[Productividad (kg/TAS)]]*Tabla2[[#This Row],[Precio por kg]]-Tabla2[[#This Row],[Costos (En RD$/Tarea)]])</f>
        <v>-558.13463580310702</v>
      </c>
      <c r="O459" s="6">
        <f>IF(Tabla2[[#This Row],[Costos (En RD$/Tarea)]]=0,0,Tabla2[[#This Row],[Beneficio Neto  (En RD$/Tarea)]]/Tabla2[[#This Row],[Costos (En RD$/Tarea)]])</f>
        <v>-0.59463322303286426</v>
      </c>
      <c r="P459" s="4">
        <f>Tabla2[[#This Row],[Rentabilidad (%)]]/12</f>
        <v>-4.9552768586072021E-2</v>
      </c>
    </row>
    <row r="460" spans="1:16" x14ac:dyDescent="0.35">
      <c r="A460" s="1">
        <v>37681</v>
      </c>
      <c r="B460" t="s">
        <v>21</v>
      </c>
      <c r="C460" s="2">
        <v>8240</v>
      </c>
      <c r="D460" s="5" t="s">
        <v>17</v>
      </c>
      <c r="E460" s="2">
        <f>IF(Tabla2[[#This Row],[Frecuencia]]="Annual", Tabla2[[#This Row],[Cosecha/Tarea]]/12,Tabla2[[#This Row],[Cosecha/Tarea]])</f>
        <v>8240</v>
      </c>
      <c r="F460" s="2">
        <v>80501</v>
      </c>
      <c r="G460" t="s">
        <v>18</v>
      </c>
      <c r="H460">
        <f>F460/Tabla2[[#This Row],[Cosecha Mensual]]</f>
        <v>9.7695388349514563</v>
      </c>
      <c r="I460">
        <f>H460*_xlfn.XLOOKUP(Tabla2[[#This Row],[Unidad de producción]],Tabla3[Medida],Tabla3[Equivalencia en Kg],"ELVIS",0)</f>
        <v>443.14628155339807</v>
      </c>
      <c r="J460">
        <v>95.700149999999994</v>
      </c>
      <c r="K460" t="s">
        <v>18</v>
      </c>
      <c r="L460">
        <f>J460/_xlfn.XLOOKUP(Tabla2[[#This Row],[Unidad de precio]],Tabla3[Medida],Tabla3[Equivalencia en Kg],"ELVIS",0)</f>
        <v>2.1097916666666667</v>
      </c>
      <c r="M460">
        <v>1545.78</v>
      </c>
      <c r="N460" s="2">
        <f>(Tabla2[[#This Row],[Productividad (kg/TAS)]]*Tabla2[[#This Row],[Precio por kg]]-Tabla2[[#This Row],[Costos (En RD$/Tarea)]])</f>
        <v>-610.83366806432036</v>
      </c>
      <c r="O460" s="6">
        <f>IF(Tabla2[[#This Row],[Costos (En RD$/Tarea)]]=0,0,Tabla2[[#This Row],[Beneficio Neto  (En RD$/Tarea)]]/Tabla2[[#This Row],[Costos (En RD$/Tarea)]])</f>
        <v>-0.39516209814095171</v>
      </c>
      <c r="P460" s="4">
        <f>Tabla2[[#This Row],[Rentabilidad (%)]]/12</f>
        <v>-3.2930174845079312E-2</v>
      </c>
    </row>
    <row r="461" spans="1:16" x14ac:dyDescent="0.35">
      <c r="A461" s="1">
        <v>37681</v>
      </c>
      <c r="B461" t="s">
        <v>22</v>
      </c>
      <c r="C461" s="2">
        <v>4104</v>
      </c>
      <c r="D461" s="5" t="s">
        <v>17</v>
      </c>
      <c r="E461" s="2">
        <f>IF(Tabla2[[#This Row],[Frecuencia]]="Annual", Tabla2[[#This Row],[Cosecha/Tarea]]/12,Tabla2[[#This Row],[Cosecha/Tarea]])</f>
        <v>4104</v>
      </c>
      <c r="F461" s="2">
        <v>33154</v>
      </c>
      <c r="G461" t="s">
        <v>18</v>
      </c>
      <c r="H461">
        <f>F461/Tabla2[[#This Row],[Cosecha Mensual]]</f>
        <v>8.0784600389863552</v>
      </c>
      <c r="I461">
        <f>H461*_xlfn.XLOOKUP(Tabla2[[#This Row],[Unidad de producción]],Tabla3[Medida],Tabla3[Equivalencia en Kg],"ELVIS",0)</f>
        <v>366.43894736842105</v>
      </c>
      <c r="J461">
        <v>321.60000000000002</v>
      </c>
      <c r="K461" t="s">
        <v>18</v>
      </c>
      <c r="L461">
        <f>J461/_xlfn.XLOOKUP(Tabla2[[#This Row],[Unidad de precio]],Tabla3[Medida],Tabla3[Equivalencia en Kg],"ELVIS",0)</f>
        <v>7.0899470899470902</v>
      </c>
      <c r="M461">
        <v>3985.46</v>
      </c>
      <c r="N461" s="2">
        <f>(Tabla2[[#This Row],[Productividad (kg/TAS)]]*Tabla2[[#This Row],[Precio por kg]]-Tabla2[[#This Row],[Costos (En RD$/Tarea)]])</f>
        <v>-1387.4272514619884</v>
      </c>
      <c r="O461" s="6">
        <f>IF(Tabla2[[#This Row],[Costos (En RD$/Tarea)]]=0,0,Tabla2[[#This Row],[Beneficio Neto  (En RD$/Tarea)]]/Tabla2[[#This Row],[Costos (En RD$/Tarea)]])</f>
        <v>-0.34812223719771079</v>
      </c>
      <c r="P461" s="4">
        <f>Tabla2[[#This Row],[Rentabilidad (%)]]/12</f>
        <v>-2.9010186433142567E-2</v>
      </c>
    </row>
    <row r="462" spans="1:16" x14ac:dyDescent="0.35">
      <c r="A462" s="1">
        <v>37681</v>
      </c>
      <c r="B462" t="s">
        <v>23</v>
      </c>
      <c r="C462" s="2">
        <v>2367</v>
      </c>
      <c r="D462" s="5" t="s">
        <v>17</v>
      </c>
      <c r="E462" s="2">
        <f>IF(Tabla2[[#This Row],[Frecuencia]]="Annual", Tabla2[[#This Row],[Cosecha/Tarea]]/12,Tabla2[[#This Row],[Cosecha/Tarea]])</f>
        <v>2367</v>
      </c>
      <c r="F462" s="2">
        <v>84715</v>
      </c>
      <c r="G462" t="s">
        <v>18</v>
      </c>
      <c r="H462">
        <f>F462/Tabla2[[#This Row],[Cosecha Mensual]]</f>
        <v>35.790029573299535</v>
      </c>
      <c r="I462">
        <f>H462*_xlfn.XLOOKUP(Tabla2[[#This Row],[Unidad de producción]],Tabla3[Medida],Tabla3[Equivalencia en Kg],"ELVIS",0)</f>
        <v>1623.4357414448668</v>
      </c>
      <c r="J462">
        <v>258.683333333333</v>
      </c>
      <c r="K462" t="s">
        <v>18</v>
      </c>
      <c r="L462">
        <f>J462/_xlfn.XLOOKUP(Tabla2[[#This Row],[Unidad de precio]],Tabla3[Medida],Tabla3[Equivalencia en Kg],"ELVIS",0)</f>
        <v>5.7028953556731263</v>
      </c>
      <c r="M462">
        <v>9309.9599999999991</v>
      </c>
      <c r="N462" s="2">
        <f>(Tabla2[[#This Row],[Productividad (kg/TAS)]]*Tabla2[[#This Row],[Precio por kg]]-Tabla2[[#This Row],[Costos (En RD$/Tarea)]])</f>
        <v>-51.675849880310125</v>
      </c>
      <c r="O462" s="6">
        <f>IF(Tabla2[[#This Row],[Costos (En RD$/Tarea)]]=0,0,Tabla2[[#This Row],[Beneficio Neto  (En RD$/Tarea)]]/Tabla2[[#This Row],[Costos (En RD$/Tarea)]])</f>
        <v>-5.5505984859559147E-3</v>
      </c>
      <c r="P462" s="4">
        <f>Tabla2[[#This Row],[Rentabilidad (%)]]/12</f>
        <v>-4.6254987382965954E-4</v>
      </c>
    </row>
    <row r="463" spans="1:16" x14ac:dyDescent="0.35">
      <c r="A463" s="1">
        <v>37681</v>
      </c>
      <c r="B463" t="s">
        <v>24</v>
      </c>
      <c r="C463" s="2">
        <v>11429</v>
      </c>
      <c r="D463" s="5" t="s">
        <v>17</v>
      </c>
      <c r="E463" s="2">
        <f>IF(Tabla2[[#This Row],[Frecuencia]]="Annual", Tabla2[[#This Row],[Cosecha/Tarea]]/12,Tabla2[[#This Row],[Cosecha/Tarea]])</f>
        <v>11429</v>
      </c>
      <c r="F463" s="2">
        <v>144765</v>
      </c>
      <c r="G463" t="s">
        <v>18</v>
      </c>
      <c r="H463">
        <f>F463/Tabla2[[#This Row],[Cosecha Mensual]]</f>
        <v>12.666462507655963</v>
      </c>
      <c r="I463">
        <f>H463*_xlfn.XLOOKUP(Tabla2[[#This Row],[Unidad de producción]],Tabla3[Medida],Tabla3[Equivalencia en Kg],"ELVIS",0)</f>
        <v>574.55073934727443</v>
      </c>
      <c r="J463">
        <v>319.94499999999999</v>
      </c>
      <c r="K463" t="s">
        <v>18</v>
      </c>
      <c r="L463">
        <f>J463/_xlfn.XLOOKUP(Tabla2[[#This Row],[Unidad de precio]],Tabla3[Medida],Tabla3[Equivalencia en Kg],"ELVIS",0)</f>
        <v>7.0534611992945324</v>
      </c>
      <c r="M463">
        <v>3188.34</v>
      </c>
      <c r="N463" s="2">
        <f>(Tabla2[[#This Row],[Productividad (kg/TAS)]]*Tabla2[[#This Row],[Precio por kg]]-Tabla2[[#This Row],[Costos (En RD$/Tarea)]])</f>
        <v>864.2313470119866</v>
      </c>
      <c r="O463" s="6">
        <f>IF(Tabla2[[#This Row],[Costos (En RD$/Tarea)]]=0,0,Tabla2[[#This Row],[Beneficio Neto  (En RD$/Tarea)]]/Tabla2[[#This Row],[Costos (En RD$/Tarea)]])</f>
        <v>0.27105997070951859</v>
      </c>
      <c r="P463" s="4">
        <f>Tabla2[[#This Row],[Rentabilidad (%)]]/12</f>
        <v>2.2588330892459884E-2</v>
      </c>
    </row>
    <row r="464" spans="1:16" x14ac:dyDescent="0.35">
      <c r="A464" s="1">
        <v>37681</v>
      </c>
      <c r="B464" t="s">
        <v>25</v>
      </c>
      <c r="C464" s="2">
        <v>19530</v>
      </c>
      <c r="D464" s="5" t="s">
        <v>17</v>
      </c>
      <c r="E464" s="2">
        <f>IF(Tabla2[[#This Row],[Frecuencia]]="Annual", Tabla2[[#This Row],[Cosecha/Tarea]]/12,Tabla2[[#This Row],[Cosecha/Tarea]])</f>
        <v>19530</v>
      </c>
      <c r="F464" s="2">
        <v>197747</v>
      </c>
      <c r="G464" t="s">
        <v>18</v>
      </c>
      <c r="H464">
        <f>F464/Tabla2[[#This Row],[Cosecha Mensual]]</f>
        <v>10.125294418842806</v>
      </c>
      <c r="I464">
        <f>H464*_xlfn.XLOOKUP(Tabla2[[#This Row],[Unidad de producción]],Tabla3[Medida],Tabla3[Equivalencia en Kg],"ELVIS",0)</f>
        <v>459.28335483870967</v>
      </c>
      <c r="J464">
        <v>99.679199999999994</v>
      </c>
      <c r="K464" t="s">
        <v>18</v>
      </c>
      <c r="L464">
        <f>J464/_xlfn.XLOOKUP(Tabla2[[#This Row],[Unidad de precio]],Tabla3[Medida],Tabla3[Equivalencia en Kg],"ELVIS",0)</f>
        <v>2.1975132275132276</v>
      </c>
      <c r="M464">
        <v>1396.74</v>
      </c>
      <c r="N464" s="2">
        <f>(Tabla2[[#This Row],[Productividad (kg/TAS)]]*Tabla2[[#This Row],[Precio por kg]]-Tabla2[[#This Row],[Costos (En RD$/Tarea)]])</f>
        <v>-387.45875256528416</v>
      </c>
      <c r="O464" s="6">
        <f>IF(Tabla2[[#This Row],[Costos (En RD$/Tarea)]]=0,0,Tabla2[[#This Row],[Beneficio Neto  (En RD$/Tarea)]]/Tabla2[[#This Row],[Costos (En RD$/Tarea)]])</f>
        <v>-0.2774022026757193</v>
      </c>
      <c r="P464" s="4">
        <f>Tabla2[[#This Row],[Rentabilidad (%)]]/12</f>
        <v>-2.3116850222976607E-2</v>
      </c>
    </row>
    <row r="465" spans="1:16" x14ac:dyDescent="0.35">
      <c r="A465" s="1">
        <v>37681</v>
      </c>
      <c r="B465" t="s">
        <v>26</v>
      </c>
      <c r="C465" s="2">
        <v>8926</v>
      </c>
      <c r="D465" s="5" t="s">
        <v>17</v>
      </c>
      <c r="E465" s="2">
        <f>IF(Tabla2[[#This Row],[Frecuencia]]="Annual", Tabla2[[#This Row],[Cosecha/Tarea]]/12,Tabla2[[#This Row],[Cosecha/Tarea]])</f>
        <v>8926</v>
      </c>
      <c r="F465" s="2">
        <v>48360</v>
      </c>
      <c r="G465" t="s">
        <v>18</v>
      </c>
      <c r="H465">
        <f>F465/Tabla2[[#This Row],[Cosecha Mensual]]</f>
        <v>5.4178803495406678</v>
      </c>
      <c r="I465">
        <f>H465*_xlfn.XLOOKUP(Tabla2[[#This Row],[Unidad de producción]],Tabla3[Medida],Tabla3[Equivalencia en Kg],"ELVIS",0)</f>
        <v>245.75505265516469</v>
      </c>
      <c r="J465">
        <v>271.875</v>
      </c>
      <c r="K465" t="s">
        <v>18</v>
      </c>
      <c r="L465">
        <f>J465/_xlfn.XLOOKUP(Tabla2[[#This Row],[Unidad de precio]],Tabla3[Medida],Tabla3[Equivalencia en Kg],"ELVIS",0)</f>
        <v>5.9937169312169312</v>
      </c>
      <c r="M465">
        <v>1217.1099999999999</v>
      </c>
      <c r="N465" s="2">
        <f>(Tabla2[[#This Row],[Productividad (kg/TAS)]]*Tabla2[[#This Row],[Precio por kg]]-Tabla2[[#This Row],[Costos (En RD$/Tarea)]])</f>
        <v>255.87622003136903</v>
      </c>
      <c r="O465" s="6">
        <f>IF(Tabla2[[#This Row],[Costos (En RD$/Tarea)]]=0,0,Tabla2[[#This Row],[Beneficio Neto  (En RD$/Tarea)]]/Tabla2[[#This Row],[Costos (En RD$/Tarea)]])</f>
        <v>0.21023261663396822</v>
      </c>
      <c r="P465" s="4">
        <f>Tabla2[[#This Row],[Rentabilidad (%)]]/12</f>
        <v>1.7519384719497353E-2</v>
      </c>
    </row>
    <row r="466" spans="1:16" x14ac:dyDescent="0.35">
      <c r="A466" s="1">
        <v>37681</v>
      </c>
      <c r="B466" t="s">
        <v>27</v>
      </c>
      <c r="C466" s="2">
        <v>3327</v>
      </c>
      <c r="D466" s="5" t="s">
        <v>17</v>
      </c>
      <c r="E466" s="2">
        <f>IF(Tabla2[[#This Row],[Frecuencia]]="Annual", Tabla2[[#This Row],[Cosecha/Tarea]]/12,Tabla2[[#This Row],[Cosecha/Tarea]])</f>
        <v>3327</v>
      </c>
      <c r="F466" s="2">
        <v>33603</v>
      </c>
      <c r="G466" t="s">
        <v>18</v>
      </c>
      <c r="H466">
        <f>F466/Tabla2[[#This Row],[Cosecha Mensual]]</f>
        <v>10.100090171325519</v>
      </c>
      <c r="I466">
        <f>H466*_xlfn.XLOOKUP(Tabla2[[#This Row],[Unidad de producción]],Tabla3[Medida],Tabla3[Equivalencia en Kg],"ELVIS",0)</f>
        <v>458.14009017132554</v>
      </c>
      <c r="J466">
        <v>252.20500000000001</v>
      </c>
      <c r="K466" t="s">
        <v>18</v>
      </c>
      <c r="L466">
        <f>J466/_xlfn.XLOOKUP(Tabla2[[#This Row],[Unidad de precio]],Tabla3[Medida],Tabla3[Equivalencia en Kg],"ELVIS",0)</f>
        <v>5.5600749559082896</v>
      </c>
      <c r="M466">
        <v>3938.29</v>
      </c>
      <c r="N466" s="2">
        <f>(Tabla2[[#This Row],[Productividad (kg/TAS)]]*Tabla2[[#This Row],[Precio por kg]]-Tabla2[[#This Row],[Costos (En RD$/Tarea)]])</f>
        <v>-1390.9967583408475</v>
      </c>
      <c r="O466" s="6">
        <f>IF(Tabla2[[#This Row],[Costos (En RD$/Tarea)]]=0,0,Tabla2[[#This Row],[Beneficio Neto  (En RD$/Tarea)]]/Tabla2[[#This Row],[Costos (En RD$/Tarea)]])</f>
        <v>-0.35319815410770855</v>
      </c>
      <c r="P466" s="4">
        <f>Tabla2[[#This Row],[Rentabilidad (%)]]/12</f>
        <v>-2.9433179508975713E-2</v>
      </c>
    </row>
    <row r="467" spans="1:16" x14ac:dyDescent="0.35">
      <c r="A467" s="1">
        <v>37681</v>
      </c>
      <c r="B467" t="s">
        <v>28</v>
      </c>
      <c r="C467" s="2">
        <v>4295</v>
      </c>
      <c r="D467" s="5" t="s">
        <v>17</v>
      </c>
      <c r="E467" s="2">
        <f>IF(Tabla2[[#This Row],[Frecuencia]]="Annual", Tabla2[[#This Row],[Cosecha/Tarea]]/12,Tabla2[[#This Row],[Cosecha/Tarea]])</f>
        <v>4295</v>
      </c>
      <c r="F467" s="2">
        <v>6111</v>
      </c>
      <c r="G467" t="s">
        <v>29</v>
      </c>
      <c r="H467">
        <f>F467/Tabla2[[#This Row],[Cosecha Mensual]]</f>
        <v>1.4228172293364376</v>
      </c>
      <c r="I467">
        <f>H467*_xlfn.XLOOKUP(Tabla2[[#This Row],[Unidad de producción]],Tabla3[Medida],Tabla3[Equivalencia en Kg],"ELVIS",0)</f>
        <v>800.10704074505236</v>
      </c>
      <c r="J467">
        <v>2566.66</v>
      </c>
      <c r="K467" t="s">
        <v>29</v>
      </c>
      <c r="L467">
        <f>J467/_xlfn.XLOOKUP(Tabla2[[#This Row],[Unidad de precio]],Tabla3[Medida],Tabla3[Equivalencia en Kg],"ELVIS",0)</f>
        <v>4.5642493864921576</v>
      </c>
      <c r="M467">
        <v>7517.1463872000004</v>
      </c>
      <c r="N467" s="2">
        <f>(Tabla2[[#This Row],[Productividad (kg/TAS)]]*Tabla2[[#This Row],[Precio por kg]]-Tabla2[[#This Row],[Costos (En RD$/Tarea)]])</f>
        <v>-3865.2583173513394</v>
      </c>
      <c r="O467" s="6">
        <f>IF(Tabla2[[#This Row],[Costos (En RD$/Tarea)]]=0,0,Tabla2[[#This Row],[Beneficio Neto  (En RD$/Tarea)]]/Tabla2[[#This Row],[Costos (En RD$/Tarea)]])</f>
        <v>-0.51419223708786621</v>
      </c>
      <c r="P467" s="4">
        <f>Tabla2[[#This Row],[Rentabilidad (%)]]/12</f>
        <v>-4.2849353090655518E-2</v>
      </c>
    </row>
    <row r="468" spans="1:16" x14ac:dyDescent="0.35">
      <c r="A468" s="1">
        <v>37681</v>
      </c>
      <c r="B468" t="s">
        <v>30</v>
      </c>
      <c r="C468" s="2">
        <v>234278</v>
      </c>
      <c r="D468" s="2" t="s">
        <v>31</v>
      </c>
      <c r="E468" s="2">
        <f>IF(Tabla2[[#This Row],[Frecuencia]]="Annual", Tabla2[[#This Row],[Cosecha/Tarea]]/12,Tabla2[[#This Row],[Cosecha/Tarea]])</f>
        <v>19523.166666666668</v>
      </c>
      <c r="F468" s="2">
        <v>1516989</v>
      </c>
      <c r="G468" t="s">
        <v>32</v>
      </c>
      <c r="H468">
        <f>F468/Tabla2[[#This Row],[Cosecha Mensual]]</f>
        <v>77.701995065691179</v>
      </c>
      <c r="I468">
        <f>H468*_xlfn.XLOOKUP(Tabla2[[#This Row],[Unidad de producción]],Tabla3[Medida],Tabla3[Equivalencia en Kg],"ELVIS",0)</f>
        <v>2114.2712857374572</v>
      </c>
      <c r="J468">
        <v>31.276</v>
      </c>
      <c r="K468" t="s">
        <v>32</v>
      </c>
      <c r="L468">
        <f>J468/_xlfn.XLOOKUP(Tabla2[[#This Row],[Unidad de precio]],Tabla3[Medida],Tabla3[Equivalencia en Kg],"ELVIS",0)</f>
        <v>1.1494303564865858</v>
      </c>
      <c r="M468" s="2">
        <v>6435.96</v>
      </c>
      <c r="N468" s="2">
        <f>(Tabla2[[#This Row],[Productividad (kg/TAS)]]*Tabla2[[#This Row],[Precio por kg]]-Tabla2[[#This Row],[Costos (En RD$/Tarea)]])</f>
        <v>-4005.7524023254427</v>
      </c>
      <c r="O468" s="6">
        <f>IF(Tabla2[[#This Row],[Costos (En RD$/Tarea)]]=0,0,Tabla2[[#This Row],[Beneficio Neto  (En RD$/Tarea)]]/Tabla2[[#This Row],[Costos (En RD$/Tarea)]])</f>
        <v>-0.62240169334884654</v>
      </c>
      <c r="P468" s="4">
        <f>Tabla2[[#This Row],[Rentabilidad (%)]]/12</f>
        <v>-5.1866807779070545E-2</v>
      </c>
    </row>
    <row r="469" spans="1:16" x14ac:dyDescent="0.35">
      <c r="A469" s="1">
        <v>37681</v>
      </c>
      <c r="B469" t="s">
        <v>33</v>
      </c>
      <c r="C469" s="2">
        <v>672318</v>
      </c>
      <c r="D469" s="2" t="s">
        <v>31</v>
      </c>
      <c r="E469" s="2">
        <f>IF(Tabla2[[#This Row],[Frecuencia]]="Annual", Tabla2[[#This Row],[Cosecha/Tarea]]/12,Tabla2[[#This Row],[Cosecha/Tarea]])</f>
        <v>56026.5</v>
      </c>
      <c r="F469" s="2">
        <v>94843</v>
      </c>
      <c r="G469" t="s">
        <v>34</v>
      </c>
      <c r="H469">
        <f>F469/Tabla2[[#This Row],[Cosecha Mensual]]</f>
        <v>1.6928239315323999</v>
      </c>
      <c r="I469">
        <f>H469*_xlfn.XLOOKUP(Tabla2[[#This Row],[Unidad de producción]],Tabla3[Medida],Tabla3[Equivalencia en Kg],"ELVIS",0)</f>
        <v>690.92608765494901</v>
      </c>
      <c r="J469">
        <v>1379.1566666666699</v>
      </c>
      <c r="K469" t="s">
        <v>34</v>
      </c>
      <c r="L469">
        <f>J469/_xlfn.XLOOKUP(Tabla2[[#This Row],[Unidad de precio]],Tabla3[Medida],Tabla3[Equivalencia en Kg],"ELVIS",0)</f>
        <v>3.3790436522520397</v>
      </c>
      <c r="M469" s="2">
        <v>8666.64</v>
      </c>
      <c r="N469" s="2">
        <f>(Tabla2[[#This Row],[Productividad (kg/TAS)]]*Tabla2[[#This Row],[Precio por kg]]-Tabla2[[#This Row],[Costos (En RD$/Tarea)]])</f>
        <v>-6331.970589334207</v>
      </c>
      <c r="O469" s="6">
        <f>IF(Tabla2[[#This Row],[Costos (En RD$/Tarea)]]=0,0,Tabla2[[#This Row],[Beneficio Neto  (En RD$/Tarea)]]/Tabla2[[#This Row],[Costos (En RD$/Tarea)]])</f>
        <v>-0.73061423912083656</v>
      </c>
      <c r="P469" s="4">
        <f>Tabla2[[#This Row],[Rentabilidad (%)]]/12</f>
        <v>-6.088451992673638E-2</v>
      </c>
    </row>
    <row r="470" spans="1:16" x14ac:dyDescent="0.35">
      <c r="A470" s="1">
        <v>37712</v>
      </c>
      <c r="B470" t="s">
        <v>16</v>
      </c>
      <c r="C470" s="2">
        <v>3927</v>
      </c>
      <c r="D470" s="5" t="s">
        <v>17</v>
      </c>
      <c r="E470" s="2">
        <f>IF(Tabla2[[#This Row],[Frecuencia]]="Annual", Tabla2[[#This Row],[Cosecha/Tarea]]/12,Tabla2[[#This Row],[Cosecha/Tarea]])</f>
        <v>3927</v>
      </c>
      <c r="F470" s="2">
        <v>12643</v>
      </c>
      <c r="G470" t="s">
        <v>18</v>
      </c>
      <c r="H470">
        <f>F470/Tabla2[[#This Row],[Cosecha Mensual]]</f>
        <v>3.2195059842118665</v>
      </c>
      <c r="I470">
        <f>H470*_xlfn.XLOOKUP(Tabla2[[#This Row],[Unidad de producción]],Tabla3[Medida],Tabla3[Equivalencia en Kg],"ELVIS",0)</f>
        <v>146.03679144385026</v>
      </c>
      <c r="J470">
        <v>919.69196919692001</v>
      </c>
      <c r="K470" t="s">
        <v>19</v>
      </c>
      <c r="L470">
        <f>J470/_xlfn.XLOOKUP(Tabla2[[#This Row],[Unidad de precio]],Tabla3[Medida],Tabla3[Equivalencia en Kg],"ELVIS",0)</f>
        <v>8.3608360836083637</v>
      </c>
      <c r="M470">
        <v>4275.41</v>
      </c>
      <c r="N470" s="2">
        <f>(Tabla2[[#This Row],[Productividad (kg/TAS)]]*Tabla2[[#This Row],[Precio por kg]]-Tabla2[[#This Row],[Costos (En RD$/Tarea)]])</f>
        <v>-3054.4203245618673</v>
      </c>
      <c r="O470" s="6">
        <f>IF(Tabla2[[#This Row],[Costos (En RD$/Tarea)]]=0,0,Tabla2[[#This Row],[Beneficio Neto  (En RD$/Tarea)]]/Tabla2[[#This Row],[Costos (En RD$/Tarea)]])</f>
        <v>-0.71441576937927997</v>
      </c>
      <c r="P470" s="4">
        <f>Tabla2[[#This Row],[Rentabilidad (%)]]/12</f>
        <v>-5.9534647448273331E-2</v>
      </c>
    </row>
    <row r="471" spans="1:16" x14ac:dyDescent="0.35">
      <c r="A471" s="1">
        <v>37712</v>
      </c>
      <c r="B471" t="s">
        <v>20</v>
      </c>
      <c r="C471" s="2">
        <v>36498</v>
      </c>
      <c r="D471" s="5" t="s">
        <v>17</v>
      </c>
      <c r="E471" s="2">
        <f>IF(Tabla2[[#This Row],[Frecuencia]]="Annual", Tabla2[[#This Row],[Cosecha/Tarea]]/12,Tabla2[[#This Row],[Cosecha/Tarea]])</f>
        <v>36498</v>
      </c>
      <c r="F471" s="2">
        <v>79666</v>
      </c>
      <c r="G471" t="s">
        <v>18</v>
      </c>
      <c r="H471">
        <f>F471/Tabla2[[#This Row],[Cosecha Mensual]]</f>
        <v>2.182749739711765</v>
      </c>
      <c r="I471">
        <f>H471*_xlfn.XLOOKUP(Tabla2[[#This Row],[Unidad de producción]],Tabla3[Medida],Tabla3[Equivalencia en Kg],"ELVIS",0)</f>
        <v>99.009528193325664</v>
      </c>
      <c r="J471">
        <v>163.02199999999999</v>
      </c>
      <c r="K471" t="s">
        <v>18</v>
      </c>
      <c r="L471">
        <f>J471/_xlfn.XLOOKUP(Tabla2[[#This Row],[Unidad de precio]],Tabla3[Medida],Tabla3[Equivalencia en Kg],"ELVIS",0)</f>
        <v>3.5939594356261022</v>
      </c>
      <c r="M471">
        <v>938.62</v>
      </c>
      <c r="N471" s="2">
        <f>(Tabla2[[#This Row],[Productividad (kg/TAS)]]*Tabla2[[#This Row],[Precio por kg]]-Tabla2[[#This Row],[Costos (En RD$/Tarea)]])</f>
        <v>-582.78377193270865</v>
      </c>
      <c r="O471" s="6">
        <f>IF(Tabla2[[#This Row],[Costos (En RD$/Tarea)]]=0,0,Tabla2[[#This Row],[Beneficio Neto  (En RD$/Tarea)]]/Tabla2[[#This Row],[Costos (En RD$/Tarea)]])</f>
        <v>-0.62089426171689144</v>
      </c>
      <c r="P471" s="4">
        <f>Tabla2[[#This Row],[Rentabilidad (%)]]/12</f>
        <v>-5.1741188476407622E-2</v>
      </c>
    </row>
    <row r="472" spans="1:16" x14ac:dyDescent="0.35">
      <c r="A472" s="1">
        <v>37712</v>
      </c>
      <c r="B472" t="s">
        <v>21</v>
      </c>
      <c r="C472" s="2">
        <v>7027</v>
      </c>
      <c r="D472" s="5" t="s">
        <v>17</v>
      </c>
      <c r="E472" s="2">
        <f>IF(Tabla2[[#This Row],[Frecuencia]]="Annual", Tabla2[[#This Row],[Cosecha/Tarea]]/12,Tabla2[[#This Row],[Cosecha/Tarea]])</f>
        <v>7027</v>
      </c>
      <c r="F472" s="2">
        <v>69939</v>
      </c>
      <c r="G472" t="s">
        <v>18</v>
      </c>
      <c r="H472">
        <f>F472/Tabla2[[#This Row],[Cosecha Mensual]]</f>
        <v>9.9528959726768171</v>
      </c>
      <c r="I472">
        <f>H472*_xlfn.XLOOKUP(Tabla2[[#This Row],[Unidad de producción]],Tabla3[Medida],Tabla3[Equivalencia en Kg],"ELVIS",0)</f>
        <v>451.46336132062044</v>
      </c>
      <c r="J472">
        <v>109.565625</v>
      </c>
      <c r="K472" t="s">
        <v>18</v>
      </c>
      <c r="L472">
        <f>J472/_xlfn.XLOOKUP(Tabla2[[#This Row],[Unidad de precio]],Tabla3[Medida],Tabla3[Equivalencia en Kg],"ELVIS",0)</f>
        <v>2.4154679232804233</v>
      </c>
      <c r="M472">
        <v>1545.78</v>
      </c>
      <c r="N472" s="2">
        <f>(Tabla2[[#This Row],[Productividad (kg/TAS)]]*Tabla2[[#This Row],[Precio por kg]]-Tabla2[[#This Row],[Costos (En RD$/Tarea)]])</f>
        <v>-455.28473219368152</v>
      </c>
      <c r="O472" s="6">
        <f>IF(Tabla2[[#This Row],[Costos (En RD$/Tarea)]]=0,0,Tabla2[[#This Row],[Beneficio Neto  (En RD$/Tarea)]]/Tabla2[[#This Row],[Costos (En RD$/Tarea)]])</f>
        <v>-0.29453397779352919</v>
      </c>
      <c r="P472" s="4">
        <f>Tabla2[[#This Row],[Rentabilidad (%)]]/12</f>
        <v>-2.4544498149460765E-2</v>
      </c>
    </row>
    <row r="473" spans="1:16" x14ac:dyDescent="0.35">
      <c r="A473" s="1">
        <v>37712</v>
      </c>
      <c r="B473" t="s">
        <v>22</v>
      </c>
      <c r="C473" s="2">
        <v>4494</v>
      </c>
      <c r="D473" s="5" t="s">
        <v>17</v>
      </c>
      <c r="E473" s="2">
        <f>IF(Tabla2[[#This Row],[Frecuencia]]="Annual", Tabla2[[#This Row],[Cosecha/Tarea]]/12,Tabla2[[#This Row],[Cosecha/Tarea]])</f>
        <v>4494</v>
      </c>
      <c r="F473" s="2">
        <v>40314</v>
      </c>
      <c r="G473" t="s">
        <v>18</v>
      </c>
      <c r="H473">
        <f>F473/Tabla2[[#This Row],[Cosecha Mensual]]</f>
        <v>8.9706275033377842</v>
      </c>
      <c r="I473">
        <f>H473*_xlfn.XLOOKUP(Tabla2[[#This Row],[Unidad de producción]],Tabla3[Medida],Tabla3[Equivalencia en Kg],"ELVIS",0)</f>
        <v>406.90766355140187</v>
      </c>
      <c r="J473">
        <v>354.82499999999999</v>
      </c>
      <c r="K473" t="s">
        <v>18</v>
      </c>
      <c r="L473">
        <f>J473/_xlfn.XLOOKUP(Tabla2[[#This Row],[Unidad de precio]],Tabla3[Medida],Tabla3[Equivalencia en Kg],"ELVIS",0)</f>
        <v>7.8224206349206344</v>
      </c>
      <c r="M473">
        <v>3985.46</v>
      </c>
      <c r="N473" s="2">
        <f>(Tabla2[[#This Row],[Productividad (kg/TAS)]]*Tabla2[[#This Row],[Precio por kg]]-Tabla2[[#This Row],[Costos (En RD$/Tarea)]])</f>
        <v>-802.45709612817109</v>
      </c>
      <c r="O473" s="6">
        <f>IF(Tabla2[[#This Row],[Costos (En RD$/Tarea)]]=0,0,Tabla2[[#This Row],[Beneficio Neto  (En RD$/Tarea)]]/Tabla2[[#This Row],[Costos (En RD$/Tarea)]])</f>
        <v>-0.20134616735036134</v>
      </c>
      <c r="P473" s="4">
        <f>Tabla2[[#This Row],[Rentabilidad (%)]]/12</f>
        <v>-1.677884727919678E-2</v>
      </c>
    </row>
    <row r="474" spans="1:16" x14ac:dyDescent="0.35">
      <c r="A474" s="1">
        <v>37712</v>
      </c>
      <c r="B474" t="s">
        <v>23</v>
      </c>
      <c r="C474" s="2">
        <v>3282</v>
      </c>
      <c r="D474" s="5" t="s">
        <v>17</v>
      </c>
      <c r="E474" s="2">
        <f>IF(Tabla2[[#This Row],[Frecuencia]]="Annual", Tabla2[[#This Row],[Cosecha/Tarea]]/12,Tabla2[[#This Row],[Cosecha/Tarea]])</f>
        <v>3282</v>
      </c>
      <c r="F474" s="2">
        <v>103473</v>
      </c>
      <c r="G474" t="s">
        <v>18</v>
      </c>
      <c r="H474">
        <f>F474/Tabla2[[#This Row],[Cosecha Mensual]]</f>
        <v>31.527422303473493</v>
      </c>
      <c r="I474">
        <f>H474*_xlfn.XLOOKUP(Tabla2[[#This Row],[Unidad de producción]],Tabla3[Medida],Tabla3[Equivalencia en Kg],"ELVIS",0)</f>
        <v>1430.0838756855576</v>
      </c>
      <c r="J474">
        <v>196.35</v>
      </c>
      <c r="K474" t="s">
        <v>18</v>
      </c>
      <c r="L474">
        <f>J474/_xlfn.XLOOKUP(Tabla2[[#This Row],[Unidad de precio]],Tabla3[Medida],Tabla3[Equivalencia en Kg],"ELVIS",0)</f>
        <v>4.3287037037037033</v>
      </c>
      <c r="M474">
        <v>9309.9599999999991</v>
      </c>
      <c r="N474" s="2">
        <f>(Tabla2[[#This Row],[Productividad (kg/TAS)]]*Tabla2[[#This Row],[Precio por kg]]-Tabla2[[#This Row],[Costos (En RD$/Tarea)]])</f>
        <v>-3119.5506307129799</v>
      </c>
      <c r="O474" s="6">
        <f>IF(Tabla2[[#This Row],[Costos (En RD$/Tarea)]]=0,0,Tabla2[[#This Row],[Beneficio Neto  (En RD$/Tarea)]]/Tabla2[[#This Row],[Costos (En RD$/Tarea)]])</f>
        <v>-0.33507669535776524</v>
      </c>
      <c r="P474" s="4">
        <f>Tabla2[[#This Row],[Rentabilidad (%)]]/12</f>
        <v>-2.7923057946480437E-2</v>
      </c>
    </row>
    <row r="475" spans="1:16" x14ac:dyDescent="0.35">
      <c r="A475" s="1">
        <v>37712</v>
      </c>
      <c r="B475" t="s">
        <v>24</v>
      </c>
      <c r="C475" s="2">
        <v>11288</v>
      </c>
      <c r="D475" s="5" t="s">
        <v>17</v>
      </c>
      <c r="E475" s="2">
        <f>IF(Tabla2[[#This Row],[Frecuencia]]="Annual", Tabla2[[#This Row],[Cosecha/Tarea]]/12,Tabla2[[#This Row],[Cosecha/Tarea]])</f>
        <v>11288</v>
      </c>
      <c r="F475" s="2">
        <v>154713</v>
      </c>
      <c r="G475" t="s">
        <v>18</v>
      </c>
      <c r="H475">
        <f>F475/Tabla2[[#This Row],[Cosecha Mensual]]</f>
        <v>13.705970942593906</v>
      </c>
      <c r="I475">
        <f>H475*_xlfn.XLOOKUP(Tabla2[[#This Row],[Unidad de producción]],Tabla3[Medida],Tabla3[Equivalencia en Kg],"ELVIS",0)</f>
        <v>621.70284195605961</v>
      </c>
      <c r="J475">
        <v>330</v>
      </c>
      <c r="K475" t="s">
        <v>18</v>
      </c>
      <c r="L475">
        <f>J475/_xlfn.XLOOKUP(Tabla2[[#This Row],[Unidad de precio]],Tabla3[Medida],Tabla3[Equivalencia en Kg],"ELVIS",0)</f>
        <v>7.2751322751322753</v>
      </c>
      <c r="M475">
        <v>3188.34</v>
      </c>
      <c r="N475" s="2">
        <f>(Tabla2[[#This Row],[Productividad (kg/TAS)]]*Tabla2[[#This Row],[Precio por kg]]-Tabla2[[#This Row],[Costos (En RD$/Tarea)]])</f>
        <v>1334.6304110559895</v>
      </c>
      <c r="O475" s="6">
        <f>IF(Tabla2[[#This Row],[Costos (En RD$/Tarea)]]=0,0,Tabla2[[#This Row],[Beneficio Neto  (En RD$/Tarea)]]/Tabla2[[#This Row],[Costos (En RD$/Tarea)]])</f>
        <v>0.41859726724752988</v>
      </c>
      <c r="P475" s="4">
        <f>Tabla2[[#This Row],[Rentabilidad (%)]]/12</f>
        <v>3.4883105603960823E-2</v>
      </c>
    </row>
    <row r="476" spans="1:16" x14ac:dyDescent="0.35">
      <c r="A476" s="1">
        <v>37712</v>
      </c>
      <c r="B476" t="s">
        <v>25</v>
      </c>
      <c r="C476" s="2">
        <v>25732</v>
      </c>
      <c r="D476" s="5" t="s">
        <v>17</v>
      </c>
      <c r="E476" s="2">
        <f>IF(Tabla2[[#This Row],[Frecuencia]]="Annual", Tabla2[[#This Row],[Cosecha/Tarea]]/12,Tabla2[[#This Row],[Cosecha/Tarea]])</f>
        <v>25732</v>
      </c>
      <c r="F476" s="2">
        <v>262365</v>
      </c>
      <c r="G476" t="s">
        <v>18</v>
      </c>
      <c r="H476">
        <f>F476/Tabla2[[#This Row],[Cosecha Mensual]]</f>
        <v>10.196059381315093</v>
      </c>
      <c r="I476">
        <f>H476*_xlfn.XLOOKUP(Tabla2[[#This Row],[Unidad de producción]],Tabla3[Medida],Tabla3[Equivalencia en Kg],"ELVIS",0)</f>
        <v>462.49325353645264</v>
      </c>
      <c r="J476">
        <v>93.740399999999994</v>
      </c>
      <c r="K476" t="s">
        <v>18</v>
      </c>
      <c r="L476">
        <f>J476/_xlfn.XLOOKUP(Tabla2[[#This Row],[Unidad de precio]],Tabla3[Medida],Tabla3[Equivalencia en Kg],"ELVIS",0)</f>
        <v>2.0665873015873015</v>
      </c>
      <c r="M476">
        <v>1396.74</v>
      </c>
      <c r="N476" s="2">
        <f>(Tabla2[[#This Row],[Productividad (kg/TAS)]]*Tabla2[[#This Row],[Precio por kg]]-Tabla2[[#This Row],[Costos (En RD$/Tarea)]])</f>
        <v>-440.95731517177069</v>
      </c>
      <c r="O476" s="6">
        <f>IF(Tabla2[[#This Row],[Costos (En RD$/Tarea)]]=0,0,Tabla2[[#This Row],[Beneficio Neto  (En RD$/Tarea)]]/Tabla2[[#This Row],[Costos (En RD$/Tarea)]])</f>
        <v>-0.31570465166872197</v>
      </c>
      <c r="P476" s="4">
        <f>Tabla2[[#This Row],[Rentabilidad (%)]]/12</f>
        <v>-2.6308720972393496E-2</v>
      </c>
    </row>
    <row r="477" spans="1:16" x14ac:dyDescent="0.35">
      <c r="A477" s="1">
        <v>37712</v>
      </c>
      <c r="B477" t="s">
        <v>26</v>
      </c>
      <c r="C477" s="2">
        <v>9061</v>
      </c>
      <c r="D477" s="5" t="s">
        <v>17</v>
      </c>
      <c r="E477" s="2">
        <f>IF(Tabla2[[#This Row],[Frecuencia]]="Annual", Tabla2[[#This Row],[Cosecha/Tarea]]/12,Tabla2[[#This Row],[Cosecha/Tarea]])</f>
        <v>9061</v>
      </c>
      <c r="F477" s="2">
        <v>59712</v>
      </c>
      <c r="G477" t="s">
        <v>18</v>
      </c>
      <c r="H477">
        <f>F477/Tabla2[[#This Row],[Cosecha Mensual]]</f>
        <v>6.5900011036309456</v>
      </c>
      <c r="I477">
        <f>H477*_xlfn.XLOOKUP(Tabla2[[#This Row],[Unidad de producción]],Tabla3[Medida],Tabla3[Equivalencia en Kg],"ELVIS",0)</f>
        <v>298.9224500606997</v>
      </c>
      <c r="J477">
        <v>256.25</v>
      </c>
      <c r="K477" t="s">
        <v>18</v>
      </c>
      <c r="L477">
        <f>J477/_xlfn.XLOOKUP(Tabla2[[#This Row],[Unidad de precio]],Tabla3[Medida],Tabla3[Equivalencia en Kg],"ELVIS",0)</f>
        <v>5.6492504409171076</v>
      </c>
      <c r="M477">
        <v>1217.1099999999999</v>
      </c>
      <c r="N477" s="2">
        <f>(Tabla2[[#This Row],[Productividad (kg/TAS)]]*Tabla2[[#This Row],[Precio por kg]]-Tabla2[[#This Row],[Costos (En RD$/Tarea)]])</f>
        <v>471.57778280542993</v>
      </c>
      <c r="O477" s="6">
        <f>IF(Tabla2[[#This Row],[Costos (En RD$/Tarea)]]=0,0,Tabla2[[#This Row],[Beneficio Neto  (En RD$/Tarea)]]/Tabla2[[#This Row],[Costos (En RD$/Tarea)]])</f>
        <v>0.38745699468859018</v>
      </c>
      <c r="P477" s="4">
        <f>Tabla2[[#This Row],[Rentabilidad (%)]]/12</f>
        <v>3.2288082890715851E-2</v>
      </c>
    </row>
    <row r="478" spans="1:16" x14ac:dyDescent="0.35">
      <c r="A478" s="1">
        <v>37712</v>
      </c>
      <c r="B478" t="s">
        <v>27</v>
      </c>
      <c r="C478" s="2">
        <v>3901</v>
      </c>
      <c r="D478" s="5" t="s">
        <v>17</v>
      </c>
      <c r="E478" s="2">
        <f>IF(Tabla2[[#This Row],[Frecuencia]]="Annual", Tabla2[[#This Row],[Cosecha/Tarea]]/12,Tabla2[[#This Row],[Cosecha/Tarea]])</f>
        <v>3901</v>
      </c>
      <c r="F478" s="2">
        <v>38620</v>
      </c>
      <c r="G478" t="s">
        <v>18</v>
      </c>
      <c r="H478">
        <f>F478/Tabla2[[#This Row],[Cosecha Mensual]]</f>
        <v>9.9000256344527049</v>
      </c>
      <c r="I478">
        <f>H478*_xlfn.XLOOKUP(Tabla2[[#This Row],[Unidad de producción]],Tabla3[Medida],Tabla3[Equivalencia en Kg],"ELVIS",0)</f>
        <v>449.06516277877466</v>
      </c>
      <c r="J478">
        <v>213.9375</v>
      </c>
      <c r="K478" t="s">
        <v>18</v>
      </c>
      <c r="L478">
        <f>J478/_xlfn.XLOOKUP(Tabla2[[#This Row],[Unidad de precio]],Tabla3[Medida],Tabla3[Equivalencia en Kg],"ELVIS",0)</f>
        <v>4.7164351851851851</v>
      </c>
      <c r="M478">
        <v>3938.29</v>
      </c>
      <c r="N478" s="2">
        <f>(Tabla2[[#This Row],[Productividad (kg/TAS)]]*Tabla2[[#This Row],[Precio por kg]]-Tabla2[[#This Row],[Costos (En RD$/Tarea)]])</f>
        <v>-1820.3032658292746</v>
      </c>
      <c r="O478" s="6">
        <f>IF(Tabla2[[#This Row],[Costos (En RD$/Tarea)]]=0,0,Tabla2[[#This Row],[Beneficio Neto  (En RD$/Tarea)]]/Tabla2[[#This Row],[Costos (En RD$/Tarea)]])</f>
        <v>-0.46220650734945234</v>
      </c>
      <c r="P478" s="4">
        <f>Tabla2[[#This Row],[Rentabilidad (%)]]/12</f>
        <v>-3.8517208945787695E-2</v>
      </c>
    </row>
    <row r="479" spans="1:16" x14ac:dyDescent="0.35">
      <c r="A479" s="1">
        <v>37712</v>
      </c>
      <c r="B479" t="s">
        <v>28</v>
      </c>
      <c r="C479" s="2">
        <v>3306</v>
      </c>
      <c r="D479" s="5" t="s">
        <v>17</v>
      </c>
      <c r="E479" s="2">
        <f>IF(Tabla2[[#This Row],[Frecuencia]]="Annual", Tabla2[[#This Row],[Cosecha/Tarea]]/12,Tabla2[[#This Row],[Cosecha/Tarea]])</f>
        <v>3306</v>
      </c>
      <c r="F479" s="2">
        <v>4879</v>
      </c>
      <c r="G479" t="s">
        <v>29</v>
      </c>
      <c r="H479">
        <f>F479/Tabla2[[#This Row],[Cosecha Mensual]]</f>
        <v>1.4758015728977616</v>
      </c>
      <c r="I479">
        <f>H479*_xlfn.XLOOKUP(Tabla2[[#This Row],[Unidad de producción]],Tabla3[Medida],Tabla3[Equivalencia en Kg],"ELVIS",0)</f>
        <v>829.90225650332729</v>
      </c>
      <c r="J479">
        <v>2800</v>
      </c>
      <c r="K479" t="s">
        <v>29</v>
      </c>
      <c r="L479">
        <f>J479/_xlfn.XLOOKUP(Tabla2[[#This Row],[Unidad de precio]],Tabla3[Medida],Tabla3[Equivalencia en Kg],"ELVIS",0)</f>
        <v>4.9791940818721763</v>
      </c>
      <c r="M479">
        <v>7517.1463872000004</v>
      </c>
      <c r="N479" s="2">
        <f>(Tabla2[[#This Row],[Productividad (kg/TAS)]]*Tabla2[[#This Row],[Precio por kg]]-Tabla2[[#This Row],[Costos (En RD$/Tarea)]])</f>
        <v>-3384.901983086268</v>
      </c>
      <c r="O479" s="6">
        <f>IF(Tabla2[[#This Row],[Costos (En RD$/Tarea)]]=0,0,Tabla2[[#This Row],[Beneficio Neto  (En RD$/Tarea)]]/Tabla2[[#This Row],[Costos (En RD$/Tarea)]])</f>
        <v>-0.45029081631960638</v>
      </c>
      <c r="P479" s="4">
        <f>Tabla2[[#This Row],[Rentabilidad (%)]]/12</f>
        <v>-3.7524234693300532E-2</v>
      </c>
    </row>
    <row r="480" spans="1:16" x14ac:dyDescent="0.35">
      <c r="A480" s="1">
        <v>37712</v>
      </c>
      <c r="B480" t="s">
        <v>30</v>
      </c>
      <c r="C480" s="2">
        <v>223322</v>
      </c>
      <c r="D480" s="2" t="s">
        <v>31</v>
      </c>
      <c r="E480" s="2">
        <f>IF(Tabla2[[#This Row],[Frecuencia]]="Annual", Tabla2[[#This Row],[Cosecha/Tarea]]/12,Tabla2[[#This Row],[Cosecha/Tarea]])</f>
        <v>18610.166666666668</v>
      </c>
      <c r="F480" s="2">
        <v>1514711</v>
      </c>
      <c r="G480" t="s">
        <v>32</v>
      </c>
      <c r="H480">
        <f>F480/Tabla2[[#This Row],[Cosecha Mensual]]</f>
        <v>81.391587035760011</v>
      </c>
      <c r="I480">
        <f>H480*_xlfn.XLOOKUP(Tabla2[[#This Row],[Unidad de producción]],Tabla3[Medida],Tabla3[Equivalencia en Kg],"ELVIS",0)</f>
        <v>2214.66508324303</v>
      </c>
      <c r="J480">
        <v>29.387499999999999</v>
      </c>
      <c r="K480" t="s">
        <v>32</v>
      </c>
      <c r="L480">
        <f>J480/_xlfn.XLOOKUP(Tabla2[[#This Row],[Unidad de precio]],Tabla3[Medida],Tabla3[Equivalencia en Kg],"ELVIS",0)</f>
        <v>1.0800257258360897</v>
      </c>
      <c r="M480" s="2">
        <v>6435.96</v>
      </c>
      <c r="N480" s="2">
        <f>(Tabla2[[#This Row],[Productividad (kg/TAS)]]*Tabla2[[#This Row],[Precio por kg]]-Tabla2[[#This Row],[Costos (En RD$/Tarea)]])</f>
        <v>-4044.0647359866025</v>
      </c>
      <c r="O480" s="6">
        <f>IF(Tabla2[[#This Row],[Costos (En RD$/Tarea)]]=0,0,Tabla2[[#This Row],[Beneficio Neto  (En RD$/Tarea)]]/Tabla2[[#This Row],[Costos (En RD$/Tarea)]])</f>
        <v>-0.62835454788199463</v>
      </c>
      <c r="P480" s="4">
        <f>Tabla2[[#This Row],[Rentabilidad (%)]]/12</f>
        <v>-5.2362878990166221E-2</v>
      </c>
    </row>
    <row r="481" spans="1:16" x14ac:dyDescent="0.35">
      <c r="A481" s="1">
        <v>37712</v>
      </c>
      <c r="B481" t="s">
        <v>33</v>
      </c>
      <c r="C481" s="2">
        <v>682792</v>
      </c>
      <c r="D481" s="2" t="s">
        <v>31</v>
      </c>
      <c r="E481" s="2">
        <f>IF(Tabla2[[#This Row],[Frecuencia]]="Annual", Tabla2[[#This Row],[Cosecha/Tarea]]/12,Tabla2[[#This Row],[Cosecha/Tarea]])</f>
        <v>56899.333333333336</v>
      </c>
      <c r="F481" s="2">
        <v>99447</v>
      </c>
      <c r="G481" t="s">
        <v>34</v>
      </c>
      <c r="H481">
        <f>F481/Tabla2[[#This Row],[Cosecha Mensual]]</f>
        <v>1.7477709170581963</v>
      </c>
      <c r="I481">
        <f>H481*_xlfn.XLOOKUP(Tabla2[[#This Row],[Unidad de producción]],Tabla3[Medida],Tabla3[Equivalencia en Kg],"ELVIS",0)</f>
        <v>713.35269979730276</v>
      </c>
      <c r="J481">
        <v>1343.934</v>
      </c>
      <c r="K481" t="s">
        <v>34</v>
      </c>
      <c r="L481">
        <f>J481/_xlfn.XLOOKUP(Tabla2[[#This Row],[Unidad de precio]],Tabla3[Medida],Tabla3[Equivalencia en Kg],"ELVIS",0)</f>
        <v>3.2927453142227123</v>
      </c>
      <c r="M481" s="2">
        <v>8666.64</v>
      </c>
      <c r="N481" s="2">
        <f>(Tabla2[[#This Row],[Productividad (kg/TAS)]]*Tabla2[[#This Row],[Precio por kg]]-Tabla2[[#This Row],[Costos (En RD$/Tarea)]])</f>
        <v>-6317.7512403543096</v>
      </c>
      <c r="O481" s="6">
        <f>IF(Tabla2[[#This Row],[Costos (En RD$/Tarea)]]=0,0,Tabla2[[#This Row],[Beneficio Neto  (En RD$/Tarea)]]/Tabla2[[#This Row],[Costos (En RD$/Tarea)]])</f>
        <v>-0.72897353995946645</v>
      </c>
      <c r="P481" s="4">
        <f>Tabla2[[#This Row],[Rentabilidad (%)]]/12</f>
        <v>-6.0747794996622202E-2</v>
      </c>
    </row>
    <row r="482" spans="1:16" x14ac:dyDescent="0.35">
      <c r="A482" s="1">
        <v>37742</v>
      </c>
      <c r="B482" t="s">
        <v>16</v>
      </c>
      <c r="C482" s="2">
        <v>29543</v>
      </c>
      <c r="D482" s="5" t="s">
        <v>17</v>
      </c>
      <c r="E482" s="2">
        <f>IF(Tabla2[[#This Row],[Frecuencia]]="Annual", Tabla2[[#This Row],[Cosecha/Tarea]]/12,Tabla2[[#This Row],[Cosecha/Tarea]])</f>
        <v>29543</v>
      </c>
      <c r="F482" s="2">
        <v>133183</v>
      </c>
      <c r="G482" t="s">
        <v>18</v>
      </c>
      <c r="H482">
        <f>F482/Tabla2[[#This Row],[Cosecha Mensual]]</f>
        <v>4.5081068273364249</v>
      </c>
      <c r="I482">
        <f>H482*_xlfn.XLOOKUP(Tabla2[[#This Row],[Unidad de producción]],Tabla3[Medida],Tabla3[Equivalencia en Kg],"ELVIS",0)</f>
        <v>204.48772568798023</v>
      </c>
      <c r="J482">
        <v>677.66776677667804</v>
      </c>
      <c r="K482" t="s">
        <v>19</v>
      </c>
      <c r="L482">
        <f>J482/_xlfn.XLOOKUP(Tabla2[[#This Row],[Unidad de precio]],Tabla3[Medida],Tabla3[Equivalencia en Kg],"ELVIS",0)</f>
        <v>6.1606160616061638</v>
      </c>
      <c r="M482">
        <v>4275.41</v>
      </c>
      <c r="N482" s="2">
        <f>(Tabla2[[#This Row],[Productividad (kg/TAS)]]*Tabla2[[#This Row],[Precio por kg]]-Tabla2[[#This Row],[Costos (En RD$/Tarea)]])</f>
        <v>-3015.6396327253133</v>
      </c>
      <c r="O482" s="6">
        <f>IF(Tabla2[[#This Row],[Costos (En RD$/Tarea)]]=0,0,Tabla2[[#This Row],[Beneficio Neto  (En RD$/Tarea)]]/Tabla2[[#This Row],[Costos (En RD$/Tarea)]])</f>
        <v>-0.70534513244935881</v>
      </c>
      <c r="P482" s="4">
        <f>Tabla2[[#This Row],[Rentabilidad (%)]]/12</f>
        <v>-5.8778761037446565E-2</v>
      </c>
    </row>
    <row r="483" spans="1:16" x14ac:dyDescent="0.35">
      <c r="A483" s="1">
        <v>37742</v>
      </c>
      <c r="B483" t="s">
        <v>20</v>
      </c>
      <c r="C483" s="2">
        <v>44160</v>
      </c>
      <c r="D483" s="5" t="s">
        <v>17</v>
      </c>
      <c r="E483" s="2">
        <f>IF(Tabla2[[#This Row],[Frecuencia]]="Annual", Tabla2[[#This Row],[Cosecha/Tarea]]/12,Tabla2[[#This Row],[Cosecha/Tarea]])</f>
        <v>44160</v>
      </c>
      <c r="F483" s="2">
        <v>103396</v>
      </c>
      <c r="G483" t="s">
        <v>18</v>
      </c>
      <c r="H483">
        <f>F483/Tabla2[[#This Row],[Cosecha Mensual]]</f>
        <v>2.341394927536232</v>
      </c>
      <c r="I483">
        <f>H483*_xlfn.XLOOKUP(Tabla2[[#This Row],[Unidad de producción]],Tabla3[Medida],Tabla3[Equivalencia en Kg],"ELVIS",0)</f>
        <v>106.20567391304348</v>
      </c>
      <c r="J483">
        <v>189.85679999999999</v>
      </c>
      <c r="K483" t="s">
        <v>18</v>
      </c>
      <c r="L483">
        <f>J483/_xlfn.XLOOKUP(Tabla2[[#This Row],[Unidad de precio]],Tabla3[Medida],Tabla3[Equivalencia en Kg],"ELVIS",0)</f>
        <v>4.1855555555555553</v>
      </c>
      <c r="M483">
        <v>938.62</v>
      </c>
      <c r="N483" s="2">
        <f>(Tabla2[[#This Row],[Productividad (kg/TAS)]]*Tabla2[[#This Row],[Precio por kg]]-Tabla2[[#This Row],[Costos (En RD$/Tarea)]])</f>
        <v>-494.09025152173916</v>
      </c>
      <c r="O483" s="6">
        <f>IF(Tabla2[[#This Row],[Costos (En RD$/Tarea)]]=0,0,Tabla2[[#This Row],[Beneficio Neto  (En RD$/Tarea)]]/Tabla2[[#This Row],[Costos (En RD$/Tarea)]])</f>
        <v>-0.52640072821987505</v>
      </c>
      <c r="P483" s="4">
        <f>Tabla2[[#This Row],[Rentabilidad (%)]]/12</f>
        <v>-4.3866727351656254E-2</v>
      </c>
    </row>
    <row r="484" spans="1:16" x14ac:dyDescent="0.35">
      <c r="A484" s="1">
        <v>37742</v>
      </c>
      <c r="B484" t="s">
        <v>21</v>
      </c>
      <c r="C484" s="2">
        <v>6410</v>
      </c>
      <c r="D484" s="5" t="s">
        <v>17</v>
      </c>
      <c r="E484" s="2">
        <f>IF(Tabla2[[#This Row],[Frecuencia]]="Annual", Tabla2[[#This Row],[Cosecha/Tarea]]/12,Tabla2[[#This Row],[Cosecha/Tarea]])</f>
        <v>6410</v>
      </c>
      <c r="F484" s="2">
        <v>72193</v>
      </c>
      <c r="G484" t="s">
        <v>18</v>
      </c>
      <c r="H484">
        <f>F484/Tabla2[[#This Row],[Cosecha Mensual]]</f>
        <v>11.262558502340093</v>
      </c>
      <c r="I484">
        <f>H484*_xlfn.XLOOKUP(Tabla2[[#This Row],[Unidad de producción]],Tabla3[Medida],Tabla3[Equivalencia en Kg],"ELVIS",0)</f>
        <v>510.86965366614663</v>
      </c>
      <c r="J484">
        <v>144.16</v>
      </c>
      <c r="K484" t="s">
        <v>18</v>
      </c>
      <c r="L484">
        <f>J484/_xlfn.XLOOKUP(Tabla2[[#This Row],[Unidad de precio]],Tabla3[Medida],Tabla3[Equivalencia en Kg],"ELVIS",0)</f>
        <v>3.178130511463845</v>
      </c>
      <c r="M484">
        <v>1545.78</v>
      </c>
      <c r="N484" s="2">
        <f>(Tabla2[[#This Row],[Productividad (kg/TAS)]]*Tabla2[[#This Row],[Precio por kg]]-Tabla2[[#This Row],[Costos (En RD$/Tarea)]])</f>
        <v>77.830433697347871</v>
      </c>
      <c r="O484" s="6">
        <f>IF(Tabla2[[#This Row],[Costos (En RD$/Tarea)]]=0,0,Tabla2[[#This Row],[Beneficio Neto  (En RD$/Tarea)]]/Tabla2[[#This Row],[Costos (En RD$/Tarea)]])</f>
        <v>5.0350265689391681E-2</v>
      </c>
      <c r="P484" s="4">
        <f>Tabla2[[#This Row],[Rentabilidad (%)]]/12</f>
        <v>4.1958554741159731E-3</v>
      </c>
    </row>
    <row r="485" spans="1:16" x14ac:dyDescent="0.35">
      <c r="A485" s="1">
        <v>37742</v>
      </c>
      <c r="B485" t="s">
        <v>22</v>
      </c>
      <c r="C485" s="2">
        <v>4113</v>
      </c>
      <c r="D485" s="5" t="s">
        <v>17</v>
      </c>
      <c r="E485" s="2">
        <f>IF(Tabla2[[#This Row],[Frecuencia]]="Annual", Tabla2[[#This Row],[Cosecha/Tarea]]/12,Tabla2[[#This Row],[Cosecha/Tarea]])</f>
        <v>4113</v>
      </c>
      <c r="F485" s="2">
        <v>36650</v>
      </c>
      <c r="G485" t="s">
        <v>18</v>
      </c>
      <c r="H485">
        <f>F485/Tabla2[[#This Row],[Cosecha Mensual]]</f>
        <v>8.9107707269632872</v>
      </c>
      <c r="I485">
        <f>H485*_xlfn.XLOOKUP(Tabla2[[#This Row],[Unidad de producción]],Tabla3[Medida],Tabla3[Equivalencia en Kg],"ELVIS",0)</f>
        <v>404.19256017505472</v>
      </c>
      <c r="J485">
        <v>371</v>
      </c>
      <c r="K485" t="s">
        <v>18</v>
      </c>
      <c r="L485">
        <f>J485/_xlfn.XLOOKUP(Tabla2[[#This Row],[Unidad de precio]],Tabla3[Medida],Tabla3[Equivalencia en Kg],"ELVIS",0)</f>
        <v>8.1790123456790127</v>
      </c>
      <c r="M485">
        <v>3985.46</v>
      </c>
      <c r="N485" s="2">
        <f>(Tabla2[[#This Row],[Productividad (kg/TAS)]]*Tabla2[[#This Row],[Precio por kg]]-Tabla2[[#This Row],[Costos (En RD$/Tarea)]])</f>
        <v>-679.56406029662003</v>
      </c>
      <c r="O485" s="6">
        <f>IF(Tabla2[[#This Row],[Costos (En RD$/Tarea)]]=0,0,Tabla2[[#This Row],[Beneficio Neto  (En RD$/Tarea)]]/Tabla2[[#This Row],[Costos (En RD$/Tarea)]])</f>
        <v>-0.17051082191180442</v>
      </c>
      <c r="P485" s="4">
        <f>Tabla2[[#This Row],[Rentabilidad (%)]]/12</f>
        <v>-1.4209235159317034E-2</v>
      </c>
    </row>
    <row r="486" spans="1:16" x14ac:dyDescent="0.35">
      <c r="A486" s="1">
        <v>37742</v>
      </c>
      <c r="B486" t="s">
        <v>23</v>
      </c>
      <c r="C486" s="2">
        <v>3235</v>
      </c>
      <c r="D486" s="5" t="s">
        <v>17</v>
      </c>
      <c r="E486" s="2">
        <f>IF(Tabla2[[#This Row],[Frecuencia]]="Annual", Tabla2[[#This Row],[Cosecha/Tarea]]/12,Tabla2[[#This Row],[Cosecha/Tarea]])</f>
        <v>3235</v>
      </c>
      <c r="F486" s="2">
        <v>76996</v>
      </c>
      <c r="G486" t="s">
        <v>18</v>
      </c>
      <c r="H486">
        <f>F486/Tabla2[[#This Row],[Cosecha Mensual]]</f>
        <v>23.800927357032457</v>
      </c>
      <c r="I486">
        <f>H486*_xlfn.XLOOKUP(Tabla2[[#This Row],[Unidad de producción]],Tabla3[Medida],Tabla3[Equivalencia en Kg],"ELVIS",0)</f>
        <v>1079.6100649149921</v>
      </c>
      <c r="J486">
        <v>190.62666666666701</v>
      </c>
      <c r="K486" t="s">
        <v>18</v>
      </c>
      <c r="L486">
        <f>J486/_xlfn.XLOOKUP(Tabla2[[#This Row],[Unidad de precio]],Tabla3[Medida],Tabla3[Equivalencia en Kg],"ELVIS",0)</f>
        <v>4.2025279247501546</v>
      </c>
      <c r="M486">
        <v>9309.9599999999991</v>
      </c>
      <c r="N486" s="2">
        <f>(Tabla2[[#This Row],[Productividad (kg/TAS)]]*Tabla2[[#This Row],[Precio por kg]]-Tabla2[[#This Row],[Costos (En RD$/Tarea)]])</f>
        <v>-4772.8685543534175</v>
      </c>
      <c r="O486" s="6">
        <f>IF(Tabla2[[#This Row],[Costos (En RD$/Tarea)]]=0,0,Tabla2[[#This Row],[Beneficio Neto  (En RD$/Tarea)]]/Tabla2[[#This Row],[Costos (En RD$/Tarea)]])</f>
        <v>-0.51266262737470603</v>
      </c>
      <c r="P486" s="4">
        <f>Tabla2[[#This Row],[Rentabilidad (%)]]/12</f>
        <v>-4.2721885614558835E-2</v>
      </c>
    </row>
    <row r="487" spans="1:16" x14ac:dyDescent="0.35">
      <c r="A487" s="1">
        <v>37742</v>
      </c>
      <c r="B487" t="s">
        <v>24</v>
      </c>
      <c r="C487" s="2">
        <v>8475</v>
      </c>
      <c r="D487" s="5" t="s">
        <v>17</v>
      </c>
      <c r="E487" s="2">
        <f>IF(Tabla2[[#This Row],[Frecuencia]]="Annual", Tabla2[[#This Row],[Cosecha/Tarea]]/12,Tabla2[[#This Row],[Cosecha/Tarea]])</f>
        <v>8475</v>
      </c>
      <c r="F487" s="2">
        <v>129236</v>
      </c>
      <c r="G487" t="s">
        <v>18</v>
      </c>
      <c r="H487">
        <f>F487/Tabla2[[#This Row],[Cosecha Mensual]]</f>
        <v>15.249085545722714</v>
      </c>
      <c r="I487">
        <f>H487*_xlfn.XLOOKUP(Tabla2[[#This Row],[Unidad de producción]],Tabla3[Medida],Tabla3[Equivalencia en Kg],"ELVIS",0)</f>
        <v>691.6985203539823</v>
      </c>
      <c r="J487">
        <v>327.08249999999998</v>
      </c>
      <c r="K487" t="s">
        <v>18</v>
      </c>
      <c r="L487">
        <f>J487/_xlfn.XLOOKUP(Tabla2[[#This Row],[Unidad de precio]],Tabla3[Medida],Tabla3[Equivalencia en Kg],"ELVIS",0)</f>
        <v>7.2108134920634921</v>
      </c>
      <c r="M487">
        <v>3188.34</v>
      </c>
      <c r="N487" s="2">
        <f>(Tabla2[[#This Row],[Productividad (kg/TAS)]]*Tabla2[[#This Row],[Precio por kg]]-Tabla2[[#This Row],[Costos (En RD$/Tarea)]])</f>
        <v>1799.3690230088496</v>
      </c>
      <c r="O487" s="6">
        <f>IF(Tabla2[[#This Row],[Costos (En RD$/Tarea)]]=0,0,Tabla2[[#This Row],[Beneficio Neto  (En RD$/Tarea)]]/Tabla2[[#This Row],[Costos (En RD$/Tarea)]])</f>
        <v>0.56435920353815761</v>
      </c>
      <c r="P487" s="4">
        <f>Tabla2[[#This Row],[Rentabilidad (%)]]/12</f>
        <v>4.7029933628179803E-2</v>
      </c>
    </row>
    <row r="488" spans="1:16" x14ac:dyDescent="0.35">
      <c r="A488" s="1">
        <v>37742</v>
      </c>
      <c r="B488" t="s">
        <v>25</v>
      </c>
      <c r="C488" s="2">
        <v>21460</v>
      </c>
      <c r="D488" s="5" t="s">
        <v>17</v>
      </c>
      <c r="E488" s="2">
        <f>IF(Tabla2[[#This Row],[Frecuencia]]="Annual", Tabla2[[#This Row],[Cosecha/Tarea]]/12,Tabla2[[#This Row],[Cosecha/Tarea]])</f>
        <v>21460</v>
      </c>
      <c r="F488" s="2">
        <v>236326</v>
      </c>
      <c r="G488" t="s">
        <v>18</v>
      </c>
      <c r="H488">
        <f>F488/Tabla2[[#This Row],[Cosecha Mensual]]</f>
        <v>11.012395153774465</v>
      </c>
      <c r="I488">
        <f>H488*_xlfn.XLOOKUP(Tabla2[[#This Row],[Unidad de producción]],Tabla3[Medida],Tabla3[Equivalencia en Kg],"ELVIS",0)</f>
        <v>499.52224417520972</v>
      </c>
      <c r="J488">
        <v>97.0569285714286</v>
      </c>
      <c r="K488" t="s">
        <v>18</v>
      </c>
      <c r="L488">
        <f>J488/_xlfn.XLOOKUP(Tabla2[[#This Row],[Unidad de precio]],Tabla3[Medida],Tabla3[Equivalencia en Kg],"ELVIS",0)</f>
        <v>2.1397030108339639</v>
      </c>
      <c r="M488">
        <v>1396.74</v>
      </c>
      <c r="N488" s="2">
        <f>(Tabla2[[#This Row],[Productividad (kg/TAS)]]*Tabla2[[#This Row],[Precio por kg]]-Tabla2[[#This Row],[Costos (En RD$/Tarea)]])</f>
        <v>-327.91075015976526</v>
      </c>
      <c r="O488" s="6">
        <f>IF(Tabla2[[#This Row],[Costos (En RD$/Tarea)]]=0,0,Tabla2[[#This Row],[Beneficio Neto  (En RD$/Tarea)]]/Tabla2[[#This Row],[Costos (En RD$/Tarea)]])</f>
        <v>-0.23476863994713781</v>
      </c>
      <c r="P488" s="4">
        <f>Tabla2[[#This Row],[Rentabilidad (%)]]/12</f>
        <v>-1.956405332892815E-2</v>
      </c>
    </row>
    <row r="489" spans="1:16" x14ac:dyDescent="0.35">
      <c r="A489" s="1">
        <v>37742</v>
      </c>
      <c r="B489" t="s">
        <v>26</v>
      </c>
      <c r="C489" s="2">
        <v>10930</v>
      </c>
      <c r="D489" s="5" t="s">
        <v>17</v>
      </c>
      <c r="E489" s="2">
        <f>IF(Tabla2[[#This Row],[Frecuencia]]="Annual", Tabla2[[#This Row],[Cosecha/Tarea]]/12,Tabla2[[#This Row],[Cosecha/Tarea]])</f>
        <v>10930</v>
      </c>
      <c r="F489" s="2">
        <v>76729</v>
      </c>
      <c r="G489" t="s">
        <v>18</v>
      </c>
      <c r="H489">
        <f>F489/Tabla2[[#This Row],[Cosecha Mensual]]</f>
        <v>7.0200365965233305</v>
      </c>
      <c r="I489">
        <f>H489*_xlfn.XLOOKUP(Tabla2[[#This Row],[Unidad de producción]],Tabla3[Medida],Tabla3[Equivalencia en Kg],"ELVIS",0)</f>
        <v>318.42886001829828</v>
      </c>
      <c r="J489">
        <v>210.5</v>
      </c>
      <c r="K489" t="s">
        <v>18</v>
      </c>
      <c r="L489">
        <f>J489/_xlfn.XLOOKUP(Tabla2[[#This Row],[Unidad de precio]],Tabla3[Medida],Tabla3[Equivalencia en Kg],"ELVIS",0)</f>
        <v>4.6406525573192239</v>
      </c>
      <c r="M489">
        <v>1217.1099999999999</v>
      </c>
      <c r="N489" s="2">
        <f>(Tabla2[[#This Row],[Productividad (kg/TAS)]]*Tabla2[[#This Row],[Precio por kg]]-Tabla2[[#This Row],[Costos (En RD$/Tarea)]])</f>
        <v>260.60770356816124</v>
      </c>
      <c r="O489" s="6">
        <f>IF(Tabla2[[#This Row],[Costos (En RD$/Tarea)]]=0,0,Tabla2[[#This Row],[Beneficio Neto  (En RD$/Tarea)]]/Tabla2[[#This Row],[Costos (En RD$/Tarea)]])</f>
        <v>0.21412009068051471</v>
      </c>
      <c r="P489" s="4">
        <f>Tabla2[[#This Row],[Rentabilidad (%)]]/12</f>
        <v>1.7843340890042893E-2</v>
      </c>
    </row>
    <row r="490" spans="1:16" x14ac:dyDescent="0.35">
      <c r="A490" s="1">
        <v>37742</v>
      </c>
      <c r="B490" t="s">
        <v>27</v>
      </c>
      <c r="C490" s="2">
        <v>4011</v>
      </c>
      <c r="D490" s="5" t="s">
        <v>17</v>
      </c>
      <c r="E490" s="2">
        <f>IF(Tabla2[[#This Row],[Frecuencia]]="Annual", Tabla2[[#This Row],[Cosecha/Tarea]]/12,Tabla2[[#This Row],[Cosecha/Tarea]])</f>
        <v>4011</v>
      </c>
      <c r="F490" s="2">
        <v>36961</v>
      </c>
      <c r="G490" t="s">
        <v>18</v>
      </c>
      <c r="H490">
        <f>F490/Tabla2[[#This Row],[Cosecha Mensual]]</f>
        <v>9.2149090002493139</v>
      </c>
      <c r="I490">
        <f>H490*_xlfn.XLOOKUP(Tabla2[[#This Row],[Unidad de producción]],Tabla3[Medida],Tabla3[Equivalencia en Kg],"ELVIS",0)</f>
        <v>417.9882722513089</v>
      </c>
      <c r="J490">
        <v>256.66714285714301</v>
      </c>
      <c r="K490" t="s">
        <v>18</v>
      </c>
      <c r="L490">
        <f>J490/_xlfn.XLOOKUP(Tabla2[[#This Row],[Unidad de precio]],Tabla3[Medida],Tabla3[Equivalencia en Kg],"ELVIS",0)</f>
        <v>5.6584467120181436</v>
      </c>
      <c r="M490">
        <v>3938.29</v>
      </c>
      <c r="N490" s="2">
        <f>(Tabla2[[#This Row],[Productividad (kg/TAS)]]*Tabla2[[#This Row],[Precio por kg]]-Tabla2[[#This Row],[Costos (En RD$/Tarea)]])</f>
        <v>-1573.1256352174364</v>
      </c>
      <c r="O490" s="6">
        <f>IF(Tabla2[[#This Row],[Costos (En RD$/Tarea)]]=0,0,Tabla2[[#This Row],[Beneficio Neto  (En RD$/Tarea)]]/Tabla2[[#This Row],[Costos (En RD$/Tarea)]])</f>
        <v>-0.39944382846804993</v>
      </c>
      <c r="P490" s="4">
        <f>Tabla2[[#This Row],[Rentabilidad (%)]]/12</f>
        <v>-3.3286985705670825E-2</v>
      </c>
    </row>
    <row r="491" spans="1:16" x14ac:dyDescent="0.35">
      <c r="A491" s="1">
        <v>37742</v>
      </c>
      <c r="B491" t="s">
        <v>28</v>
      </c>
      <c r="C491" s="2">
        <v>3066</v>
      </c>
      <c r="D491" s="5" t="s">
        <v>17</v>
      </c>
      <c r="E491" s="2">
        <f>IF(Tabla2[[#This Row],[Frecuencia]]="Annual", Tabla2[[#This Row],[Cosecha/Tarea]]/12,Tabla2[[#This Row],[Cosecha/Tarea]])</f>
        <v>3066</v>
      </c>
      <c r="F491" s="2">
        <v>4869</v>
      </c>
      <c r="G491" t="s">
        <v>29</v>
      </c>
      <c r="H491">
        <f>F491/Tabla2[[#This Row],[Cosecha Mensual]]</f>
        <v>1.5880626223091976</v>
      </c>
      <c r="I491">
        <f>H491*_xlfn.XLOOKUP(Tabla2[[#This Row],[Unidad de producción]],Tabla3[Medida],Tabla3[Equivalencia en Kg],"ELVIS",0)</f>
        <v>893.03113502935423</v>
      </c>
      <c r="J491">
        <v>2933.3333333333298</v>
      </c>
      <c r="K491" t="s">
        <v>29</v>
      </c>
      <c r="L491">
        <f>J491/_xlfn.XLOOKUP(Tabla2[[#This Row],[Unidad de precio]],Tabla3[Medida],Tabla3[Equivalencia en Kg],"ELVIS",0)</f>
        <v>5.216298561961322</v>
      </c>
      <c r="M491">
        <v>7517.1463872000004</v>
      </c>
      <c r="N491" s="2">
        <f>(Tabla2[[#This Row],[Productividad (kg/TAS)]]*Tabla2[[#This Row],[Precio por kg]]-Tabla2[[#This Row],[Costos (En RD$/Tarea)]])</f>
        <v>-2858.8293617596928</v>
      </c>
      <c r="O491" s="6">
        <f>IF(Tabla2[[#This Row],[Costos (En RD$/Tarea)]]=0,0,Tabla2[[#This Row],[Beneficio Neto  (En RD$/Tarea)]]/Tabla2[[#This Row],[Costos (En RD$/Tarea)]])</f>
        <v>-0.38030779427518296</v>
      </c>
      <c r="P491" s="4">
        <f>Tabla2[[#This Row],[Rentabilidad (%)]]/12</f>
        <v>-3.1692316189598578E-2</v>
      </c>
    </row>
    <row r="492" spans="1:16" x14ac:dyDescent="0.35">
      <c r="A492" s="1">
        <v>37742</v>
      </c>
      <c r="B492" t="s">
        <v>30</v>
      </c>
      <c r="C492" s="2">
        <v>259184</v>
      </c>
      <c r="D492" s="2" t="s">
        <v>31</v>
      </c>
      <c r="E492" s="2">
        <f>IF(Tabla2[[#This Row],[Frecuencia]]="Annual", Tabla2[[#This Row],[Cosecha/Tarea]]/12,Tabla2[[#This Row],[Cosecha/Tarea]])</f>
        <v>21598.666666666668</v>
      </c>
      <c r="F492" s="2">
        <v>1682273</v>
      </c>
      <c r="G492" t="s">
        <v>32</v>
      </c>
      <c r="H492">
        <f>F492/Tabla2[[#This Row],[Cosecha Mensual]]</f>
        <v>77.887817149206739</v>
      </c>
      <c r="I492">
        <f>H492*_xlfn.XLOOKUP(Tabla2[[#This Row],[Unidad de producción]],Tabla3[Medida],Tabla3[Equivalencia en Kg],"ELVIS",0)</f>
        <v>2119.3275046299154</v>
      </c>
      <c r="J492">
        <v>30.976666666666699</v>
      </c>
      <c r="K492" t="s">
        <v>32</v>
      </c>
      <c r="L492">
        <f>J492/_xlfn.XLOOKUP(Tabla2[[#This Row],[Unidad de precio]],Tabla3[Medida],Tabla3[Equivalencia en Kg],"ELVIS",0)</f>
        <v>1.1384294989587174</v>
      </c>
      <c r="M492" s="2">
        <v>6435.96</v>
      </c>
      <c r="N492" s="2">
        <f>(Tabla2[[#This Row],[Productividad (kg/TAS)]]*Tabla2[[#This Row],[Precio por kg]]-Tabla2[[#This Row],[Costos (En RD$/Tarea)]])</f>
        <v>-4023.2550507747364</v>
      </c>
      <c r="O492" s="6">
        <f>IF(Tabla2[[#This Row],[Costos (En RD$/Tarea)]]=0,0,Tabla2[[#This Row],[Beneficio Neto  (En RD$/Tarea)]]/Tabla2[[#This Row],[Costos (En RD$/Tarea)]])</f>
        <v>-0.62512120193020726</v>
      </c>
      <c r="P492" s="4">
        <f>Tabla2[[#This Row],[Rentabilidad (%)]]/12</f>
        <v>-5.2093433494183938E-2</v>
      </c>
    </row>
    <row r="493" spans="1:16" x14ac:dyDescent="0.35">
      <c r="A493" s="1">
        <v>37742</v>
      </c>
      <c r="B493" t="s">
        <v>33</v>
      </c>
      <c r="C493" s="2">
        <v>712060</v>
      </c>
      <c r="D493" s="2" t="s">
        <v>31</v>
      </c>
      <c r="E493" s="2">
        <f>IF(Tabla2[[#This Row],[Frecuencia]]="Annual", Tabla2[[#This Row],[Cosecha/Tarea]]/12,Tabla2[[#This Row],[Cosecha/Tarea]])</f>
        <v>59338.333333333336</v>
      </c>
      <c r="F493" s="2">
        <v>122693</v>
      </c>
      <c r="G493" t="s">
        <v>34</v>
      </c>
      <c r="H493">
        <f>F493/Tabla2[[#This Row],[Cosecha Mensual]]</f>
        <v>2.0676853074179142</v>
      </c>
      <c r="I493">
        <f>H493*_xlfn.XLOOKUP(Tabla2[[#This Row],[Unidad de producción]],Tabla3[Medida],Tabla3[Equivalencia en Kg],"ELVIS",0)</f>
        <v>843.92575822262165</v>
      </c>
      <c r="J493">
        <v>1284.45166666667</v>
      </c>
      <c r="K493" t="s">
        <v>34</v>
      </c>
      <c r="L493">
        <f>J493/_xlfn.XLOOKUP(Tabla2[[#This Row],[Unidad de precio]],Tabla3[Medida],Tabla3[Equivalencia en Kg],"ELVIS",0)</f>
        <v>3.147008861121328</v>
      </c>
      <c r="M493" s="2">
        <v>8666.64</v>
      </c>
      <c r="N493" s="2">
        <f>(Tabla2[[#This Row],[Productividad (kg/TAS)]]*Tabla2[[#This Row],[Precio por kg]]-Tabla2[[#This Row],[Costos (En RD$/Tarea)]])</f>
        <v>-6010.7981607448737</v>
      </c>
      <c r="O493" s="6">
        <f>IF(Tabla2[[#This Row],[Costos (En RD$/Tarea)]]=0,0,Tabla2[[#This Row],[Beneficio Neto  (En RD$/Tarea)]]/Tabla2[[#This Row],[Costos (En RD$/Tarea)]])</f>
        <v>-0.69355576794984841</v>
      </c>
      <c r="P493" s="4">
        <f>Tabla2[[#This Row],[Rentabilidad (%)]]/12</f>
        <v>-5.7796313995820699E-2</v>
      </c>
    </row>
    <row r="494" spans="1:16" x14ac:dyDescent="0.35">
      <c r="A494" s="1">
        <v>37773</v>
      </c>
      <c r="B494" t="s">
        <v>16</v>
      </c>
      <c r="C494" s="2">
        <v>208015</v>
      </c>
      <c r="D494" s="5" t="s">
        <v>17</v>
      </c>
      <c r="E494" s="2">
        <f>IF(Tabla2[[#This Row],[Frecuencia]]="Annual", Tabla2[[#This Row],[Cosecha/Tarea]]/12,Tabla2[[#This Row],[Cosecha/Tarea]])</f>
        <v>208015</v>
      </c>
      <c r="F494" s="2">
        <v>1025174</v>
      </c>
      <c r="G494" t="s">
        <v>18</v>
      </c>
      <c r="H494">
        <f>F494/Tabla2[[#This Row],[Cosecha Mensual]]</f>
        <v>4.9283657428550827</v>
      </c>
      <c r="I494">
        <f>H494*_xlfn.XLOOKUP(Tabla2[[#This Row],[Unidad de producción]],Tabla3[Medida],Tabla3[Equivalencia en Kg],"ELVIS",0)</f>
        <v>223.55067009590655</v>
      </c>
      <c r="J494">
        <v>1067.08470847085</v>
      </c>
      <c r="K494" t="s">
        <v>19</v>
      </c>
      <c r="L494">
        <f>J494/_xlfn.XLOOKUP(Tabla2[[#This Row],[Unidad de precio]],Tabla3[Medida],Tabla3[Equivalencia en Kg],"ELVIS",0)</f>
        <v>9.7007700770077285</v>
      </c>
      <c r="M494">
        <v>4275.41</v>
      </c>
      <c r="N494" s="2">
        <f>(Tabla2[[#This Row],[Productividad (kg/TAS)]]*Tabla2[[#This Row],[Precio por kg]]-Tabla2[[#This Row],[Costos (En RD$/Tarea)]])</f>
        <v>-2106.7963488386031</v>
      </c>
      <c r="O494" s="6">
        <f>IF(Tabla2[[#This Row],[Costos (En RD$/Tarea)]]=0,0,Tabla2[[#This Row],[Beneficio Neto  (En RD$/Tarea)]]/Tabla2[[#This Row],[Costos (En RD$/Tarea)]])</f>
        <v>-0.49277059950708896</v>
      </c>
      <c r="P494" s="4">
        <f>Tabla2[[#This Row],[Rentabilidad (%)]]/12</f>
        <v>-4.1064216625590746E-2</v>
      </c>
    </row>
    <row r="495" spans="1:16" x14ac:dyDescent="0.35">
      <c r="A495" s="1">
        <v>37773</v>
      </c>
      <c r="B495" t="s">
        <v>20</v>
      </c>
      <c r="C495" s="2">
        <v>29643</v>
      </c>
      <c r="D495" s="5" t="s">
        <v>17</v>
      </c>
      <c r="E495" s="2">
        <f>IF(Tabla2[[#This Row],[Frecuencia]]="Annual", Tabla2[[#This Row],[Cosecha/Tarea]]/12,Tabla2[[#This Row],[Cosecha/Tarea]])</f>
        <v>29643</v>
      </c>
      <c r="F495" s="2">
        <v>71186</v>
      </c>
      <c r="G495" t="s">
        <v>18</v>
      </c>
      <c r="H495">
        <f>F495/Tabla2[[#This Row],[Cosecha Mensual]]</f>
        <v>2.4014438484633809</v>
      </c>
      <c r="I495">
        <f>H495*_xlfn.XLOOKUP(Tabla2[[#This Row],[Unidad de producción]],Tabla3[Medida],Tabla3[Equivalencia en Kg],"ELVIS",0)</f>
        <v>108.92949296629895</v>
      </c>
      <c r="J495">
        <v>248.66107500000001</v>
      </c>
      <c r="K495" t="s">
        <v>18</v>
      </c>
      <c r="L495">
        <f>J495/_xlfn.XLOOKUP(Tabla2[[#This Row],[Unidad de precio]],Tabla3[Medida],Tabla3[Equivalencia en Kg],"ELVIS",0)</f>
        <v>5.4819460978835979</v>
      </c>
      <c r="M495">
        <v>938.62</v>
      </c>
      <c r="N495" s="2">
        <f>(Tabla2[[#This Row],[Productividad (kg/TAS)]]*Tabla2[[#This Row],[Precio por kg]]-Tabla2[[#This Row],[Costos (En RD$/Tarea)]])</f>
        <v>-341.47439108895867</v>
      </c>
      <c r="O495" s="6">
        <f>IF(Tabla2[[#This Row],[Costos (En RD$/Tarea)]]=0,0,Tabla2[[#This Row],[Beneficio Neto  (En RD$/Tarea)]]/Tabla2[[#This Row],[Costos (En RD$/Tarea)]])</f>
        <v>-0.3638047251166166</v>
      </c>
      <c r="P495" s="4">
        <f>Tabla2[[#This Row],[Rentabilidad (%)]]/12</f>
        <v>-3.0317060426384716E-2</v>
      </c>
    </row>
    <row r="496" spans="1:16" x14ac:dyDescent="0.35">
      <c r="A496" s="1">
        <v>37773</v>
      </c>
      <c r="B496" t="s">
        <v>21</v>
      </c>
      <c r="C496" s="2">
        <v>6631</v>
      </c>
      <c r="D496" s="5" t="s">
        <v>17</v>
      </c>
      <c r="E496" s="2">
        <f>IF(Tabla2[[#This Row],[Frecuencia]]="Annual", Tabla2[[#This Row],[Cosecha/Tarea]]/12,Tabla2[[#This Row],[Cosecha/Tarea]])</f>
        <v>6631</v>
      </c>
      <c r="F496" s="2">
        <v>61038</v>
      </c>
      <c r="G496" t="s">
        <v>18</v>
      </c>
      <c r="H496">
        <f>F496/Tabla2[[#This Row],[Cosecha Mensual]]</f>
        <v>9.2049464635801534</v>
      </c>
      <c r="I496">
        <f>H496*_xlfn.XLOOKUP(Tabla2[[#This Row],[Unidad de producción]],Tabla3[Medida],Tabla3[Equivalencia en Kg],"ELVIS",0)</f>
        <v>417.53637158799575</v>
      </c>
      <c r="J496">
        <v>110.1348</v>
      </c>
      <c r="K496" t="s">
        <v>18</v>
      </c>
      <c r="L496">
        <f>J496/_xlfn.XLOOKUP(Tabla2[[#This Row],[Unidad de precio]],Tabla3[Medida],Tabla3[Equivalencia en Kg],"ELVIS",0)</f>
        <v>2.4280158730158732</v>
      </c>
      <c r="M496">
        <v>1545.78</v>
      </c>
      <c r="N496" s="2">
        <f>(Tabla2[[#This Row],[Productividad (kg/TAS)]]*Tabla2[[#This Row],[Precio por kg]]-Tabla2[[#This Row],[Costos (En RD$/Tarea)]])</f>
        <v>-531.99506222289244</v>
      </c>
      <c r="O496" s="6">
        <f>IF(Tabla2[[#This Row],[Costos (En RD$/Tarea)]]=0,0,Tabla2[[#This Row],[Beneficio Neto  (En RD$/Tarea)]]/Tabla2[[#This Row],[Costos (En RD$/Tarea)]])</f>
        <v>-0.34415962311770915</v>
      </c>
      <c r="P496" s="4">
        <f>Tabla2[[#This Row],[Rentabilidad (%)]]/12</f>
        <v>-2.8679968593142428E-2</v>
      </c>
    </row>
    <row r="497" spans="1:16" x14ac:dyDescent="0.35">
      <c r="A497" s="1">
        <v>37773</v>
      </c>
      <c r="B497" t="s">
        <v>22</v>
      </c>
      <c r="C497" s="2">
        <v>3349</v>
      </c>
      <c r="D497" s="5" t="s">
        <v>17</v>
      </c>
      <c r="E497" s="2">
        <f>IF(Tabla2[[#This Row],[Frecuencia]]="Annual", Tabla2[[#This Row],[Cosecha/Tarea]]/12,Tabla2[[#This Row],[Cosecha/Tarea]])</f>
        <v>3349</v>
      </c>
      <c r="F497" s="2">
        <v>33155</v>
      </c>
      <c r="G497" t="s">
        <v>18</v>
      </c>
      <c r="H497">
        <f>F497/Tabla2[[#This Row],[Cosecha Mensual]]</f>
        <v>9.8999701403404003</v>
      </c>
      <c r="I497">
        <f>H497*_xlfn.XLOOKUP(Tabla2[[#This Row],[Unidad de producción]],Tabla3[Medida],Tabla3[Equivalencia en Kg],"ELVIS",0)</f>
        <v>449.06264556584057</v>
      </c>
      <c r="J497">
        <v>457.78399999999999</v>
      </c>
      <c r="K497" t="s">
        <v>18</v>
      </c>
      <c r="L497">
        <f>J497/_xlfn.XLOOKUP(Tabla2[[#This Row],[Unidad de precio]],Tabla3[Medida],Tabla3[Equivalencia en Kg],"ELVIS",0)</f>
        <v>10.092239858906526</v>
      </c>
      <c r="M497">
        <v>3985.46</v>
      </c>
      <c r="N497" s="2">
        <f>(Tabla2[[#This Row],[Productividad (kg/TAS)]]*Tabla2[[#This Row],[Precio por kg]]-Tabla2[[#This Row],[Costos (En RD$/Tarea)]])</f>
        <v>546.58793072559001</v>
      </c>
      <c r="O497" s="6">
        <f>IF(Tabla2[[#This Row],[Costos (En RD$/Tarea)]]=0,0,Tabla2[[#This Row],[Beneficio Neto  (En RD$/Tarea)]]/Tabla2[[#This Row],[Costos (En RD$/Tarea)]])</f>
        <v>0.1371455065978808</v>
      </c>
      <c r="P497" s="4">
        <f>Tabla2[[#This Row],[Rentabilidad (%)]]/12</f>
        <v>1.1428792216490067E-2</v>
      </c>
    </row>
    <row r="498" spans="1:16" x14ac:dyDescent="0.35">
      <c r="A498" s="1">
        <v>37773</v>
      </c>
      <c r="B498" t="s">
        <v>23</v>
      </c>
      <c r="C498" s="2">
        <v>3074</v>
      </c>
      <c r="D498" s="5" t="s">
        <v>17</v>
      </c>
      <c r="E498" s="2">
        <f>IF(Tabla2[[#This Row],[Frecuencia]]="Annual", Tabla2[[#This Row],[Cosecha/Tarea]]/12,Tabla2[[#This Row],[Cosecha/Tarea]])</f>
        <v>3074</v>
      </c>
      <c r="F498" s="2">
        <v>69657</v>
      </c>
      <c r="G498" t="s">
        <v>18</v>
      </c>
      <c r="H498">
        <f>F498/Tabla2[[#This Row],[Cosecha Mensual]]</f>
        <v>22.660052049446975</v>
      </c>
      <c r="I498">
        <f>H498*_xlfn.XLOOKUP(Tabla2[[#This Row],[Unidad de producción]],Tabla3[Medida],Tabla3[Equivalencia en Kg],"ELVIS",0)</f>
        <v>1027.8599609629148</v>
      </c>
      <c r="J498">
        <v>214.2</v>
      </c>
      <c r="K498" t="s">
        <v>18</v>
      </c>
      <c r="L498">
        <f>J498/_xlfn.XLOOKUP(Tabla2[[#This Row],[Unidad de precio]],Tabla3[Medida],Tabla3[Equivalencia en Kg],"ELVIS",0)</f>
        <v>4.7222222222222223</v>
      </c>
      <c r="M498">
        <v>9309.9599999999991</v>
      </c>
      <c r="N498" s="2">
        <f>(Tabla2[[#This Row],[Productividad (kg/TAS)]]*Tabla2[[#This Row],[Precio por kg]]-Tabla2[[#This Row],[Costos (En RD$/Tarea)]])</f>
        <v>-4456.1768510084567</v>
      </c>
      <c r="O498" s="6">
        <f>IF(Tabla2[[#This Row],[Costos (En RD$/Tarea)]]=0,0,Tabla2[[#This Row],[Beneficio Neto  (En RD$/Tarea)]]/Tabla2[[#This Row],[Costos (En RD$/Tarea)]])</f>
        <v>-0.47864618655810093</v>
      </c>
      <c r="P498" s="4">
        <f>Tabla2[[#This Row],[Rentabilidad (%)]]/12</f>
        <v>-3.9887182213175075E-2</v>
      </c>
    </row>
    <row r="499" spans="1:16" x14ac:dyDescent="0.35">
      <c r="A499" s="1">
        <v>37773</v>
      </c>
      <c r="B499" t="s">
        <v>24</v>
      </c>
      <c r="C499" s="2">
        <v>6817</v>
      </c>
      <c r="D499" s="5" t="s">
        <v>17</v>
      </c>
      <c r="E499" s="2">
        <f>IF(Tabla2[[#This Row],[Frecuencia]]="Annual", Tabla2[[#This Row],[Cosecha/Tarea]]/12,Tabla2[[#This Row],[Cosecha/Tarea]])</f>
        <v>6817</v>
      </c>
      <c r="F499" s="2">
        <v>79077</v>
      </c>
      <c r="G499" t="s">
        <v>18</v>
      </c>
      <c r="H499">
        <f>F499/Tabla2[[#This Row],[Cosecha Mensual]]</f>
        <v>11.599970661581342</v>
      </c>
      <c r="I499">
        <f>H499*_xlfn.XLOOKUP(Tabla2[[#This Row],[Unidad de producción]],Tabla3[Medida],Tabla3[Equivalencia en Kg],"ELVIS",0)</f>
        <v>526.17466920932964</v>
      </c>
      <c r="J499">
        <v>262.57142857142901</v>
      </c>
      <c r="K499" t="s">
        <v>18</v>
      </c>
      <c r="L499">
        <f>J499/_xlfn.XLOOKUP(Tabla2[[#This Row],[Unidad de precio]],Tabla3[Medida],Tabla3[Equivalencia en Kg],"ELVIS",0)</f>
        <v>5.7886117409927031</v>
      </c>
      <c r="M499">
        <v>3188.34</v>
      </c>
      <c r="N499" s="2">
        <f>(Tabla2[[#This Row],[Productividad (kg/TAS)]]*Tabla2[[#This Row],[Precio por kg]]-Tabla2[[#This Row],[Costos (En RD$/Tarea)]])</f>
        <v>-142.51913200192303</v>
      </c>
      <c r="O499" s="6">
        <f>IF(Tabla2[[#This Row],[Costos (En RD$/Tarea)]]=0,0,Tabla2[[#This Row],[Beneficio Neto  (En RD$/Tarea)]]/Tabla2[[#This Row],[Costos (En RD$/Tarea)]])</f>
        <v>-4.4700104757310392E-2</v>
      </c>
      <c r="P499" s="4">
        <f>Tabla2[[#This Row],[Rentabilidad (%)]]/12</f>
        <v>-3.7250087297758662E-3</v>
      </c>
    </row>
    <row r="500" spans="1:16" x14ac:dyDescent="0.35">
      <c r="A500" s="1">
        <v>37773</v>
      </c>
      <c r="B500" t="s">
        <v>25</v>
      </c>
      <c r="C500" s="2">
        <v>22716</v>
      </c>
      <c r="D500" s="5" t="s">
        <v>17</v>
      </c>
      <c r="E500" s="2">
        <f>IF(Tabla2[[#This Row],[Frecuencia]]="Annual", Tabla2[[#This Row],[Cosecha/Tarea]]/12,Tabla2[[#This Row],[Cosecha/Tarea]])</f>
        <v>22716</v>
      </c>
      <c r="F500" s="2">
        <v>222617</v>
      </c>
      <c r="G500" t="s">
        <v>18</v>
      </c>
      <c r="H500">
        <f>F500/Tabla2[[#This Row],[Cosecha Mensual]]</f>
        <v>9.800008804366966</v>
      </c>
      <c r="I500">
        <f>H500*_xlfn.XLOOKUP(Tabla2[[#This Row],[Unidad de producción]],Tabla3[Medida],Tabla3[Equivalencia en Kg],"ELVIS",0)</f>
        <v>444.52839936608558</v>
      </c>
      <c r="J500">
        <v>108.85187500000001</v>
      </c>
      <c r="K500" t="s">
        <v>18</v>
      </c>
      <c r="L500">
        <f>J500/_xlfn.XLOOKUP(Tabla2[[#This Row],[Unidad de precio]],Tabla3[Medida],Tabla3[Equivalencia en Kg],"ELVIS",0)</f>
        <v>2.3997326940035277</v>
      </c>
      <c r="M500">
        <v>1396.74</v>
      </c>
      <c r="N500" s="2">
        <f>(Tabla2[[#This Row],[Productividad (kg/TAS)]]*Tabla2[[#This Row],[Precio por kg]]-Tabla2[[#This Row],[Costos (En RD$/Tarea)]])</f>
        <v>-329.99066662814744</v>
      </c>
      <c r="O500" s="6">
        <f>IF(Tabla2[[#This Row],[Costos (En RD$/Tarea)]]=0,0,Tabla2[[#This Row],[Beneficio Neto  (En RD$/Tarea)]]/Tabla2[[#This Row],[Costos (En RD$/Tarea)]])</f>
        <v>-0.23625776209469726</v>
      </c>
      <c r="P500" s="4">
        <f>Tabla2[[#This Row],[Rentabilidad (%)]]/12</f>
        <v>-1.9688146841224771E-2</v>
      </c>
    </row>
    <row r="501" spans="1:16" x14ac:dyDescent="0.35">
      <c r="A501" s="1">
        <v>37773</v>
      </c>
      <c r="B501" t="s">
        <v>26</v>
      </c>
      <c r="C501" s="2">
        <v>8965</v>
      </c>
      <c r="D501" s="5" t="s">
        <v>17</v>
      </c>
      <c r="E501" s="2">
        <f>IF(Tabla2[[#This Row],[Frecuencia]]="Annual", Tabla2[[#This Row],[Cosecha/Tarea]]/12,Tabla2[[#This Row],[Cosecha/Tarea]])</f>
        <v>8965</v>
      </c>
      <c r="F501" s="2">
        <v>51363</v>
      </c>
      <c r="G501" t="s">
        <v>18</v>
      </c>
      <c r="H501">
        <f>F501/Tabla2[[#This Row],[Cosecha Mensual]]</f>
        <v>5.729280535415505</v>
      </c>
      <c r="I501">
        <f>H501*_xlfn.XLOOKUP(Tabla2[[#This Row],[Unidad de producción]],Tabla3[Medida],Tabla3[Equivalencia en Kg],"ELVIS",0)</f>
        <v>259.88016508644728</v>
      </c>
      <c r="J501">
        <v>239.25</v>
      </c>
      <c r="K501" t="s">
        <v>18</v>
      </c>
      <c r="L501">
        <f>J501/_xlfn.XLOOKUP(Tabla2[[#This Row],[Unidad de precio]],Tabla3[Medida],Tabla3[Equivalencia en Kg],"ELVIS",0)</f>
        <v>5.2744708994708995</v>
      </c>
      <c r="M501">
        <v>1217.1099999999999</v>
      </c>
      <c r="N501" s="2">
        <f>(Tabla2[[#This Row],[Productividad (kg/TAS)]]*Tabla2[[#This Row],[Precio por kg]]-Tabla2[[#This Row],[Costos (En RD$/Tarea)]])</f>
        <v>153.62036809815959</v>
      </c>
      <c r="O501" s="6">
        <f>IF(Tabla2[[#This Row],[Costos (En RD$/Tarea)]]=0,0,Tabla2[[#This Row],[Beneficio Neto  (En RD$/Tarea)]]/Tabla2[[#This Row],[Costos (En RD$/Tarea)]])</f>
        <v>0.12621732472673761</v>
      </c>
      <c r="P501" s="4">
        <f>Tabla2[[#This Row],[Rentabilidad (%)]]/12</f>
        <v>1.0518110393894801E-2</v>
      </c>
    </row>
    <row r="502" spans="1:16" x14ac:dyDescent="0.35">
      <c r="A502" s="1">
        <v>37773</v>
      </c>
      <c r="B502" t="s">
        <v>27</v>
      </c>
      <c r="C502" s="2">
        <v>3822</v>
      </c>
      <c r="D502" s="5" t="s">
        <v>17</v>
      </c>
      <c r="E502" s="2">
        <f>IF(Tabla2[[#This Row],[Frecuencia]]="Annual", Tabla2[[#This Row],[Cosecha/Tarea]]/12,Tabla2[[#This Row],[Cosecha/Tarea]])</f>
        <v>3822</v>
      </c>
      <c r="F502" s="2">
        <v>36691</v>
      </c>
      <c r="G502" t="s">
        <v>18</v>
      </c>
      <c r="H502">
        <f>F502/Tabla2[[#This Row],[Cosecha Mensual]]</f>
        <v>9.5999476713762419</v>
      </c>
      <c r="I502">
        <f>H502*_xlfn.XLOOKUP(Tabla2[[#This Row],[Unidad de producción]],Tabla3[Medida],Tabla3[Equivalencia en Kg],"ELVIS",0)</f>
        <v>435.45362637362632</v>
      </c>
      <c r="J502">
        <v>229.258571428571</v>
      </c>
      <c r="K502" t="s">
        <v>18</v>
      </c>
      <c r="L502">
        <f>J502/_xlfn.XLOOKUP(Tabla2[[#This Row],[Unidad de precio]],Tabla3[Medida],Tabla3[Equivalencia en Kg],"ELVIS",0)</f>
        <v>5.0542013101536813</v>
      </c>
      <c r="M502">
        <v>3938.29</v>
      </c>
      <c r="N502" s="2">
        <f>(Tabla2[[#This Row],[Productividad (kg/TAS)]]*Tabla2[[#This Row],[Precio por kg]]-Tabla2[[#This Row],[Costos (En RD$/Tarea)]])</f>
        <v>-1737.4197110712462</v>
      </c>
      <c r="O502" s="6">
        <f>IF(Tabla2[[#This Row],[Costos (En RD$/Tarea)]]=0,0,Tabla2[[#This Row],[Beneficio Neto  (En RD$/Tarea)]]/Tabla2[[#This Row],[Costos (En RD$/Tarea)]])</f>
        <v>-0.44116093814098156</v>
      </c>
      <c r="P502" s="4">
        <f>Tabla2[[#This Row],[Rentabilidad (%)]]/12</f>
        <v>-3.6763411511748466E-2</v>
      </c>
    </row>
    <row r="503" spans="1:16" x14ac:dyDescent="0.35">
      <c r="A503" s="1">
        <v>37773</v>
      </c>
      <c r="B503" t="s">
        <v>28</v>
      </c>
      <c r="C503" s="2">
        <v>11819</v>
      </c>
      <c r="D503" s="5" t="s">
        <v>17</v>
      </c>
      <c r="E503" s="2">
        <f>IF(Tabla2[[#This Row],[Frecuencia]]="Annual", Tabla2[[#This Row],[Cosecha/Tarea]]/12,Tabla2[[#This Row],[Cosecha/Tarea]])</f>
        <v>11819</v>
      </c>
      <c r="F503" s="2">
        <v>21797</v>
      </c>
      <c r="G503" t="s">
        <v>29</v>
      </c>
      <c r="H503">
        <f>F503/Tabla2[[#This Row],[Cosecha Mensual]]</f>
        <v>1.8442338607327184</v>
      </c>
      <c r="I503">
        <f>H503*_xlfn.XLOOKUP(Tabla2[[#This Row],[Unidad de producción]],Tabla3[Medida],Tabla3[Equivalencia en Kg],"ELVIS",0)</f>
        <v>1037.086469244437</v>
      </c>
      <c r="J503">
        <v>1412</v>
      </c>
      <c r="K503" t="s">
        <v>29</v>
      </c>
      <c r="L503">
        <f>J503/_xlfn.XLOOKUP(Tabla2[[#This Row],[Unidad de precio]],Tabla3[Medida],Tabla3[Equivalencia en Kg],"ELVIS",0)</f>
        <v>2.5109364441441118</v>
      </c>
      <c r="M503">
        <v>7517.1463872000004</v>
      </c>
      <c r="N503" s="2">
        <f>(Tabla2[[#This Row],[Productividad (kg/TAS)]]*Tabla2[[#This Row],[Precio por kg]]-Tabla2[[#This Row],[Costos (En RD$/Tarea)]])</f>
        <v>-4913.0881758454016</v>
      </c>
      <c r="O503" s="6">
        <f>IF(Tabla2[[#This Row],[Costos (En RD$/Tarea)]]=0,0,Tabla2[[#This Row],[Beneficio Neto  (En RD$/Tarea)]]/Tabla2[[#This Row],[Costos (En RD$/Tarea)]])</f>
        <v>-0.65358420905721337</v>
      </c>
      <c r="P503" s="4">
        <f>Tabla2[[#This Row],[Rentabilidad (%)]]/12</f>
        <v>-5.4465350754767779E-2</v>
      </c>
    </row>
    <row r="504" spans="1:16" x14ac:dyDescent="0.35">
      <c r="A504" s="1">
        <v>37773</v>
      </c>
      <c r="B504" t="s">
        <v>30</v>
      </c>
      <c r="C504" s="2">
        <v>242367</v>
      </c>
      <c r="D504" s="2" t="s">
        <v>31</v>
      </c>
      <c r="E504" s="2">
        <f>IF(Tabla2[[#This Row],[Frecuencia]]="Annual", Tabla2[[#This Row],[Cosecha/Tarea]]/12,Tabla2[[#This Row],[Cosecha/Tarea]])</f>
        <v>20197.25</v>
      </c>
      <c r="F504" s="2">
        <v>1822866</v>
      </c>
      <c r="G504" t="s">
        <v>32</v>
      </c>
      <c r="H504">
        <f>F504/Tabla2[[#This Row],[Cosecha Mensual]]</f>
        <v>90.253178031662728</v>
      </c>
      <c r="I504">
        <f>H504*_xlfn.XLOOKUP(Tabla2[[#This Row],[Unidad de producción]],Tabla3[Medida],Tabla3[Equivalencia en Kg],"ELVIS",0)</f>
        <v>2455.7889742415427</v>
      </c>
      <c r="J504">
        <v>31.678571428571399</v>
      </c>
      <c r="K504" t="s">
        <v>32</v>
      </c>
      <c r="L504">
        <f>J504/_xlfn.XLOOKUP(Tabla2[[#This Row],[Unidad de precio]],Tabla3[Medida],Tabla3[Equivalencia en Kg],"ELVIS",0)</f>
        <v>1.1642253373234619</v>
      </c>
      <c r="M504" s="2">
        <v>6435.96</v>
      </c>
      <c r="N504" s="2">
        <f>(Tabla2[[#This Row],[Productividad (kg/TAS)]]*Tabla2[[#This Row],[Precio por kg]]-Tabla2[[#This Row],[Costos (En RD$/Tarea)]])</f>
        <v>-3576.8682530684014</v>
      </c>
      <c r="O504" s="6">
        <f>IF(Tabla2[[#This Row],[Costos (En RD$/Tarea)]]=0,0,Tabla2[[#This Row],[Beneficio Neto  (En RD$/Tarea)]]/Tabla2[[#This Row],[Costos (En RD$/Tarea)]])</f>
        <v>-0.55576297134668351</v>
      </c>
      <c r="P504" s="4">
        <f>Tabla2[[#This Row],[Rentabilidad (%)]]/12</f>
        <v>-4.6313580945556959E-2</v>
      </c>
    </row>
    <row r="505" spans="1:16" x14ac:dyDescent="0.35">
      <c r="A505" s="1">
        <v>37773</v>
      </c>
      <c r="B505" t="s">
        <v>33</v>
      </c>
      <c r="C505" s="2">
        <v>674673</v>
      </c>
      <c r="D505" s="2" t="s">
        <v>31</v>
      </c>
      <c r="E505" s="2">
        <f>IF(Tabla2[[#This Row],[Frecuencia]]="Annual", Tabla2[[#This Row],[Cosecha/Tarea]]/12,Tabla2[[#This Row],[Cosecha/Tarea]])</f>
        <v>56222.75</v>
      </c>
      <c r="F505" s="2">
        <v>109311</v>
      </c>
      <c r="G505" t="s">
        <v>34</v>
      </c>
      <c r="H505">
        <f>F505/Tabla2[[#This Row],[Cosecha Mensual]]</f>
        <v>1.9442485470739157</v>
      </c>
      <c r="I505">
        <f>H505*_xlfn.XLOOKUP(Tabla2[[#This Row],[Unidad de producción]],Tabla3[Medida],Tabla3[Equivalencia en Kg],"ELVIS",0)</f>
        <v>793.54504448821865</v>
      </c>
      <c r="J505">
        <v>1429.5725</v>
      </c>
      <c r="K505" t="s">
        <v>34</v>
      </c>
      <c r="L505">
        <f>J505/_xlfn.XLOOKUP(Tabla2[[#This Row],[Unidad de precio]],Tabla3[Medida],Tabla3[Equivalencia en Kg],"ELVIS",0)</f>
        <v>3.5025664584098983</v>
      </c>
      <c r="M505" s="2">
        <v>8666.64</v>
      </c>
      <c r="N505" s="2">
        <f>(Tabla2[[#This Row],[Productividad (kg/TAS)]]*Tabla2[[#This Row],[Precio por kg]]-Tabla2[[#This Row],[Costos (En RD$/Tarea)]])</f>
        <v>-5887.195743938174</v>
      </c>
      <c r="O505" s="6">
        <f>IF(Tabla2[[#This Row],[Costos (En RD$/Tarea)]]=0,0,Tabla2[[#This Row],[Beneficio Neto  (En RD$/Tarea)]]/Tabla2[[#This Row],[Costos (En RD$/Tarea)]])</f>
        <v>-0.67929390674334855</v>
      </c>
      <c r="P505" s="4">
        <f>Tabla2[[#This Row],[Rentabilidad (%)]]/12</f>
        <v>-5.6607825561945713E-2</v>
      </c>
    </row>
    <row r="506" spans="1:16" x14ac:dyDescent="0.35">
      <c r="A506" s="1">
        <v>37803</v>
      </c>
      <c r="B506" t="s">
        <v>16</v>
      </c>
      <c r="C506" s="2">
        <v>441634</v>
      </c>
      <c r="D506" s="5" t="s">
        <v>17</v>
      </c>
      <c r="E506" s="2">
        <f>IF(Tabla2[[#This Row],[Frecuencia]]="Annual", Tabla2[[#This Row],[Cosecha/Tarea]]/12,Tabla2[[#This Row],[Cosecha/Tarea]])</f>
        <v>441634</v>
      </c>
      <c r="F506" s="2">
        <v>2227693</v>
      </c>
      <c r="G506" t="s">
        <v>18</v>
      </c>
      <c r="H506">
        <f>F506/Tabla2[[#This Row],[Cosecha Mensual]]</f>
        <v>5.0442062884651095</v>
      </c>
      <c r="I506">
        <f>H506*_xlfn.XLOOKUP(Tabla2[[#This Row],[Unidad de producción]],Tabla3[Medida],Tabla3[Equivalencia en Kg],"ELVIS",0)</f>
        <v>228.80519724477736</v>
      </c>
      <c r="J506">
        <v>1087.12431243124</v>
      </c>
      <c r="K506" t="s">
        <v>19</v>
      </c>
      <c r="L506">
        <f>J506/_xlfn.XLOOKUP(Tabla2[[#This Row],[Unidad de precio]],Tabla3[Medida],Tabla3[Equivalencia en Kg],"ELVIS",0)</f>
        <v>9.882948294829454</v>
      </c>
      <c r="M506">
        <v>4275.41</v>
      </c>
      <c r="N506" s="2">
        <f>(Tabla2[[#This Row],[Productividad (kg/TAS)]]*Tabla2[[#This Row],[Precio por kg]]-Tabla2[[#This Row],[Costos (En RD$/Tarea)]])</f>
        <v>-2014.1400660416107</v>
      </c>
      <c r="O506" s="6">
        <f>IF(Tabla2[[#This Row],[Costos (En RD$/Tarea)]]=0,0,Tabla2[[#This Row],[Beneficio Neto  (En RD$/Tarea)]]/Tabla2[[#This Row],[Costos (En RD$/Tarea)]])</f>
        <v>-0.47109869370226731</v>
      </c>
      <c r="P506" s="4">
        <f>Tabla2[[#This Row],[Rentabilidad (%)]]/12</f>
        <v>-3.9258224475188945E-2</v>
      </c>
    </row>
    <row r="507" spans="1:16" x14ac:dyDescent="0.35">
      <c r="A507" s="1">
        <v>37803</v>
      </c>
      <c r="B507" t="s">
        <v>20</v>
      </c>
      <c r="C507" s="2">
        <v>34139</v>
      </c>
      <c r="D507" s="5" t="s">
        <v>17</v>
      </c>
      <c r="E507" s="2">
        <f>IF(Tabla2[[#This Row],[Frecuencia]]="Annual", Tabla2[[#This Row],[Cosecha/Tarea]]/12,Tabla2[[#This Row],[Cosecha/Tarea]])</f>
        <v>34139</v>
      </c>
      <c r="F507" s="2">
        <v>103731</v>
      </c>
      <c r="G507" t="s">
        <v>18</v>
      </c>
      <c r="H507">
        <f>F507/Tabla2[[#This Row],[Cosecha Mensual]]</f>
        <v>3.0384897038577581</v>
      </c>
      <c r="I507">
        <f>H507*_xlfn.XLOOKUP(Tabla2[[#This Row],[Unidad de producción]],Tabla3[Medida],Tabla3[Equivalencia en Kg],"ELVIS",0)</f>
        <v>137.82589296698791</v>
      </c>
      <c r="J507">
        <v>270.904285714286</v>
      </c>
      <c r="K507" t="s">
        <v>18</v>
      </c>
      <c r="L507">
        <f>J507/_xlfn.XLOOKUP(Tabla2[[#This Row],[Unidad de precio]],Tabla3[Medida],Tabla3[Equivalencia en Kg],"ELVIS",0)</f>
        <v>5.9723167044595682</v>
      </c>
      <c r="M507">
        <v>938.62</v>
      </c>
      <c r="N507" s="2">
        <f>(Tabla2[[#This Row],[Productividad (kg/TAS)]]*Tabla2[[#This Row],[Precio por kg]]-Tabla2[[#This Row],[Costos (En RD$/Tarea)]])</f>
        <v>-115.48011712620155</v>
      </c>
      <c r="O507" s="6">
        <f>IF(Tabla2[[#This Row],[Costos (En RD$/Tarea)]]=0,0,Tabla2[[#This Row],[Beneficio Neto  (En RD$/Tarea)]]/Tabla2[[#This Row],[Costos (En RD$/Tarea)]])</f>
        <v>-0.12303180959941355</v>
      </c>
      <c r="P507" s="4">
        <f>Tabla2[[#This Row],[Rentabilidad (%)]]/12</f>
        <v>-1.025265079995113E-2</v>
      </c>
    </row>
    <row r="508" spans="1:16" x14ac:dyDescent="0.35">
      <c r="A508" s="1">
        <v>37803</v>
      </c>
      <c r="B508" t="s">
        <v>21</v>
      </c>
      <c r="C508" s="2">
        <v>7095</v>
      </c>
      <c r="D508" s="5" t="s">
        <v>17</v>
      </c>
      <c r="E508" s="2">
        <f>IF(Tabla2[[#This Row],[Frecuencia]]="Annual", Tabla2[[#This Row],[Cosecha/Tarea]]/12,Tabla2[[#This Row],[Cosecha/Tarea]])</f>
        <v>7095</v>
      </c>
      <c r="F508" s="2">
        <v>62837</v>
      </c>
      <c r="G508" t="s">
        <v>18</v>
      </c>
      <c r="H508">
        <f>F508/Tabla2[[#This Row],[Cosecha Mensual]]</f>
        <v>8.8565186751233256</v>
      </c>
      <c r="I508">
        <f>H508*_xlfn.XLOOKUP(Tabla2[[#This Row],[Unidad de producción]],Tabla3[Medida],Tabla3[Equivalencia en Kg],"ELVIS",0)</f>
        <v>401.73168710359403</v>
      </c>
      <c r="J508">
        <v>111.5132</v>
      </c>
      <c r="K508" t="s">
        <v>18</v>
      </c>
      <c r="L508">
        <f>J508/_xlfn.XLOOKUP(Tabla2[[#This Row],[Unidad de precio]],Tabla3[Medida],Tabla3[Equivalencia en Kg],"ELVIS",0)</f>
        <v>2.4584038800705468</v>
      </c>
      <c r="M508">
        <v>1545.78</v>
      </c>
      <c r="N508" s="2">
        <f>(Tabla2[[#This Row],[Productividad (kg/TAS)]]*Tabla2[[#This Row],[Precio por kg]]-Tabla2[[#This Row],[Costos (En RD$/Tarea)]])</f>
        <v>-558.16126167723758</v>
      </c>
      <c r="O508" s="6">
        <f>IF(Tabla2[[#This Row],[Costos (En RD$/Tarea)]]=0,0,Tabla2[[#This Row],[Beneficio Neto  (En RD$/Tarea)]]/Tabla2[[#This Row],[Costos (En RD$/Tarea)]])</f>
        <v>-0.36108712861936215</v>
      </c>
      <c r="P508" s="4">
        <f>Tabla2[[#This Row],[Rentabilidad (%)]]/12</f>
        <v>-3.0090594051613514E-2</v>
      </c>
    </row>
    <row r="509" spans="1:16" x14ac:dyDescent="0.35">
      <c r="A509" s="1">
        <v>37803</v>
      </c>
      <c r="B509" t="s">
        <v>22</v>
      </c>
      <c r="C509" s="2">
        <v>4861</v>
      </c>
      <c r="D509" s="5" t="s">
        <v>17</v>
      </c>
      <c r="E509" s="2">
        <f>IF(Tabla2[[#This Row],[Frecuencia]]="Annual", Tabla2[[#This Row],[Cosecha/Tarea]]/12,Tabla2[[#This Row],[Cosecha/Tarea]])</f>
        <v>4861</v>
      </c>
      <c r="F509" s="2">
        <v>51186</v>
      </c>
      <c r="G509" t="s">
        <v>18</v>
      </c>
      <c r="H509">
        <f>F509/Tabla2[[#This Row],[Cosecha Mensual]]</f>
        <v>10.529932112734006</v>
      </c>
      <c r="I509">
        <f>H509*_xlfn.XLOOKUP(Tabla2[[#This Row],[Unidad de producción]],Tabla3[Medida],Tabla3[Equivalencia en Kg],"ELVIS",0)</f>
        <v>477.63772063361449</v>
      </c>
      <c r="J509">
        <v>453.334</v>
      </c>
      <c r="K509" t="s">
        <v>18</v>
      </c>
      <c r="L509">
        <f>J509/_xlfn.XLOOKUP(Tabla2[[#This Row],[Unidad de precio]],Tabla3[Medida],Tabla3[Equivalencia en Kg],"ELVIS",0)</f>
        <v>9.9941358024691365</v>
      </c>
      <c r="M509">
        <v>3985.46</v>
      </c>
      <c r="N509" s="2">
        <f>(Tabla2[[#This Row],[Productividad (kg/TAS)]]*Tabla2[[#This Row],[Precio por kg]]-Tabla2[[#This Row],[Costos (En RD$/Tarea)]])</f>
        <v>788.11624439415755</v>
      </c>
      <c r="O509" s="6">
        <f>IF(Tabla2[[#This Row],[Costos (En RD$/Tarea)]]=0,0,Tabla2[[#This Row],[Beneficio Neto  (En RD$/Tarea)]]/Tabla2[[#This Row],[Costos (En RD$/Tarea)]])</f>
        <v>0.19774787462279325</v>
      </c>
      <c r="P509" s="4">
        <f>Tabla2[[#This Row],[Rentabilidad (%)]]/12</f>
        <v>1.6478989551899439E-2</v>
      </c>
    </row>
    <row r="510" spans="1:16" x14ac:dyDescent="0.35">
      <c r="A510" s="1">
        <v>37803</v>
      </c>
      <c r="B510" t="s">
        <v>23</v>
      </c>
      <c r="C510" s="2">
        <v>4033</v>
      </c>
      <c r="D510" s="5" t="s">
        <v>17</v>
      </c>
      <c r="E510" s="2">
        <f>IF(Tabla2[[#This Row],[Frecuencia]]="Annual", Tabla2[[#This Row],[Cosecha/Tarea]]/12,Tabla2[[#This Row],[Cosecha/Tarea]])</f>
        <v>4033</v>
      </c>
      <c r="F510" s="2">
        <v>95420</v>
      </c>
      <c r="G510" t="s">
        <v>18</v>
      </c>
      <c r="H510">
        <f>F510/Tabla2[[#This Row],[Cosecha Mensual]]</f>
        <v>23.659806595586414</v>
      </c>
      <c r="I510">
        <f>H510*_xlfn.XLOOKUP(Tabla2[[#This Row],[Unidad de producción]],Tabla3[Medida],Tabla3[Equivalencia en Kg],"ELVIS",0)</f>
        <v>1073.2088271757998</v>
      </c>
      <c r="J510">
        <v>279.35000000000002</v>
      </c>
      <c r="K510" t="s">
        <v>18</v>
      </c>
      <c r="L510">
        <f>J510/_xlfn.XLOOKUP(Tabla2[[#This Row],[Unidad de precio]],Tabla3[Medida],Tabla3[Equivalencia en Kg],"ELVIS",0)</f>
        <v>6.1585097001763671</v>
      </c>
      <c r="M510">
        <v>9309.9599999999991</v>
      </c>
      <c r="N510" s="2">
        <f>(Tabla2[[#This Row],[Productividad (kg/TAS)]]*Tabla2[[#This Row],[Precio por kg]]-Tabla2[[#This Row],[Costos (En RD$/Tarea)]])</f>
        <v>-2700.5930275229339</v>
      </c>
      <c r="O510" s="6">
        <f>IF(Tabla2[[#This Row],[Costos (En RD$/Tarea)]]=0,0,Tabla2[[#This Row],[Beneficio Neto  (En RD$/Tarea)]]/Tabla2[[#This Row],[Costos (En RD$/Tarea)]])</f>
        <v>-0.29007568534375378</v>
      </c>
      <c r="P510" s="4">
        <f>Tabla2[[#This Row],[Rentabilidad (%)]]/12</f>
        <v>-2.4172973778646148E-2</v>
      </c>
    </row>
    <row r="511" spans="1:16" x14ac:dyDescent="0.35">
      <c r="A511" s="1">
        <v>37803</v>
      </c>
      <c r="B511" t="s">
        <v>24</v>
      </c>
      <c r="C511" s="2">
        <v>7195</v>
      </c>
      <c r="D511" s="5" t="s">
        <v>17</v>
      </c>
      <c r="E511" s="2">
        <f>IF(Tabla2[[#This Row],[Frecuencia]]="Annual", Tabla2[[#This Row],[Cosecha/Tarea]]/12,Tabla2[[#This Row],[Cosecha/Tarea]])</f>
        <v>7195</v>
      </c>
      <c r="F511" s="2">
        <v>86876</v>
      </c>
      <c r="G511" t="s">
        <v>18</v>
      </c>
      <c r="H511">
        <f>F511/Tabla2[[#This Row],[Cosecha Mensual]]</f>
        <v>12.07449617790132</v>
      </c>
      <c r="I511">
        <f>H511*_xlfn.XLOOKUP(Tabla2[[#This Row],[Unidad de producción]],Tabla3[Medida],Tabla3[Equivalencia en Kg],"ELVIS",0)</f>
        <v>547.69914662960389</v>
      </c>
      <c r="J511">
        <v>290.96875</v>
      </c>
      <c r="K511" t="s">
        <v>18</v>
      </c>
      <c r="L511">
        <f>J511/_xlfn.XLOOKUP(Tabla2[[#This Row],[Unidad de precio]],Tabla3[Medida],Tabla3[Equivalencia en Kg],"ELVIS",0)</f>
        <v>6.4146549823633157</v>
      </c>
      <c r="M511">
        <v>3188.34</v>
      </c>
      <c r="N511" s="2">
        <f>(Tabla2[[#This Row],[Productividad (kg/TAS)]]*Tabla2[[#This Row],[Precio por kg]]-Tabla2[[#This Row],[Costos (En RD$/Tarea)]])</f>
        <v>324.96105976372473</v>
      </c>
      <c r="O511" s="6">
        <f>IF(Tabla2[[#This Row],[Costos (En RD$/Tarea)]]=0,0,Tabla2[[#This Row],[Beneficio Neto  (En RD$/Tarea)]]/Tabla2[[#This Row],[Costos (En RD$/Tarea)]])</f>
        <v>0.10192170840115067</v>
      </c>
      <c r="P511" s="4">
        <f>Tabla2[[#This Row],[Rentabilidad (%)]]/12</f>
        <v>8.4934757000958896E-3</v>
      </c>
    </row>
    <row r="512" spans="1:16" x14ac:dyDescent="0.35">
      <c r="A512" s="1">
        <v>37803</v>
      </c>
      <c r="B512" t="s">
        <v>25</v>
      </c>
      <c r="C512" s="2">
        <v>19271</v>
      </c>
      <c r="D512" s="5" t="s">
        <v>17</v>
      </c>
      <c r="E512" s="2">
        <f>IF(Tabla2[[#This Row],[Frecuencia]]="Annual", Tabla2[[#This Row],[Cosecha/Tarea]]/12,Tabla2[[#This Row],[Cosecha/Tarea]])</f>
        <v>19271</v>
      </c>
      <c r="F512" s="2">
        <v>215066</v>
      </c>
      <c r="G512" t="s">
        <v>18</v>
      </c>
      <c r="H512">
        <f>F512/Tabla2[[#This Row],[Cosecha Mensual]]</f>
        <v>11.160085101966686</v>
      </c>
      <c r="I512">
        <f>H512*_xlfn.XLOOKUP(Tabla2[[#This Row],[Unidad de producción]],Tabla3[Medida],Tabla3[Equivalencia en Kg],"ELVIS",0)</f>
        <v>506.22146022520889</v>
      </c>
      <c r="J512">
        <v>105.494714285714</v>
      </c>
      <c r="K512" t="s">
        <v>18</v>
      </c>
      <c r="L512">
        <f>J512/_xlfn.XLOOKUP(Tabla2[[#This Row],[Unidad de precio]],Tabla3[Medida],Tabla3[Equivalencia en Kg],"ELVIS",0)</f>
        <v>2.3257212144116841</v>
      </c>
      <c r="M512">
        <v>1396.74</v>
      </c>
      <c r="N512" s="2">
        <f>(Tabla2[[#This Row],[Productividad (kg/TAS)]]*Tabla2[[#This Row],[Precio por kg]]-Tabla2[[#This Row],[Costos (En RD$/Tarea)]])</f>
        <v>-219.4100107637712</v>
      </c>
      <c r="O512" s="6">
        <f>IF(Tabla2[[#This Row],[Costos (En RD$/Tarea)]]=0,0,Tabla2[[#This Row],[Beneficio Neto  (En RD$/Tarea)]]/Tabla2[[#This Row],[Costos (En RD$/Tarea)]])</f>
        <v>-0.15708722508396064</v>
      </c>
      <c r="P512" s="4">
        <f>Tabla2[[#This Row],[Rentabilidad (%)]]/12</f>
        <v>-1.3090602090330054E-2</v>
      </c>
    </row>
    <row r="513" spans="1:16" x14ac:dyDescent="0.35">
      <c r="A513" s="1">
        <v>37803</v>
      </c>
      <c r="B513" t="s">
        <v>26</v>
      </c>
      <c r="C513" s="2">
        <v>8462</v>
      </c>
      <c r="D513" s="5" t="s">
        <v>17</v>
      </c>
      <c r="E513" s="2">
        <f>IF(Tabla2[[#This Row],[Frecuencia]]="Annual", Tabla2[[#This Row],[Cosecha/Tarea]]/12,Tabla2[[#This Row],[Cosecha/Tarea]])</f>
        <v>8462</v>
      </c>
      <c r="F513" s="2">
        <v>43187</v>
      </c>
      <c r="G513" t="s">
        <v>18</v>
      </c>
      <c r="H513">
        <f>F513/Tabla2[[#This Row],[Cosecha Mensual]]</f>
        <v>5.1036398014653743</v>
      </c>
      <c r="I513">
        <f>H513*_xlfn.XLOOKUP(Tabla2[[#This Row],[Unidad de producción]],Tabla3[Medida],Tabla3[Equivalencia en Kg],"ELVIS",0)</f>
        <v>231.50110139446937</v>
      </c>
      <c r="J513">
        <v>233.541666666667</v>
      </c>
      <c r="K513" t="s">
        <v>18</v>
      </c>
      <c r="L513">
        <f>J513/_xlfn.XLOOKUP(Tabla2[[#This Row],[Unidad de precio]],Tabla3[Medida],Tabla3[Equivalencia en Kg],"ELVIS",0)</f>
        <v>5.1486258083480383</v>
      </c>
      <c r="M513">
        <v>1217.1099999999999</v>
      </c>
      <c r="N513" s="2">
        <f>(Tabla2[[#This Row],[Productividad (kg/TAS)]]*Tabla2[[#This Row],[Precio por kg]]-Tabla2[[#This Row],[Costos (En RD$/Tarea)]])</f>
        <v>-25.197454699438822</v>
      </c>
      <c r="O513" s="6">
        <f>IF(Tabla2[[#This Row],[Costos (En RD$/Tarea)]]=0,0,Tabla2[[#This Row],[Beneficio Neto  (En RD$/Tarea)]]/Tabla2[[#This Row],[Costos (En RD$/Tarea)]])</f>
        <v>-2.0702693018247179E-2</v>
      </c>
      <c r="P513" s="4">
        <f>Tabla2[[#This Row],[Rentabilidad (%)]]/12</f>
        <v>-1.725224418187265E-3</v>
      </c>
    </row>
    <row r="514" spans="1:16" x14ac:dyDescent="0.35">
      <c r="A514" s="1">
        <v>37803</v>
      </c>
      <c r="B514" t="s">
        <v>27</v>
      </c>
      <c r="C514" s="2">
        <v>4295</v>
      </c>
      <c r="D514" s="5" t="s">
        <v>17</v>
      </c>
      <c r="E514" s="2">
        <f>IF(Tabla2[[#This Row],[Frecuencia]]="Annual", Tabla2[[#This Row],[Cosecha/Tarea]]/12,Tabla2[[#This Row],[Cosecha/Tarea]])</f>
        <v>4295</v>
      </c>
      <c r="F514" s="2">
        <v>44081</v>
      </c>
      <c r="G514" t="s">
        <v>18</v>
      </c>
      <c r="H514">
        <f>F514/Tabla2[[#This Row],[Cosecha Mensual]]</f>
        <v>10.263329452852153</v>
      </c>
      <c r="I514">
        <f>H514*_xlfn.XLOOKUP(Tabla2[[#This Row],[Unidad de producción]],Tabla3[Medida],Tabla3[Equivalencia en Kg],"ELVIS",0)</f>
        <v>465.54462398137366</v>
      </c>
      <c r="J514">
        <v>232.166666666667</v>
      </c>
      <c r="K514" t="s">
        <v>18</v>
      </c>
      <c r="L514">
        <f>J514/_xlfn.XLOOKUP(Tabla2[[#This Row],[Unidad de precio]],Tabla3[Medida],Tabla3[Equivalencia en Kg],"ELVIS",0)</f>
        <v>5.1183127572016538</v>
      </c>
      <c r="M514">
        <v>3938.29</v>
      </c>
      <c r="N514" s="2">
        <f>(Tabla2[[#This Row],[Productividad (kg/TAS)]]*Tabla2[[#This Row],[Precio por kg]]-Tabla2[[#This Row],[Costos (En RD$/Tarea)]])</f>
        <v>-1555.4870120294881</v>
      </c>
      <c r="O514" s="6">
        <f>IF(Tabla2[[#This Row],[Costos (En RD$/Tarea)]]=0,0,Tabla2[[#This Row],[Beneficio Neto  (En RD$/Tarea)]]/Tabla2[[#This Row],[Costos (En RD$/Tarea)]])</f>
        <v>-0.39496507672860254</v>
      </c>
      <c r="P514" s="4">
        <f>Tabla2[[#This Row],[Rentabilidad (%)]]/12</f>
        <v>-3.2913756394050211E-2</v>
      </c>
    </row>
    <row r="515" spans="1:16" x14ac:dyDescent="0.35">
      <c r="A515" s="1">
        <v>37803</v>
      </c>
      <c r="B515" t="s">
        <v>28</v>
      </c>
      <c r="C515" s="2">
        <v>16334</v>
      </c>
      <c r="D515" s="5" t="s">
        <v>17</v>
      </c>
      <c r="E515" s="2">
        <f>IF(Tabla2[[#This Row],[Frecuencia]]="Annual", Tabla2[[#This Row],[Cosecha/Tarea]]/12,Tabla2[[#This Row],[Cosecha/Tarea]])</f>
        <v>16334</v>
      </c>
      <c r="F515" s="2">
        <v>28421</v>
      </c>
      <c r="G515" t="s">
        <v>29</v>
      </c>
      <c r="H515">
        <f>F515/Tabla2[[#This Row],[Cosecha Mensual]]</f>
        <v>1.7399902044814497</v>
      </c>
      <c r="I515">
        <f>H515*_xlfn.XLOOKUP(Tabla2[[#This Row],[Unidad de producción]],Tabla3[Medida],Tabla3[Equivalencia en Kg],"ELVIS",0)</f>
        <v>978.46609158809849</v>
      </c>
      <c r="J515">
        <v>2160.7342857142899</v>
      </c>
      <c r="K515" t="s">
        <v>29</v>
      </c>
      <c r="L515">
        <f>J515/_xlfn.XLOOKUP(Tabla2[[#This Row],[Unidad de precio]],Tabla3[Medida],Tabla3[Equivalencia en Kg],"ELVIS",0)</f>
        <v>3.8423983456881774</v>
      </c>
      <c r="M515">
        <v>7517.1463872000004</v>
      </c>
      <c r="N515" s="2">
        <f>(Tabla2[[#This Row],[Productividad (kg/TAS)]]*Tabla2[[#This Row],[Precio por kg]]-Tabla2[[#This Row],[Costos (En RD$/Tarea)]])</f>
        <v>-3757.4898955699141</v>
      </c>
      <c r="O515" s="6">
        <f>IF(Tabla2[[#This Row],[Costos (En RD$/Tarea)]]=0,0,Tabla2[[#This Row],[Beneficio Neto  (En RD$/Tarea)]]/Tabla2[[#This Row],[Costos (En RD$/Tarea)]])</f>
        <v>-0.49985588972539757</v>
      </c>
      <c r="P515" s="4">
        <f>Tabla2[[#This Row],[Rentabilidad (%)]]/12</f>
        <v>-4.1654657477116462E-2</v>
      </c>
    </row>
    <row r="516" spans="1:16" x14ac:dyDescent="0.35">
      <c r="A516" s="1">
        <v>37803</v>
      </c>
      <c r="B516" t="s">
        <v>30</v>
      </c>
      <c r="C516" s="2">
        <v>340820</v>
      </c>
      <c r="D516" s="2" t="s">
        <v>31</v>
      </c>
      <c r="E516" s="2">
        <f>IF(Tabla2[[#This Row],[Frecuencia]]="Annual", Tabla2[[#This Row],[Cosecha/Tarea]]/12,Tabla2[[#This Row],[Cosecha/Tarea]])</f>
        <v>28401.666666666668</v>
      </c>
      <c r="F516" s="2">
        <v>2276806</v>
      </c>
      <c r="G516" t="s">
        <v>32</v>
      </c>
      <c r="H516">
        <f>F516/Tabla2[[#This Row],[Cosecha Mensual]]</f>
        <v>80.164520861451791</v>
      </c>
      <c r="I516">
        <f>H516*_xlfn.XLOOKUP(Tabla2[[#This Row],[Unidad de producción]],Tabla3[Medida],Tabla3[Equivalencia en Kg],"ELVIS",0)</f>
        <v>2181.2766126401034</v>
      </c>
      <c r="J516">
        <v>30.723333333333301</v>
      </c>
      <c r="K516" t="s">
        <v>32</v>
      </c>
      <c r="L516">
        <f>J516/_xlfn.XLOOKUP(Tabla2[[#This Row],[Unidad de precio]],Tabla3[Medida],Tabla3[Equivalencia en Kg],"ELVIS",0)</f>
        <v>1.1291191963738809</v>
      </c>
      <c r="M516" s="2">
        <v>6435.96</v>
      </c>
      <c r="N516" s="2">
        <f>(Tabla2[[#This Row],[Productividad (kg/TAS)]]*Tabla2[[#This Row],[Precio por kg]]-Tabla2[[#This Row],[Costos (En RD$/Tarea)]])</f>
        <v>-3973.0387040666656</v>
      </c>
      <c r="O516" s="6">
        <f>IF(Tabla2[[#This Row],[Costos (En RD$/Tarea)]]=0,0,Tabla2[[#This Row],[Beneficio Neto  (En RD$/Tarea)]]/Tabla2[[#This Row],[Costos (En RD$/Tarea)]])</f>
        <v>-0.61731873785211</v>
      </c>
      <c r="P516" s="4">
        <f>Tabla2[[#This Row],[Rentabilidad (%)]]/12</f>
        <v>-5.1443228154342498E-2</v>
      </c>
    </row>
    <row r="517" spans="1:16" x14ac:dyDescent="0.35">
      <c r="A517" s="1">
        <v>37803</v>
      </c>
      <c r="B517" t="s">
        <v>33</v>
      </c>
      <c r="C517" s="2">
        <v>692694</v>
      </c>
      <c r="D517" s="2" t="s">
        <v>31</v>
      </c>
      <c r="E517" s="2">
        <f>IF(Tabla2[[#This Row],[Frecuencia]]="Annual", Tabla2[[#This Row],[Cosecha/Tarea]]/12,Tabla2[[#This Row],[Cosecha/Tarea]])</f>
        <v>57724.5</v>
      </c>
      <c r="F517" s="2">
        <v>121355</v>
      </c>
      <c r="G517" t="s">
        <v>34</v>
      </c>
      <c r="H517">
        <f>F517/Tabla2[[#This Row],[Cosecha Mensual]]</f>
        <v>2.1023135756914311</v>
      </c>
      <c r="I517">
        <f>H517*_xlfn.XLOOKUP(Tabla2[[#This Row],[Unidad de producción]],Tabla3[Medida],Tabla3[Equivalencia en Kg],"ELVIS",0)</f>
        <v>858.05928591845759</v>
      </c>
      <c r="J517">
        <v>1260.2171428571401</v>
      </c>
      <c r="K517" t="s">
        <v>34</v>
      </c>
      <c r="L517">
        <f>J517/_xlfn.XLOOKUP(Tabla2[[#This Row],[Unidad de precio]],Tabla3[Medida],Tabla3[Equivalencia en Kg],"ELVIS",0)</f>
        <v>3.0876323480513048</v>
      </c>
      <c r="M517" s="2">
        <v>8666.64</v>
      </c>
      <c r="N517" s="2">
        <f>(Tabla2[[#This Row],[Productividad (kg/TAS)]]*Tabla2[[#This Row],[Precio por kg]]-Tabla2[[#This Row],[Costos (En RD$/Tarea)]])</f>
        <v>-6017.2683922523665</v>
      </c>
      <c r="O517" s="6">
        <f>IF(Tabla2[[#This Row],[Costos (En RD$/Tarea)]]=0,0,Tabla2[[#This Row],[Beneficio Neto  (En RD$/Tarea)]]/Tabla2[[#This Row],[Costos (En RD$/Tarea)]])</f>
        <v>-0.69430233542092057</v>
      </c>
      <c r="P517" s="4">
        <f>Tabla2[[#This Row],[Rentabilidad (%)]]/12</f>
        <v>-5.7858527951743378E-2</v>
      </c>
    </row>
    <row r="518" spans="1:16" x14ac:dyDescent="0.35">
      <c r="A518" s="1">
        <v>37834</v>
      </c>
      <c r="B518" t="s">
        <v>16</v>
      </c>
      <c r="C518" s="2">
        <v>283002</v>
      </c>
      <c r="D518" s="5" t="s">
        <v>17</v>
      </c>
      <c r="E518" s="2">
        <f>IF(Tabla2[[#This Row],[Frecuencia]]="Annual", Tabla2[[#This Row],[Cosecha/Tarea]]/12,Tabla2[[#This Row],[Cosecha/Tarea]])</f>
        <v>283002</v>
      </c>
      <c r="F518" s="2">
        <v>1446278</v>
      </c>
      <c r="G518" t="s">
        <v>18</v>
      </c>
      <c r="H518">
        <f>F518/Tabla2[[#This Row],[Cosecha Mensual]]</f>
        <v>5.1104868516830271</v>
      </c>
      <c r="I518">
        <f>H518*_xlfn.XLOOKUP(Tabla2[[#This Row],[Unidad de producción]],Tabla3[Medida],Tabla3[Equivalencia en Kg],"ELVIS",0)</f>
        <v>231.81168359234209</v>
      </c>
      <c r="J518">
        <v>1162.22442244224</v>
      </c>
      <c r="K518" t="s">
        <v>19</v>
      </c>
      <c r="L518">
        <f>J518/_xlfn.XLOOKUP(Tabla2[[#This Row],[Unidad de precio]],Tabla3[Medida],Tabla3[Equivalencia en Kg],"ELVIS",0)</f>
        <v>10.565676567656727</v>
      </c>
      <c r="M518">
        <v>4275.41</v>
      </c>
      <c r="N518" s="2">
        <f>(Tabla2[[#This Row],[Productividad (kg/TAS)]]*Tabla2[[#This Row],[Precio por kg]]-Tabla2[[#This Row],[Costos (En RD$/Tarea)]])</f>
        <v>-1826.1627265593356</v>
      </c>
      <c r="O518" s="6">
        <f>IF(Tabla2[[#This Row],[Costos (En RD$/Tarea)]]=0,0,Tabla2[[#This Row],[Beneficio Neto  (En RD$/Tarea)]]/Tabla2[[#This Row],[Costos (En RD$/Tarea)]])</f>
        <v>-0.42713160294786601</v>
      </c>
      <c r="P518" s="4">
        <f>Tabla2[[#This Row],[Rentabilidad (%)]]/12</f>
        <v>-3.5594300245655498E-2</v>
      </c>
    </row>
    <row r="519" spans="1:16" x14ac:dyDescent="0.35">
      <c r="A519" s="1">
        <v>37834</v>
      </c>
      <c r="B519" t="s">
        <v>20</v>
      </c>
      <c r="C519" s="2">
        <v>61576</v>
      </c>
      <c r="D519" s="5" t="s">
        <v>17</v>
      </c>
      <c r="E519" s="2">
        <f>IF(Tabla2[[#This Row],[Frecuencia]]="Annual", Tabla2[[#This Row],[Cosecha/Tarea]]/12,Tabla2[[#This Row],[Cosecha/Tarea]])</f>
        <v>61576</v>
      </c>
      <c r="F519" s="2">
        <v>110331</v>
      </c>
      <c r="G519" t="s">
        <v>18</v>
      </c>
      <c r="H519">
        <f>F519/Tabla2[[#This Row],[Cosecha Mensual]]</f>
        <v>1.7917857606859815</v>
      </c>
      <c r="I519">
        <f>H519*_xlfn.XLOOKUP(Tabla2[[#This Row],[Unidad de producción]],Tabla3[Medida],Tabla3[Equivalencia en Kg],"ELVIS",0)</f>
        <v>81.275402104716122</v>
      </c>
      <c r="J519">
        <v>279.23428571428599</v>
      </c>
      <c r="K519" t="s">
        <v>18</v>
      </c>
      <c r="L519">
        <f>J519/_xlfn.XLOOKUP(Tabla2[[#This Row],[Unidad de precio]],Tabla3[Medida],Tabla3[Equivalencia en Kg],"ELVIS",0)</f>
        <v>6.1559586797682098</v>
      </c>
      <c r="M519">
        <v>938.62</v>
      </c>
      <c r="N519" s="2">
        <f>(Tabla2[[#This Row],[Productividad (kg/TAS)]]*Tabla2[[#This Row],[Precio por kg]]-Tabla2[[#This Row],[Costos (En RD$/Tarea)]])</f>
        <v>-438.29198296182136</v>
      </c>
      <c r="O519" s="6">
        <f>IF(Tabla2[[#This Row],[Costos (En RD$/Tarea)]]=0,0,Tabla2[[#This Row],[Beneficio Neto  (En RD$/Tarea)]]/Tabla2[[#This Row],[Costos (En RD$/Tarea)]])</f>
        <v>-0.46695359459826274</v>
      </c>
      <c r="P519" s="4">
        <f>Tabla2[[#This Row],[Rentabilidad (%)]]/12</f>
        <v>-3.8912799549855229E-2</v>
      </c>
    </row>
    <row r="520" spans="1:16" x14ac:dyDescent="0.35">
      <c r="A520" s="1">
        <v>37834</v>
      </c>
      <c r="B520" t="s">
        <v>21</v>
      </c>
      <c r="C520" s="2">
        <v>6197</v>
      </c>
      <c r="D520" s="5" t="s">
        <v>17</v>
      </c>
      <c r="E520" s="2">
        <f>IF(Tabla2[[#This Row],[Frecuencia]]="Annual", Tabla2[[#This Row],[Cosecha/Tarea]]/12,Tabla2[[#This Row],[Cosecha/Tarea]])</f>
        <v>6197</v>
      </c>
      <c r="F520" s="2">
        <v>59391</v>
      </c>
      <c r="G520" t="s">
        <v>18</v>
      </c>
      <c r="H520">
        <f>F520/Tabla2[[#This Row],[Cosecha Mensual]]</f>
        <v>9.5838308859125387</v>
      </c>
      <c r="I520">
        <f>H520*_xlfn.XLOOKUP(Tabla2[[#This Row],[Unidad de producción]],Tabla3[Medida],Tabla3[Equivalencia en Kg],"ELVIS",0)</f>
        <v>434.72256898499273</v>
      </c>
      <c r="J520">
        <v>132.67500000000001</v>
      </c>
      <c r="K520" t="s">
        <v>18</v>
      </c>
      <c r="L520">
        <f>J520/_xlfn.XLOOKUP(Tabla2[[#This Row],[Unidad de precio]],Tabla3[Medida],Tabla3[Equivalencia en Kg],"ELVIS",0)</f>
        <v>2.9249338624338628</v>
      </c>
      <c r="M520">
        <v>1545.78</v>
      </c>
      <c r="N520" s="2">
        <f>(Tabla2[[#This Row],[Productividad (kg/TAS)]]*Tabla2[[#This Row],[Precio por kg]]-Tabla2[[#This Row],[Costos (En RD$/Tarea)]])</f>
        <v>-274.24523721155379</v>
      </c>
      <c r="O520" s="6">
        <f>IF(Tabla2[[#This Row],[Costos (En RD$/Tarea)]]=0,0,Tabla2[[#This Row],[Beneficio Neto  (En RD$/Tarea)]]/Tabla2[[#This Row],[Costos (En RD$/Tarea)]])</f>
        <v>-0.17741543894445122</v>
      </c>
      <c r="P520" s="4">
        <f>Tabla2[[#This Row],[Rentabilidad (%)]]/12</f>
        <v>-1.4784619912037602E-2</v>
      </c>
    </row>
    <row r="521" spans="1:16" x14ac:dyDescent="0.35">
      <c r="A521" s="1">
        <v>37834</v>
      </c>
      <c r="B521" t="s">
        <v>22</v>
      </c>
      <c r="C521" s="2">
        <v>3156</v>
      </c>
      <c r="D521" s="5" t="s">
        <v>17</v>
      </c>
      <c r="E521" s="2">
        <f>IF(Tabla2[[#This Row],[Frecuencia]]="Annual", Tabla2[[#This Row],[Cosecha/Tarea]]/12,Tabla2[[#This Row],[Cosecha/Tarea]])</f>
        <v>3156</v>
      </c>
      <c r="F521" s="2">
        <v>32475</v>
      </c>
      <c r="G521" t="s">
        <v>18</v>
      </c>
      <c r="H521">
        <f>F521/Tabla2[[#This Row],[Cosecha Mensual]]</f>
        <v>10.289923954372624</v>
      </c>
      <c r="I521">
        <f>H521*_xlfn.XLOOKUP(Tabla2[[#This Row],[Unidad de producción]],Tabla3[Medida],Tabla3[Equivalencia en Kg],"ELVIS",0)</f>
        <v>466.75095057034218</v>
      </c>
      <c r="J521">
        <v>459.11</v>
      </c>
      <c r="K521" t="s">
        <v>18</v>
      </c>
      <c r="L521">
        <f>J521/_xlfn.XLOOKUP(Tabla2[[#This Row],[Unidad de precio]],Tabla3[Medida],Tabla3[Equivalencia en Kg],"ELVIS",0)</f>
        <v>10.121472663139331</v>
      </c>
      <c r="M521">
        <v>3985.46</v>
      </c>
      <c r="N521" s="2">
        <f>(Tabla2[[#This Row],[Productividad (kg/TAS)]]*Tabla2[[#This Row],[Precio por kg]]-Tabla2[[#This Row],[Costos (En RD$/Tarea)]])</f>
        <v>738.74698669201553</v>
      </c>
      <c r="O521" s="6">
        <f>IF(Tabla2[[#This Row],[Costos (En RD$/Tarea)]]=0,0,Tabla2[[#This Row],[Beneficio Neto  (En RD$/Tarea)]]/Tabla2[[#This Row],[Costos (En RD$/Tarea)]])</f>
        <v>0.18536053220757842</v>
      </c>
      <c r="P521" s="4">
        <f>Tabla2[[#This Row],[Rentabilidad (%)]]/12</f>
        <v>1.5446711017298201E-2</v>
      </c>
    </row>
    <row r="522" spans="1:16" x14ac:dyDescent="0.35">
      <c r="A522" s="1">
        <v>37834</v>
      </c>
      <c r="B522" t="s">
        <v>23</v>
      </c>
      <c r="C522" s="2">
        <v>2783</v>
      </c>
      <c r="D522" s="5" t="s">
        <v>17</v>
      </c>
      <c r="E522" s="2">
        <f>IF(Tabla2[[#This Row],[Frecuencia]]="Annual", Tabla2[[#This Row],[Cosecha/Tarea]]/12,Tabla2[[#This Row],[Cosecha/Tarea]])</f>
        <v>2783</v>
      </c>
      <c r="F522" s="2">
        <v>89355</v>
      </c>
      <c r="G522" t="s">
        <v>18</v>
      </c>
      <c r="H522">
        <f>F522/Tabla2[[#This Row],[Cosecha Mensual]]</f>
        <v>32.107438016528924</v>
      </c>
      <c r="I522">
        <f>H522*_xlfn.XLOOKUP(Tabla2[[#This Row],[Unidad de producción]],Tabla3[Medida],Tabla3[Equivalencia en Kg],"ELVIS",0)</f>
        <v>1456.3933884297519</v>
      </c>
      <c r="J522">
        <v>212.7</v>
      </c>
      <c r="K522" t="s">
        <v>18</v>
      </c>
      <c r="L522">
        <f>J522/_xlfn.XLOOKUP(Tabla2[[#This Row],[Unidad de precio]],Tabla3[Medida],Tabla3[Equivalencia en Kg],"ELVIS",0)</f>
        <v>4.6891534391534391</v>
      </c>
      <c r="M522">
        <v>9309.9599999999991</v>
      </c>
      <c r="N522" s="2">
        <f>(Tabla2[[#This Row],[Productividad (kg/TAS)]]*Tabla2[[#This Row],[Precio por kg]]-Tabla2[[#This Row],[Costos (En RD$/Tarea)]])</f>
        <v>-2480.7079338842977</v>
      </c>
      <c r="O522" s="6">
        <f>IF(Tabla2[[#This Row],[Costos (En RD$/Tarea)]]=0,0,Tabla2[[#This Row],[Beneficio Neto  (En RD$/Tarea)]]/Tabla2[[#This Row],[Costos (En RD$/Tarea)]])</f>
        <v>-0.26645742128691186</v>
      </c>
      <c r="P522" s="4">
        <f>Tabla2[[#This Row],[Rentabilidad (%)]]/12</f>
        <v>-2.2204785107242653E-2</v>
      </c>
    </row>
    <row r="523" spans="1:16" x14ac:dyDescent="0.35">
      <c r="A523" s="1">
        <v>37834</v>
      </c>
      <c r="B523" t="s">
        <v>24</v>
      </c>
      <c r="C523" s="2">
        <v>8936</v>
      </c>
      <c r="D523" s="5" t="s">
        <v>17</v>
      </c>
      <c r="E523" s="2">
        <f>IF(Tabla2[[#This Row],[Frecuencia]]="Annual", Tabla2[[#This Row],[Cosecha/Tarea]]/12,Tabla2[[#This Row],[Cosecha/Tarea]])</f>
        <v>8936</v>
      </c>
      <c r="F523" s="2">
        <v>117419</v>
      </c>
      <c r="G523" t="s">
        <v>18</v>
      </c>
      <c r="H523">
        <f>F523/Tabla2[[#This Row],[Cosecha Mensual]]</f>
        <v>13.139995523724261</v>
      </c>
      <c r="I523">
        <f>H523*_xlfn.XLOOKUP(Tabla2[[#This Row],[Unidad de producción]],Tabla3[Medida],Tabla3[Equivalencia en Kg],"ELVIS",0)</f>
        <v>596.0301969561325</v>
      </c>
      <c r="J523">
        <v>435.44499999999999</v>
      </c>
      <c r="K523" t="s">
        <v>18</v>
      </c>
      <c r="L523">
        <f>J523/_xlfn.XLOOKUP(Tabla2[[#This Row],[Unidad de precio]],Tabla3[Medida],Tabla3[Equivalencia en Kg],"ELVIS",0)</f>
        <v>9.5997574955908291</v>
      </c>
      <c r="M523">
        <v>3188.34</v>
      </c>
      <c r="N523" s="2">
        <f>(Tabla2[[#This Row],[Productividad (kg/TAS)]]*Tabla2[[#This Row],[Precio por kg]]-Tabla2[[#This Row],[Costos (En RD$/Tarea)]])</f>
        <v>2533.4053508281113</v>
      </c>
      <c r="O523" s="6">
        <f>IF(Tabla2[[#This Row],[Costos (En RD$/Tarea)]]=0,0,Tabla2[[#This Row],[Beneficio Neto  (En RD$/Tarea)]]/Tabla2[[#This Row],[Costos (En RD$/Tarea)]])</f>
        <v>0.79458443918406163</v>
      </c>
      <c r="P523" s="4">
        <f>Tabla2[[#This Row],[Rentabilidad (%)]]/12</f>
        <v>6.6215369932005136E-2</v>
      </c>
    </row>
    <row r="524" spans="1:16" x14ac:dyDescent="0.35">
      <c r="A524" s="1">
        <v>37834</v>
      </c>
      <c r="B524" t="s">
        <v>25</v>
      </c>
      <c r="C524" s="2">
        <v>18679</v>
      </c>
      <c r="D524" s="5" t="s">
        <v>17</v>
      </c>
      <c r="E524" s="2">
        <f>IF(Tabla2[[#This Row],[Frecuencia]]="Annual", Tabla2[[#This Row],[Cosecha/Tarea]]/12,Tabla2[[#This Row],[Cosecha/Tarea]])</f>
        <v>18679</v>
      </c>
      <c r="F524" s="2">
        <v>194186</v>
      </c>
      <c r="G524" t="s">
        <v>18</v>
      </c>
      <c r="H524">
        <f>F524/Tabla2[[#This Row],[Cosecha Mensual]]</f>
        <v>10.395952674126024</v>
      </c>
      <c r="I524">
        <f>H524*_xlfn.XLOOKUP(Tabla2[[#This Row],[Unidad de producción]],Tabla3[Medida],Tabla3[Equivalencia en Kg],"ELVIS",0)</f>
        <v>471.56041329835642</v>
      </c>
      <c r="J524">
        <v>101.67064285714299</v>
      </c>
      <c r="K524" t="s">
        <v>18</v>
      </c>
      <c r="L524">
        <f>J524/_xlfn.XLOOKUP(Tabla2[[#This Row],[Unidad de precio]],Tabla3[Medida],Tabla3[Equivalencia en Kg],"ELVIS",0)</f>
        <v>2.2414162887377205</v>
      </c>
      <c r="M524">
        <v>1396.74</v>
      </c>
      <c r="N524" s="2">
        <f>(Tabla2[[#This Row],[Productividad (kg/TAS)]]*Tabla2[[#This Row],[Precio por kg]]-Tabla2[[#This Row],[Costos (En RD$/Tarea)]])</f>
        <v>-339.77680850917227</v>
      </c>
      <c r="O524" s="6">
        <f>IF(Tabla2[[#This Row],[Costos (En RD$/Tarea)]]=0,0,Tabla2[[#This Row],[Beneficio Neto  (En RD$/Tarea)]]/Tabla2[[#This Row],[Costos (En RD$/Tarea)]])</f>
        <v>-0.24326417837906286</v>
      </c>
      <c r="P524" s="4">
        <f>Tabla2[[#This Row],[Rentabilidad (%)]]/12</f>
        <v>-2.0272014864921906E-2</v>
      </c>
    </row>
    <row r="525" spans="1:16" x14ac:dyDescent="0.35">
      <c r="A525" s="1">
        <v>37834</v>
      </c>
      <c r="B525" t="s">
        <v>26</v>
      </c>
      <c r="C525" s="2">
        <v>13850</v>
      </c>
      <c r="D525" s="5" t="s">
        <v>17</v>
      </c>
      <c r="E525" s="2">
        <f>IF(Tabla2[[#This Row],[Frecuencia]]="Annual", Tabla2[[#This Row],[Cosecha/Tarea]]/12,Tabla2[[#This Row],[Cosecha/Tarea]])</f>
        <v>13850</v>
      </c>
      <c r="F525" s="2">
        <v>80192</v>
      </c>
      <c r="G525" t="s">
        <v>18</v>
      </c>
      <c r="H525">
        <f>F525/Tabla2[[#This Row],[Cosecha Mensual]]</f>
        <v>5.7900361010830323</v>
      </c>
      <c r="I525">
        <f>H525*_xlfn.XLOOKUP(Tabla2[[#This Row],[Unidad de producción]],Tabla3[Medida],Tabla3[Equivalencia en Kg],"ELVIS",0)</f>
        <v>262.63603754512633</v>
      </c>
      <c r="J525">
        <v>246.45750000000001</v>
      </c>
      <c r="K525" t="s">
        <v>18</v>
      </c>
      <c r="L525">
        <f>J525/_xlfn.XLOOKUP(Tabla2[[#This Row],[Unidad de precio]],Tabla3[Medida],Tabla3[Equivalencia en Kg],"ELVIS",0)</f>
        <v>5.4333664021164028</v>
      </c>
      <c r="M525">
        <v>1217.1099999999999</v>
      </c>
      <c r="N525" s="2">
        <f>(Tabla2[[#This Row],[Productividad (kg/TAS)]]*Tabla2[[#This Row],[Precio por kg]]-Tabla2[[#This Row],[Costos (En RD$/Tarea)]])</f>
        <v>209.88782238267163</v>
      </c>
      <c r="O525" s="6">
        <f>IF(Tabla2[[#This Row],[Costos (En RD$/Tarea)]]=0,0,Tabla2[[#This Row],[Beneficio Neto  (En RD$/Tarea)]]/Tabla2[[#This Row],[Costos (En RD$/Tarea)]])</f>
        <v>0.17244770183686903</v>
      </c>
      <c r="P525" s="4">
        <f>Tabla2[[#This Row],[Rentabilidad (%)]]/12</f>
        <v>1.4370641819739086E-2</v>
      </c>
    </row>
    <row r="526" spans="1:16" x14ac:dyDescent="0.35">
      <c r="A526" s="1">
        <v>37834</v>
      </c>
      <c r="B526" t="s">
        <v>27</v>
      </c>
      <c r="C526" s="2">
        <v>4504</v>
      </c>
      <c r="D526" s="5" t="s">
        <v>17</v>
      </c>
      <c r="E526" s="2">
        <f>IF(Tabla2[[#This Row],[Frecuencia]]="Annual", Tabla2[[#This Row],[Cosecha/Tarea]]/12,Tabla2[[#This Row],[Cosecha/Tarea]])</f>
        <v>4504</v>
      </c>
      <c r="F526" s="2">
        <v>44209</v>
      </c>
      <c r="G526" t="s">
        <v>18</v>
      </c>
      <c r="H526">
        <f>F526/Tabla2[[#This Row],[Cosecha Mensual]]</f>
        <v>9.8154973357015987</v>
      </c>
      <c r="I526">
        <f>H526*_xlfn.XLOOKUP(Tabla2[[#This Row],[Unidad de producción]],Tabla3[Medida],Tabla3[Equivalencia en Kg],"ELVIS",0)</f>
        <v>445.23095914742453</v>
      </c>
      <c r="J526">
        <v>230.474285714286</v>
      </c>
      <c r="K526" t="s">
        <v>18</v>
      </c>
      <c r="L526">
        <f>J526/_xlfn.XLOOKUP(Tabla2[[#This Row],[Unidad de precio]],Tabla3[Medida],Tabla3[Equivalencia en Kg],"ELVIS",0)</f>
        <v>5.0810027714789685</v>
      </c>
      <c r="M526">
        <v>3938.29</v>
      </c>
      <c r="N526" s="2">
        <f>(Tabla2[[#This Row],[Productividad (kg/TAS)]]*Tabla2[[#This Row],[Precio por kg]]-Tabla2[[#This Row],[Costos (En RD$/Tarea)]])</f>
        <v>-1676.0702626236966</v>
      </c>
      <c r="O526" s="6">
        <f>IF(Tabla2[[#This Row],[Costos (En RD$/Tarea)]]=0,0,Tabla2[[#This Row],[Beneficio Neto  (En RD$/Tarea)]]/Tabla2[[#This Row],[Costos (En RD$/Tarea)]])</f>
        <v>-0.42558325126481206</v>
      </c>
      <c r="P526" s="4">
        <f>Tabla2[[#This Row],[Rentabilidad (%)]]/12</f>
        <v>-3.546527093873434E-2</v>
      </c>
    </row>
    <row r="527" spans="1:16" x14ac:dyDescent="0.35">
      <c r="A527" s="1">
        <v>37834</v>
      </c>
      <c r="B527" t="s">
        <v>28</v>
      </c>
      <c r="C527" s="2">
        <v>26834</v>
      </c>
      <c r="D527" s="5" t="s">
        <v>17</v>
      </c>
      <c r="E527" s="2">
        <f>IF(Tabla2[[#This Row],[Frecuencia]]="Annual", Tabla2[[#This Row],[Cosecha/Tarea]]/12,Tabla2[[#This Row],[Cosecha/Tarea]])</f>
        <v>26834</v>
      </c>
      <c r="F527" s="2">
        <v>53668</v>
      </c>
      <c r="G527" t="s">
        <v>29</v>
      </c>
      <c r="H527">
        <f>F527/Tabla2[[#This Row],[Cosecha Mensual]]</f>
        <v>2</v>
      </c>
      <c r="I527">
        <f>H527*_xlfn.XLOOKUP(Tabla2[[#This Row],[Unidad de producción]],Tabla3[Medida],Tabla3[Equivalencia en Kg],"ELVIS",0)</f>
        <v>1124.68</v>
      </c>
      <c r="J527">
        <v>1368.4642857142901</v>
      </c>
      <c r="K527" t="s">
        <v>29</v>
      </c>
      <c r="L527">
        <f>J527/_xlfn.XLOOKUP(Tabla2[[#This Row],[Unidad de precio]],Tabla3[Medida],Tabla3[Equivalencia en Kg],"ELVIS",0)</f>
        <v>2.4335175973864387</v>
      </c>
      <c r="M527">
        <v>7517.1463872000004</v>
      </c>
      <c r="N527" s="2">
        <f>(Tabla2[[#This Row],[Productividad (kg/TAS)]]*Tabla2[[#This Row],[Precio por kg]]-Tabla2[[#This Row],[Costos (En RD$/Tarea)]])</f>
        <v>-4780.2178157714206</v>
      </c>
      <c r="O527" s="6">
        <f>IF(Tabla2[[#This Row],[Costos (En RD$/Tarea)]]=0,0,Tabla2[[#This Row],[Beneficio Neto  (En RD$/Tarea)]]/Tabla2[[#This Row],[Costos (En RD$/Tarea)]])</f>
        <v>-0.63590857082563268</v>
      </c>
      <c r="P527" s="4">
        <f>Tabla2[[#This Row],[Rentabilidad (%)]]/12</f>
        <v>-5.2992380902136059E-2</v>
      </c>
    </row>
    <row r="528" spans="1:16" x14ac:dyDescent="0.35">
      <c r="A528" s="1">
        <v>37834</v>
      </c>
      <c r="B528" t="s">
        <v>30</v>
      </c>
      <c r="C528" s="2">
        <v>245567</v>
      </c>
      <c r="D528" s="2" t="s">
        <v>31</v>
      </c>
      <c r="E528" s="2">
        <f>IF(Tabla2[[#This Row],[Frecuencia]]="Annual", Tabla2[[#This Row],[Cosecha/Tarea]]/12,Tabla2[[#This Row],[Cosecha/Tarea]])</f>
        <v>20463.916666666668</v>
      </c>
      <c r="F528" s="2">
        <v>1859443</v>
      </c>
      <c r="G528" t="s">
        <v>32</v>
      </c>
      <c r="H528">
        <f>F528/Tabla2[[#This Row],[Cosecha Mensual]]</f>
        <v>90.864472832261654</v>
      </c>
      <c r="I528">
        <f>H528*_xlfn.XLOOKUP(Tabla2[[#This Row],[Unidad de producción]],Tabla3[Medida],Tabla3[Equivalencia en Kg],"ELVIS",0)</f>
        <v>2472.4223057658396</v>
      </c>
      <c r="J528">
        <v>31.7257142857143</v>
      </c>
      <c r="K528" t="s">
        <v>32</v>
      </c>
      <c r="L528">
        <f>J528/_xlfn.XLOOKUP(Tabla2[[#This Row],[Unidad de precio]],Tabla3[Medida],Tabla3[Equivalencia en Kg],"ELVIS",0)</f>
        <v>1.1659578936315436</v>
      </c>
      <c r="M528" s="2">
        <v>6435.96</v>
      </c>
      <c r="N528" s="2">
        <f>(Tabla2[[#This Row],[Productividad (kg/TAS)]]*Tabla2[[#This Row],[Precio por kg]]-Tabla2[[#This Row],[Costos (En RD$/Tarea)]])</f>
        <v>-3553.2196962016174</v>
      </c>
      <c r="O528" s="6">
        <f>IF(Tabla2[[#This Row],[Costos (En RD$/Tarea)]]=0,0,Tabla2[[#This Row],[Beneficio Neto  (En RD$/Tarea)]]/Tabla2[[#This Row],[Costos (En RD$/Tarea)]])</f>
        <v>-0.55208853010298653</v>
      </c>
      <c r="P528" s="4">
        <f>Tabla2[[#This Row],[Rentabilidad (%)]]/12</f>
        <v>-4.6007377508582213E-2</v>
      </c>
    </row>
    <row r="529" spans="1:16" x14ac:dyDescent="0.35">
      <c r="A529" s="1">
        <v>37834</v>
      </c>
      <c r="B529" t="s">
        <v>33</v>
      </c>
      <c r="C529" s="2">
        <v>673401</v>
      </c>
      <c r="D529" s="2" t="s">
        <v>31</v>
      </c>
      <c r="E529" s="2">
        <f>IF(Tabla2[[#This Row],[Frecuencia]]="Annual", Tabla2[[#This Row],[Cosecha/Tarea]]/12,Tabla2[[#This Row],[Cosecha/Tarea]])</f>
        <v>56116.75</v>
      </c>
      <c r="F529" s="2">
        <v>127960</v>
      </c>
      <c r="G529" t="s">
        <v>34</v>
      </c>
      <c r="H529">
        <f>F529/Tabla2[[#This Row],[Cosecha Mensual]]</f>
        <v>2.2802460940806442</v>
      </c>
      <c r="I529">
        <f>H529*_xlfn.XLOOKUP(Tabla2[[#This Row],[Unidad de producción]],Tabla3[Medida],Tabla3[Equivalencia en Kg],"ELVIS",0)</f>
        <v>930.68244329901484</v>
      </c>
      <c r="J529">
        <v>1322.36857142857</v>
      </c>
      <c r="K529" t="s">
        <v>34</v>
      </c>
      <c r="L529">
        <f>J529/_xlfn.XLOOKUP(Tabla2[[#This Row],[Unidad de precio]],Tabla3[Medida],Tabla3[Equivalencia en Kg],"ELVIS",0)</f>
        <v>3.23990829701965</v>
      </c>
      <c r="M529" s="2">
        <v>8666.64</v>
      </c>
      <c r="N529" s="2">
        <f>(Tabla2[[#This Row],[Productividad (kg/TAS)]]*Tabla2[[#This Row],[Precio por kg]]-Tabla2[[#This Row],[Costos (En RD$/Tarea)]])</f>
        <v>-5651.3142300650015</v>
      </c>
      <c r="O529" s="6">
        <f>IF(Tabla2[[#This Row],[Costos (En RD$/Tarea)]]=0,0,Tabla2[[#This Row],[Beneficio Neto  (En RD$/Tarea)]]/Tabla2[[#This Row],[Costos (En RD$/Tarea)]])</f>
        <v>-0.65207672524357785</v>
      </c>
      <c r="P529" s="4">
        <f>Tabla2[[#This Row],[Rentabilidad (%)]]/12</f>
        <v>-5.433972710363149E-2</v>
      </c>
    </row>
    <row r="530" spans="1:16" x14ac:dyDescent="0.35">
      <c r="A530" s="1">
        <v>37865</v>
      </c>
      <c r="B530" t="s">
        <v>16</v>
      </c>
      <c r="C530" s="2">
        <v>98132</v>
      </c>
      <c r="D530" s="5" t="s">
        <v>17</v>
      </c>
      <c r="E530" s="2">
        <f>IF(Tabla2[[#This Row],[Frecuencia]]="Annual", Tabla2[[#This Row],[Cosecha/Tarea]]/12,Tabla2[[#This Row],[Cosecha/Tarea]])</f>
        <v>98132</v>
      </c>
      <c r="F530" s="2">
        <v>388201</v>
      </c>
      <c r="G530" t="s">
        <v>18</v>
      </c>
      <c r="H530">
        <f>F530/Tabla2[[#This Row],[Cosecha Mensual]]</f>
        <v>3.9559063302490522</v>
      </c>
      <c r="I530">
        <f>H530*_xlfn.XLOOKUP(Tabla2[[#This Row],[Unidad de producción]],Tabla3[Medida],Tabla3[Equivalencia en Kg],"ELVIS",0)</f>
        <v>179.439911140097</v>
      </c>
      <c r="J530">
        <v>1199.54455445545</v>
      </c>
      <c r="K530" t="s">
        <v>19</v>
      </c>
      <c r="L530">
        <f>J530/_xlfn.XLOOKUP(Tabla2[[#This Row],[Unidad de precio]],Tabla3[Medida],Tabla3[Equivalencia en Kg],"ELVIS",0)</f>
        <v>10.904950495049546</v>
      </c>
      <c r="M530">
        <v>4275.41</v>
      </c>
      <c r="N530" s="2">
        <f>(Tabla2[[#This Row],[Productividad (kg/TAS)]]*Tabla2[[#This Row],[Precio por kg]]-Tabla2[[#This Row],[Costos (En RD$/Tarea)]])</f>
        <v>-2318.6266521811526</v>
      </c>
      <c r="O530" s="6">
        <f>IF(Tabla2[[#This Row],[Costos (En RD$/Tarea)]]=0,0,Tabla2[[#This Row],[Beneficio Neto  (En RD$/Tarea)]]/Tabla2[[#This Row],[Costos (En RD$/Tarea)]])</f>
        <v>-0.54231679585844461</v>
      </c>
      <c r="P530" s="4">
        <f>Tabla2[[#This Row],[Rentabilidad (%)]]/12</f>
        <v>-4.5193066321537051E-2</v>
      </c>
    </row>
    <row r="531" spans="1:16" x14ac:dyDescent="0.35">
      <c r="A531" s="1">
        <v>37865</v>
      </c>
      <c r="B531" t="s">
        <v>20</v>
      </c>
      <c r="C531" s="2">
        <v>50019</v>
      </c>
      <c r="D531" s="5" t="s">
        <v>17</v>
      </c>
      <c r="E531" s="2">
        <f>IF(Tabla2[[#This Row],[Frecuencia]]="Annual", Tabla2[[#This Row],[Cosecha/Tarea]]/12,Tabla2[[#This Row],[Cosecha/Tarea]])</f>
        <v>50019</v>
      </c>
      <c r="F531" s="2">
        <v>91370</v>
      </c>
      <c r="G531" t="s">
        <v>18</v>
      </c>
      <c r="H531">
        <f>F531/Tabla2[[#This Row],[Cosecha Mensual]]</f>
        <v>1.8267058517763251</v>
      </c>
      <c r="I531">
        <f>H531*_xlfn.XLOOKUP(Tabla2[[#This Row],[Unidad de producción]],Tabla3[Medida],Tabla3[Equivalencia en Kg],"ELVIS",0)</f>
        <v>82.859377436574107</v>
      </c>
      <c r="J531">
        <v>205.185885714286</v>
      </c>
      <c r="K531" t="s">
        <v>18</v>
      </c>
      <c r="L531">
        <f>J531/_xlfn.XLOOKUP(Tabla2[[#This Row],[Unidad de precio]],Tabla3[Medida],Tabla3[Equivalencia en Kg],"ELVIS",0)</f>
        <v>4.5234983623078922</v>
      </c>
      <c r="M531">
        <v>938.62</v>
      </c>
      <c r="N531" s="2">
        <f>(Tabla2[[#This Row],[Productividad (kg/TAS)]]*Tabla2[[#This Row],[Precio por kg]]-Tabla2[[#This Row],[Costos (En RD$/Tarea)]])</f>
        <v>-563.80574186380545</v>
      </c>
      <c r="O531" s="6">
        <f>IF(Tabla2[[#This Row],[Costos (En RD$/Tarea)]]=0,0,Tabla2[[#This Row],[Beneficio Neto  (En RD$/Tarea)]]/Tabla2[[#This Row],[Costos (En RD$/Tarea)]])</f>
        <v>-0.60067518470073666</v>
      </c>
      <c r="P531" s="4">
        <f>Tabla2[[#This Row],[Rentabilidad (%)]]/12</f>
        <v>-5.0056265391728055E-2</v>
      </c>
    </row>
    <row r="532" spans="1:16" x14ac:dyDescent="0.35">
      <c r="A532" s="1">
        <v>37865</v>
      </c>
      <c r="B532" t="s">
        <v>21</v>
      </c>
      <c r="C532" s="2">
        <v>6208</v>
      </c>
      <c r="D532" s="5" t="s">
        <v>17</v>
      </c>
      <c r="E532" s="2">
        <f>IF(Tabla2[[#This Row],[Frecuencia]]="Annual", Tabla2[[#This Row],[Cosecha/Tarea]]/12,Tabla2[[#This Row],[Cosecha/Tarea]])</f>
        <v>6208</v>
      </c>
      <c r="F532" s="2">
        <v>56545</v>
      </c>
      <c r="G532" t="s">
        <v>18</v>
      </c>
      <c r="H532">
        <f>F532/Tabla2[[#This Row],[Cosecha Mensual]]</f>
        <v>9.1084085051546388</v>
      </c>
      <c r="I532">
        <f>H532*_xlfn.XLOOKUP(Tabla2[[#This Row],[Unidad de producción]],Tabla3[Medida],Tabla3[Equivalencia en Kg],"ELVIS",0)</f>
        <v>413.1574097938144</v>
      </c>
      <c r="J532">
        <v>128.22828571428599</v>
      </c>
      <c r="K532" t="s">
        <v>18</v>
      </c>
      <c r="L532">
        <f>J532/_xlfn.XLOOKUP(Tabla2[[#This Row],[Unidad de precio]],Tabla3[Medida],Tabla3[Equivalencia en Kg],"ELVIS",0)</f>
        <v>2.8269022423784391</v>
      </c>
      <c r="M532">
        <v>1545.78</v>
      </c>
      <c r="N532" s="2">
        <f>(Tabla2[[#This Row],[Productividad (kg/TAS)]]*Tabla2[[#This Row],[Precio por kg]]-Tabla2[[#This Row],[Costos (En RD$/Tarea)]])</f>
        <v>-377.8243917985983</v>
      </c>
      <c r="O532" s="6">
        <f>IF(Tabla2[[#This Row],[Costos (En RD$/Tarea)]]=0,0,Tabla2[[#This Row],[Beneficio Neto  (En RD$/Tarea)]]/Tabla2[[#This Row],[Costos (En RD$/Tarea)]])</f>
        <v>-0.24442313382150002</v>
      </c>
      <c r="P532" s="4">
        <f>Tabla2[[#This Row],[Rentabilidad (%)]]/12</f>
        <v>-2.0368594485125003E-2</v>
      </c>
    </row>
    <row r="533" spans="1:16" x14ac:dyDescent="0.35">
      <c r="A533" s="1">
        <v>37865</v>
      </c>
      <c r="B533" t="s">
        <v>22</v>
      </c>
      <c r="C533" s="2">
        <v>3760</v>
      </c>
      <c r="D533" s="5" t="s">
        <v>17</v>
      </c>
      <c r="E533" s="2">
        <f>IF(Tabla2[[#This Row],[Frecuencia]]="Annual", Tabla2[[#This Row],[Cosecha/Tarea]]/12,Tabla2[[#This Row],[Cosecha/Tarea]])</f>
        <v>3760</v>
      </c>
      <c r="F533" s="2">
        <v>45336</v>
      </c>
      <c r="G533" t="s">
        <v>18</v>
      </c>
      <c r="H533">
        <f>F533/Tabla2[[#This Row],[Cosecha Mensual]]</f>
        <v>12.057446808510639</v>
      </c>
      <c r="I533">
        <f>H533*_xlfn.XLOOKUP(Tabla2[[#This Row],[Unidad de producción]],Tabla3[Medida],Tabla3[Equivalencia en Kg],"ELVIS",0)</f>
        <v>546.92578723404256</v>
      </c>
      <c r="J533">
        <v>448.6</v>
      </c>
      <c r="K533" t="s">
        <v>18</v>
      </c>
      <c r="L533">
        <f>J533/_xlfn.XLOOKUP(Tabla2[[#This Row],[Unidad de precio]],Tabla3[Medida],Tabla3[Equivalencia en Kg],"ELVIS",0)</f>
        <v>9.889770723104057</v>
      </c>
      <c r="M533">
        <v>3985.46</v>
      </c>
      <c r="N533" s="2">
        <f>(Tabla2[[#This Row],[Productividad (kg/TAS)]]*Tabla2[[#This Row],[Precio por kg]]-Tabla2[[#This Row],[Costos (En RD$/Tarea)]])</f>
        <v>1423.5106382978729</v>
      </c>
      <c r="O533" s="6">
        <f>IF(Tabla2[[#This Row],[Costos (En RD$/Tarea)]]=0,0,Tabla2[[#This Row],[Beneficio Neto  (En RD$/Tarea)]]/Tabla2[[#This Row],[Costos (En RD$/Tarea)]])</f>
        <v>0.35717599431379887</v>
      </c>
      <c r="P533" s="4">
        <f>Tabla2[[#This Row],[Rentabilidad (%)]]/12</f>
        <v>2.9764666192816574E-2</v>
      </c>
    </row>
    <row r="534" spans="1:16" x14ac:dyDescent="0.35">
      <c r="A534" s="1">
        <v>37865</v>
      </c>
      <c r="B534" t="s">
        <v>23</v>
      </c>
      <c r="C534" s="2">
        <v>6443</v>
      </c>
      <c r="D534" s="5" t="s">
        <v>17</v>
      </c>
      <c r="E534" s="2">
        <f>IF(Tabla2[[#This Row],[Frecuencia]]="Annual", Tabla2[[#This Row],[Cosecha/Tarea]]/12,Tabla2[[#This Row],[Cosecha/Tarea]])</f>
        <v>6443</v>
      </c>
      <c r="F534" s="2">
        <v>138348</v>
      </c>
      <c r="G534" t="s">
        <v>18</v>
      </c>
      <c r="H534">
        <f>F534/Tabla2[[#This Row],[Cosecha Mensual]]</f>
        <v>21.472605928915101</v>
      </c>
      <c r="I534">
        <f>H534*_xlfn.XLOOKUP(Tabla2[[#This Row],[Unidad de producción]],Tabla3[Medida],Tabla3[Equivalencia en Kg],"ELVIS",0)</f>
        <v>973.99740493558897</v>
      </c>
      <c r="J534">
        <v>233.979166666667</v>
      </c>
      <c r="K534" t="s">
        <v>18</v>
      </c>
      <c r="L534">
        <f>J534/_xlfn.XLOOKUP(Tabla2[[#This Row],[Unidad de precio]],Tabla3[Medida],Tabla3[Equivalencia en Kg],"ELVIS",0)</f>
        <v>5.158270870076433</v>
      </c>
      <c r="M534">
        <v>9309.9599999999991</v>
      </c>
      <c r="N534" s="2">
        <f>(Tabla2[[#This Row],[Productividad (kg/TAS)]]*Tabla2[[#This Row],[Precio por kg]]-Tabla2[[#This Row],[Costos (En RD$/Tarea)]])</f>
        <v>-4285.8175585907111</v>
      </c>
      <c r="O534" s="6">
        <f>IF(Tabla2[[#This Row],[Costos (En RD$/Tarea)]]=0,0,Tabla2[[#This Row],[Beneficio Neto  (En RD$/Tarea)]]/Tabla2[[#This Row],[Costos (En RD$/Tarea)]])</f>
        <v>-0.46034758028935802</v>
      </c>
      <c r="P534" s="4">
        <f>Tabla2[[#This Row],[Rentabilidad (%)]]/12</f>
        <v>-3.8362298357446499E-2</v>
      </c>
    </row>
    <row r="535" spans="1:16" x14ac:dyDescent="0.35">
      <c r="A535" s="1">
        <v>37865</v>
      </c>
      <c r="B535" t="s">
        <v>24</v>
      </c>
      <c r="C535" s="2">
        <v>7307</v>
      </c>
      <c r="D535" s="5" t="s">
        <v>17</v>
      </c>
      <c r="E535" s="2">
        <f>IF(Tabla2[[#This Row],[Frecuencia]]="Annual", Tabla2[[#This Row],[Cosecha/Tarea]]/12,Tabla2[[#This Row],[Cosecha/Tarea]])</f>
        <v>7307</v>
      </c>
      <c r="F535" s="2">
        <v>156354</v>
      </c>
      <c r="G535" t="s">
        <v>18</v>
      </c>
      <c r="H535">
        <f>F535/Tabla2[[#This Row],[Cosecha Mensual]]</f>
        <v>21.397837689886412</v>
      </c>
      <c r="I535">
        <f>H535*_xlfn.XLOOKUP(Tabla2[[#This Row],[Unidad de producción]],Tabla3[Medida],Tabla3[Equivalencia en Kg],"ELVIS",0)</f>
        <v>970.60591761324758</v>
      </c>
      <c r="J535">
        <v>450.23333333333301</v>
      </c>
      <c r="K535" t="s">
        <v>18</v>
      </c>
      <c r="L535">
        <f>J535/_xlfn.XLOOKUP(Tabla2[[#This Row],[Unidad de precio]],Tabla3[Medida],Tabla3[Equivalencia en Kg],"ELVIS",0)</f>
        <v>9.9257789535567245</v>
      </c>
      <c r="M535">
        <v>3188.34</v>
      </c>
      <c r="N535" s="2">
        <f>(Tabla2[[#This Row],[Productividad (kg/TAS)]]*Tabla2[[#This Row],[Precio por kg]]-Tabla2[[#This Row],[Costos (En RD$/Tarea)]])</f>
        <v>6445.6797892431841</v>
      </c>
      <c r="O535" s="6">
        <f>IF(Tabla2[[#This Row],[Costos (En RD$/Tarea)]]=0,0,Tabla2[[#This Row],[Beneficio Neto  (En RD$/Tarea)]]/Tabla2[[#This Row],[Costos (En RD$/Tarea)]])</f>
        <v>2.0216412895874289</v>
      </c>
      <c r="P535" s="4">
        <f>Tabla2[[#This Row],[Rentabilidad (%)]]/12</f>
        <v>0.16847010746561908</v>
      </c>
    </row>
    <row r="536" spans="1:16" x14ac:dyDescent="0.35">
      <c r="A536" s="1">
        <v>37865</v>
      </c>
      <c r="B536" t="s">
        <v>25</v>
      </c>
      <c r="C536" s="2">
        <v>19893</v>
      </c>
      <c r="D536" s="5" t="s">
        <v>17</v>
      </c>
      <c r="E536" s="2">
        <f>IF(Tabla2[[#This Row],[Frecuencia]]="Annual", Tabla2[[#This Row],[Cosecha/Tarea]]/12,Tabla2[[#This Row],[Cosecha/Tarea]])</f>
        <v>19893</v>
      </c>
      <c r="F536" s="2">
        <v>212059</v>
      </c>
      <c r="G536" t="s">
        <v>18</v>
      </c>
      <c r="H536">
        <f>F536/Tabla2[[#This Row],[Cosecha Mensual]]</f>
        <v>10.659980897803248</v>
      </c>
      <c r="I536">
        <f>H536*_xlfn.XLOOKUP(Tabla2[[#This Row],[Unidad de producción]],Tabla3[Medida],Tabla3[Equivalencia en Kg],"ELVIS",0)</f>
        <v>483.53673352435533</v>
      </c>
      <c r="J536">
        <v>109.46728571428601</v>
      </c>
      <c r="K536" t="s">
        <v>18</v>
      </c>
      <c r="L536">
        <f>J536/_xlfn.XLOOKUP(Tabla2[[#This Row],[Unidad de precio]],Tabla3[Medida],Tabla3[Equivalencia en Kg],"ELVIS",0)</f>
        <v>2.4132999496094798</v>
      </c>
      <c r="M536">
        <v>1396.74</v>
      </c>
      <c r="N536" s="2">
        <f>(Tabla2[[#This Row],[Productividad (kg/TAS)]]*Tabla2[[#This Row],[Precio por kg]]-Tabla2[[#This Row],[Costos (En RD$/Tarea)]])</f>
        <v>-229.82082535134077</v>
      </c>
      <c r="O536" s="6">
        <f>IF(Tabla2[[#This Row],[Costos (En RD$/Tarea)]]=0,0,Tabla2[[#This Row],[Beneficio Neto  (En RD$/Tarea)]]/Tabla2[[#This Row],[Costos (En RD$/Tarea)]])</f>
        <v>-0.1645408775801801</v>
      </c>
      <c r="P536" s="4">
        <f>Tabla2[[#This Row],[Rentabilidad (%)]]/12</f>
        <v>-1.3711739798348341E-2</v>
      </c>
    </row>
    <row r="537" spans="1:16" x14ac:dyDescent="0.35">
      <c r="A537" s="1">
        <v>37865</v>
      </c>
      <c r="B537" t="s">
        <v>26</v>
      </c>
      <c r="C537" s="2">
        <v>11844</v>
      </c>
      <c r="D537" s="5" t="s">
        <v>17</v>
      </c>
      <c r="E537" s="2">
        <f>IF(Tabla2[[#This Row],[Frecuencia]]="Annual", Tabla2[[#This Row],[Cosecha/Tarea]]/12,Tabla2[[#This Row],[Cosecha/Tarea]])</f>
        <v>11844</v>
      </c>
      <c r="F537" s="2">
        <v>68953</v>
      </c>
      <c r="G537" t="s">
        <v>18</v>
      </c>
      <c r="H537">
        <f>F537/Tabla2[[#This Row],[Cosecha Mensual]]</f>
        <v>5.8217662951705504</v>
      </c>
      <c r="I537">
        <f>H537*_xlfn.XLOOKUP(Tabla2[[#This Row],[Unidad de producción]],Tabla3[Medida],Tabla3[Equivalencia en Kg],"ELVIS",0)</f>
        <v>264.07531914893616</v>
      </c>
      <c r="J537">
        <v>220.75</v>
      </c>
      <c r="K537" t="s">
        <v>18</v>
      </c>
      <c r="L537">
        <f>J537/_xlfn.XLOOKUP(Tabla2[[#This Row],[Unidad de precio]],Tabla3[Medida],Tabla3[Equivalencia en Kg],"ELVIS",0)</f>
        <v>4.8666225749559082</v>
      </c>
      <c r="M537">
        <v>1217.1099999999999</v>
      </c>
      <c r="N537" s="2">
        <f>(Tabla2[[#This Row],[Productividad (kg/TAS)]]*Tabla2[[#This Row],[Precio por kg]]-Tabla2[[#This Row],[Costos (En RD$/Tarea)]])</f>
        <v>68.044909658899087</v>
      </c>
      <c r="O537" s="6">
        <f>IF(Tabla2[[#This Row],[Costos (En RD$/Tarea)]]=0,0,Tabla2[[#This Row],[Beneficio Neto  (En RD$/Tarea)]]/Tabla2[[#This Row],[Costos (En RD$/Tarea)]])</f>
        <v>5.5906951433230434E-2</v>
      </c>
      <c r="P537" s="4">
        <f>Tabla2[[#This Row],[Rentabilidad (%)]]/12</f>
        <v>4.6589126194358692E-3</v>
      </c>
    </row>
    <row r="538" spans="1:16" x14ac:dyDescent="0.35">
      <c r="A538" s="1">
        <v>37865</v>
      </c>
      <c r="B538" t="s">
        <v>27</v>
      </c>
      <c r="C538" s="2">
        <v>4509</v>
      </c>
      <c r="D538" s="5" t="s">
        <v>17</v>
      </c>
      <c r="E538" s="2">
        <f>IF(Tabla2[[#This Row],[Frecuencia]]="Annual", Tabla2[[#This Row],[Cosecha/Tarea]]/12,Tabla2[[#This Row],[Cosecha/Tarea]])</f>
        <v>4509</v>
      </c>
      <c r="F538" s="2">
        <v>39987</v>
      </c>
      <c r="G538" t="s">
        <v>18</v>
      </c>
      <c r="H538">
        <f>F538/Tabla2[[#This Row],[Cosecha Mensual]]</f>
        <v>8.8682634730538918</v>
      </c>
      <c r="I538">
        <f>H538*_xlfn.XLOOKUP(Tabla2[[#This Row],[Unidad de producción]],Tabla3[Medida],Tabla3[Equivalencia en Kg],"ELVIS",0)</f>
        <v>402.26443113772456</v>
      </c>
      <c r="J538">
        <v>270.53571428571399</v>
      </c>
      <c r="K538" t="s">
        <v>18</v>
      </c>
      <c r="L538">
        <f>J538/_xlfn.XLOOKUP(Tabla2[[#This Row],[Unidad de precio]],Tabla3[Medida],Tabla3[Equivalencia en Kg],"ELVIS",0)</f>
        <v>5.9641912320483685</v>
      </c>
      <c r="M538">
        <v>3938.29</v>
      </c>
      <c r="N538" s="2">
        <f>(Tabla2[[#This Row],[Productividad (kg/TAS)]]*Tabla2[[#This Row],[Precio por kg]]-Tabla2[[#This Row],[Costos (En RD$/Tarea)]])</f>
        <v>-1539.1080068434585</v>
      </c>
      <c r="O538" s="6">
        <f>IF(Tabla2[[#This Row],[Costos (En RD$/Tarea)]]=0,0,Tabla2[[#This Row],[Beneficio Neto  (En RD$/Tarea)]]/Tabla2[[#This Row],[Costos (En RD$/Tarea)]])</f>
        <v>-0.39080616380293443</v>
      </c>
      <c r="P538" s="4">
        <f>Tabla2[[#This Row],[Rentabilidad (%)]]/12</f>
        <v>-3.25671803169112E-2</v>
      </c>
    </row>
    <row r="539" spans="1:16" x14ac:dyDescent="0.35">
      <c r="A539" s="1">
        <v>37865</v>
      </c>
      <c r="B539" t="s">
        <v>28</v>
      </c>
      <c r="C539" s="2">
        <v>61929</v>
      </c>
      <c r="D539" s="5" t="s">
        <v>17</v>
      </c>
      <c r="E539" s="2">
        <f>IF(Tabla2[[#This Row],[Frecuencia]]="Annual", Tabla2[[#This Row],[Cosecha/Tarea]]/12,Tabla2[[#This Row],[Cosecha/Tarea]])</f>
        <v>61929</v>
      </c>
      <c r="F539" s="2">
        <v>131466</v>
      </c>
      <c r="G539" t="s">
        <v>29</v>
      </c>
      <c r="H539">
        <f>F539/Tabla2[[#This Row],[Cosecha Mensual]]</f>
        <v>2.1228503608971563</v>
      </c>
      <c r="I539">
        <f>H539*_xlfn.XLOOKUP(Tabla2[[#This Row],[Unidad de producción]],Tabla3[Medida],Tabla3[Equivalencia en Kg],"ELVIS",0)</f>
        <v>1193.7636719469069</v>
      </c>
      <c r="J539">
        <v>1353.3428571428601</v>
      </c>
      <c r="K539" t="s">
        <v>29</v>
      </c>
      <c r="L539">
        <f>J539/_xlfn.XLOOKUP(Tabla2[[#This Row],[Unidad de precio]],Tabla3[Medida],Tabla3[Equivalencia en Kg],"ELVIS",0)</f>
        <v>2.4066274089391828</v>
      </c>
      <c r="M539">
        <v>7517.1463872000004</v>
      </c>
      <c r="N539" s="2">
        <f>(Tabla2[[#This Row],[Productividad (kg/TAS)]]*Tabla2[[#This Row],[Precio por kg]]-Tabla2[[#This Row],[Costos (En RD$/Tarea)]])</f>
        <v>-4644.2020144966909</v>
      </c>
      <c r="O539" s="6">
        <f>IF(Tabla2[[#This Row],[Costos (En RD$/Tarea)]]=0,0,Tabla2[[#This Row],[Beneficio Neto  (En RD$/Tarea)]]/Tabla2[[#This Row],[Costos (En RD$/Tarea)]])</f>
        <v>-0.61781449705498837</v>
      </c>
      <c r="P539" s="4">
        <f>Tabla2[[#This Row],[Rentabilidad (%)]]/12</f>
        <v>-5.148454142124903E-2</v>
      </c>
    </row>
    <row r="540" spans="1:16" x14ac:dyDescent="0.35">
      <c r="A540" s="1">
        <v>37865</v>
      </c>
      <c r="B540" t="s">
        <v>30</v>
      </c>
      <c r="C540" s="2">
        <v>288417</v>
      </c>
      <c r="D540" s="2" t="s">
        <v>31</v>
      </c>
      <c r="E540" s="2">
        <f>IF(Tabla2[[#This Row],[Frecuencia]]="Annual", Tabla2[[#This Row],[Cosecha/Tarea]]/12,Tabla2[[#This Row],[Cosecha/Tarea]])</f>
        <v>24034.75</v>
      </c>
      <c r="F540" s="2">
        <v>2119865</v>
      </c>
      <c r="G540" t="s">
        <v>32</v>
      </c>
      <c r="H540">
        <f>F540/Tabla2[[#This Row],[Cosecha Mensual]]</f>
        <v>88.200002080321198</v>
      </c>
      <c r="I540">
        <f>H540*_xlfn.XLOOKUP(Tabla2[[#This Row],[Unidad de producción]],Tabla3[Medida],Tabla3[Equivalencia en Kg],"ELVIS",0)</f>
        <v>2399.9220566055401</v>
      </c>
      <c r="J540">
        <v>32.304285714285697</v>
      </c>
      <c r="K540" t="s">
        <v>32</v>
      </c>
      <c r="L540">
        <f>J540/_xlfn.XLOOKUP(Tabla2[[#This Row],[Unidad de precio]],Tabla3[Medida],Tabla3[Equivalencia en Kg],"ELVIS",0)</f>
        <v>1.1872210846852516</v>
      </c>
      <c r="M540" s="2">
        <v>6435.96</v>
      </c>
      <c r="N540" s="2">
        <f>(Tabla2[[#This Row],[Productividad (kg/TAS)]]*Tabla2[[#This Row],[Precio por kg]]-Tabla2[[#This Row],[Costos (En RD$/Tarea)]])</f>
        <v>-3586.7219327967109</v>
      </c>
      <c r="O540" s="6">
        <f>IF(Tabla2[[#This Row],[Costos (En RD$/Tarea)]]=0,0,Tabla2[[#This Row],[Beneficio Neto  (En RD$/Tarea)]]/Tabla2[[#This Row],[Costos (En RD$/Tarea)]])</f>
        <v>-0.5572940063015791</v>
      </c>
      <c r="P540" s="4">
        <f>Tabla2[[#This Row],[Rentabilidad (%)]]/12</f>
        <v>-4.6441167191798256E-2</v>
      </c>
    </row>
    <row r="541" spans="1:16" x14ac:dyDescent="0.35">
      <c r="A541" s="1">
        <v>37865</v>
      </c>
      <c r="B541" t="s">
        <v>33</v>
      </c>
      <c r="C541" s="2">
        <v>674696</v>
      </c>
      <c r="D541" s="2" t="s">
        <v>31</v>
      </c>
      <c r="E541" s="2">
        <f>IF(Tabla2[[#This Row],[Frecuencia]]="Annual", Tabla2[[#This Row],[Cosecha/Tarea]]/12,Tabla2[[#This Row],[Cosecha/Tarea]])</f>
        <v>56224.666666666664</v>
      </c>
      <c r="F541" s="2">
        <v>123647</v>
      </c>
      <c r="G541" t="s">
        <v>34</v>
      </c>
      <c r="H541">
        <f>F541/Tabla2[[#This Row],[Cosecha Mensual]]</f>
        <v>2.1991593250886328</v>
      </c>
      <c r="I541">
        <f>H541*_xlfn.XLOOKUP(Tabla2[[#This Row],[Unidad de producción]],Tabla3[Medida],Tabla3[Equivalencia en Kg],"ELVIS",0)</f>
        <v>897.5868785349254</v>
      </c>
      <c r="J541">
        <v>1497.92857142857</v>
      </c>
      <c r="K541" t="s">
        <v>34</v>
      </c>
      <c r="L541">
        <f>J541/_xlfn.XLOOKUP(Tabla2[[#This Row],[Unidad de precio]],Tabla3[Medida],Tabla3[Equivalencia en Kg],"ELVIS",0)</f>
        <v>3.6700442764389809</v>
      </c>
      <c r="M541" s="2">
        <v>8666.64</v>
      </c>
      <c r="N541" s="2">
        <f>(Tabla2[[#This Row],[Productividad (kg/TAS)]]*Tabla2[[#This Row],[Precio por kg]]-Tabla2[[#This Row],[Costos (En RD$/Tarea)]])</f>
        <v>-5372.4564138261658</v>
      </c>
      <c r="O541" s="6">
        <f>IF(Tabla2[[#This Row],[Costos (En RD$/Tarea)]]=0,0,Tabla2[[#This Row],[Beneficio Neto  (En RD$/Tarea)]]/Tabla2[[#This Row],[Costos (En RD$/Tarea)]])</f>
        <v>-0.61990072436678645</v>
      </c>
      <c r="P541" s="4">
        <f>Tabla2[[#This Row],[Rentabilidad (%)]]/12</f>
        <v>-5.1658393697232206E-2</v>
      </c>
    </row>
    <row r="542" spans="1:16" x14ac:dyDescent="0.35">
      <c r="A542" s="1">
        <v>37895</v>
      </c>
      <c r="B542" t="s">
        <v>16</v>
      </c>
      <c r="C542" s="2">
        <v>272251</v>
      </c>
      <c r="D542" s="5" t="s">
        <v>17</v>
      </c>
      <c r="E542" s="2">
        <f>IF(Tabla2[[#This Row],[Frecuencia]]="Annual", Tabla2[[#This Row],[Cosecha/Tarea]]/12,Tabla2[[#This Row],[Cosecha/Tarea]])</f>
        <v>272251</v>
      </c>
      <c r="F542" s="2">
        <v>889845</v>
      </c>
      <c r="G542" t="s">
        <v>18</v>
      </c>
      <c r="H542">
        <f>F542/Tabla2[[#This Row],[Cosecha Mensual]]</f>
        <v>3.2684728430749566</v>
      </c>
      <c r="I542">
        <f>H542*_xlfn.XLOOKUP(Tabla2[[#This Row],[Unidad de producción]],Tabla3[Medida],Tabla3[Equivalencia en Kg],"ELVIS",0)</f>
        <v>148.25792816188002</v>
      </c>
      <c r="J542">
        <v>1266.5852585258499</v>
      </c>
      <c r="K542" t="s">
        <v>19</v>
      </c>
      <c r="L542">
        <f>J542/_xlfn.XLOOKUP(Tabla2[[#This Row],[Unidad de precio]],Tabla3[Medida],Tabla3[Equivalencia en Kg],"ELVIS",0)</f>
        <v>11.514411441144089</v>
      </c>
      <c r="M542">
        <v>4275.41</v>
      </c>
      <c r="N542" s="2">
        <f>(Tabla2[[#This Row],[Productividad (kg/TAS)]]*Tabla2[[#This Row],[Precio por kg]]-Tabla2[[#This Row],[Costos (En RD$/Tarea)]])</f>
        <v>-2568.30721573253</v>
      </c>
      <c r="O542" s="6">
        <f>IF(Tabla2[[#This Row],[Costos (En RD$/Tarea)]]=0,0,Tabla2[[#This Row],[Beneficio Neto  (En RD$/Tarea)]]/Tabla2[[#This Row],[Costos (En RD$/Tarea)]])</f>
        <v>-0.60071600518605939</v>
      </c>
      <c r="P542" s="4">
        <f>Tabla2[[#This Row],[Rentabilidad (%)]]/12</f>
        <v>-5.005966709883828E-2</v>
      </c>
    </row>
    <row r="543" spans="1:16" x14ac:dyDescent="0.35">
      <c r="A543" s="1">
        <v>37895</v>
      </c>
      <c r="B543" t="s">
        <v>20</v>
      </c>
      <c r="C543" s="2">
        <v>52355</v>
      </c>
      <c r="D543" s="5" t="s">
        <v>17</v>
      </c>
      <c r="E543" s="2">
        <f>IF(Tabla2[[#This Row],[Frecuencia]]="Annual", Tabla2[[#This Row],[Cosecha/Tarea]]/12,Tabla2[[#This Row],[Cosecha/Tarea]])</f>
        <v>52355</v>
      </c>
      <c r="F543" s="2">
        <v>86503</v>
      </c>
      <c r="G543" t="s">
        <v>18</v>
      </c>
      <c r="H543">
        <f>F543/Tabla2[[#This Row],[Cosecha Mensual]]</f>
        <v>1.652239518670614</v>
      </c>
      <c r="I543">
        <f>H543*_xlfn.XLOOKUP(Tabla2[[#This Row],[Unidad de producción]],Tabla3[Medida],Tabla3[Equivalencia en Kg],"ELVIS",0)</f>
        <v>74.945584566899058</v>
      </c>
      <c r="J543">
        <v>174.07162500000001</v>
      </c>
      <c r="K543" t="s">
        <v>18</v>
      </c>
      <c r="L543">
        <f>J543/_xlfn.XLOOKUP(Tabla2[[#This Row],[Unidad de precio]],Tabla3[Medida],Tabla3[Equivalencia en Kg],"ELVIS",0)</f>
        <v>3.8375578703703708</v>
      </c>
      <c r="M543">
        <v>938.62</v>
      </c>
      <c r="N543" s="2">
        <f>(Tabla2[[#This Row],[Productividad (kg/TAS)]]*Tabla2[[#This Row],[Precio por kg]]-Tabla2[[#This Row],[Costos (En RD$/Tarea)]])</f>
        <v>-651.01198209578831</v>
      </c>
      <c r="O543" s="6">
        <f>IF(Tabla2[[#This Row],[Costos (En RD$/Tarea)]]=0,0,Tabla2[[#This Row],[Beneficio Neto  (En RD$/Tarea)]]/Tabla2[[#This Row],[Costos (En RD$/Tarea)]])</f>
        <v>-0.69358417900299196</v>
      </c>
      <c r="P543" s="4">
        <f>Tabla2[[#This Row],[Rentabilidad (%)]]/12</f>
        <v>-5.7798681583582666E-2</v>
      </c>
    </row>
    <row r="544" spans="1:16" x14ac:dyDescent="0.35">
      <c r="A544" s="1">
        <v>37895</v>
      </c>
      <c r="B544" t="s">
        <v>21</v>
      </c>
      <c r="C544" s="2">
        <v>5792</v>
      </c>
      <c r="D544" s="5" t="s">
        <v>17</v>
      </c>
      <c r="E544" s="2">
        <f>IF(Tabla2[[#This Row],[Frecuencia]]="Annual", Tabla2[[#This Row],[Cosecha/Tarea]]/12,Tabla2[[#This Row],[Cosecha/Tarea]])</f>
        <v>5792</v>
      </c>
      <c r="F544" s="2">
        <v>52071</v>
      </c>
      <c r="G544" t="s">
        <v>18</v>
      </c>
      <c r="H544">
        <f>F544/Tabla2[[#This Row],[Cosecha Mensual]]</f>
        <v>8.9901588397790047</v>
      </c>
      <c r="I544">
        <f>H544*_xlfn.XLOOKUP(Tabla2[[#This Row],[Unidad de producción]],Tabla3[Medida],Tabla3[Equivalencia en Kg],"ELVIS",0)</f>
        <v>407.79360497237565</v>
      </c>
      <c r="J544">
        <v>95.629462500000002</v>
      </c>
      <c r="K544" t="s">
        <v>18</v>
      </c>
      <c r="L544">
        <f>J544/_xlfn.XLOOKUP(Tabla2[[#This Row],[Unidad de precio]],Tabla3[Medida],Tabla3[Equivalencia en Kg],"ELVIS",0)</f>
        <v>2.1082333002645504</v>
      </c>
      <c r="M544">
        <v>1545.78</v>
      </c>
      <c r="N544" s="2">
        <f>(Tabla2[[#This Row],[Productividad (kg/TAS)]]*Tabla2[[#This Row],[Precio por kg]]-Tabla2[[#This Row],[Costos (En RD$/Tarea)]])</f>
        <v>-686.05594236231013</v>
      </c>
      <c r="O544" s="6">
        <f>IF(Tabla2[[#This Row],[Costos (En RD$/Tarea)]]=0,0,Tabla2[[#This Row],[Beneficio Neto  (En RD$/Tarea)]]/Tabla2[[#This Row],[Costos (En RD$/Tarea)]])</f>
        <v>-0.4438250865985523</v>
      </c>
      <c r="P544" s="4">
        <f>Tabla2[[#This Row],[Rentabilidad (%)]]/12</f>
        <v>-3.6985423883212694E-2</v>
      </c>
    </row>
    <row r="545" spans="1:16" x14ac:dyDescent="0.35">
      <c r="A545" s="1">
        <v>37895</v>
      </c>
      <c r="B545" t="s">
        <v>22</v>
      </c>
      <c r="C545" s="2">
        <v>5170</v>
      </c>
      <c r="D545" s="5" t="s">
        <v>17</v>
      </c>
      <c r="E545" s="2">
        <f>IF(Tabla2[[#This Row],[Frecuencia]]="Annual", Tabla2[[#This Row],[Cosecha/Tarea]]/12,Tabla2[[#This Row],[Cosecha/Tarea]])</f>
        <v>5170</v>
      </c>
      <c r="F545" s="2">
        <v>56095</v>
      </c>
      <c r="G545" t="s">
        <v>18</v>
      </c>
      <c r="H545">
        <f>F545/Tabla2[[#This Row],[Cosecha Mensual]]</f>
        <v>10.850096711798839</v>
      </c>
      <c r="I545">
        <f>H545*_xlfn.XLOOKUP(Tabla2[[#This Row],[Unidad de producción]],Tabla3[Medida],Tabla3[Equivalencia en Kg],"ELVIS",0)</f>
        <v>492.16038684719535</v>
      </c>
      <c r="J545">
        <v>296</v>
      </c>
      <c r="K545" t="s">
        <v>18</v>
      </c>
      <c r="L545">
        <f>J545/_xlfn.XLOOKUP(Tabla2[[#This Row],[Unidad de precio]],Tabla3[Medida],Tabla3[Equivalencia en Kg],"ELVIS",0)</f>
        <v>6.5255731922398592</v>
      </c>
      <c r="M545">
        <v>3985.46</v>
      </c>
      <c r="N545" s="2">
        <f>(Tabla2[[#This Row],[Productividad (kg/TAS)]]*Tabla2[[#This Row],[Precio por kg]]-Tabla2[[#This Row],[Costos (En RD$/Tarea)]])</f>
        <v>-773.83137330754334</v>
      </c>
      <c r="O545" s="6">
        <f>IF(Tabla2[[#This Row],[Costos (En RD$/Tarea)]]=0,0,Tabla2[[#This Row],[Beneficio Neto  (En RD$/Tarea)]]/Tabla2[[#This Row],[Costos (En RD$/Tarea)]])</f>
        <v>-0.19416362811508417</v>
      </c>
      <c r="P545" s="4">
        <f>Tabla2[[#This Row],[Rentabilidad (%)]]/12</f>
        <v>-1.618030234292368E-2</v>
      </c>
    </row>
    <row r="546" spans="1:16" x14ac:dyDescent="0.35">
      <c r="A546" s="1">
        <v>37895</v>
      </c>
      <c r="B546" t="s">
        <v>23</v>
      </c>
      <c r="C546" s="2">
        <v>4933</v>
      </c>
      <c r="D546" s="5" t="s">
        <v>17</v>
      </c>
      <c r="E546" s="2">
        <f>IF(Tabla2[[#This Row],[Frecuencia]]="Annual", Tabla2[[#This Row],[Cosecha/Tarea]]/12,Tabla2[[#This Row],[Cosecha/Tarea]])</f>
        <v>4933</v>
      </c>
      <c r="F546" s="2">
        <v>135158</v>
      </c>
      <c r="G546" t="s">
        <v>18</v>
      </c>
      <c r="H546">
        <f>F546/Tabla2[[#This Row],[Cosecha Mensual]]</f>
        <v>27.398743158321508</v>
      </c>
      <c r="I546">
        <f>H546*_xlfn.XLOOKUP(Tabla2[[#This Row],[Unidad de producción]],Tabla3[Medida],Tabla3[Equivalencia en Kg],"ELVIS",0)</f>
        <v>1242.8069896614636</v>
      </c>
      <c r="J546">
        <v>196.875</v>
      </c>
      <c r="K546" t="s">
        <v>18</v>
      </c>
      <c r="L546">
        <f>J546/_xlfn.XLOOKUP(Tabla2[[#This Row],[Unidad de precio]],Tabla3[Medida],Tabla3[Equivalencia en Kg],"ELVIS",0)</f>
        <v>4.3402777777777777</v>
      </c>
      <c r="M546">
        <v>9309.9599999999991</v>
      </c>
      <c r="N546" s="2">
        <f>(Tabla2[[#This Row],[Productividad (kg/TAS)]]*Tabla2[[#This Row],[Precio por kg]]-Tabla2[[#This Row],[Costos (En RD$/Tarea)]])</f>
        <v>-3915.8324407054524</v>
      </c>
      <c r="O546" s="6">
        <f>IF(Tabla2[[#This Row],[Costos (En RD$/Tarea)]]=0,0,Tabla2[[#This Row],[Beneficio Neto  (En RD$/Tarea)]]/Tabla2[[#This Row],[Costos (En RD$/Tarea)]])</f>
        <v>-0.42060679537886875</v>
      </c>
      <c r="P546" s="4">
        <f>Tabla2[[#This Row],[Rentabilidad (%)]]/12</f>
        <v>-3.5050566281572396E-2</v>
      </c>
    </row>
    <row r="547" spans="1:16" x14ac:dyDescent="0.35">
      <c r="A547" s="1">
        <v>37895</v>
      </c>
      <c r="B547" t="s">
        <v>24</v>
      </c>
      <c r="C547" s="2">
        <v>10832</v>
      </c>
      <c r="D547" s="5" t="s">
        <v>17</v>
      </c>
      <c r="E547" s="2">
        <f>IF(Tabla2[[#This Row],[Frecuencia]]="Annual", Tabla2[[#This Row],[Cosecha/Tarea]]/12,Tabla2[[#This Row],[Cosecha/Tarea]])</f>
        <v>10832</v>
      </c>
      <c r="F547" s="2">
        <v>263316</v>
      </c>
      <c r="G547" t="s">
        <v>18</v>
      </c>
      <c r="H547">
        <f>F547/Tabla2[[#This Row],[Cosecha Mensual]]</f>
        <v>24.309084194977842</v>
      </c>
      <c r="I547">
        <f>H547*_xlfn.XLOOKUP(Tabla2[[#This Row],[Unidad de producción]],Tabla3[Medida],Tabla3[Equivalencia en Kg],"ELVIS",0)</f>
        <v>1102.6600590841949</v>
      </c>
      <c r="J547">
        <v>481.125</v>
      </c>
      <c r="K547" t="s">
        <v>18</v>
      </c>
      <c r="L547">
        <f>J547/_xlfn.XLOOKUP(Tabla2[[#This Row],[Unidad de precio]],Tabla3[Medida],Tabla3[Equivalencia en Kg],"ELVIS",0)</f>
        <v>10.606812169312169</v>
      </c>
      <c r="M547">
        <v>3188.34</v>
      </c>
      <c r="N547" s="2">
        <f>(Tabla2[[#This Row],[Productividad (kg/TAS)]]*Tabla2[[#This Row],[Precio por kg]]-Tabla2[[#This Row],[Costos (En RD$/Tarea)]])</f>
        <v>8507.3681333087134</v>
      </c>
      <c r="O547" s="6">
        <f>IF(Tabla2[[#This Row],[Costos (En RD$/Tarea)]]=0,0,Tabla2[[#This Row],[Beneficio Neto  (En RD$/Tarea)]]/Tabla2[[#This Row],[Costos (En RD$/Tarea)]])</f>
        <v>2.6682750689414281</v>
      </c>
      <c r="P547" s="4">
        <f>Tabla2[[#This Row],[Rentabilidad (%)]]/12</f>
        <v>0.222356255745119</v>
      </c>
    </row>
    <row r="548" spans="1:16" x14ac:dyDescent="0.35">
      <c r="A548" s="1">
        <v>37895</v>
      </c>
      <c r="B548" t="s">
        <v>25</v>
      </c>
      <c r="C548" s="2">
        <v>18006</v>
      </c>
      <c r="D548" s="5" t="s">
        <v>17</v>
      </c>
      <c r="E548" s="2">
        <f>IF(Tabla2[[#This Row],[Frecuencia]]="Annual", Tabla2[[#This Row],[Cosecha/Tarea]]/12,Tabla2[[#This Row],[Cosecha/Tarea]])</f>
        <v>18006</v>
      </c>
      <c r="F548" s="2">
        <v>179526</v>
      </c>
      <c r="G548" t="s">
        <v>18</v>
      </c>
      <c r="H548">
        <f>F548/Tabla2[[#This Row],[Cosecha Mensual]]</f>
        <v>9.9703432189270238</v>
      </c>
      <c r="I548">
        <f>H548*_xlfn.XLOOKUP(Tabla2[[#This Row],[Unidad de producción]],Tabla3[Medida],Tabla3[Equivalencia en Kg],"ELVIS",0)</f>
        <v>452.25476841052978</v>
      </c>
      <c r="J548">
        <v>110.6105</v>
      </c>
      <c r="K548" t="s">
        <v>18</v>
      </c>
      <c r="L548">
        <f>J548/_xlfn.XLOOKUP(Tabla2[[#This Row],[Unidad de precio]],Tabla3[Medida],Tabla3[Equivalencia en Kg],"ELVIS",0)</f>
        <v>2.438503086419753</v>
      </c>
      <c r="M548">
        <v>1396.74</v>
      </c>
      <c r="N548" s="2">
        <f>(Tabla2[[#This Row],[Productividad (kg/TAS)]]*Tabla2[[#This Row],[Precio por kg]]-Tabla2[[#This Row],[Costos (En RD$/Tarea)]])</f>
        <v>-293.91535138287259</v>
      </c>
      <c r="O548" s="6">
        <f>IF(Tabla2[[#This Row],[Costos (En RD$/Tarea)]]=0,0,Tabla2[[#This Row],[Beneficio Neto  (En RD$/Tarea)]]/Tabla2[[#This Row],[Costos (En RD$/Tarea)]])</f>
        <v>-0.21042953690942665</v>
      </c>
      <c r="P548" s="4">
        <f>Tabla2[[#This Row],[Rentabilidad (%)]]/12</f>
        <v>-1.7535794742452222E-2</v>
      </c>
    </row>
    <row r="549" spans="1:16" x14ac:dyDescent="0.35">
      <c r="A549" s="1">
        <v>37895</v>
      </c>
      <c r="B549" t="s">
        <v>26</v>
      </c>
      <c r="C549" s="2">
        <v>11710</v>
      </c>
      <c r="D549" s="5" t="s">
        <v>17</v>
      </c>
      <c r="E549" s="2">
        <f>IF(Tabla2[[#This Row],[Frecuencia]]="Annual", Tabla2[[#This Row],[Cosecha/Tarea]]/12,Tabla2[[#This Row],[Cosecha/Tarea]])</f>
        <v>11710</v>
      </c>
      <c r="F549" s="2">
        <v>71554</v>
      </c>
      <c r="G549" t="s">
        <v>18</v>
      </c>
      <c r="H549">
        <f>F549/Tabla2[[#This Row],[Cosecha Mensual]]</f>
        <v>6.1105038428693428</v>
      </c>
      <c r="I549">
        <f>H549*_xlfn.XLOOKUP(Tabla2[[#This Row],[Unidad de producción]],Tabla3[Medida],Tabla3[Equivalencia en Kg],"ELVIS",0)</f>
        <v>277.17245431255338</v>
      </c>
      <c r="J549">
        <v>243.75</v>
      </c>
      <c r="K549" t="s">
        <v>18</v>
      </c>
      <c r="L549">
        <f>J549/_xlfn.XLOOKUP(Tabla2[[#This Row],[Unidad de precio]],Tabla3[Medida],Tabla3[Equivalencia en Kg],"ELVIS",0)</f>
        <v>5.3736772486772484</v>
      </c>
      <c r="M549">
        <v>1217.1099999999999</v>
      </c>
      <c r="N549" s="2">
        <f>(Tabla2[[#This Row],[Productividad (kg/TAS)]]*Tabla2[[#This Row],[Precio por kg]]-Tabla2[[#This Row],[Costos (En RD$/Tarea)]])</f>
        <v>272.32531169940239</v>
      </c>
      <c r="O549" s="6">
        <f>IF(Tabla2[[#This Row],[Costos (En RD$/Tarea)]]=0,0,Tabla2[[#This Row],[Beneficio Neto  (En RD$/Tarea)]]/Tabla2[[#This Row],[Costos (En RD$/Tarea)]])</f>
        <v>0.22374749340602115</v>
      </c>
      <c r="P549" s="4">
        <f>Tabla2[[#This Row],[Rentabilidad (%)]]/12</f>
        <v>1.8645624450501764E-2</v>
      </c>
    </row>
    <row r="550" spans="1:16" x14ac:dyDescent="0.35">
      <c r="A550" s="1">
        <v>37895</v>
      </c>
      <c r="B550" t="s">
        <v>27</v>
      </c>
      <c r="C550" s="2">
        <v>3274</v>
      </c>
      <c r="D550" s="5" t="s">
        <v>17</v>
      </c>
      <c r="E550" s="2">
        <f>IF(Tabla2[[#This Row],[Frecuencia]]="Annual", Tabla2[[#This Row],[Cosecha/Tarea]]/12,Tabla2[[#This Row],[Cosecha/Tarea]])</f>
        <v>3274</v>
      </c>
      <c r="F550" s="2">
        <v>33297</v>
      </c>
      <c r="G550" t="s">
        <v>18</v>
      </c>
      <c r="H550">
        <f>F550/Tabla2[[#This Row],[Cosecha Mensual]]</f>
        <v>10.170128283445326</v>
      </c>
      <c r="I550">
        <f>H550*_xlfn.XLOOKUP(Tabla2[[#This Row],[Unidad de producción]],Tabla3[Medida],Tabla3[Equivalencia en Kg],"ELVIS",0)</f>
        <v>461.31701893707998</v>
      </c>
      <c r="J550">
        <v>261.32</v>
      </c>
      <c r="K550" t="s">
        <v>18</v>
      </c>
      <c r="L550">
        <f>J550/_xlfn.XLOOKUP(Tabla2[[#This Row],[Unidad de precio]],Tabla3[Medida],Tabla3[Equivalencia en Kg],"ELVIS",0)</f>
        <v>5.7610229276895941</v>
      </c>
      <c r="M550">
        <v>3938.29</v>
      </c>
      <c r="N550" s="2">
        <f>(Tabla2[[#This Row],[Productividad (kg/TAS)]]*Tabla2[[#This Row],[Precio por kg]]-Tabla2[[#This Row],[Costos (En RD$/Tarea)]])</f>
        <v>-1280.6320769700674</v>
      </c>
      <c r="O550" s="6">
        <f>IF(Tabla2[[#This Row],[Costos (En RD$/Tarea)]]=0,0,Tabla2[[#This Row],[Beneficio Neto  (En RD$/Tarea)]]/Tabla2[[#This Row],[Costos (En RD$/Tarea)]])</f>
        <v>-0.32517465117349598</v>
      </c>
      <c r="P550" s="4">
        <f>Tabla2[[#This Row],[Rentabilidad (%)]]/12</f>
        <v>-2.7097887597791331E-2</v>
      </c>
    </row>
    <row r="551" spans="1:16" x14ac:dyDescent="0.35">
      <c r="A551" s="1">
        <v>37895</v>
      </c>
      <c r="B551" t="s">
        <v>28</v>
      </c>
      <c r="C551" s="2">
        <v>62704</v>
      </c>
      <c r="D551" s="5" t="s">
        <v>17</v>
      </c>
      <c r="E551" s="2">
        <f>IF(Tabla2[[#This Row],[Frecuencia]]="Annual", Tabla2[[#This Row],[Cosecha/Tarea]]/12,Tabla2[[#This Row],[Cosecha/Tarea]])</f>
        <v>62704</v>
      </c>
      <c r="F551" s="2">
        <v>120326</v>
      </c>
      <c r="G551" t="s">
        <v>29</v>
      </c>
      <c r="H551">
        <f>F551/Tabla2[[#This Row],[Cosecha Mensual]]</f>
        <v>1.918952538912988</v>
      </c>
      <c r="I551">
        <f>H551*_xlfn.XLOOKUP(Tabla2[[#This Row],[Unidad de producción]],Tabla3[Medida],Tabla3[Equivalencia en Kg],"ELVIS",0)</f>
        <v>1079.1037707323296</v>
      </c>
      <c r="J551">
        <v>1360.5625</v>
      </c>
      <c r="K551" t="s">
        <v>29</v>
      </c>
      <c r="L551">
        <f>J551/_xlfn.XLOOKUP(Tabla2[[#This Row],[Unidad de precio]],Tabla3[Medida],Tabla3[Equivalencia en Kg],"ELVIS",0)</f>
        <v>2.419465981434719</v>
      </c>
      <c r="M551">
        <v>7517.1463872000004</v>
      </c>
      <c r="N551" s="2">
        <f>(Tabla2[[#This Row],[Productividad (kg/TAS)]]*Tabla2[[#This Row],[Precio por kg]]-Tabla2[[#This Row],[Costos (En RD$/Tarea)]])</f>
        <v>-4906.2915234751981</v>
      </c>
      <c r="O551" s="6">
        <f>IF(Tabla2[[#This Row],[Costos (En RD$/Tarea)]]=0,0,Tabla2[[#This Row],[Beneficio Neto  (En RD$/Tarea)]]/Tabla2[[#This Row],[Costos (En RD$/Tarea)]])</f>
        <v>-0.65268005580275812</v>
      </c>
      <c r="P551" s="4">
        <f>Tabla2[[#This Row],[Rentabilidad (%)]]/12</f>
        <v>-5.4390004650229841E-2</v>
      </c>
    </row>
    <row r="552" spans="1:16" x14ac:dyDescent="0.35">
      <c r="A552" s="1">
        <v>37895</v>
      </c>
      <c r="B552" t="s">
        <v>30</v>
      </c>
      <c r="C552" s="2">
        <v>252320</v>
      </c>
      <c r="D552" s="2" t="s">
        <v>31</v>
      </c>
      <c r="E552" s="2">
        <f>IF(Tabla2[[#This Row],[Frecuencia]]="Annual", Tabla2[[#This Row],[Cosecha/Tarea]]/12,Tabla2[[#This Row],[Cosecha/Tarea]])</f>
        <v>21026.666666666668</v>
      </c>
      <c r="F552" s="2">
        <v>1886025</v>
      </c>
      <c r="G552" t="s">
        <v>32</v>
      </c>
      <c r="H552">
        <f>F552/Tabla2[[#This Row],[Cosecha Mensual]]</f>
        <v>89.69681357006975</v>
      </c>
      <c r="I552">
        <f>H552*_xlfn.XLOOKUP(Tabla2[[#This Row],[Unidad de producción]],Tabla3[Medida],Tabla3[Equivalencia en Kg],"ELVIS",0)</f>
        <v>2440.6502972415979</v>
      </c>
      <c r="J552">
        <v>36.172499999999999</v>
      </c>
      <c r="K552" t="s">
        <v>32</v>
      </c>
      <c r="L552">
        <f>J552/_xlfn.XLOOKUP(Tabla2[[#This Row],[Unidad de precio]],Tabla3[Medida],Tabla3[Equivalencia en Kg],"ELVIS",0)</f>
        <v>1.3293825799338479</v>
      </c>
      <c r="M552" s="2">
        <v>6435.96</v>
      </c>
      <c r="N552" s="2">
        <f>(Tabla2[[#This Row],[Productividad (kg/TAS)]]*Tabla2[[#This Row],[Precio por kg]]-Tabla2[[#This Row],[Costos (En RD$/Tarea)]])</f>
        <v>-3191.4020111366522</v>
      </c>
      <c r="O552" s="6">
        <f>IF(Tabla2[[#This Row],[Costos (En RD$/Tarea)]]=0,0,Tabla2[[#This Row],[Beneficio Neto  (En RD$/Tarea)]]/Tabla2[[#This Row],[Costos (En RD$/Tarea)]])</f>
        <v>-0.49587039247239761</v>
      </c>
      <c r="P552" s="4">
        <f>Tabla2[[#This Row],[Rentabilidad (%)]]/12</f>
        <v>-4.1322532706033137E-2</v>
      </c>
    </row>
    <row r="553" spans="1:16" x14ac:dyDescent="0.35">
      <c r="A553" s="1">
        <v>37895</v>
      </c>
      <c r="B553" t="s">
        <v>33</v>
      </c>
      <c r="C553" s="2">
        <v>677206</v>
      </c>
      <c r="D553" s="2" t="s">
        <v>31</v>
      </c>
      <c r="E553" s="2">
        <f>IF(Tabla2[[#This Row],[Frecuencia]]="Annual", Tabla2[[#This Row],[Cosecha/Tarea]]/12,Tabla2[[#This Row],[Cosecha/Tarea]])</f>
        <v>56433.833333333336</v>
      </c>
      <c r="F553" s="2">
        <v>108405</v>
      </c>
      <c r="G553" t="s">
        <v>34</v>
      </c>
      <c r="H553">
        <f>F553/Tabla2[[#This Row],[Cosecha Mensual]]</f>
        <v>1.9209221418593456</v>
      </c>
      <c r="I553">
        <f>H553*_xlfn.XLOOKUP(Tabla2[[#This Row],[Unidad de producción]],Tabla3[Medida],Tabla3[Equivalencia en Kg],"ELVIS",0)</f>
        <v>784.0243721998919</v>
      </c>
      <c r="J553">
        <v>1388.615</v>
      </c>
      <c r="K553" t="s">
        <v>34</v>
      </c>
      <c r="L553">
        <f>J553/_xlfn.XLOOKUP(Tabla2[[#This Row],[Unidad de precio]],Tabla3[Medida],Tabla3[Equivalencia en Kg],"ELVIS",0)</f>
        <v>3.4022173220629672</v>
      </c>
      <c r="M553" s="2">
        <v>8666.64</v>
      </c>
      <c r="N553" s="2">
        <f>(Tabla2[[#This Row],[Productividad (kg/TAS)]]*Tabla2[[#This Row],[Precio por kg]]-Tabla2[[#This Row],[Costos (En RD$/Tarea)]])</f>
        <v>-5999.2186999819842</v>
      </c>
      <c r="O553" s="6">
        <f>IF(Tabla2[[#This Row],[Costos (En RD$/Tarea)]]=0,0,Tabla2[[#This Row],[Beneficio Neto  (En RD$/Tarea)]]/Tabla2[[#This Row],[Costos (En RD$/Tarea)]])</f>
        <v>-0.6922196722122973</v>
      </c>
      <c r="P553" s="4">
        <f>Tabla2[[#This Row],[Rentabilidad (%)]]/12</f>
        <v>-5.7684972684358106E-2</v>
      </c>
    </row>
    <row r="554" spans="1:16" x14ac:dyDescent="0.35">
      <c r="A554" s="1">
        <v>37926</v>
      </c>
      <c r="B554" t="s">
        <v>16</v>
      </c>
      <c r="C554" s="2">
        <v>388668</v>
      </c>
      <c r="D554" s="5" t="s">
        <v>17</v>
      </c>
      <c r="E554" s="2">
        <f>IF(Tabla2[[#This Row],[Frecuencia]]="Annual", Tabla2[[#This Row],[Cosecha/Tarea]]/12,Tabla2[[#This Row],[Cosecha/Tarea]])</f>
        <v>388668</v>
      </c>
      <c r="F554" s="2">
        <v>1393856</v>
      </c>
      <c r="G554" t="s">
        <v>18</v>
      </c>
      <c r="H554">
        <f>F554/Tabla2[[#This Row],[Cosecha Mensual]]</f>
        <v>3.5862381261127747</v>
      </c>
      <c r="I554">
        <f>H554*_xlfn.XLOOKUP(Tabla2[[#This Row],[Unidad de producción]],Tabla3[Medida],Tabla3[Equivalencia en Kg],"ELVIS",0)</f>
        <v>162.67176140047545</v>
      </c>
      <c r="J554">
        <v>1487.02090209021</v>
      </c>
      <c r="K554" t="s">
        <v>19</v>
      </c>
      <c r="L554">
        <f>J554/_xlfn.XLOOKUP(Tabla2[[#This Row],[Unidad de precio]],Tabla3[Medida],Tabla3[Equivalencia en Kg],"ELVIS",0)</f>
        <v>13.518371837183727</v>
      </c>
      <c r="M554">
        <v>4275.41</v>
      </c>
      <c r="N554" s="2">
        <f>(Tabla2[[#This Row],[Productividad (kg/TAS)]]*Tabla2[[#This Row],[Precio por kg]]-Tabla2[[#This Row],[Costos (En RD$/Tarea)]])</f>
        <v>-2076.3526419787418</v>
      </c>
      <c r="O554" s="6">
        <f>IF(Tabla2[[#This Row],[Costos (En RD$/Tarea)]]=0,0,Tabla2[[#This Row],[Beneficio Neto  (En RD$/Tarea)]]/Tabla2[[#This Row],[Costos (En RD$/Tarea)]])</f>
        <v>-0.48564994748544393</v>
      </c>
      <c r="P554" s="4">
        <f>Tabla2[[#This Row],[Rentabilidad (%)]]/12</f>
        <v>-4.0470828957120328E-2</v>
      </c>
    </row>
    <row r="555" spans="1:16" x14ac:dyDescent="0.35">
      <c r="A555" s="1">
        <v>37926</v>
      </c>
      <c r="B555" t="s">
        <v>20</v>
      </c>
      <c r="C555" s="2">
        <v>35768</v>
      </c>
      <c r="D555" s="5" t="s">
        <v>17</v>
      </c>
      <c r="E555" s="2">
        <f>IF(Tabla2[[#This Row],[Frecuencia]]="Annual", Tabla2[[#This Row],[Cosecha/Tarea]]/12,Tabla2[[#This Row],[Cosecha/Tarea]])</f>
        <v>35768</v>
      </c>
      <c r="F555" s="2">
        <v>77574</v>
      </c>
      <c r="G555" t="s">
        <v>18</v>
      </c>
      <c r="H555">
        <f>F555/Tabla2[[#This Row],[Cosecha Mensual]]</f>
        <v>2.1688101095951691</v>
      </c>
      <c r="I555">
        <f>H555*_xlfn.XLOOKUP(Tabla2[[#This Row],[Unidad de producción]],Tabla3[Medida],Tabla3[Equivalencia en Kg],"ELVIS",0)</f>
        <v>98.377226571236861</v>
      </c>
      <c r="J555">
        <v>203.38165000000001</v>
      </c>
      <c r="K555" t="s">
        <v>18</v>
      </c>
      <c r="L555">
        <f>J555/_xlfn.XLOOKUP(Tabla2[[#This Row],[Unidad de precio]],Tabla3[Medida],Tabla3[Equivalencia en Kg],"ELVIS",0)</f>
        <v>4.4837224426807758</v>
      </c>
      <c r="M555">
        <v>938.62</v>
      </c>
      <c r="N555" s="2">
        <f>(Tabla2[[#This Row],[Productividad (kg/TAS)]]*Tabla2[[#This Row],[Precio por kg]]-Tabla2[[#This Row],[Costos (En RD$/Tarea)]])</f>
        <v>-497.52382137385376</v>
      </c>
      <c r="O555" s="6">
        <f>IF(Tabla2[[#This Row],[Costos (En RD$/Tarea)]]=0,0,Tabla2[[#This Row],[Beneficio Neto  (En RD$/Tarea)]]/Tabla2[[#This Row],[Costos (En RD$/Tarea)]])</f>
        <v>-0.53005883251353447</v>
      </c>
      <c r="P555" s="4">
        <f>Tabla2[[#This Row],[Rentabilidad (%)]]/12</f>
        <v>-4.4171569376127873E-2</v>
      </c>
    </row>
    <row r="556" spans="1:16" x14ac:dyDescent="0.35">
      <c r="A556" s="1">
        <v>37926</v>
      </c>
      <c r="B556" t="s">
        <v>21</v>
      </c>
      <c r="C556" s="2">
        <v>7646</v>
      </c>
      <c r="D556" s="5" t="s">
        <v>17</v>
      </c>
      <c r="E556" s="2">
        <f>IF(Tabla2[[#This Row],[Frecuencia]]="Annual", Tabla2[[#This Row],[Cosecha/Tarea]]/12,Tabla2[[#This Row],[Cosecha/Tarea]])</f>
        <v>7646</v>
      </c>
      <c r="F556" s="2">
        <v>63638</v>
      </c>
      <c r="G556" t="s">
        <v>18</v>
      </c>
      <c r="H556">
        <f>F556/Tabla2[[#This Row],[Cosecha Mensual]]</f>
        <v>8.3230447292702063</v>
      </c>
      <c r="I556">
        <f>H556*_xlfn.XLOOKUP(Tabla2[[#This Row],[Unidad de producción]],Tabla3[Medida],Tabla3[Equivalencia en Kg],"ELVIS",0)</f>
        <v>377.53330891969654</v>
      </c>
      <c r="J556">
        <v>91.926394999999999</v>
      </c>
      <c r="K556" t="s">
        <v>18</v>
      </c>
      <c r="L556">
        <f>J556/_xlfn.XLOOKUP(Tabla2[[#This Row],[Unidad de precio]],Tabla3[Medida],Tabla3[Equivalencia en Kg],"ELVIS",0)</f>
        <v>2.0265960097001763</v>
      </c>
      <c r="M556">
        <v>1545.78</v>
      </c>
      <c r="N556" s="2">
        <f>(Tabla2[[#This Row],[Productividad (kg/TAS)]]*Tabla2[[#This Row],[Precio por kg]]-Tabla2[[#This Row],[Costos (En RD$/Tarea)]])</f>
        <v>-780.67250261443905</v>
      </c>
      <c r="O556" s="6">
        <f>IF(Tabla2[[#This Row],[Costos (En RD$/Tarea)]]=0,0,Tabla2[[#This Row],[Beneficio Neto  (En RD$/Tarea)]]/Tabla2[[#This Row],[Costos (En RD$/Tarea)]])</f>
        <v>-0.5050346767421231</v>
      </c>
      <c r="P556" s="4">
        <f>Tabla2[[#This Row],[Rentabilidad (%)]]/12</f>
        <v>-4.2086223061843592E-2</v>
      </c>
    </row>
    <row r="557" spans="1:16" x14ac:dyDescent="0.35">
      <c r="A557" s="1">
        <v>37926</v>
      </c>
      <c r="B557" t="s">
        <v>22</v>
      </c>
      <c r="C557" s="2">
        <v>5902</v>
      </c>
      <c r="D557" s="5" t="s">
        <v>17</v>
      </c>
      <c r="E557" s="2">
        <f>IF(Tabla2[[#This Row],[Frecuencia]]="Annual", Tabla2[[#This Row],[Cosecha/Tarea]]/12,Tabla2[[#This Row],[Cosecha/Tarea]])</f>
        <v>5902</v>
      </c>
      <c r="F557" s="2">
        <v>51052</v>
      </c>
      <c r="G557" t="s">
        <v>18</v>
      </c>
      <c r="H557">
        <f>F557/Tabla2[[#This Row],[Cosecha Mensual]]</f>
        <v>8.6499491697729578</v>
      </c>
      <c r="I557">
        <f>H557*_xlfn.XLOOKUP(Tabla2[[#This Row],[Unidad de producción]],Tabla3[Medida],Tabla3[Equivalencia en Kg],"ELVIS",0)</f>
        <v>392.36169434090135</v>
      </c>
      <c r="J557">
        <v>285.89999999999998</v>
      </c>
      <c r="K557" t="s">
        <v>18</v>
      </c>
      <c r="L557">
        <f>J557/_xlfn.XLOOKUP(Tabla2[[#This Row],[Unidad de precio]],Tabla3[Medida],Tabla3[Equivalencia en Kg],"ELVIS",0)</f>
        <v>6.3029100529100521</v>
      </c>
      <c r="M557">
        <v>3985.46</v>
      </c>
      <c r="N557" s="2">
        <f>(Tabla2[[#This Row],[Productividad (kg/TAS)]]*Tabla2[[#This Row],[Precio por kg]]-Tabla2[[#This Row],[Costos (En RD$/Tarea)]])</f>
        <v>-1512.4395323619119</v>
      </c>
      <c r="O557" s="6">
        <f>IF(Tabla2[[#This Row],[Costos (En RD$/Tarea)]]=0,0,Tabla2[[#This Row],[Beneficio Neto  (En RD$/Tarea)]]/Tabla2[[#This Row],[Costos (En RD$/Tarea)]])</f>
        <v>-0.37948932679337188</v>
      </c>
      <c r="P557" s="4">
        <f>Tabla2[[#This Row],[Rentabilidad (%)]]/12</f>
        <v>-3.1624110566114326E-2</v>
      </c>
    </row>
    <row r="558" spans="1:16" x14ac:dyDescent="0.35">
      <c r="A558" s="1">
        <v>37926</v>
      </c>
      <c r="B558" t="s">
        <v>23</v>
      </c>
      <c r="C558" s="2">
        <v>2222</v>
      </c>
      <c r="D558" s="5" t="s">
        <v>17</v>
      </c>
      <c r="E558" s="2">
        <f>IF(Tabla2[[#This Row],[Frecuencia]]="Annual", Tabla2[[#This Row],[Cosecha/Tarea]]/12,Tabla2[[#This Row],[Cosecha/Tarea]])</f>
        <v>2222</v>
      </c>
      <c r="F558" s="2">
        <v>69930</v>
      </c>
      <c r="G558" t="s">
        <v>18</v>
      </c>
      <c r="H558">
        <f>F558/Tabla2[[#This Row],[Cosecha Mensual]]</f>
        <v>31.471647164716472</v>
      </c>
      <c r="I558">
        <f>H558*_xlfn.XLOOKUP(Tabla2[[#This Row],[Unidad de producción]],Tabla3[Medida],Tabla3[Equivalencia en Kg],"ELVIS",0)</f>
        <v>1427.5539153915392</v>
      </c>
      <c r="J558">
        <v>377.33333333333297</v>
      </c>
      <c r="K558" t="s">
        <v>18</v>
      </c>
      <c r="L558">
        <f>J558/_xlfn.XLOOKUP(Tabla2[[#This Row],[Unidad de precio]],Tabla3[Medida],Tabla3[Equivalencia en Kg],"ELVIS",0)</f>
        <v>8.3186360964138668</v>
      </c>
      <c r="M558">
        <v>9309.9599999999991</v>
      </c>
      <c r="N558" s="2">
        <f>(Tabla2[[#This Row],[Productividad (kg/TAS)]]*Tabla2[[#This Row],[Precio por kg]]-Tabla2[[#This Row],[Costos (En RD$/Tarea)]])</f>
        <v>2565.3415301530058</v>
      </c>
      <c r="O558" s="6">
        <f>IF(Tabla2[[#This Row],[Costos (En RD$/Tarea)]]=0,0,Tabla2[[#This Row],[Beneficio Neto  (En RD$/Tarea)]]/Tabla2[[#This Row],[Costos (En RD$/Tarea)]])</f>
        <v>0.27554807218860294</v>
      </c>
      <c r="P558" s="4">
        <f>Tabla2[[#This Row],[Rentabilidad (%)]]/12</f>
        <v>2.2962339349050245E-2</v>
      </c>
    </row>
    <row r="559" spans="1:16" x14ac:dyDescent="0.35">
      <c r="A559" s="1">
        <v>37926</v>
      </c>
      <c r="B559" t="s">
        <v>24</v>
      </c>
      <c r="C559" s="2">
        <v>7210</v>
      </c>
      <c r="D559" s="5" t="s">
        <v>17</v>
      </c>
      <c r="E559" s="2">
        <f>IF(Tabla2[[#This Row],[Frecuencia]]="Annual", Tabla2[[#This Row],[Cosecha/Tarea]]/12,Tabla2[[#This Row],[Cosecha/Tarea]])</f>
        <v>7210</v>
      </c>
      <c r="F559" s="2">
        <v>109123</v>
      </c>
      <c r="G559" t="s">
        <v>18</v>
      </c>
      <c r="H559">
        <f>F559/Tabla2[[#This Row],[Cosecha Mensual]]</f>
        <v>15.134951456310679</v>
      </c>
      <c r="I559">
        <f>H559*_xlfn.XLOOKUP(Tabla2[[#This Row],[Unidad de producción]],Tabla3[Medida],Tabla3[Equivalencia en Kg],"ELVIS",0)</f>
        <v>686.52139805825243</v>
      </c>
      <c r="J559">
        <v>436.95</v>
      </c>
      <c r="K559" t="s">
        <v>18</v>
      </c>
      <c r="L559">
        <f>J559/_xlfn.XLOOKUP(Tabla2[[#This Row],[Unidad de precio]],Tabla3[Medida],Tabla3[Equivalencia en Kg],"ELVIS",0)</f>
        <v>9.6329365079365079</v>
      </c>
      <c r="M559">
        <v>3188.34</v>
      </c>
      <c r="N559" s="2">
        <f>(Tabla2[[#This Row],[Productividad (kg/TAS)]]*Tabla2[[#This Row],[Precio por kg]]-Tabla2[[#This Row],[Costos (En RD$/Tarea)]])</f>
        <v>3424.8770388349512</v>
      </c>
      <c r="O559" s="6">
        <f>IF(Tabla2[[#This Row],[Costos (En RD$/Tarea)]]=0,0,Tabla2[[#This Row],[Beneficio Neto  (En RD$/Tarea)]]/Tabla2[[#This Row],[Costos (En RD$/Tarea)]])</f>
        <v>1.0741881476991009</v>
      </c>
      <c r="P559" s="4">
        <f>Tabla2[[#This Row],[Rentabilidad (%)]]/12</f>
        <v>8.9515678974925073E-2</v>
      </c>
    </row>
    <row r="560" spans="1:16" x14ac:dyDescent="0.35">
      <c r="A560" s="1">
        <v>37926</v>
      </c>
      <c r="B560" t="s">
        <v>25</v>
      </c>
      <c r="C560" s="2">
        <v>22577</v>
      </c>
      <c r="D560" s="5" t="s">
        <v>17</v>
      </c>
      <c r="E560" s="2">
        <f>IF(Tabla2[[#This Row],[Frecuencia]]="Annual", Tabla2[[#This Row],[Cosecha/Tarea]]/12,Tabla2[[#This Row],[Cosecha/Tarea]])</f>
        <v>22577</v>
      </c>
      <c r="F560" s="2">
        <v>229952</v>
      </c>
      <c r="G560" t="s">
        <v>18</v>
      </c>
      <c r="H560">
        <f>F560/Tabla2[[#This Row],[Cosecha Mensual]]</f>
        <v>10.185232759002524</v>
      </c>
      <c r="I560">
        <f>H560*_xlfn.XLOOKUP(Tabla2[[#This Row],[Unidad de producción]],Tabla3[Medida],Tabla3[Equivalencia en Kg],"ELVIS",0)</f>
        <v>462.00215794835447</v>
      </c>
      <c r="J560">
        <v>109.908066666667</v>
      </c>
      <c r="K560" t="s">
        <v>18</v>
      </c>
      <c r="L560">
        <f>J560/_xlfn.XLOOKUP(Tabla2[[#This Row],[Unidad de precio]],Tabla3[Medida],Tabla3[Equivalencia en Kg],"ELVIS",0)</f>
        <v>2.4230173427395725</v>
      </c>
      <c r="M560">
        <v>1396.74</v>
      </c>
      <c r="N560" s="2">
        <f>(Tabla2[[#This Row],[Productividad (kg/TAS)]]*Tabla2[[#This Row],[Precio por kg]]-Tabla2[[#This Row],[Costos (En RD$/Tarea)]])</f>
        <v>-277.30075890802982</v>
      </c>
      <c r="O560" s="6">
        <f>IF(Tabla2[[#This Row],[Costos (En RD$/Tarea)]]=0,0,Tabla2[[#This Row],[Beneficio Neto  (En RD$/Tarea)]]/Tabla2[[#This Row],[Costos (En RD$/Tarea)]])</f>
        <v>-0.19853427188168865</v>
      </c>
      <c r="P560" s="4">
        <f>Tabla2[[#This Row],[Rentabilidad (%)]]/12</f>
        <v>-1.6544522656807389E-2</v>
      </c>
    </row>
    <row r="561" spans="1:16" x14ac:dyDescent="0.35">
      <c r="A561" s="1">
        <v>37926</v>
      </c>
      <c r="B561" t="s">
        <v>26</v>
      </c>
      <c r="C561" s="2">
        <v>10835</v>
      </c>
      <c r="D561" s="5" t="s">
        <v>17</v>
      </c>
      <c r="E561" s="2">
        <f>IF(Tabla2[[#This Row],[Frecuencia]]="Annual", Tabla2[[#This Row],[Cosecha/Tarea]]/12,Tabla2[[#This Row],[Cosecha/Tarea]])</f>
        <v>10835</v>
      </c>
      <c r="F561" s="2">
        <v>62797</v>
      </c>
      <c r="G561" t="s">
        <v>18</v>
      </c>
      <c r="H561">
        <f>F561/Tabla2[[#This Row],[Cosecha Mensual]]</f>
        <v>5.7957544993077992</v>
      </c>
      <c r="I561">
        <f>H561*_xlfn.XLOOKUP(Tabla2[[#This Row],[Unidad de producción]],Tabla3[Medida],Tabla3[Equivalencia en Kg],"ELVIS",0)</f>
        <v>262.89542408860177</v>
      </c>
      <c r="J561">
        <v>259.5625</v>
      </c>
      <c r="K561" t="s">
        <v>18</v>
      </c>
      <c r="L561">
        <f>J561/_xlfn.XLOOKUP(Tabla2[[#This Row],[Unidad de precio]],Tabla3[Medida],Tabla3[Equivalencia en Kg],"ELVIS",0)</f>
        <v>5.7222773368606701</v>
      </c>
      <c r="M561">
        <v>1217.1099999999999</v>
      </c>
      <c r="N561" s="2">
        <f>(Tabla2[[#This Row],[Productividad (kg/TAS)]]*Tabla2[[#This Row],[Precio por kg]]-Tabla2[[#This Row],[Costos (En RD$/Tarea)]])</f>
        <v>287.25052722658074</v>
      </c>
      <c r="O561" s="6">
        <f>IF(Tabla2[[#This Row],[Costos (En RD$/Tarea)]]=0,0,Tabla2[[#This Row],[Beneficio Neto  (En RD$/Tarea)]]/Tabla2[[#This Row],[Costos (En RD$/Tarea)]])</f>
        <v>0.23601032546489698</v>
      </c>
      <c r="P561" s="4">
        <f>Tabla2[[#This Row],[Rentabilidad (%)]]/12</f>
        <v>1.9667527122074747E-2</v>
      </c>
    </row>
    <row r="562" spans="1:16" x14ac:dyDescent="0.35">
      <c r="A562" s="1">
        <v>37926</v>
      </c>
      <c r="B562" t="s">
        <v>27</v>
      </c>
      <c r="C562" s="2">
        <v>3171</v>
      </c>
      <c r="D562" s="5" t="s">
        <v>17</v>
      </c>
      <c r="E562" s="2">
        <f>IF(Tabla2[[#This Row],[Frecuencia]]="Annual", Tabla2[[#This Row],[Cosecha/Tarea]]/12,Tabla2[[#This Row],[Cosecha/Tarea]])</f>
        <v>3171</v>
      </c>
      <c r="F562" s="2">
        <v>26659</v>
      </c>
      <c r="G562" t="s">
        <v>18</v>
      </c>
      <c r="H562">
        <f>F562/Tabla2[[#This Row],[Cosecha Mensual]]</f>
        <v>8.4071270892462948</v>
      </c>
      <c r="I562">
        <f>H562*_xlfn.XLOOKUP(Tabla2[[#This Row],[Unidad de producción]],Tabla3[Medida],Tabla3[Equivalencia en Kg],"ELVIS",0)</f>
        <v>381.34728476821192</v>
      </c>
      <c r="J562">
        <v>346.05500000000001</v>
      </c>
      <c r="K562" t="s">
        <v>18</v>
      </c>
      <c r="L562">
        <f>J562/_xlfn.XLOOKUP(Tabla2[[#This Row],[Unidad de precio]],Tabla3[Medida],Tabla3[Equivalencia en Kg],"ELVIS",0)</f>
        <v>7.6290784832451504</v>
      </c>
      <c r="M562">
        <v>3938.29</v>
      </c>
      <c r="N562" s="2">
        <f>(Tabla2[[#This Row],[Productividad (kg/TAS)]]*Tabla2[[#This Row],[Precio por kg]]-Tabla2[[#This Row],[Costos (En RD$/Tarea)]])</f>
        <v>-1028.9616351308732</v>
      </c>
      <c r="O562" s="6">
        <f>IF(Tabla2[[#This Row],[Costos (En RD$/Tarea)]]=0,0,Tabla2[[#This Row],[Beneficio Neto  (En RD$/Tarea)]]/Tabla2[[#This Row],[Costos (En RD$/Tarea)]])</f>
        <v>-0.2612711697540997</v>
      </c>
      <c r="P562" s="4">
        <f>Tabla2[[#This Row],[Rentabilidad (%)]]/12</f>
        <v>-2.1772597479508309E-2</v>
      </c>
    </row>
    <row r="563" spans="1:16" x14ac:dyDescent="0.35">
      <c r="A563" s="1">
        <v>37926</v>
      </c>
      <c r="B563" t="s">
        <v>28</v>
      </c>
      <c r="C563" s="2">
        <v>47771</v>
      </c>
      <c r="D563" s="5" t="s">
        <v>17</v>
      </c>
      <c r="E563" s="2">
        <f>IF(Tabla2[[#This Row],[Frecuencia]]="Annual", Tabla2[[#This Row],[Cosecha/Tarea]]/12,Tabla2[[#This Row],[Cosecha/Tarea]])</f>
        <v>47771</v>
      </c>
      <c r="F563" s="2">
        <v>73104</v>
      </c>
      <c r="G563" t="s">
        <v>29</v>
      </c>
      <c r="H563">
        <f>F563/Tabla2[[#This Row],[Cosecha Mensual]]</f>
        <v>1.5303008101149234</v>
      </c>
      <c r="I563">
        <f>H563*_xlfn.XLOOKUP(Tabla2[[#This Row],[Unidad de producción]],Tabla3[Medida],Tabla3[Equivalencia en Kg],"ELVIS",0)</f>
        <v>860.54935756002601</v>
      </c>
      <c r="J563">
        <v>2492.7339999999999</v>
      </c>
      <c r="K563" t="s">
        <v>29</v>
      </c>
      <c r="L563">
        <f>J563/_xlfn.XLOOKUP(Tabla2[[#This Row],[Unidad de precio]],Tabla3[Medida],Tabla3[Equivalencia en Kg],"ELVIS",0)</f>
        <v>4.4327879930291276</v>
      </c>
      <c r="M563">
        <v>7517.1463872000004</v>
      </c>
      <c r="N563" s="2">
        <f>(Tabla2[[#This Row],[Productividad (kg/TAS)]]*Tabla2[[#This Row],[Precio por kg]]-Tabla2[[#This Row],[Costos (En RD$/Tarea)]])</f>
        <v>-3702.5135275989874</v>
      </c>
      <c r="O563" s="6">
        <f>IF(Tabla2[[#This Row],[Costos (En RD$/Tarea)]]=0,0,Tabla2[[#This Row],[Beneficio Neto  (En RD$/Tarea)]]/Tabla2[[#This Row],[Costos (En RD$/Tarea)]])</f>
        <v>-0.4925424272571744</v>
      </c>
      <c r="P563" s="4">
        <f>Tabla2[[#This Row],[Rentabilidad (%)]]/12</f>
        <v>-4.10452022714312E-2</v>
      </c>
    </row>
    <row r="564" spans="1:16" x14ac:dyDescent="0.35">
      <c r="A564" s="1">
        <v>37926</v>
      </c>
      <c r="B564" t="s">
        <v>30</v>
      </c>
      <c r="C564" s="2">
        <v>243420</v>
      </c>
      <c r="D564" s="2" t="s">
        <v>31</v>
      </c>
      <c r="E564" s="2">
        <f>IF(Tabla2[[#This Row],[Frecuencia]]="Annual", Tabla2[[#This Row],[Cosecha/Tarea]]/12,Tabla2[[#This Row],[Cosecha/Tarea]])</f>
        <v>20285</v>
      </c>
      <c r="F564" s="2">
        <v>1645243</v>
      </c>
      <c r="G564" t="s">
        <v>32</v>
      </c>
      <c r="H564">
        <f>F564/Tabla2[[#This Row],[Cosecha Mensual]]</f>
        <v>81.106384027606609</v>
      </c>
      <c r="I564">
        <f>H564*_xlfn.XLOOKUP(Tabla2[[#This Row],[Unidad de producción]],Tabla3[Medida],Tabla3[Equivalencia en Kg],"ELVIS",0)</f>
        <v>2206.9047093911759</v>
      </c>
      <c r="J564">
        <v>38.788333333333298</v>
      </c>
      <c r="K564" t="s">
        <v>32</v>
      </c>
      <c r="L564">
        <f>J564/_xlfn.XLOOKUP(Tabla2[[#This Row],[Unidad de precio]],Tabla3[Medida],Tabla3[Equivalencia en Kg],"ELVIS",0)</f>
        <v>1.4255175793213266</v>
      </c>
      <c r="M564" s="2">
        <v>6435.96</v>
      </c>
      <c r="N564" s="2">
        <f>(Tabla2[[#This Row],[Productividad (kg/TAS)]]*Tabla2[[#This Row],[Precio por kg]]-Tabla2[[#This Row],[Costos (En RD$/Tarea)]])</f>
        <v>-3289.9785408758553</v>
      </c>
      <c r="O564" s="6">
        <f>IF(Tabla2[[#This Row],[Costos (En RD$/Tarea)]]=0,0,Tabla2[[#This Row],[Beneficio Neto  (En RD$/Tarea)]]/Tabla2[[#This Row],[Costos (En RD$/Tarea)]])</f>
        <v>-0.511186915530217</v>
      </c>
      <c r="P564" s="4">
        <f>Tabla2[[#This Row],[Rentabilidad (%)]]/12</f>
        <v>-4.2598909627518083E-2</v>
      </c>
    </row>
    <row r="565" spans="1:16" x14ac:dyDescent="0.35">
      <c r="A565" s="1">
        <v>37926</v>
      </c>
      <c r="B565" t="s">
        <v>33</v>
      </c>
      <c r="C565" s="2">
        <v>648608</v>
      </c>
      <c r="D565" s="2" t="s">
        <v>31</v>
      </c>
      <c r="E565" s="2">
        <f>IF(Tabla2[[#This Row],[Frecuencia]]="Annual", Tabla2[[#This Row],[Cosecha/Tarea]]/12,Tabla2[[#This Row],[Cosecha/Tarea]])</f>
        <v>54050.666666666664</v>
      </c>
      <c r="F565" s="2">
        <v>100652</v>
      </c>
      <c r="G565" t="s">
        <v>34</v>
      </c>
      <c r="H565">
        <f>F565/Tabla2[[#This Row],[Cosecha Mensual]]</f>
        <v>1.8621786965316494</v>
      </c>
      <c r="I565">
        <f>H565*_xlfn.XLOOKUP(Tabla2[[#This Row],[Unidad de producción]],Tabla3[Medida],Tabla3[Equivalencia en Kg],"ELVIS",0)</f>
        <v>760.04823498939265</v>
      </c>
      <c r="J565">
        <v>1419.9166666666699</v>
      </c>
      <c r="K565" t="s">
        <v>34</v>
      </c>
      <c r="L565">
        <f>J565/_xlfn.XLOOKUP(Tabla2[[#This Row],[Unidad de precio]],Tabla3[Medida],Tabla3[Equivalencia en Kg],"ELVIS",0)</f>
        <v>3.4789088978725222</v>
      </c>
      <c r="M565" s="2">
        <v>8666.64</v>
      </c>
      <c r="N565" s="2">
        <f>(Tabla2[[#This Row],[Productividad (kg/TAS)]]*Tabla2[[#This Row],[Precio por kg]]-Tabla2[[#This Row],[Costos (En RD$/Tarea)]])</f>
        <v>-6022.5014324830954</v>
      </c>
      <c r="O565" s="6">
        <f>IF(Tabla2[[#This Row],[Costos (En RD$/Tarea)]]=0,0,Tabla2[[#This Row],[Beneficio Neto  (En RD$/Tarea)]]/Tabla2[[#This Row],[Costos (En RD$/Tarea)]])</f>
        <v>-0.69490614961312525</v>
      </c>
      <c r="P565" s="4">
        <f>Tabla2[[#This Row],[Rentabilidad (%)]]/12</f>
        <v>-5.7908845801093768E-2</v>
      </c>
    </row>
    <row r="566" spans="1:16" x14ac:dyDescent="0.35">
      <c r="A566" s="1">
        <v>37956</v>
      </c>
      <c r="B566" t="s">
        <v>16</v>
      </c>
      <c r="C566" s="2">
        <v>233636</v>
      </c>
      <c r="D566" s="5" t="s">
        <v>17</v>
      </c>
      <c r="E566" s="2">
        <f>IF(Tabla2[[#This Row],[Frecuencia]]="Annual", Tabla2[[#This Row],[Cosecha/Tarea]]/12,Tabla2[[#This Row],[Cosecha/Tarea]])</f>
        <v>233636</v>
      </c>
      <c r="F566" s="2">
        <v>836986</v>
      </c>
      <c r="G566" t="s">
        <v>18</v>
      </c>
      <c r="H566">
        <f>F566/Tabla2[[#This Row],[Cosecha Mensual]]</f>
        <v>3.5824359259703127</v>
      </c>
      <c r="I566">
        <f>H566*_xlfn.XLOOKUP(Tabla2[[#This Row],[Unidad de producción]],Tabla3[Medida],Tabla3[Equivalencia en Kg],"ELVIS",0)</f>
        <v>162.49929360201338</v>
      </c>
      <c r="J566">
        <v>1780.0154015401499</v>
      </c>
      <c r="K566" t="s">
        <v>19</v>
      </c>
      <c r="L566">
        <f>J566/_xlfn.XLOOKUP(Tabla2[[#This Row],[Unidad de precio]],Tabla3[Medida],Tabla3[Equivalencia en Kg],"ELVIS",0)</f>
        <v>16.181958195819544</v>
      </c>
      <c r="M566">
        <v>4275.41</v>
      </c>
      <c r="N566" s="2">
        <f>(Tabla2[[#This Row],[Productividad (kg/TAS)]]*Tabla2[[#This Row],[Precio por kg]]-Tabla2[[#This Row],[Costos (En RD$/Tarea)]])</f>
        <v>-1645.8532240820132</v>
      </c>
      <c r="O566" s="6">
        <f>IF(Tabla2[[#This Row],[Costos (En RD$/Tarea)]]=0,0,Tabla2[[#This Row],[Beneficio Neto  (En RD$/Tarea)]]/Tabla2[[#This Row],[Costos (En RD$/Tarea)]])</f>
        <v>-0.38495798627079347</v>
      </c>
      <c r="P566" s="4">
        <f>Tabla2[[#This Row],[Rentabilidad (%)]]/12</f>
        <v>-3.2079832189232792E-2</v>
      </c>
    </row>
    <row r="567" spans="1:16" x14ac:dyDescent="0.35">
      <c r="A567" s="1">
        <v>37956</v>
      </c>
      <c r="B567" t="s">
        <v>20</v>
      </c>
      <c r="C567" s="2">
        <v>67455</v>
      </c>
      <c r="D567" s="5" t="s">
        <v>17</v>
      </c>
      <c r="E567" s="2">
        <f>IF(Tabla2[[#This Row],[Frecuencia]]="Annual", Tabla2[[#This Row],[Cosecha/Tarea]]/12,Tabla2[[#This Row],[Cosecha/Tarea]])</f>
        <v>67455</v>
      </c>
      <c r="F567" s="2">
        <v>107545</v>
      </c>
      <c r="G567" t="s">
        <v>18</v>
      </c>
      <c r="H567">
        <f>F567/Tabla2[[#This Row],[Cosecha Mensual]]</f>
        <v>1.5943221406863834</v>
      </c>
      <c r="I567">
        <f>H567*_xlfn.XLOOKUP(Tabla2[[#This Row],[Unidad de producción]],Tabla3[Medida],Tabla3[Equivalencia en Kg],"ELVIS",0)</f>
        <v>72.31845230153435</v>
      </c>
      <c r="J567">
        <v>255.77833333333299</v>
      </c>
      <c r="K567" t="s">
        <v>18</v>
      </c>
      <c r="L567">
        <f>J567/_xlfn.XLOOKUP(Tabla2[[#This Row],[Unidad de precio]],Tabla3[Medida],Tabla3[Equivalencia en Kg],"ELVIS",0)</f>
        <v>5.6388521457965828</v>
      </c>
      <c r="M567">
        <v>938.62</v>
      </c>
      <c r="N567" s="2">
        <f>(Tabla2[[#This Row],[Productividad (kg/TAS)]]*Tabla2[[#This Row],[Precio por kg]]-Tabla2[[#This Row],[Costos (En RD$/Tarea)]])</f>
        <v>-530.82694005880523</v>
      </c>
      <c r="O567" s="6">
        <f>IF(Tabla2[[#This Row],[Costos (En RD$/Tarea)]]=0,0,Tabla2[[#This Row],[Beneficio Neto  (En RD$/Tarea)]]/Tabla2[[#This Row],[Costos (En RD$/Tarea)]])</f>
        <v>-0.56553977121604615</v>
      </c>
      <c r="P567" s="4">
        <f>Tabla2[[#This Row],[Rentabilidad (%)]]/12</f>
        <v>-4.7128314268003846E-2</v>
      </c>
    </row>
    <row r="568" spans="1:16" x14ac:dyDescent="0.35">
      <c r="A568" s="1">
        <v>37956</v>
      </c>
      <c r="B568" t="s">
        <v>21</v>
      </c>
      <c r="C568" s="2">
        <v>5719</v>
      </c>
      <c r="D568" s="5" t="s">
        <v>17</v>
      </c>
      <c r="E568" s="2">
        <f>IF(Tabla2[[#This Row],[Frecuencia]]="Annual", Tabla2[[#This Row],[Cosecha/Tarea]]/12,Tabla2[[#This Row],[Cosecha/Tarea]])</f>
        <v>5719</v>
      </c>
      <c r="F568" s="2">
        <v>46660</v>
      </c>
      <c r="G568" t="s">
        <v>18</v>
      </c>
      <c r="H568">
        <f>F568/Tabla2[[#This Row],[Cosecha Mensual]]</f>
        <v>8.1587690155621608</v>
      </c>
      <c r="I568">
        <f>H568*_xlfn.XLOOKUP(Tabla2[[#This Row],[Unidad de producción]],Tabla3[Medida],Tabla3[Equivalencia en Kg],"ELVIS",0)</f>
        <v>370.08176254589961</v>
      </c>
      <c r="J568">
        <v>131.11930000000001</v>
      </c>
      <c r="K568" t="s">
        <v>18</v>
      </c>
      <c r="L568">
        <f>J568/_xlfn.XLOOKUP(Tabla2[[#This Row],[Unidad de precio]],Tabla3[Medida],Tabla3[Equivalencia en Kg],"ELVIS",0)</f>
        <v>2.8906371252204588</v>
      </c>
      <c r="M568">
        <v>1545.78</v>
      </c>
      <c r="N568" s="2">
        <f>(Tabla2[[#This Row],[Productividad (kg/TAS)]]*Tabla2[[#This Row],[Precio por kg]]-Tabla2[[#This Row],[Costos (En RD$/Tarea)]])</f>
        <v>-476.00791781780026</v>
      </c>
      <c r="O568" s="6">
        <f>IF(Tabla2[[#This Row],[Costos (En RD$/Tarea)]]=0,0,Tabla2[[#This Row],[Beneficio Neto  (En RD$/Tarea)]]/Tabla2[[#This Row],[Costos (En RD$/Tarea)]])</f>
        <v>-0.30794027469484681</v>
      </c>
      <c r="P568" s="4">
        <f>Tabla2[[#This Row],[Rentabilidad (%)]]/12</f>
        <v>-2.5661689557903902E-2</v>
      </c>
    </row>
    <row r="569" spans="1:16" x14ac:dyDescent="0.35">
      <c r="A569" s="1">
        <v>37956</v>
      </c>
      <c r="B569" t="s">
        <v>22</v>
      </c>
      <c r="C569" s="2">
        <v>4997</v>
      </c>
      <c r="D569" s="5" t="s">
        <v>17</v>
      </c>
      <c r="E569" s="2">
        <f>IF(Tabla2[[#This Row],[Frecuencia]]="Annual", Tabla2[[#This Row],[Cosecha/Tarea]]/12,Tabla2[[#This Row],[Cosecha/Tarea]])</f>
        <v>4997</v>
      </c>
      <c r="F569" s="2">
        <v>45027</v>
      </c>
      <c r="G569" t="s">
        <v>18</v>
      </c>
      <c r="H569">
        <f>F569/Tabla2[[#This Row],[Cosecha Mensual]]</f>
        <v>9.0108064838903346</v>
      </c>
      <c r="I569">
        <f>H569*_xlfn.XLOOKUP(Tabla2[[#This Row],[Unidad de producción]],Tabla3[Medida],Tabla3[Equivalencia en Kg],"ELVIS",0)</f>
        <v>408.73018210926557</v>
      </c>
      <c r="J569">
        <v>241.5</v>
      </c>
      <c r="K569" t="s">
        <v>18</v>
      </c>
      <c r="L569">
        <f>J569/_xlfn.XLOOKUP(Tabla2[[#This Row],[Unidad de precio]],Tabla3[Medida],Tabla3[Equivalencia en Kg],"ELVIS",0)</f>
        <v>5.3240740740740744</v>
      </c>
      <c r="M569">
        <v>3985.46</v>
      </c>
      <c r="N569" s="2">
        <f>(Tabla2[[#This Row],[Productividad (kg/TAS)]]*Tabla2[[#This Row],[Precio por kg]]-Tabla2[[#This Row],[Costos (En RD$/Tarea)]])</f>
        <v>-1809.3502341404842</v>
      </c>
      <c r="O569" s="6">
        <f>IF(Tabla2[[#This Row],[Costos (En RD$/Tarea)]]=0,0,Tabla2[[#This Row],[Beneficio Neto  (En RD$/Tarea)]]/Tabla2[[#This Row],[Costos (En RD$/Tarea)]])</f>
        <v>-0.4539878042034004</v>
      </c>
      <c r="P569" s="4">
        <f>Tabla2[[#This Row],[Rentabilidad (%)]]/12</f>
        <v>-3.7832317016950036E-2</v>
      </c>
    </row>
    <row r="570" spans="1:16" x14ac:dyDescent="0.35">
      <c r="A570" s="1">
        <v>37956</v>
      </c>
      <c r="B570" t="s">
        <v>23</v>
      </c>
      <c r="C570" s="2">
        <v>2003</v>
      </c>
      <c r="D570" s="5" t="s">
        <v>17</v>
      </c>
      <c r="E570" s="2">
        <f>IF(Tabla2[[#This Row],[Frecuencia]]="Annual", Tabla2[[#This Row],[Cosecha/Tarea]]/12,Tabla2[[#This Row],[Cosecha/Tarea]])</f>
        <v>2003</v>
      </c>
      <c r="F570" s="2">
        <v>45200</v>
      </c>
      <c r="G570" t="s">
        <v>18</v>
      </c>
      <c r="H570">
        <f>F570/Tabla2[[#This Row],[Cosecha Mensual]]</f>
        <v>22.56615077383924</v>
      </c>
      <c r="I570">
        <f>H570*_xlfn.XLOOKUP(Tabla2[[#This Row],[Unidad de producción]],Tabla3[Medida],Tabla3[Equivalencia en Kg],"ELVIS",0)</f>
        <v>1023.6005991013479</v>
      </c>
      <c r="J570">
        <v>554</v>
      </c>
      <c r="K570" t="s">
        <v>18</v>
      </c>
      <c r="L570">
        <f>J570/_xlfn.XLOOKUP(Tabla2[[#This Row],[Unidad de precio]],Tabla3[Medida],Tabla3[Equivalencia en Kg],"ELVIS",0)</f>
        <v>12.213403880070548</v>
      </c>
      <c r="M570">
        <v>9309.9599999999991</v>
      </c>
      <c r="N570" s="2">
        <f>(Tabla2[[#This Row],[Productividad (kg/TAS)]]*Tabla2[[#This Row],[Precio por kg]]-Tabla2[[#This Row],[Costos (En RD$/Tarea)]])</f>
        <v>3191.6875287069415</v>
      </c>
      <c r="O570" s="6">
        <f>IF(Tabla2[[#This Row],[Costos (En RD$/Tarea)]]=0,0,Tabla2[[#This Row],[Beneficio Neto  (En RD$/Tarea)]]/Tabla2[[#This Row],[Costos (En RD$/Tarea)]])</f>
        <v>0.34282505281515085</v>
      </c>
      <c r="P570" s="4">
        <f>Tabla2[[#This Row],[Rentabilidad (%)]]/12</f>
        <v>2.856875440126257E-2</v>
      </c>
    </row>
    <row r="571" spans="1:16" x14ac:dyDescent="0.35">
      <c r="A571" s="1">
        <v>37956</v>
      </c>
      <c r="B571" t="s">
        <v>24</v>
      </c>
      <c r="C571" s="2">
        <v>10816</v>
      </c>
      <c r="D571" s="5" t="s">
        <v>17</v>
      </c>
      <c r="E571" s="2">
        <f>IF(Tabla2[[#This Row],[Frecuencia]]="Annual", Tabla2[[#This Row],[Cosecha/Tarea]]/12,Tabla2[[#This Row],[Cosecha/Tarea]])</f>
        <v>10816</v>
      </c>
      <c r="F571" s="2">
        <v>253015</v>
      </c>
      <c r="G571" t="s">
        <v>18</v>
      </c>
      <c r="H571">
        <f>F571/Tabla2[[#This Row],[Cosecha Mensual]]</f>
        <v>23.392659023668639</v>
      </c>
      <c r="I571">
        <f>H571*_xlfn.XLOOKUP(Tabla2[[#This Row],[Unidad de producción]],Tabla3[Medida],Tabla3[Equivalencia en Kg],"ELVIS",0)</f>
        <v>1061.0910133136094</v>
      </c>
      <c r="J571">
        <v>572.16600000000005</v>
      </c>
      <c r="K571" t="s">
        <v>18</v>
      </c>
      <c r="L571">
        <f>J571/_xlfn.XLOOKUP(Tabla2[[#This Row],[Unidad de precio]],Tabla3[Medida],Tabla3[Equivalencia en Kg],"ELVIS",0)</f>
        <v>12.613888888888891</v>
      </c>
      <c r="M571">
        <v>3188.34</v>
      </c>
      <c r="N571" s="2">
        <f>(Tabla2[[#This Row],[Productividad (kg/TAS)]]*Tabla2[[#This Row],[Precio por kg]]-Tabla2[[#This Row],[Costos (En RD$/Tarea)]])</f>
        <v>10196.144142936391</v>
      </c>
      <c r="O571" s="6">
        <f>IF(Tabla2[[#This Row],[Costos (En RD$/Tarea)]]=0,0,Tabla2[[#This Row],[Beneficio Neto  (En RD$/Tarea)]]/Tabla2[[#This Row],[Costos (En RD$/Tarea)]])</f>
        <v>3.1979475661116412</v>
      </c>
      <c r="P571" s="4">
        <f>Tabla2[[#This Row],[Rentabilidad (%)]]/12</f>
        <v>0.26649563050930342</v>
      </c>
    </row>
    <row r="572" spans="1:16" x14ac:dyDescent="0.35">
      <c r="A572" s="1">
        <v>37956</v>
      </c>
      <c r="B572" t="s">
        <v>25</v>
      </c>
      <c r="C572" s="2">
        <v>25893</v>
      </c>
      <c r="D572" s="5" t="s">
        <v>17</v>
      </c>
      <c r="E572" s="2">
        <f>IF(Tabla2[[#This Row],[Frecuencia]]="Annual", Tabla2[[#This Row],[Cosecha/Tarea]]/12,Tabla2[[#This Row],[Cosecha/Tarea]])</f>
        <v>25893</v>
      </c>
      <c r="F572" s="2">
        <v>220726</v>
      </c>
      <c r="G572" t="s">
        <v>18</v>
      </c>
      <c r="H572">
        <f>F572/Tabla2[[#This Row],[Cosecha Mensual]]</f>
        <v>8.5245433128644805</v>
      </c>
      <c r="I572">
        <f>H572*_xlfn.XLOOKUP(Tabla2[[#This Row],[Unidad de producción]],Tabla3[Medida],Tabla3[Equivalencia en Kg],"ELVIS",0)</f>
        <v>386.67328467153283</v>
      </c>
      <c r="J572">
        <v>103.946266666667</v>
      </c>
      <c r="K572" t="s">
        <v>18</v>
      </c>
      <c r="L572">
        <f>J572/_xlfn.XLOOKUP(Tabla2[[#This Row],[Unidad de precio]],Tabla3[Medida],Tabla3[Equivalencia en Kg],"ELVIS",0)</f>
        <v>2.291584362139925</v>
      </c>
      <c r="M572">
        <v>1396.74</v>
      </c>
      <c r="N572" s="2">
        <f>(Tabla2[[#This Row],[Productividad (kg/TAS)]]*Tabla2[[#This Row],[Precio por kg]]-Tabla2[[#This Row],[Costos (En RD$/Tarea)]])</f>
        <v>-510.64554758943586</v>
      </c>
      <c r="O572" s="6">
        <f>IF(Tabla2[[#This Row],[Costos (En RD$/Tarea)]]=0,0,Tabla2[[#This Row],[Beneficio Neto  (En RD$/Tarea)]]/Tabla2[[#This Row],[Costos (En RD$/Tarea)]])</f>
        <v>-0.36559814109242655</v>
      </c>
      <c r="P572" s="4">
        <f>Tabla2[[#This Row],[Rentabilidad (%)]]/12</f>
        <v>-3.0466511757702212E-2</v>
      </c>
    </row>
    <row r="573" spans="1:16" x14ac:dyDescent="0.35">
      <c r="A573" s="1">
        <v>37956</v>
      </c>
      <c r="B573" t="s">
        <v>26</v>
      </c>
      <c r="C573" s="2">
        <v>9246</v>
      </c>
      <c r="D573" s="5" t="s">
        <v>17</v>
      </c>
      <c r="E573" s="2">
        <f>IF(Tabla2[[#This Row],[Frecuencia]]="Annual", Tabla2[[#This Row],[Cosecha/Tarea]]/12,Tabla2[[#This Row],[Cosecha/Tarea]])</f>
        <v>9246</v>
      </c>
      <c r="F573" s="2">
        <v>49122</v>
      </c>
      <c r="G573" t="s">
        <v>18</v>
      </c>
      <c r="H573">
        <f>F573/Tabla2[[#This Row],[Cosecha Mensual]]</f>
        <v>5.312783906554186</v>
      </c>
      <c r="I573">
        <f>H573*_xlfn.XLOOKUP(Tabla2[[#This Row],[Unidad de producción]],Tabla3[Medida],Tabla3[Equivalencia en Kg],"ELVIS",0)</f>
        <v>240.98787800129787</v>
      </c>
      <c r="J573">
        <v>339.16666666666703</v>
      </c>
      <c r="K573" t="s">
        <v>18</v>
      </c>
      <c r="L573">
        <f>J573/_xlfn.XLOOKUP(Tabla2[[#This Row],[Unidad de precio]],Tabla3[Medida],Tabla3[Equivalencia en Kg],"ELVIS",0)</f>
        <v>7.477219282774846</v>
      </c>
      <c r="M573">
        <v>1217.1099999999999</v>
      </c>
      <c r="N573" s="2">
        <f>(Tabla2[[#This Row],[Productividad (kg/TAS)]]*Tabla2[[#This Row],[Precio por kg]]-Tabla2[[#This Row],[Costos (En RD$/Tarea)]])</f>
        <v>584.80920830629657</v>
      </c>
      <c r="O573" s="6">
        <f>IF(Tabla2[[#This Row],[Costos (En RD$/Tarea)]]=0,0,Tabla2[[#This Row],[Beneficio Neto  (En RD$/Tarea)]]/Tabla2[[#This Row],[Costos (En RD$/Tarea)]])</f>
        <v>0.48049002005266295</v>
      </c>
      <c r="P573" s="4">
        <f>Tabla2[[#This Row],[Rentabilidad (%)]]/12</f>
        <v>4.0040835004388577E-2</v>
      </c>
    </row>
    <row r="574" spans="1:16" x14ac:dyDescent="0.35">
      <c r="A574" s="1">
        <v>37956</v>
      </c>
      <c r="B574" t="s">
        <v>27</v>
      </c>
      <c r="C574" s="2">
        <v>3504</v>
      </c>
      <c r="D574" s="5" t="s">
        <v>17</v>
      </c>
      <c r="E574" s="2">
        <f>IF(Tabla2[[#This Row],[Frecuencia]]="Annual", Tabla2[[#This Row],[Cosecha/Tarea]]/12,Tabla2[[#This Row],[Cosecha/Tarea]])</f>
        <v>3504</v>
      </c>
      <c r="F574" s="2">
        <v>27303</v>
      </c>
      <c r="G574" t="s">
        <v>18</v>
      </c>
      <c r="H574">
        <f>F574/Tabla2[[#This Row],[Cosecha Mensual]]</f>
        <v>7.7919520547945202</v>
      </c>
      <c r="I574">
        <f>H574*_xlfn.XLOOKUP(Tabla2[[#This Row],[Unidad de producción]],Tabla3[Medida],Tabla3[Equivalencia en Kg],"ELVIS",0)</f>
        <v>353.44294520547942</v>
      </c>
      <c r="J574">
        <v>365.1</v>
      </c>
      <c r="K574" t="s">
        <v>18</v>
      </c>
      <c r="L574">
        <f>J574/_xlfn.XLOOKUP(Tabla2[[#This Row],[Unidad de precio]],Tabla3[Medida],Tabla3[Equivalencia en Kg],"ELVIS",0)</f>
        <v>8.0489417989417991</v>
      </c>
      <c r="M574">
        <v>3938.29</v>
      </c>
      <c r="N574" s="2">
        <f>(Tabla2[[#This Row],[Productividad (kg/TAS)]]*Tabla2[[#This Row],[Precio por kg]]-Tabla2[[#This Row],[Costos (En RD$/Tarea)]])</f>
        <v>-1093.4483047945209</v>
      </c>
      <c r="O574" s="6">
        <f>IF(Tabla2[[#This Row],[Costos (En RD$/Tarea)]]=0,0,Tabla2[[#This Row],[Beneficio Neto  (En RD$/Tarea)]]/Tabla2[[#This Row],[Costos (En RD$/Tarea)]])</f>
        <v>-0.27764545140010538</v>
      </c>
      <c r="P574" s="4">
        <f>Tabla2[[#This Row],[Rentabilidad (%)]]/12</f>
        <v>-2.3137120950008781E-2</v>
      </c>
    </row>
    <row r="575" spans="1:16" x14ac:dyDescent="0.35">
      <c r="A575" s="1">
        <v>37956</v>
      </c>
      <c r="B575" t="s">
        <v>28</v>
      </c>
      <c r="C575" s="2">
        <v>40229</v>
      </c>
      <c r="D575" s="5" t="s">
        <v>17</v>
      </c>
      <c r="E575" s="2">
        <f>IF(Tabla2[[#This Row],[Frecuencia]]="Annual", Tabla2[[#This Row],[Cosecha/Tarea]]/12,Tabla2[[#This Row],[Cosecha/Tarea]])</f>
        <v>40229</v>
      </c>
      <c r="F575" s="2">
        <v>93693</v>
      </c>
      <c r="G575" t="s">
        <v>29</v>
      </c>
      <c r="H575">
        <f>F575/Tabla2[[#This Row],[Cosecha Mensual]]</f>
        <v>2.3289915235278031</v>
      </c>
      <c r="I575">
        <f>H575*_xlfn.XLOOKUP(Tabla2[[#This Row],[Unidad de producción]],Tabla3[Medida],Tabla3[Equivalencia en Kg],"ELVIS",0)</f>
        <v>1309.6850933406249</v>
      </c>
      <c r="J575">
        <v>3155</v>
      </c>
      <c r="K575" t="s">
        <v>29</v>
      </c>
      <c r="L575">
        <f>J575/_xlfn.XLOOKUP(Tabla2[[#This Row],[Unidad de precio]],Tabla3[Medida],Tabla3[Equivalencia en Kg],"ELVIS",0)</f>
        <v>5.610484760109542</v>
      </c>
      <c r="M575">
        <v>7517.1463872000004</v>
      </c>
      <c r="N575" s="2">
        <f>(Tabla2[[#This Row],[Productividad (kg/TAS)]]*Tabla2[[#This Row],[Precio por kg]]-Tabla2[[#This Row],[Costos (En RD$/Tarea)]])</f>
        <v>-169.17813046978154</v>
      </c>
      <c r="O575" s="6">
        <f>IF(Tabla2[[#This Row],[Costos (En RD$/Tarea)]]=0,0,Tabla2[[#This Row],[Beneficio Neto  (En RD$/Tarea)]]/Tabla2[[#This Row],[Costos (En RD$/Tarea)]])</f>
        <v>-2.250563202518626E-2</v>
      </c>
      <c r="P575" s="4">
        <f>Tabla2[[#This Row],[Rentabilidad (%)]]/12</f>
        <v>-1.8754693354321884E-3</v>
      </c>
    </row>
    <row r="576" spans="1:16" x14ac:dyDescent="0.35">
      <c r="A576" s="1">
        <v>37956</v>
      </c>
      <c r="B576" t="s">
        <v>30</v>
      </c>
      <c r="C576" s="2">
        <v>261791</v>
      </c>
      <c r="D576" s="2" t="s">
        <v>31</v>
      </c>
      <c r="E576" s="2">
        <f>IF(Tabla2[[#This Row],[Frecuencia]]="Annual", Tabla2[[#This Row],[Cosecha/Tarea]]/12,Tabla2[[#This Row],[Cosecha/Tarea]])</f>
        <v>21815.916666666668</v>
      </c>
      <c r="F576" s="2">
        <v>1497282</v>
      </c>
      <c r="G576" t="s">
        <v>32</v>
      </c>
      <c r="H576">
        <f>F576/Tabla2[[#This Row],[Cosecha Mensual]]</f>
        <v>68.632550393252629</v>
      </c>
      <c r="I576">
        <f>H576*_xlfn.XLOOKUP(Tabla2[[#This Row],[Unidad de producción]],Tabla3[Medida],Tabla3[Equivalencia en Kg],"ELVIS",0)</f>
        <v>1867.491696200404</v>
      </c>
      <c r="J576">
        <v>34.5</v>
      </c>
      <c r="K576" t="s">
        <v>32</v>
      </c>
      <c r="L576">
        <f>J576/_xlfn.XLOOKUP(Tabla2[[#This Row],[Unidad de precio]],Tabla3[Medida],Tabla3[Equivalencia en Kg],"ELVIS",0)</f>
        <v>1.2679162072767365</v>
      </c>
      <c r="M576" s="2">
        <v>6435.96</v>
      </c>
      <c r="N576" s="2">
        <f>(Tabla2[[#This Row],[Productividad (kg/TAS)]]*Tabla2[[#This Row],[Precio por kg]]-Tabla2[[#This Row],[Costos (En RD$/Tarea)]])</f>
        <v>-4068.1370114327842</v>
      </c>
      <c r="O576" s="6">
        <f>IF(Tabla2[[#This Row],[Costos (En RD$/Tarea)]]=0,0,Tabla2[[#This Row],[Beneficio Neto  (En RD$/Tarea)]]/Tabla2[[#This Row],[Costos (En RD$/Tarea)]])</f>
        <v>-0.63209482523707172</v>
      </c>
      <c r="P576" s="4">
        <f>Tabla2[[#This Row],[Rentabilidad (%)]]/12</f>
        <v>-5.2674568769755979E-2</v>
      </c>
    </row>
    <row r="577" spans="1:16" x14ac:dyDescent="0.35">
      <c r="A577" s="1">
        <v>37956</v>
      </c>
      <c r="B577" t="s">
        <v>33</v>
      </c>
      <c r="C577" s="2">
        <v>686095</v>
      </c>
      <c r="D577" s="2" t="s">
        <v>31</v>
      </c>
      <c r="E577" s="2">
        <f>IF(Tabla2[[#This Row],[Frecuencia]]="Annual", Tabla2[[#This Row],[Cosecha/Tarea]]/12,Tabla2[[#This Row],[Cosecha/Tarea]])</f>
        <v>57174.583333333336</v>
      </c>
      <c r="F577" s="2">
        <v>94043</v>
      </c>
      <c r="G577" t="s">
        <v>34</v>
      </c>
      <c r="H577">
        <f>F577/Tabla2[[#This Row],[Cosecha Mensual]]</f>
        <v>1.6448392715294529</v>
      </c>
      <c r="I577">
        <f>H577*_xlfn.XLOOKUP(Tabla2[[#This Row],[Unidad de producción]],Tabla3[Medida],Tabla3[Equivalencia en Kg],"ELVIS",0)</f>
        <v>671.34114867474614</v>
      </c>
      <c r="J577">
        <v>1495.4159999999999</v>
      </c>
      <c r="K577" t="s">
        <v>34</v>
      </c>
      <c r="L577">
        <f>J577/_xlfn.XLOOKUP(Tabla2[[#This Row],[Unidad de precio]],Tabla3[Medida],Tabla3[Equivalencia en Kg],"ELVIS",0)</f>
        <v>3.663888276368982</v>
      </c>
      <c r="M577" s="2">
        <v>8666.64</v>
      </c>
      <c r="N577" s="2">
        <f>(Tabla2[[#This Row],[Productividad (kg/TAS)]]*Tabla2[[#This Row],[Precio por kg]]-Tabla2[[#This Row],[Costos (En RD$/Tarea)]])</f>
        <v>-6206.9210359265107</v>
      </c>
      <c r="O577" s="6">
        <f>IF(Tabla2[[#This Row],[Costos (En RD$/Tarea)]]=0,0,Tabla2[[#This Row],[Beneficio Neto  (En RD$/Tarea)]]/Tabla2[[#This Row],[Costos (En RD$/Tarea)]])</f>
        <v>-0.71618540010044396</v>
      </c>
      <c r="P577" s="4">
        <f>Tabla2[[#This Row],[Rentabilidad (%)]]/12</f>
        <v>-5.9682116675036999E-2</v>
      </c>
    </row>
    <row r="578" spans="1:16" x14ac:dyDescent="0.35">
      <c r="A578" s="1">
        <v>37987</v>
      </c>
      <c r="B578" t="s">
        <v>16</v>
      </c>
      <c r="C578" s="2">
        <v>53587</v>
      </c>
      <c r="D578" s="5" t="s">
        <v>17</v>
      </c>
      <c r="E578" s="2">
        <f>IF(Tabla2[[#This Row],[Frecuencia]]="Annual", Tabla2[[#This Row],[Cosecha/Tarea]]/12,Tabla2[[#This Row],[Cosecha/Tarea]])</f>
        <v>53587</v>
      </c>
      <c r="F578" s="2">
        <v>148747</v>
      </c>
      <c r="G578" t="s">
        <v>18</v>
      </c>
      <c r="H578">
        <f>F578/Tabla2[[#This Row],[Cosecha Mensual]]</f>
        <v>2.7758038330192023</v>
      </c>
      <c r="I578">
        <f>H578*_xlfn.XLOOKUP(Tabla2[[#This Row],[Unidad de producción]],Tabla3[Medida],Tabla3[Equivalencia en Kg],"ELVIS",0)</f>
        <v>125.91046186575102</v>
      </c>
      <c r="J578">
        <v>1011.46</v>
      </c>
      <c r="K578" t="s">
        <v>19</v>
      </c>
      <c r="L578">
        <f>J578/_xlfn.XLOOKUP(Tabla2[[#This Row],[Unidad de precio]],Tabla3[Medida],Tabla3[Equivalencia en Kg],"ELVIS",0)</f>
        <v>9.1950909090909096</v>
      </c>
      <c r="M578">
        <v>4376.41</v>
      </c>
      <c r="N578" s="2">
        <f>(Tabla2[[#This Row],[Productividad (kg/TAS)]]*Tabla2[[#This Row],[Precio por kg]]-Tabla2[[#This Row],[Costos (En RD$/Tarea)]])</f>
        <v>-3218.6518567387948</v>
      </c>
      <c r="O578" s="6">
        <f>IF(Tabla2[[#This Row],[Costos (En RD$/Tarea)]]=0,0,Tabla2[[#This Row],[Beneficio Neto  (En RD$/Tarea)]]/Tabla2[[#This Row],[Costos (En RD$/Tarea)]])</f>
        <v>-0.73545482638482107</v>
      </c>
      <c r="P578" s="4">
        <f>Tabla2[[#This Row],[Rentabilidad (%)]]/12</f>
        <v>-6.1287902198735089E-2</v>
      </c>
    </row>
    <row r="579" spans="1:16" x14ac:dyDescent="0.35">
      <c r="A579" s="1">
        <v>37987</v>
      </c>
      <c r="B579" t="s">
        <v>20</v>
      </c>
      <c r="C579" s="2">
        <v>36614</v>
      </c>
      <c r="D579" s="5" t="s">
        <v>17</v>
      </c>
      <c r="E579" s="2">
        <f>IF(Tabla2[[#This Row],[Frecuencia]]="Annual", Tabla2[[#This Row],[Cosecha/Tarea]]/12,Tabla2[[#This Row],[Cosecha/Tarea]])</f>
        <v>36614</v>
      </c>
      <c r="F579" s="2">
        <v>62901</v>
      </c>
      <c r="G579" t="s">
        <v>18</v>
      </c>
      <c r="H579">
        <f>F579/Tabla2[[#This Row],[Cosecha Mensual]]</f>
        <v>1.7179494182553121</v>
      </c>
      <c r="I579">
        <f>H579*_xlfn.XLOOKUP(Tabla2[[#This Row],[Unidad de producción]],Tabla3[Medida],Tabla3[Equivalencia en Kg],"ELVIS",0)</f>
        <v>77.926185612060962</v>
      </c>
      <c r="J579">
        <v>309.85000000000002</v>
      </c>
      <c r="K579" t="s">
        <v>18</v>
      </c>
      <c r="L579">
        <f>J579/_xlfn.XLOOKUP(Tabla2[[#This Row],[Unidad de precio]],Tabla3[Medida],Tabla3[Equivalencia en Kg],"ELVIS",0)</f>
        <v>6.8309082892416235</v>
      </c>
      <c r="M579">
        <v>1100.6600000000001</v>
      </c>
      <c r="N579" s="2">
        <f>(Tabla2[[#This Row],[Productividad (kg/TAS)]]*Tabla2[[#This Row],[Precio por kg]]-Tabla2[[#This Row],[Costos (En RD$/Tarea)]])</f>
        <v>-568.35337275359154</v>
      </c>
      <c r="O579" s="6">
        <f>IF(Tabla2[[#This Row],[Costos (En RD$/Tarea)]]=0,0,Tabla2[[#This Row],[Beneficio Neto  (En RD$/Tarea)]]/Tabla2[[#This Row],[Costos (En RD$/Tarea)]])</f>
        <v>-0.51637505928587535</v>
      </c>
      <c r="P579" s="4">
        <f>Tabla2[[#This Row],[Rentabilidad (%)]]/12</f>
        <v>-4.3031254940489615E-2</v>
      </c>
    </row>
    <row r="580" spans="1:16" x14ac:dyDescent="0.35">
      <c r="A580" s="1">
        <v>37987</v>
      </c>
      <c r="B580" t="s">
        <v>21</v>
      </c>
      <c r="C580" s="2">
        <v>5505</v>
      </c>
      <c r="D580" s="5" t="s">
        <v>17</v>
      </c>
      <c r="E580" s="2">
        <f>IF(Tabla2[[#This Row],[Frecuencia]]="Annual", Tabla2[[#This Row],[Cosecha/Tarea]]/12,Tabla2[[#This Row],[Cosecha/Tarea]])</f>
        <v>5505</v>
      </c>
      <c r="F580" s="2">
        <v>53424</v>
      </c>
      <c r="G580" t="s">
        <v>18</v>
      </c>
      <c r="H580">
        <f>F580/Tabla2[[#This Row],[Cosecha Mensual]]</f>
        <v>9.7046321525885553</v>
      </c>
      <c r="I580">
        <f>H580*_xlfn.XLOOKUP(Tabla2[[#This Row],[Unidad de producción]],Tabla3[Medida],Tabla3[Equivalencia en Kg],"ELVIS",0)</f>
        <v>440.20211444141688</v>
      </c>
      <c r="J580">
        <v>127.83374999999999</v>
      </c>
      <c r="K580" t="s">
        <v>18</v>
      </c>
      <c r="L580">
        <f>J580/_xlfn.XLOOKUP(Tabla2[[#This Row],[Unidad de precio]],Tabla3[Medida],Tabla3[Equivalencia en Kg],"ELVIS",0)</f>
        <v>2.8182043650793651</v>
      </c>
      <c r="M580">
        <v>3591.85</v>
      </c>
      <c r="N580" s="2">
        <f>(Tabla2[[#This Row],[Productividad (kg/TAS)]]*Tabla2[[#This Row],[Precio por kg]]-Tabla2[[#This Row],[Costos (En RD$/Tarea)]])</f>
        <v>-2351.2704795640329</v>
      </c>
      <c r="O580" s="6">
        <f>IF(Tabla2[[#This Row],[Costos (En RD$/Tarea)]]=0,0,Tabla2[[#This Row],[Beneficio Neto  (En RD$/Tarea)]]/Tabla2[[#This Row],[Costos (En RD$/Tarea)]])</f>
        <v>-0.65461265909323407</v>
      </c>
      <c r="P580" s="4">
        <f>Tabla2[[#This Row],[Rentabilidad (%)]]/12</f>
        <v>-5.4551054924436175E-2</v>
      </c>
    </row>
    <row r="581" spans="1:16" x14ac:dyDescent="0.35">
      <c r="A581" s="1">
        <v>37987</v>
      </c>
      <c r="B581" t="s">
        <v>22</v>
      </c>
      <c r="C581" s="2">
        <v>5425</v>
      </c>
      <c r="D581" s="5" t="s">
        <v>17</v>
      </c>
      <c r="E581" s="2">
        <f>IF(Tabla2[[#This Row],[Frecuencia]]="Annual", Tabla2[[#This Row],[Cosecha/Tarea]]/12,Tabla2[[#This Row],[Cosecha/Tarea]])</f>
        <v>5425</v>
      </c>
      <c r="F581" s="2">
        <v>45581</v>
      </c>
      <c r="G581" t="s">
        <v>18</v>
      </c>
      <c r="H581">
        <f>F581/Tabla2[[#This Row],[Cosecha Mensual]]</f>
        <v>8.402027649769586</v>
      </c>
      <c r="I581">
        <f>H581*_xlfn.XLOOKUP(Tabla2[[#This Row],[Unidad de producción]],Tabla3[Medida],Tabla3[Equivalencia en Kg],"ELVIS",0)</f>
        <v>381.11597419354842</v>
      </c>
      <c r="J581">
        <v>398.5</v>
      </c>
      <c r="K581" t="s">
        <v>18</v>
      </c>
      <c r="L581">
        <f>J581/_xlfn.XLOOKUP(Tabla2[[#This Row],[Unidad de precio]],Tabla3[Medida],Tabla3[Equivalencia en Kg],"ELVIS",0)</f>
        <v>8.7852733686067026</v>
      </c>
      <c r="M581">
        <v>3985.16</v>
      </c>
      <c r="N581" s="2">
        <f>(Tabla2[[#This Row],[Productividad (kg/TAS)]]*Tabla2[[#This Row],[Precio por kg]]-Tabla2[[#This Row],[Costos (En RD$/Tarea)]])</f>
        <v>-636.95198156681954</v>
      </c>
      <c r="O581" s="6">
        <f>IF(Tabla2[[#This Row],[Costos (En RD$/Tarea)]]=0,0,Tabla2[[#This Row],[Beneficio Neto  (En RD$/Tarea)]]/Tabla2[[#This Row],[Costos (En RD$/Tarea)]])</f>
        <v>-0.15983096828403867</v>
      </c>
      <c r="P581" s="4">
        <f>Tabla2[[#This Row],[Rentabilidad (%)]]/12</f>
        <v>-1.3319247357003223E-2</v>
      </c>
    </row>
    <row r="582" spans="1:16" x14ac:dyDescent="0.35">
      <c r="A582" s="1">
        <v>37987</v>
      </c>
      <c r="B582" t="s">
        <v>23</v>
      </c>
      <c r="C582" s="2">
        <v>3228</v>
      </c>
      <c r="D582" s="5" t="s">
        <v>17</v>
      </c>
      <c r="E582" s="2">
        <f>IF(Tabla2[[#This Row],[Frecuencia]]="Annual", Tabla2[[#This Row],[Cosecha/Tarea]]/12,Tabla2[[#This Row],[Cosecha/Tarea]])</f>
        <v>3228</v>
      </c>
      <c r="F582" s="2">
        <v>64590</v>
      </c>
      <c r="G582" t="s">
        <v>18</v>
      </c>
      <c r="H582">
        <f>F582/Tabla2[[#This Row],[Cosecha Mensual]]</f>
        <v>20.009293680297397</v>
      </c>
      <c r="I582">
        <f>H582*_xlfn.XLOOKUP(Tabla2[[#This Row],[Unidad de producción]],Tabla3[Medida],Tabla3[Equivalencia en Kg],"ELVIS",0)</f>
        <v>907.62156133828989</v>
      </c>
      <c r="J582">
        <v>595</v>
      </c>
      <c r="K582" t="s">
        <v>18</v>
      </c>
      <c r="L582">
        <f>J582/_xlfn.XLOOKUP(Tabla2[[#This Row],[Unidad de precio]],Tabla3[Medida],Tabla3[Equivalencia en Kg],"ELVIS",0)</f>
        <v>13.117283950617285</v>
      </c>
      <c r="M582">
        <v>9274.52</v>
      </c>
      <c r="N582" s="2">
        <f>(Tabla2[[#This Row],[Productividad (kg/TAS)]]*Tabla2[[#This Row],[Precio por kg]]-Tabla2[[#This Row],[Costos (En RD$/Tarea)]])</f>
        <v>2631.0097397769514</v>
      </c>
      <c r="O582" s="6">
        <f>IF(Tabla2[[#This Row],[Costos (En RD$/Tarea)]]=0,0,Tabla2[[#This Row],[Beneficio Neto  (En RD$/Tarea)]]/Tabla2[[#This Row],[Costos (En RD$/Tarea)]])</f>
        <v>0.28368149939586645</v>
      </c>
      <c r="P582" s="4">
        <f>Tabla2[[#This Row],[Rentabilidad (%)]]/12</f>
        <v>2.3640124949655537E-2</v>
      </c>
    </row>
    <row r="583" spans="1:16" x14ac:dyDescent="0.35">
      <c r="A583" s="1">
        <v>37987</v>
      </c>
      <c r="B583" t="s">
        <v>24</v>
      </c>
      <c r="C583" s="2">
        <v>9548</v>
      </c>
      <c r="D583" s="5" t="s">
        <v>17</v>
      </c>
      <c r="E583" s="2">
        <f>IF(Tabla2[[#This Row],[Frecuencia]]="Annual", Tabla2[[#This Row],[Cosecha/Tarea]]/12,Tabla2[[#This Row],[Cosecha/Tarea]])</f>
        <v>9548</v>
      </c>
      <c r="F583" s="2">
        <v>231001</v>
      </c>
      <c r="G583" t="s">
        <v>18</v>
      </c>
      <c r="H583">
        <f>F583/Tabla2[[#This Row],[Cosecha Mensual]]</f>
        <v>24.193653121072476</v>
      </c>
      <c r="I583">
        <f>H583*_xlfn.XLOOKUP(Tabla2[[#This Row],[Unidad de producción]],Tabla3[Medida],Tabla3[Equivalencia en Kg],"ELVIS",0)</f>
        <v>1097.4241055718476</v>
      </c>
      <c r="J583">
        <v>666.66666666666697</v>
      </c>
      <c r="K583" t="s">
        <v>18</v>
      </c>
      <c r="L583">
        <f>J583/_xlfn.XLOOKUP(Tabla2[[#This Row],[Unidad de precio]],Tabla3[Medida],Tabla3[Equivalencia en Kg],"ELVIS",0)</f>
        <v>14.697236919459149</v>
      </c>
      <c r="M583">
        <v>2563.46</v>
      </c>
      <c r="N583" s="2">
        <f>(Tabla2[[#This Row],[Productividad (kg/TAS)]]*Tabla2[[#This Row],[Precio por kg]]-Tabla2[[#This Row],[Costos (En RD$/Tarea)]])</f>
        <v>13565.642080714992</v>
      </c>
      <c r="O583" s="6">
        <f>IF(Tabla2[[#This Row],[Costos (En RD$/Tarea)]]=0,0,Tabla2[[#This Row],[Beneficio Neto  (En RD$/Tarea)]]/Tabla2[[#This Row],[Costos (En RD$/Tarea)]])</f>
        <v>5.2919265682768568</v>
      </c>
      <c r="P583" s="4">
        <f>Tabla2[[#This Row],[Rentabilidad (%)]]/12</f>
        <v>0.44099388068973805</v>
      </c>
    </row>
    <row r="584" spans="1:16" x14ac:dyDescent="0.35">
      <c r="A584" s="1">
        <v>37987</v>
      </c>
      <c r="B584" t="s">
        <v>25</v>
      </c>
      <c r="C584" s="2">
        <v>27689</v>
      </c>
      <c r="D584" s="5" t="s">
        <v>17</v>
      </c>
      <c r="E584" s="2">
        <f>IF(Tabla2[[#This Row],[Frecuencia]]="Annual", Tabla2[[#This Row],[Cosecha/Tarea]]/12,Tabla2[[#This Row],[Cosecha/Tarea]])</f>
        <v>27689</v>
      </c>
      <c r="F584" s="2">
        <v>271075</v>
      </c>
      <c r="G584" t="s">
        <v>18</v>
      </c>
      <c r="H584">
        <f>F584/Tabla2[[#This Row],[Cosecha Mensual]]</f>
        <v>9.7899888042182823</v>
      </c>
      <c r="I584">
        <f>H584*_xlfn.XLOOKUP(Tabla2[[#This Row],[Unidad de producción]],Tabla3[Medida],Tabla3[Equivalencia en Kg],"ELVIS",0)</f>
        <v>444.07389215934126</v>
      </c>
      <c r="J584">
        <v>123.15576</v>
      </c>
      <c r="K584" t="s">
        <v>18</v>
      </c>
      <c r="L584">
        <f>J584/_xlfn.XLOOKUP(Tabla2[[#This Row],[Unidad de precio]],Tabla3[Medida],Tabla3[Equivalencia en Kg],"ELVIS",0)</f>
        <v>2.715074074074074</v>
      </c>
      <c r="M584">
        <v>1852.92</v>
      </c>
      <c r="N584" s="2">
        <f>(Tabla2[[#This Row],[Productividad (kg/TAS)]]*Tabla2[[#This Row],[Precio por kg]]-Tabla2[[#This Row],[Costos (En RD$/Tarea)]])</f>
        <v>-647.22648842500644</v>
      </c>
      <c r="O584" s="6">
        <f>IF(Tabla2[[#This Row],[Costos (En RD$/Tarea)]]=0,0,Tabla2[[#This Row],[Beneficio Neto  (En RD$/Tarea)]]/Tabla2[[#This Row],[Costos (En RD$/Tarea)]])</f>
        <v>-0.34930082703247112</v>
      </c>
      <c r="P584" s="4">
        <f>Tabla2[[#This Row],[Rentabilidad (%)]]/12</f>
        <v>-2.9108402252705928E-2</v>
      </c>
    </row>
    <row r="585" spans="1:16" x14ac:dyDescent="0.35">
      <c r="A585" s="1">
        <v>37987</v>
      </c>
      <c r="B585" t="s">
        <v>26</v>
      </c>
      <c r="C585" s="2">
        <v>11337</v>
      </c>
      <c r="D585" s="5" t="s">
        <v>17</v>
      </c>
      <c r="E585" s="2">
        <f>IF(Tabla2[[#This Row],[Frecuencia]]="Annual", Tabla2[[#This Row],[Cosecha/Tarea]]/12,Tabla2[[#This Row],[Cosecha/Tarea]])</f>
        <v>11337</v>
      </c>
      <c r="F585" s="2">
        <v>67557</v>
      </c>
      <c r="G585" t="s">
        <v>18</v>
      </c>
      <c r="H585">
        <f>F585/Tabla2[[#This Row],[Cosecha Mensual]]</f>
        <v>5.9589838581635357</v>
      </c>
      <c r="I585">
        <f>H585*_xlfn.XLOOKUP(Tabla2[[#This Row],[Unidad de producción]],Tabla3[Medida],Tabla3[Equivalencia en Kg],"ELVIS",0)</f>
        <v>270.29950780629798</v>
      </c>
      <c r="J585">
        <v>325</v>
      </c>
      <c r="K585" t="s">
        <v>18</v>
      </c>
      <c r="L585">
        <f>J585/_xlfn.XLOOKUP(Tabla2[[#This Row],[Unidad de precio]],Tabla3[Medida],Tabla3[Equivalencia en Kg],"ELVIS",0)</f>
        <v>7.1649029982363315</v>
      </c>
      <c r="M585">
        <v>1244.4000000000001</v>
      </c>
      <c r="N585" s="2">
        <f>(Tabla2[[#This Row],[Productividad (kg/TAS)]]*Tabla2[[#This Row],[Precio por kg]]-Tabla2[[#This Row],[Costos (En RD$/Tarea)]])</f>
        <v>692.26975390314897</v>
      </c>
      <c r="O585" s="6">
        <f>IF(Tabla2[[#This Row],[Costos (En RD$/Tarea)]]=0,0,Tabla2[[#This Row],[Beneficio Neto  (En RD$/Tarea)]]/Tabla2[[#This Row],[Costos (En RD$/Tarea)]])</f>
        <v>0.55630806324586057</v>
      </c>
      <c r="P585" s="4">
        <f>Tabla2[[#This Row],[Rentabilidad (%)]]/12</f>
        <v>4.6359005270488383E-2</v>
      </c>
    </row>
    <row r="586" spans="1:16" x14ac:dyDescent="0.35">
      <c r="A586" s="1">
        <v>37987</v>
      </c>
      <c r="B586" t="s">
        <v>27</v>
      </c>
      <c r="C586" s="2">
        <v>3945</v>
      </c>
      <c r="D586" s="5" t="s">
        <v>17</v>
      </c>
      <c r="E586" s="2">
        <f>IF(Tabla2[[#This Row],[Frecuencia]]="Annual", Tabla2[[#This Row],[Cosecha/Tarea]]/12,Tabla2[[#This Row],[Cosecha/Tarea]])</f>
        <v>3945</v>
      </c>
      <c r="F586" s="2">
        <v>28376</v>
      </c>
      <c r="G586" t="s">
        <v>18</v>
      </c>
      <c r="H586">
        <f>F586/Tabla2[[#This Row],[Cosecha Mensual]]</f>
        <v>7.192902408111534</v>
      </c>
      <c r="I586">
        <f>H586*_xlfn.XLOOKUP(Tabla2[[#This Row],[Unidad de producción]],Tabla3[Medida],Tabla3[Equivalencia en Kg],"ELVIS",0)</f>
        <v>326.27005323193919</v>
      </c>
      <c r="J586">
        <v>321.24400000000003</v>
      </c>
      <c r="K586" t="s">
        <v>18</v>
      </c>
      <c r="L586">
        <f>J586/_xlfn.XLOOKUP(Tabla2[[#This Row],[Unidad de precio]],Tabla3[Medida],Tabla3[Equivalencia en Kg],"ELVIS",0)</f>
        <v>7.0820987654320993</v>
      </c>
      <c r="M586">
        <v>4235.82</v>
      </c>
      <c r="N586" s="2">
        <f>(Tabla2[[#This Row],[Productividad (kg/TAS)]]*Tabla2[[#This Row],[Precio por kg]]-Tabla2[[#This Row],[Costos (En RD$/Tarea)]])</f>
        <v>-1925.1432588086177</v>
      </c>
      <c r="O586" s="6">
        <f>IF(Tabla2[[#This Row],[Costos (En RD$/Tarea)]]=0,0,Tabla2[[#This Row],[Beneficio Neto  (En RD$/Tarea)]]/Tabla2[[#This Row],[Costos (En RD$/Tarea)]])</f>
        <v>-0.45449128121795018</v>
      </c>
      <c r="P586" s="4">
        <f>Tabla2[[#This Row],[Rentabilidad (%)]]/12</f>
        <v>-3.787427343482918E-2</v>
      </c>
    </row>
    <row r="587" spans="1:16" x14ac:dyDescent="0.35">
      <c r="A587" s="1">
        <v>37987</v>
      </c>
      <c r="B587" t="s">
        <v>28</v>
      </c>
      <c r="C587" s="2">
        <v>23445</v>
      </c>
      <c r="D587" s="5" t="s">
        <v>17</v>
      </c>
      <c r="E587" s="2">
        <f>IF(Tabla2[[#This Row],[Frecuencia]]="Annual", Tabla2[[#This Row],[Cosecha/Tarea]]/12,Tabla2[[#This Row],[Cosecha/Tarea]])</f>
        <v>23445</v>
      </c>
      <c r="F587" s="2">
        <v>44651</v>
      </c>
      <c r="G587" t="s">
        <v>29</v>
      </c>
      <c r="H587">
        <f>F587/Tabla2[[#This Row],[Cosecha Mensual]]</f>
        <v>1.9044998933674557</v>
      </c>
      <c r="I587">
        <f>H587*_xlfn.XLOOKUP(Tabla2[[#This Row],[Unidad de producción]],Tabla3[Medida],Tabla3[Equivalencia en Kg],"ELVIS",0)</f>
        <v>1070.976470036255</v>
      </c>
      <c r="J587">
        <v>5137.5</v>
      </c>
      <c r="K587" t="s">
        <v>29</v>
      </c>
      <c r="L587">
        <f>J587/_xlfn.XLOOKUP(Tabla2[[#This Row],[Unidad de precio]],Tabla3[Medida],Tabla3[Equivalencia en Kg],"ELVIS",0)</f>
        <v>9.1359319984351099</v>
      </c>
      <c r="M587">
        <v>7896.8729194799998</v>
      </c>
      <c r="N587" s="2">
        <f>(Tabla2[[#This Row],[Productividad (kg/TAS)]]*Tabla2[[#This Row],[Precio por kg]]-Tabla2[[#This Row],[Costos (En RD$/Tarea)]])</f>
        <v>1887.4952826953031</v>
      </c>
      <c r="O587" s="6">
        <f>IF(Tabla2[[#This Row],[Costos (En RD$/Tarea)]]=0,0,Tabla2[[#This Row],[Beneficio Neto  (En RD$/Tarea)]]/Tabla2[[#This Row],[Costos (En RD$/Tarea)]])</f>
        <v>0.23901806473790799</v>
      </c>
      <c r="P587" s="4">
        <f>Tabla2[[#This Row],[Rentabilidad (%)]]/12</f>
        <v>1.9918172061492333E-2</v>
      </c>
    </row>
    <row r="588" spans="1:16" x14ac:dyDescent="0.35">
      <c r="A588" s="1">
        <v>37987</v>
      </c>
      <c r="B588" t="s">
        <v>30</v>
      </c>
      <c r="C588" s="2">
        <v>207658</v>
      </c>
      <c r="D588" s="2" t="s">
        <v>31</v>
      </c>
      <c r="E588" s="2">
        <f>IF(Tabla2[[#This Row],[Frecuencia]]="Annual", Tabla2[[#This Row],[Cosecha/Tarea]]/12,Tabla2[[#This Row],[Cosecha/Tarea]])</f>
        <v>17304.833333333332</v>
      </c>
      <c r="F588" s="2">
        <v>1534996</v>
      </c>
      <c r="G588" t="s">
        <v>32</v>
      </c>
      <c r="H588">
        <f>F588/Tabla2[[#This Row],[Cosecha Mensual]]</f>
        <v>88.703310250508054</v>
      </c>
      <c r="I588">
        <f>H588*_xlfn.XLOOKUP(Tabla2[[#This Row],[Unidad de producción]],Tabla3[Medida],Tabla3[Equivalencia en Kg],"ELVIS",0)</f>
        <v>2413.6170719163242</v>
      </c>
      <c r="J588">
        <v>53.52</v>
      </c>
      <c r="K588" t="s">
        <v>32</v>
      </c>
      <c r="L588">
        <f>J588/_xlfn.XLOOKUP(Tabla2[[#This Row],[Unidad de precio]],Tabla3[Medida],Tabla3[Equivalencia en Kg],"ELVIS",0)</f>
        <v>1.9669239250275634</v>
      </c>
      <c r="M588" s="2">
        <v>6693.79</v>
      </c>
      <c r="N588" s="2">
        <f>(Tabla2[[#This Row],[Productividad (kg/TAS)]]*Tabla2[[#This Row],[Precio por kg]]-Tabla2[[#This Row],[Costos (En RD$/Tarea)]])</f>
        <v>-1946.3888353928087</v>
      </c>
      <c r="O588" s="6">
        <f>IF(Tabla2[[#This Row],[Costos (En RD$/Tarea)]]=0,0,Tabla2[[#This Row],[Beneficio Neto  (En RD$/Tarea)]]/Tabla2[[#This Row],[Costos (En RD$/Tarea)]])</f>
        <v>-0.29077530597655571</v>
      </c>
      <c r="P588" s="4">
        <f>Tabla2[[#This Row],[Rentabilidad (%)]]/12</f>
        <v>-2.4231275498046309E-2</v>
      </c>
    </row>
    <row r="589" spans="1:16" x14ac:dyDescent="0.35">
      <c r="A589" s="1">
        <v>37987</v>
      </c>
      <c r="B589" t="s">
        <v>33</v>
      </c>
      <c r="C589" s="2">
        <v>600520</v>
      </c>
      <c r="D589" s="2" t="s">
        <v>31</v>
      </c>
      <c r="E589" s="2">
        <f>IF(Tabla2[[#This Row],[Frecuencia]]="Annual", Tabla2[[#This Row],[Cosecha/Tarea]]/12,Tabla2[[#This Row],[Cosecha/Tarea]])</f>
        <v>50043.333333333336</v>
      </c>
      <c r="F589" s="2">
        <v>78070</v>
      </c>
      <c r="G589" t="s">
        <v>34</v>
      </c>
      <c r="H589">
        <f>F589/Tabla2[[#This Row],[Cosecha Mensual]]</f>
        <v>1.5600479584360221</v>
      </c>
      <c r="I589">
        <f>H589*_xlfn.XLOOKUP(Tabla2[[#This Row],[Unidad de producción]],Tabla3[Medida],Tabla3[Equivalencia en Kg],"ELVIS",0)</f>
        <v>636.73357423566233</v>
      </c>
      <c r="J589">
        <v>2192.645</v>
      </c>
      <c r="K589" t="s">
        <v>34</v>
      </c>
      <c r="L589">
        <f>J589/_xlfn.XLOOKUP(Tabla2[[#This Row],[Unidad de precio]],Tabla3[Medida],Tabla3[Equivalencia en Kg],"ELVIS",0)</f>
        <v>5.3721548450324637</v>
      </c>
      <c r="M589" s="2">
        <v>8906.2800000000007</v>
      </c>
      <c r="N589" s="2">
        <f>(Tabla2[[#This Row],[Productividad (kg/TAS)]]*Tabla2[[#This Row],[Precio por kg]]-Tabla2[[#This Row],[Costos (En RD$/Tarea)]])</f>
        <v>-5485.6486441750494</v>
      </c>
      <c r="O589" s="6">
        <f>IF(Tabla2[[#This Row],[Costos (En RD$/Tarea)]]=0,0,Tabla2[[#This Row],[Beneficio Neto  (En RD$/Tarea)]]/Tabla2[[#This Row],[Costos (En RD$/Tarea)]])</f>
        <v>-0.61593040463302851</v>
      </c>
      <c r="P589" s="4">
        <f>Tabla2[[#This Row],[Rentabilidad (%)]]/12</f>
        <v>-5.132753371941904E-2</v>
      </c>
    </row>
    <row r="590" spans="1:16" x14ac:dyDescent="0.35">
      <c r="A590" s="1">
        <v>38018</v>
      </c>
      <c r="B590" t="s">
        <v>16</v>
      </c>
      <c r="C590" s="2">
        <v>17942</v>
      </c>
      <c r="D590" s="5" t="s">
        <v>17</v>
      </c>
      <c r="E590" s="2">
        <f>IF(Tabla2[[#This Row],[Frecuencia]]="Annual", Tabla2[[#This Row],[Cosecha/Tarea]]/12,Tabla2[[#This Row],[Cosecha/Tarea]])</f>
        <v>17942</v>
      </c>
      <c r="F590" s="2">
        <v>50996</v>
      </c>
      <c r="G590" t="s">
        <v>18</v>
      </c>
      <c r="H590">
        <f>F590/Tabla2[[#This Row],[Cosecha Mensual]]</f>
        <v>2.8422695351688776</v>
      </c>
      <c r="I590">
        <f>H590*_xlfn.XLOOKUP(Tabla2[[#This Row],[Unidad de producción]],Tabla3[Medida],Tabla3[Equivalencia en Kg],"ELVIS",0)</f>
        <v>128.92534611526028</v>
      </c>
      <c r="J590">
        <v>941.19333333333304</v>
      </c>
      <c r="K590" t="s">
        <v>19</v>
      </c>
      <c r="L590">
        <f>J590/_xlfn.XLOOKUP(Tabla2[[#This Row],[Unidad de precio]],Tabla3[Medida],Tabla3[Equivalencia en Kg],"ELVIS",0)</f>
        <v>8.5563030303030274</v>
      </c>
      <c r="M590">
        <v>4376.41</v>
      </c>
      <c r="N590" s="2">
        <f>(Tabla2[[#This Row],[Productividad (kg/TAS)]]*Tabla2[[#This Row],[Precio por kg]]-Tabla2[[#This Row],[Costos (En RD$/Tarea)]])</f>
        <v>-3273.2856703511316</v>
      </c>
      <c r="O590" s="6">
        <f>IF(Tabla2[[#This Row],[Costos (En RD$/Tarea)]]=0,0,Tabla2[[#This Row],[Beneficio Neto  (En RD$/Tarea)]]/Tabla2[[#This Row],[Costos (En RD$/Tarea)]])</f>
        <v>-0.74793853189055226</v>
      </c>
      <c r="P590" s="4">
        <f>Tabla2[[#This Row],[Rentabilidad (%)]]/12</f>
        <v>-6.2328210990879353E-2</v>
      </c>
    </row>
    <row r="591" spans="1:16" x14ac:dyDescent="0.35">
      <c r="A591" s="1">
        <v>38018</v>
      </c>
      <c r="B591" t="s">
        <v>20</v>
      </c>
      <c r="C591" s="2">
        <v>24847</v>
      </c>
      <c r="D591" s="5" t="s">
        <v>17</v>
      </c>
      <c r="E591" s="2">
        <f>IF(Tabla2[[#This Row],[Frecuencia]]="Annual", Tabla2[[#This Row],[Cosecha/Tarea]]/12,Tabla2[[#This Row],[Cosecha/Tarea]])</f>
        <v>24847</v>
      </c>
      <c r="F591" s="2">
        <v>37567</v>
      </c>
      <c r="G591" t="s">
        <v>18</v>
      </c>
      <c r="H591">
        <f>F591/Tabla2[[#This Row],[Cosecha Mensual]]</f>
        <v>1.5119330301444842</v>
      </c>
      <c r="I591">
        <f>H591*_xlfn.XLOOKUP(Tabla2[[#This Row],[Unidad de producción]],Tabla3[Medida],Tabla3[Equivalencia en Kg],"ELVIS",0)</f>
        <v>68.581282247353798</v>
      </c>
      <c r="J591">
        <v>338.46600000000001</v>
      </c>
      <c r="K591" t="s">
        <v>18</v>
      </c>
      <c r="L591">
        <f>J591/_xlfn.XLOOKUP(Tabla2[[#This Row],[Unidad de precio]],Tabla3[Medida],Tabla3[Equivalencia en Kg],"ELVIS",0)</f>
        <v>7.4617724867724871</v>
      </c>
      <c r="M591">
        <v>1100.6600000000001</v>
      </c>
      <c r="N591" s="2">
        <f>(Tabla2[[#This Row],[Productividad (kg/TAS)]]*Tabla2[[#This Row],[Precio por kg]]-Tabla2[[#This Row],[Costos (En RD$/Tarea)]])</f>
        <v>-588.92207501911707</v>
      </c>
      <c r="O591" s="6">
        <f>IF(Tabla2[[#This Row],[Costos (En RD$/Tarea)]]=0,0,Tabla2[[#This Row],[Beneficio Neto  (En RD$/Tarea)]]/Tabla2[[#This Row],[Costos (En RD$/Tarea)]])</f>
        <v>-0.53506266696265603</v>
      </c>
      <c r="P591" s="4">
        <f>Tabla2[[#This Row],[Rentabilidad (%)]]/12</f>
        <v>-4.4588555580221338E-2</v>
      </c>
    </row>
    <row r="592" spans="1:16" x14ac:dyDescent="0.35">
      <c r="A592" s="1">
        <v>38018</v>
      </c>
      <c r="B592" t="s">
        <v>21</v>
      </c>
      <c r="C592" s="2">
        <v>6311</v>
      </c>
      <c r="D592" s="5" t="s">
        <v>17</v>
      </c>
      <c r="E592" s="2">
        <f>IF(Tabla2[[#This Row],[Frecuencia]]="Annual", Tabla2[[#This Row],[Cosecha/Tarea]]/12,Tabla2[[#This Row],[Cosecha/Tarea]])</f>
        <v>6311</v>
      </c>
      <c r="F592" s="2">
        <v>62456</v>
      </c>
      <c r="G592" t="s">
        <v>18</v>
      </c>
      <c r="H592">
        <f>F592/Tabla2[[#This Row],[Cosecha Mensual]]</f>
        <v>9.8963714149896997</v>
      </c>
      <c r="I592">
        <f>H592*_xlfn.XLOOKUP(Tabla2[[#This Row],[Unidad de producción]],Tabla3[Medida],Tabla3[Equivalencia en Kg],"ELVIS",0)</f>
        <v>448.89940738393278</v>
      </c>
      <c r="J592">
        <v>199.96875</v>
      </c>
      <c r="K592" t="s">
        <v>18</v>
      </c>
      <c r="L592">
        <f>J592/_xlfn.XLOOKUP(Tabla2[[#This Row],[Unidad de precio]],Tabla3[Medida],Tabla3[Equivalencia en Kg],"ELVIS",0)</f>
        <v>4.4084821428571432</v>
      </c>
      <c r="M592">
        <v>3591.85</v>
      </c>
      <c r="N592" s="2">
        <f>(Tabla2[[#This Row],[Productividad (kg/TAS)]]*Tabla2[[#This Row],[Precio por kg]]-Tabla2[[#This Row],[Costos (En RD$/Tarea)]])</f>
        <v>-1612.8849786087783</v>
      </c>
      <c r="O592" s="6">
        <f>IF(Tabla2[[#This Row],[Costos (En RD$/Tarea)]]=0,0,Tabla2[[#This Row],[Beneficio Neto  (En RD$/Tarea)]]/Tabla2[[#This Row],[Costos (En RD$/Tarea)]])</f>
        <v>-0.44904018224836179</v>
      </c>
      <c r="P592" s="4">
        <f>Tabla2[[#This Row],[Rentabilidad (%)]]/12</f>
        <v>-3.742001518736348E-2</v>
      </c>
    </row>
    <row r="593" spans="1:16" x14ac:dyDescent="0.35">
      <c r="A593" s="1">
        <v>38018</v>
      </c>
      <c r="B593" t="s">
        <v>22</v>
      </c>
      <c r="C593" s="2">
        <v>4361</v>
      </c>
      <c r="D593" s="5" t="s">
        <v>17</v>
      </c>
      <c r="E593" s="2">
        <f>IF(Tabla2[[#This Row],[Frecuencia]]="Annual", Tabla2[[#This Row],[Cosecha/Tarea]]/12,Tabla2[[#This Row],[Cosecha/Tarea]])</f>
        <v>4361</v>
      </c>
      <c r="F593" s="2">
        <v>41382</v>
      </c>
      <c r="G593" t="s">
        <v>18</v>
      </c>
      <c r="H593">
        <f>F593/Tabla2[[#This Row],[Cosecha Mensual]]</f>
        <v>9.4891080027516619</v>
      </c>
      <c r="I593">
        <f>H593*_xlfn.XLOOKUP(Tabla2[[#This Row],[Unidad de producción]],Tabla3[Medida],Tabla3[Equivalencia en Kg],"ELVIS",0)</f>
        <v>430.4259390048154</v>
      </c>
      <c r="J593">
        <v>478.125</v>
      </c>
      <c r="K593" t="s">
        <v>18</v>
      </c>
      <c r="L593">
        <f>J593/_xlfn.XLOOKUP(Tabla2[[#This Row],[Unidad de precio]],Tabla3[Medida],Tabla3[Equivalencia en Kg],"ELVIS",0)</f>
        <v>10.540674603174603</v>
      </c>
      <c r="M593">
        <v>3985.16</v>
      </c>
      <c r="N593" s="2">
        <f>(Tabla2[[#This Row],[Productividad (kg/TAS)]]*Tabla2[[#This Row],[Precio por kg]]-Tabla2[[#This Row],[Costos (En RD$/Tarea)]])</f>
        <v>551.81976381563891</v>
      </c>
      <c r="O593" s="6">
        <f>IF(Tabla2[[#This Row],[Costos (En RD$/Tarea)]]=0,0,Tabla2[[#This Row],[Beneficio Neto  (En RD$/Tarea)]]/Tabla2[[#This Row],[Costos (En RD$/Tarea)]])</f>
        <v>0.13846865968132746</v>
      </c>
      <c r="P593" s="4">
        <f>Tabla2[[#This Row],[Rentabilidad (%)]]/12</f>
        <v>1.1539054973443956E-2</v>
      </c>
    </row>
    <row r="594" spans="1:16" x14ac:dyDescent="0.35">
      <c r="A594" s="1">
        <v>38018</v>
      </c>
      <c r="B594" t="s">
        <v>23</v>
      </c>
      <c r="C594" s="2">
        <v>1710</v>
      </c>
      <c r="D594" s="5" t="s">
        <v>17</v>
      </c>
      <c r="E594" s="2">
        <f>IF(Tabla2[[#This Row],[Frecuencia]]="Annual", Tabla2[[#This Row],[Cosecha/Tarea]]/12,Tabla2[[#This Row],[Cosecha/Tarea]])</f>
        <v>1710</v>
      </c>
      <c r="F594" s="2">
        <v>41875</v>
      </c>
      <c r="G594" t="s">
        <v>18</v>
      </c>
      <c r="H594">
        <f>F594/Tabla2[[#This Row],[Cosecha Mensual]]</f>
        <v>24.488304093567251</v>
      </c>
      <c r="I594">
        <f>H594*_xlfn.XLOOKUP(Tabla2[[#This Row],[Unidad de producción]],Tabla3[Medida],Tabla3[Equivalencia en Kg],"ELVIS",0)</f>
        <v>1110.7894736842104</v>
      </c>
      <c r="J594">
        <v>895.625</v>
      </c>
      <c r="K594" t="s">
        <v>18</v>
      </c>
      <c r="L594">
        <f>J594/_xlfn.XLOOKUP(Tabla2[[#This Row],[Unidad de precio]],Tabla3[Medida],Tabla3[Equivalencia en Kg],"ELVIS",0)</f>
        <v>19.744819223985893</v>
      </c>
      <c r="M594">
        <v>9274.52</v>
      </c>
      <c r="N594" s="2">
        <f>(Tabla2[[#This Row],[Productividad (kg/TAS)]]*Tabla2[[#This Row],[Precio por kg]]-Tabla2[[#This Row],[Costos (En RD$/Tarea)]])</f>
        <v>12657.817353801169</v>
      </c>
      <c r="O594" s="6">
        <f>IF(Tabla2[[#This Row],[Costos (En RD$/Tarea)]]=0,0,Tabla2[[#This Row],[Beneficio Neto  (En RD$/Tarea)]]/Tabla2[[#This Row],[Costos (En RD$/Tarea)]])</f>
        <v>1.3647948738911737</v>
      </c>
      <c r="P594" s="4">
        <f>Tabla2[[#This Row],[Rentabilidad (%)]]/12</f>
        <v>0.1137329061575978</v>
      </c>
    </row>
    <row r="595" spans="1:16" x14ac:dyDescent="0.35">
      <c r="A595" s="1">
        <v>38018</v>
      </c>
      <c r="B595" t="s">
        <v>24</v>
      </c>
      <c r="C595" s="2">
        <v>8865</v>
      </c>
      <c r="D595" s="5" t="s">
        <v>17</v>
      </c>
      <c r="E595" s="2">
        <f>IF(Tabla2[[#This Row],[Frecuencia]]="Annual", Tabla2[[#This Row],[Cosecha/Tarea]]/12,Tabla2[[#This Row],[Cosecha/Tarea]])</f>
        <v>8865</v>
      </c>
      <c r="F595" s="2">
        <v>187609</v>
      </c>
      <c r="G595" t="s">
        <v>18</v>
      </c>
      <c r="H595">
        <f>F595/Tabla2[[#This Row],[Cosecha Mensual]]</f>
        <v>21.162887760857306</v>
      </c>
      <c r="I595">
        <f>H595*_xlfn.XLOOKUP(Tabla2[[#This Row],[Unidad de producción]],Tabla3[Medida],Tabla3[Equivalencia en Kg],"ELVIS",0)</f>
        <v>959.94858883248742</v>
      </c>
      <c r="J595">
        <v>698.33333333333303</v>
      </c>
      <c r="K595" t="s">
        <v>18</v>
      </c>
      <c r="L595">
        <f>J595/_xlfn.XLOOKUP(Tabla2[[#This Row],[Unidad de precio]],Tabla3[Medida],Tabla3[Equivalencia en Kg],"ELVIS",0)</f>
        <v>15.395355673133444</v>
      </c>
      <c r="M595">
        <v>2563.46</v>
      </c>
      <c r="N595" s="2">
        <f>(Tabla2[[#This Row],[Productividad (kg/TAS)]]*Tabla2[[#This Row],[Precio por kg]]-Tabla2[[#This Row],[Costos (En RD$/Tarea)]])</f>
        <v>12215.289952998679</v>
      </c>
      <c r="O595" s="6">
        <f>IF(Tabla2[[#This Row],[Costos (En RD$/Tarea)]]=0,0,Tabla2[[#This Row],[Beneficio Neto  (En RD$/Tarea)]]/Tabla2[[#This Row],[Costos (En RD$/Tarea)]])</f>
        <v>4.765157230071341</v>
      </c>
      <c r="P595" s="4">
        <f>Tabla2[[#This Row],[Rentabilidad (%)]]/12</f>
        <v>0.39709643583927839</v>
      </c>
    </row>
    <row r="596" spans="1:16" x14ac:dyDescent="0.35">
      <c r="A596" s="1">
        <v>38018</v>
      </c>
      <c r="B596" t="s">
        <v>25</v>
      </c>
      <c r="C596" s="2">
        <v>26658</v>
      </c>
      <c r="D596" s="5" t="s">
        <v>17</v>
      </c>
      <c r="E596" s="2">
        <f>IF(Tabla2[[#This Row],[Frecuencia]]="Annual", Tabla2[[#This Row],[Cosecha/Tarea]]/12,Tabla2[[#This Row],[Cosecha/Tarea]])</f>
        <v>26658</v>
      </c>
      <c r="F596" s="2">
        <v>226283</v>
      </c>
      <c r="G596" t="s">
        <v>18</v>
      </c>
      <c r="H596">
        <f>F596/Tabla2[[#This Row],[Cosecha Mensual]]</f>
        <v>8.4883712206467106</v>
      </c>
      <c r="I596">
        <f>H596*_xlfn.XLOOKUP(Tabla2[[#This Row],[Unidad de producción]],Tabla3[Medida],Tabla3[Equivalencia en Kg],"ELVIS",0)</f>
        <v>385.03251856853478</v>
      </c>
      <c r="J596">
        <v>163.13093333333299</v>
      </c>
      <c r="K596" t="s">
        <v>18</v>
      </c>
      <c r="L596">
        <f>J596/_xlfn.XLOOKUP(Tabla2[[#This Row],[Unidad de precio]],Tabla3[Medida],Tabla3[Equivalencia en Kg],"ELVIS",0)</f>
        <v>3.5963609641387344</v>
      </c>
      <c r="M596">
        <v>1852.92</v>
      </c>
      <c r="N596" s="2">
        <f>(Tabla2[[#This Row],[Productividad (kg/TAS)]]*Tabla2[[#This Row],[Precio por kg]]-Tabla2[[#This Row],[Costos (En RD$/Tarea)]])</f>
        <v>-468.20408029609916</v>
      </c>
      <c r="O596" s="6">
        <f>IF(Tabla2[[#This Row],[Costos (En RD$/Tarea)]]=0,0,Tabla2[[#This Row],[Beneficio Neto  (En RD$/Tarea)]]/Tabla2[[#This Row],[Costos (En RD$/Tarea)]])</f>
        <v>-0.25268445496626901</v>
      </c>
      <c r="P596" s="4">
        <f>Tabla2[[#This Row],[Rentabilidad (%)]]/12</f>
        <v>-2.1057037913855752E-2</v>
      </c>
    </row>
    <row r="597" spans="1:16" x14ac:dyDescent="0.35">
      <c r="A597" s="1">
        <v>38018</v>
      </c>
      <c r="B597" t="s">
        <v>26</v>
      </c>
      <c r="C597" s="2">
        <v>11045</v>
      </c>
      <c r="D597" s="5" t="s">
        <v>17</v>
      </c>
      <c r="E597" s="2">
        <f>IF(Tabla2[[#This Row],[Frecuencia]]="Annual", Tabla2[[#This Row],[Cosecha/Tarea]]/12,Tabla2[[#This Row],[Cosecha/Tarea]])</f>
        <v>11045</v>
      </c>
      <c r="F597" s="2">
        <v>69437</v>
      </c>
      <c r="G597" t="s">
        <v>18</v>
      </c>
      <c r="H597">
        <f>F597/Tabla2[[#This Row],[Cosecha Mensual]]</f>
        <v>6.2867360796740606</v>
      </c>
      <c r="I597">
        <f>H597*_xlfn.XLOOKUP(Tabla2[[#This Row],[Unidad de producción]],Tabla3[Medida],Tabla3[Equivalencia en Kg],"ELVIS",0)</f>
        <v>285.16634857401539</v>
      </c>
      <c r="J597">
        <v>417.75</v>
      </c>
      <c r="K597" t="s">
        <v>18</v>
      </c>
      <c r="L597">
        <f>J597/_xlfn.XLOOKUP(Tabla2[[#This Row],[Unidad de precio]],Tabla3[Medida],Tabla3[Equivalencia en Kg],"ELVIS",0)</f>
        <v>9.2096560846560855</v>
      </c>
      <c r="M597">
        <v>1244.4000000000001</v>
      </c>
      <c r="N597" s="2">
        <f>(Tabla2[[#This Row],[Productividad (kg/TAS)]]*Tabla2[[#This Row],[Precio por kg]]-Tabla2[[#This Row],[Costos (En RD$/Tarea)]])</f>
        <v>1381.8839972838391</v>
      </c>
      <c r="O597" s="6">
        <f>IF(Tabla2[[#This Row],[Costos (En RD$/Tarea)]]=0,0,Tabla2[[#This Row],[Beneficio Neto  (En RD$/Tarea)]]/Tabla2[[#This Row],[Costos (En RD$/Tarea)]])</f>
        <v>1.1104821578944384</v>
      </c>
      <c r="P597" s="4">
        <f>Tabla2[[#This Row],[Rentabilidad (%)]]/12</f>
        <v>9.2540179824536536E-2</v>
      </c>
    </row>
    <row r="598" spans="1:16" x14ac:dyDescent="0.35">
      <c r="A598" s="1">
        <v>38018</v>
      </c>
      <c r="B598" t="s">
        <v>27</v>
      </c>
      <c r="C598" s="2">
        <v>4901</v>
      </c>
      <c r="D598" s="5" t="s">
        <v>17</v>
      </c>
      <c r="E598" s="2">
        <f>IF(Tabla2[[#This Row],[Frecuencia]]="Annual", Tabla2[[#This Row],[Cosecha/Tarea]]/12,Tabla2[[#This Row],[Cosecha/Tarea]])</f>
        <v>4901</v>
      </c>
      <c r="F598" s="2">
        <v>42350</v>
      </c>
      <c r="G598" t="s">
        <v>18</v>
      </c>
      <c r="H598">
        <f>F598/Tabla2[[#This Row],[Cosecha Mensual]]</f>
        <v>8.6410936543562542</v>
      </c>
      <c r="I598">
        <f>H598*_xlfn.XLOOKUP(Tabla2[[#This Row],[Unidad de producción]],Tabla3[Medida],Tabla3[Equivalencia en Kg],"ELVIS",0)</f>
        <v>391.96000816159966</v>
      </c>
      <c r="J598">
        <v>341.48399999999998</v>
      </c>
      <c r="K598" t="s">
        <v>18</v>
      </c>
      <c r="L598">
        <f>J598/_xlfn.XLOOKUP(Tabla2[[#This Row],[Unidad de precio]],Tabla3[Medida],Tabla3[Equivalencia en Kg],"ELVIS",0)</f>
        <v>7.5283068783068776</v>
      </c>
      <c r="M598">
        <v>4235.82</v>
      </c>
      <c r="N598" s="2">
        <f>(Tabla2[[#This Row],[Productividad (kg/TAS)]]*Tabla2[[#This Row],[Precio por kg]]-Tabla2[[#This Row],[Costos (En RD$/Tarea)]])</f>
        <v>-1285.0247745358092</v>
      </c>
      <c r="O598" s="6">
        <f>IF(Tabla2[[#This Row],[Costos (En RD$/Tarea)]]=0,0,Tabla2[[#This Row],[Beneficio Neto  (En RD$/Tarea)]]/Tabla2[[#This Row],[Costos (En RD$/Tarea)]])</f>
        <v>-0.30337095876024223</v>
      </c>
      <c r="P598" s="4">
        <f>Tabla2[[#This Row],[Rentabilidad (%)]]/12</f>
        <v>-2.5280913230020186E-2</v>
      </c>
    </row>
    <row r="599" spans="1:16" x14ac:dyDescent="0.35">
      <c r="A599" s="1">
        <v>38018</v>
      </c>
      <c r="B599" t="s">
        <v>28</v>
      </c>
      <c r="C599" s="2">
        <v>17457</v>
      </c>
      <c r="D599" s="5" t="s">
        <v>17</v>
      </c>
      <c r="E599" s="2">
        <f>IF(Tabla2[[#This Row],[Frecuencia]]="Annual", Tabla2[[#This Row],[Cosecha/Tarea]]/12,Tabla2[[#This Row],[Cosecha/Tarea]])</f>
        <v>17457</v>
      </c>
      <c r="F599" s="2">
        <v>27844</v>
      </c>
      <c r="G599" t="s">
        <v>29</v>
      </c>
      <c r="H599">
        <f>F599/Tabla2[[#This Row],[Cosecha Mensual]]</f>
        <v>1.5950048691069485</v>
      </c>
      <c r="I599">
        <f>H599*_xlfn.XLOOKUP(Tabla2[[#This Row],[Unidad de producción]],Tabla3[Medida],Tabla3[Equivalencia en Kg],"ELVIS",0)</f>
        <v>896.93503809360152</v>
      </c>
      <c r="J599">
        <v>5750</v>
      </c>
      <c r="K599" t="s">
        <v>29</v>
      </c>
      <c r="L599">
        <f>J599/_xlfn.XLOOKUP(Tabla2[[#This Row],[Unidad de precio]],Tabla3[Medida],Tabla3[Equivalencia en Kg],"ELVIS",0)</f>
        <v>10.225130703844648</v>
      </c>
      <c r="M599">
        <v>7896.8729194799998</v>
      </c>
      <c r="N599" s="2">
        <f>(Tabla2[[#This Row],[Productividad (kg/TAS)]]*Tabla2[[#This Row],[Precio por kg]]-Tabla2[[#This Row],[Costos (En RD$/Tarea)]])</f>
        <v>1274.4050778849542</v>
      </c>
      <c r="O599" s="6">
        <f>IF(Tabla2[[#This Row],[Costos (En RD$/Tarea)]]=0,0,Tabla2[[#This Row],[Beneficio Neto  (En RD$/Tarea)]]/Tabla2[[#This Row],[Costos (En RD$/Tarea)]])</f>
        <v>0.16138097837958779</v>
      </c>
      <c r="P599" s="4">
        <f>Tabla2[[#This Row],[Rentabilidad (%)]]/12</f>
        <v>1.3448414864965648E-2</v>
      </c>
    </row>
    <row r="600" spans="1:16" x14ac:dyDescent="0.35">
      <c r="A600" s="1">
        <v>38018</v>
      </c>
      <c r="B600" t="s">
        <v>30</v>
      </c>
      <c r="C600" s="2">
        <v>213893</v>
      </c>
      <c r="D600" s="2" t="s">
        <v>31</v>
      </c>
      <c r="E600" s="2">
        <f>IF(Tabla2[[#This Row],[Frecuencia]]="Annual", Tabla2[[#This Row],[Cosecha/Tarea]]/12,Tabla2[[#This Row],[Cosecha/Tarea]])</f>
        <v>17824.416666666668</v>
      </c>
      <c r="F600" s="2">
        <v>1272417</v>
      </c>
      <c r="G600" t="s">
        <v>32</v>
      </c>
      <c r="H600">
        <f>F600/Tabla2[[#This Row],[Cosecha Mensual]]</f>
        <v>71.386179070843824</v>
      </c>
      <c r="I600">
        <f>H600*_xlfn.XLOOKUP(Tabla2[[#This Row],[Unidad de producción]],Tabla3[Medida],Tabla3[Equivalencia en Kg],"ELVIS",0)</f>
        <v>1942.4179325176606</v>
      </c>
      <c r="J600">
        <v>43.4</v>
      </c>
      <c r="K600" t="s">
        <v>32</v>
      </c>
      <c r="L600">
        <f>J600/_xlfn.XLOOKUP(Tabla2[[#This Row],[Unidad de precio]],Tabla3[Medida],Tabla3[Equivalencia en Kg],"ELVIS",0)</f>
        <v>1.5950018375597206</v>
      </c>
      <c r="M600" s="2">
        <v>6693.79</v>
      </c>
      <c r="N600" s="2">
        <f>(Tabla2[[#This Row],[Productividad (kg/TAS)]]*Tabla2[[#This Row],[Precio por kg]]-Tabla2[[#This Row],[Costos (En RD$/Tarea)]])</f>
        <v>-3595.6298283253782</v>
      </c>
      <c r="O600" s="6">
        <f>IF(Tabla2[[#This Row],[Costos (En RD$/Tarea)]]=0,0,Tabla2[[#This Row],[Beneficio Neto  (En RD$/Tarea)]]/Tabla2[[#This Row],[Costos (En RD$/Tarea)]])</f>
        <v>-0.53715904268364834</v>
      </c>
      <c r="P600" s="4">
        <f>Tabla2[[#This Row],[Rentabilidad (%)]]/12</f>
        <v>-4.4763253556970695E-2</v>
      </c>
    </row>
    <row r="601" spans="1:16" x14ac:dyDescent="0.35">
      <c r="A601" s="1">
        <v>38018</v>
      </c>
      <c r="B601" t="s">
        <v>33</v>
      </c>
      <c r="C601" s="2">
        <v>562809</v>
      </c>
      <c r="D601" s="2" t="s">
        <v>31</v>
      </c>
      <c r="E601" s="2">
        <f>IF(Tabla2[[#This Row],[Frecuencia]]="Annual", Tabla2[[#This Row],[Cosecha/Tarea]]/12,Tabla2[[#This Row],[Cosecha/Tarea]])</f>
        <v>46900.75</v>
      </c>
      <c r="F601" s="2">
        <v>90049</v>
      </c>
      <c r="G601" t="s">
        <v>34</v>
      </c>
      <c r="H601">
        <f>F601/Tabla2[[#This Row],[Cosecha Mensual]]</f>
        <v>1.9199906184869111</v>
      </c>
      <c r="I601">
        <f>H601*_xlfn.XLOOKUP(Tabla2[[#This Row],[Unidad de producción]],Tabla3[Medida],Tabla3[Equivalencia en Kg],"ELVIS",0)</f>
        <v>783.64417093543273</v>
      </c>
      <c r="J601">
        <v>1983.75</v>
      </c>
      <c r="K601" t="s">
        <v>34</v>
      </c>
      <c r="L601">
        <f>J601/_xlfn.XLOOKUP(Tabla2[[#This Row],[Unidad de precio]],Tabla3[Medida],Tabla3[Equivalencia en Kg],"ELVIS",0)</f>
        <v>4.8603454612274906</v>
      </c>
      <c r="M601" s="2">
        <v>8906.2800000000007</v>
      </c>
      <c r="N601" s="2">
        <f>(Tabla2[[#This Row],[Productividad (kg/TAS)]]*Tabla2[[#This Row],[Precio por kg]]-Tabla2[[#This Row],[Costos (En RD$/Tarea)]])</f>
        <v>-5097.4986105765911</v>
      </c>
      <c r="O601" s="6">
        <f>IF(Tabla2[[#This Row],[Costos (En RD$/Tarea)]]=0,0,Tabla2[[#This Row],[Beneficio Neto  (En RD$/Tarea)]]/Tabla2[[#This Row],[Costos (En RD$/Tarea)]])</f>
        <v>-0.57234879327582233</v>
      </c>
      <c r="P601" s="4">
        <f>Tabla2[[#This Row],[Rentabilidad (%)]]/12</f>
        <v>-4.7695732772985194E-2</v>
      </c>
    </row>
    <row r="602" spans="1:16" x14ac:dyDescent="0.35">
      <c r="A602" s="1">
        <v>38047</v>
      </c>
      <c r="B602" t="s">
        <v>16</v>
      </c>
      <c r="C602" s="2">
        <v>17220</v>
      </c>
      <c r="D602" s="5" t="s">
        <v>17</v>
      </c>
      <c r="E602" s="2">
        <f>IF(Tabla2[[#This Row],[Frecuencia]]="Annual", Tabla2[[#This Row],[Cosecha/Tarea]]/12,Tabla2[[#This Row],[Cosecha/Tarea]])</f>
        <v>17220</v>
      </c>
      <c r="F602" s="2">
        <v>63923</v>
      </c>
      <c r="G602" t="s">
        <v>18</v>
      </c>
      <c r="H602">
        <f>F602/Tabla2[[#This Row],[Cosecha Mensual]]</f>
        <v>3.7121370499419282</v>
      </c>
      <c r="I602">
        <f>H602*_xlfn.XLOOKUP(Tabla2[[#This Row],[Unidad de producción]],Tabla3[Medida],Tabla3[Equivalencia en Kg],"ELVIS",0)</f>
        <v>168.38253658536587</v>
      </c>
      <c r="J602">
        <v>1550</v>
      </c>
      <c r="K602" t="s">
        <v>19</v>
      </c>
      <c r="L602">
        <f>J602/_xlfn.XLOOKUP(Tabla2[[#This Row],[Unidad de precio]],Tabla3[Medida],Tabla3[Equivalencia en Kg],"ELVIS",0)</f>
        <v>14.090909090909092</v>
      </c>
      <c r="M602">
        <v>4376.41</v>
      </c>
      <c r="N602" s="2">
        <f>(Tabla2[[#This Row],[Productividad (kg/TAS)]]*Tabla2[[#This Row],[Precio por kg]]-Tabla2[[#This Row],[Costos (En RD$/Tarea)]])</f>
        <v>-2003.7469844789352</v>
      </c>
      <c r="O602" s="6">
        <f>IF(Tabla2[[#This Row],[Costos (En RD$/Tarea)]]=0,0,Tabla2[[#This Row],[Beneficio Neto  (En RD$/Tarea)]]/Tabla2[[#This Row],[Costos (En RD$/Tarea)]])</f>
        <v>-0.45785175165922187</v>
      </c>
      <c r="P602" s="4">
        <f>Tabla2[[#This Row],[Rentabilidad (%)]]/12</f>
        <v>-3.8154312638268489E-2</v>
      </c>
    </row>
    <row r="603" spans="1:16" x14ac:dyDescent="0.35">
      <c r="A603" s="1">
        <v>38047</v>
      </c>
      <c r="B603" t="s">
        <v>20</v>
      </c>
      <c r="C603" s="2">
        <v>21025</v>
      </c>
      <c r="D603" s="5" t="s">
        <v>17</v>
      </c>
      <c r="E603" s="2">
        <f>IF(Tabla2[[#This Row],[Frecuencia]]="Annual", Tabla2[[#This Row],[Cosecha/Tarea]]/12,Tabla2[[#This Row],[Cosecha/Tarea]])</f>
        <v>21025</v>
      </c>
      <c r="F603" s="2">
        <v>39398</v>
      </c>
      <c r="G603" t="s">
        <v>18</v>
      </c>
      <c r="H603">
        <f>F603/Tabla2[[#This Row],[Cosecha Mensual]]</f>
        <v>1.8738644470868013</v>
      </c>
      <c r="I603">
        <f>H603*_xlfn.XLOOKUP(Tabla2[[#This Row],[Unidad de producción]],Tabla3[Medida],Tabla3[Equivalencia en Kg],"ELVIS",0)</f>
        <v>84.998491319857308</v>
      </c>
      <c r="J603">
        <v>335.07749999999999</v>
      </c>
      <c r="K603" t="s">
        <v>18</v>
      </c>
      <c r="L603">
        <f>J603/_xlfn.XLOOKUP(Tabla2[[#This Row],[Unidad de precio]],Tabla3[Medida],Tabla3[Equivalencia en Kg],"ELVIS",0)</f>
        <v>7.387070105820106</v>
      </c>
      <c r="M603">
        <v>1100.6600000000001</v>
      </c>
      <c r="N603" s="2">
        <f>(Tabla2[[#This Row],[Productividad (kg/TAS)]]*Tabla2[[#This Row],[Precio por kg]]-Tabla2[[#This Row],[Costos (En RD$/Tarea)]])</f>
        <v>-472.77018573127236</v>
      </c>
      <c r="O603" s="6">
        <f>IF(Tabla2[[#This Row],[Costos (En RD$/Tarea)]]=0,0,Tabla2[[#This Row],[Beneficio Neto  (En RD$/Tarea)]]/Tabla2[[#This Row],[Costos (En RD$/Tarea)]])</f>
        <v>-0.42953335792276665</v>
      </c>
      <c r="P603" s="4">
        <f>Tabla2[[#This Row],[Rentabilidad (%)]]/12</f>
        <v>-3.5794446493563885E-2</v>
      </c>
    </row>
    <row r="604" spans="1:16" x14ac:dyDescent="0.35">
      <c r="A604" s="1">
        <v>38047</v>
      </c>
      <c r="B604" t="s">
        <v>21</v>
      </c>
      <c r="C604" s="2">
        <v>8166</v>
      </c>
      <c r="D604" s="5" t="s">
        <v>17</v>
      </c>
      <c r="E604" s="2">
        <f>IF(Tabla2[[#This Row],[Frecuencia]]="Annual", Tabla2[[#This Row],[Cosecha/Tarea]]/12,Tabla2[[#This Row],[Cosecha/Tarea]])</f>
        <v>8166</v>
      </c>
      <c r="F604" s="2">
        <v>77740</v>
      </c>
      <c r="G604" t="s">
        <v>18</v>
      </c>
      <c r="H604">
        <f>F604/Tabla2[[#This Row],[Cosecha Mensual]]</f>
        <v>9.5199608131276019</v>
      </c>
      <c r="I604">
        <f>H604*_xlfn.XLOOKUP(Tabla2[[#This Row],[Unidad de producción]],Tabla3[Medida],Tabla3[Equivalencia en Kg],"ELVIS",0)</f>
        <v>431.825422483468</v>
      </c>
      <c r="J604">
        <v>262.33125000000001</v>
      </c>
      <c r="K604" t="s">
        <v>18</v>
      </c>
      <c r="L604">
        <f>J604/_xlfn.XLOOKUP(Tabla2[[#This Row],[Unidad de precio]],Tabla3[Medida],Tabla3[Equivalencia en Kg],"ELVIS",0)</f>
        <v>5.7833167989417991</v>
      </c>
      <c r="M604">
        <v>3591.85</v>
      </c>
      <c r="N604" s="2">
        <f>(Tabla2[[#This Row],[Productividad (kg/TAS)]]*Tabla2[[#This Row],[Precio por kg]]-Tabla2[[#This Row],[Costos (En RD$/Tarea)]])</f>
        <v>-1094.4667799412196</v>
      </c>
      <c r="O604" s="6">
        <f>IF(Tabla2[[#This Row],[Costos (En RD$/Tarea)]]=0,0,Tabla2[[#This Row],[Beneficio Neto  (En RD$/Tarea)]]/Tabla2[[#This Row],[Costos (En RD$/Tarea)]])</f>
        <v>-0.30470837589020133</v>
      </c>
      <c r="P604" s="4">
        <f>Tabla2[[#This Row],[Rentabilidad (%)]]/12</f>
        <v>-2.5392364657516778E-2</v>
      </c>
    </row>
    <row r="605" spans="1:16" x14ac:dyDescent="0.35">
      <c r="A605" s="1">
        <v>38047</v>
      </c>
      <c r="B605" t="s">
        <v>22</v>
      </c>
      <c r="C605" s="2">
        <v>4076</v>
      </c>
      <c r="D605" s="5" t="s">
        <v>17</v>
      </c>
      <c r="E605" s="2">
        <f>IF(Tabla2[[#This Row],[Frecuencia]]="Annual", Tabla2[[#This Row],[Cosecha/Tarea]]/12,Tabla2[[#This Row],[Cosecha/Tarea]])</f>
        <v>4076</v>
      </c>
      <c r="F605" s="2">
        <v>37516</v>
      </c>
      <c r="G605" t="s">
        <v>18</v>
      </c>
      <c r="H605">
        <f>F605/Tabla2[[#This Row],[Cosecha Mensual]]</f>
        <v>9.2041216879293426</v>
      </c>
      <c r="I605">
        <f>H605*_xlfn.XLOOKUP(Tabla2[[#This Row],[Unidad de producción]],Tabla3[Medida],Tabla3[Equivalencia en Kg],"ELVIS",0)</f>
        <v>417.49895976447499</v>
      </c>
      <c r="J605">
        <v>510</v>
      </c>
      <c r="K605" t="s">
        <v>18</v>
      </c>
      <c r="L605">
        <f>J605/_xlfn.XLOOKUP(Tabla2[[#This Row],[Unidad de precio]],Tabla3[Medida],Tabla3[Equivalencia en Kg],"ELVIS",0)</f>
        <v>11.243386243386244</v>
      </c>
      <c r="M605">
        <v>3985.16</v>
      </c>
      <c r="N605" s="2">
        <f>(Tabla2[[#This Row],[Productividad (kg/TAS)]]*Tabla2[[#This Row],[Precio por kg]]-Tabla2[[#This Row],[Costos (En RD$/Tarea)]])</f>
        <v>708.94206084396501</v>
      </c>
      <c r="O605" s="6">
        <f>IF(Tabla2[[#This Row],[Costos (En RD$/Tarea)]]=0,0,Tabla2[[#This Row],[Beneficio Neto  (En RD$/Tarea)]]/Tabla2[[#This Row],[Costos (En RD$/Tarea)]])</f>
        <v>0.17789550754397943</v>
      </c>
      <c r="P605" s="4">
        <f>Tabla2[[#This Row],[Rentabilidad (%)]]/12</f>
        <v>1.4824625628664953E-2</v>
      </c>
    </row>
    <row r="606" spans="1:16" x14ac:dyDescent="0.35">
      <c r="A606" s="1">
        <v>38047</v>
      </c>
      <c r="B606" t="s">
        <v>23</v>
      </c>
      <c r="C606" s="2">
        <v>2989</v>
      </c>
      <c r="D606" s="5" t="s">
        <v>17</v>
      </c>
      <c r="E606" s="2">
        <f>IF(Tabla2[[#This Row],[Frecuencia]]="Annual", Tabla2[[#This Row],[Cosecha/Tarea]]/12,Tabla2[[#This Row],[Cosecha/Tarea]])</f>
        <v>2989</v>
      </c>
      <c r="F606" s="2">
        <v>84589</v>
      </c>
      <c r="G606" t="s">
        <v>18</v>
      </c>
      <c r="H606">
        <f>F606/Tabla2[[#This Row],[Cosecha Mensual]]</f>
        <v>28.300100368016057</v>
      </c>
      <c r="I606">
        <f>H606*_xlfn.XLOOKUP(Tabla2[[#This Row],[Unidad de producción]],Tabla3[Medida],Tabla3[Equivalencia en Kg],"ELVIS",0)</f>
        <v>1283.6925526932084</v>
      </c>
      <c r="J606">
        <v>471.25</v>
      </c>
      <c r="K606" t="s">
        <v>18</v>
      </c>
      <c r="L606">
        <f>J606/_xlfn.XLOOKUP(Tabla2[[#This Row],[Unidad de precio]],Tabla3[Medida],Tabla3[Equivalencia en Kg],"ELVIS",0)</f>
        <v>10.38910934744268</v>
      </c>
      <c r="M606">
        <v>9274.52</v>
      </c>
      <c r="N606" s="2">
        <f>(Tabla2[[#This Row],[Productividad (kg/TAS)]]*Tabla2[[#This Row],[Precio por kg]]-Tabla2[[#This Row],[Costos (En RD$/Tarea)]])</f>
        <v>4061.9022984275671</v>
      </c>
      <c r="O606" s="6">
        <f>IF(Tabla2[[#This Row],[Costos (En RD$/Tarea)]]=0,0,Tabla2[[#This Row],[Beneficio Neto  (En RD$/Tarea)]]/Tabla2[[#This Row],[Costos (En RD$/Tarea)]])</f>
        <v>0.43796361411992935</v>
      </c>
      <c r="P606" s="4">
        <f>Tabla2[[#This Row],[Rentabilidad (%)]]/12</f>
        <v>3.6496967843327448E-2</v>
      </c>
    </row>
    <row r="607" spans="1:16" x14ac:dyDescent="0.35">
      <c r="A607" s="1">
        <v>38047</v>
      </c>
      <c r="B607" t="s">
        <v>24</v>
      </c>
      <c r="C607" s="2">
        <v>8585</v>
      </c>
      <c r="D607" s="5" t="s">
        <v>17</v>
      </c>
      <c r="E607" s="2">
        <f>IF(Tabla2[[#This Row],[Frecuencia]]="Annual", Tabla2[[#This Row],[Cosecha/Tarea]]/12,Tabla2[[#This Row],[Cosecha/Tarea]])</f>
        <v>8585</v>
      </c>
      <c r="F607" s="2">
        <v>147841</v>
      </c>
      <c r="G607" t="s">
        <v>18</v>
      </c>
      <c r="H607">
        <f>F607/Tabla2[[#This Row],[Cosecha Mensual]]</f>
        <v>17.22085032032615</v>
      </c>
      <c r="I607">
        <f>H607*_xlfn.XLOOKUP(Tabla2[[#This Row],[Unidad de producción]],Tabla3[Medida],Tabla3[Equivalencia en Kg],"ELVIS",0)</f>
        <v>781.1377705299941</v>
      </c>
      <c r="J607">
        <v>795</v>
      </c>
      <c r="K607" t="s">
        <v>18</v>
      </c>
      <c r="L607">
        <f>J607/_xlfn.XLOOKUP(Tabla2[[#This Row],[Unidad de precio]],Tabla3[Medida],Tabla3[Equivalencia en Kg],"ELVIS",0)</f>
        <v>17.526455026455025</v>
      </c>
      <c r="M607">
        <v>2563.46</v>
      </c>
      <c r="N607" s="2">
        <f>(Tabla2[[#This Row],[Productividad (kg/TAS)]]*Tabla2[[#This Row],[Precio por kg]]-Tabla2[[#This Row],[Costos (En RD$/Tarea)]])</f>
        <v>11127.116004659289</v>
      </c>
      <c r="O607" s="6">
        <f>IF(Tabla2[[#This Row],[Costos (En RD$/Tarea)]]=0,0,Tabla2[[#This Row],[Beneficio Neto  (En RD$/Tarea)]]/Tabla2[[#This Row],[Costos (En RD$/Tarea)]])</f>
        <v>4.3406630119679219</v>
      </c>
      <c r="P607" s="4">
        <f>Tabla2[[#This Row],[Rentabilidad (%)]]/12</f>
        <v>0.36172191766399348</v>
      </c>
    </row>
    <row r="608" spans="1:16" x14ac:dyDescent="0.35">
      <c r="A608" s="1">
        <v>38047</v>
      </c>
      <c r="B608" t="s">
        <v>25</v>
      </c>
      <c r="C608" s="2">
        <v>22456</v>
      </c>
      <c r="D608" s="5" t="s">
        <v>17</v>
      </c>
      <c r="E608" s="2">
        <f>IF(Tabla2[[#This Row],[Frecuencia]]="Annual", Tabla2[[#This Row],[Cosecha/Tarea]]/12,Tabla2[[#This Row],[Cosecha/Tarea]])</f>
        <v>22456</v>
      </c>
      <c r="F608" s="2">
        <v>205901</v>
      </c>
      <c r="G608" t="s">
        <v>18</v>
      </c>
      <c r="H608">
        <f>F608/Tabla2[[#This Row],[Cosecha Mensual]]</f>
        <v>9.1690862130388311</v>
      </c>
      <c r="I608">
        <f>H608*_xlfn.XLOOKUP(Tabla2[[#This Row],[Unidad de producción]],Tabla3[Medida],Tabla3[Equivalencia en Kg],"ELVIS",0)</f>
        <v>415.90975062344137</v>
      </c>
      <c r="J608">
        <v>258.61675000000002</v>
      </c>
      <c r="K608" t="s">
        <v>18</v>
      </c>
      <c r="L608">
        <f>J608/_xlfn.XLOOKUP(Tabla2[[#This Row],[Unidad de precio]],Tabla3[Medida],Tabla3[Equivalencia en Kg],"ELVIS",0)</f>
        <v>5.7014274691358029</v>
      </c>
      <c r="M608">
        <v>1852.92</v>
      </c>
      <c r="N608" s="2">
        <f>(Tabla2[[#This Row],[Productividad (kg/TAS)]]*Tabla2[[#This Row],[Precio por kg]]-Tabla2[[#This Row],[Costos (En RD$/Tarea)]])</f>
        <v>518.35927688591028</v>
      </c>
      <c r="O608" s="6">
        <f>IF(Tabla2[[#This Row],[Costos (En RD$/Tarea)]]=0,0,Tabla2[[#This Row],[Beneficio Neto  (En RD$/Tarea)]]/Tabla2[[#This Row],[Costos (En RD$/Tarea)]])</f>
        <v>0.279752648190915</v>
      </c>
      <c r="P608" s="4">
        <f>Tabla2[[#This Row],[Rentabilidad (%)]]/12</f>
        <v>2.3312720682576251E-2</v>
      </c>
    </row>
    <row r="609" spans="1:16" x14ac:dyDescent="0.35">
      <c r="A609" s="1">
        <v>38047</v>
      </c>
      <c r="B609" t="s">
        <v>26</v>
      </c>
      <c r="C609" s="2">
        <v>8919</v>
      </c>
      <c r="D609" s="5" t="s">
        <v>17</v>
      </c>
      <c r="E609" s="2">
        <f>IF(Tabla2[[#This Row],[Frecuencia]]="Annual", Tabla2[[#This Row],[Cosecha/Tarea]]/12,Tabla2[[#This Row],[Cosecha/Tarea]])</f>
        <v>8919</v>
      </c>
      <c r="F609" s="2">
        <v>64808</v>
      </c>
      <c r="G609" t="s">
        <v>18</v>
      </c>
      <c r="H609">
        <f>F609/Tabla2[[#This Row],[Cosecha Mensual]]</f>
        <v>7.2662854580109881</v>
      </c>
      <c r="I609">
        <f>H609*_xlfn.XLOOKUP(Tabla2[[#This Row],[Unidad de producción]],Tabla3[Medida],Tabla3[Equivalencia en Kg],"ELVIS",0)</f>
        <v>329.59870837537841</v>
      </c>
      <c r="J609">
        <v>385</v>
      </c>
      <c r="K609" t="s">
        <v>18</v>
      </c>
      <c r="L609">
        <f>J609/_xlfn.XLOOKUP(Tabla2[[#This Row],[Unidad de precio]],Tabla3[Medida],Tabla3[Equivalencia en Kg],"ELVIS",0)</f>
        <v>8.4876543209876552</v>
      </c>
      <c r="M609">
        <v>1244.4000000000001</v>
      </c>
      <c r="N609" s="2">
        <f>(Tabla2[[#This Row],[Productividad (kg/TAS)]]*Tabla2[[#This Row],[Precio por kg]]-Tabla2[[#This Row],[Costos (En RD$/Tarea)]])</f>
        <v>1553.1199013342307</v>
      </c>
      <c r="O609" s="6">
        <f>IF(Tabla2[[#This Row],[Costos (En RD$/Tarea)]]=0,0,Tabla2[[#This Row],[Beneficio Neto  (En RD$/Tarea)]]/Tabla2[[#This Row],[Costos (En RD$/Tarea)]])</f>
        <v>1.248087352406164</v>
      </c>
      <c r="P609" s="4">
        <f>Tabla2[[#This Row],[Rentabilidad (%)]]/12</f>
        <v>0.10400727936718034</v>
      </c>
    </row>
    <row r="610" spans="1:16" x14ac:dyDescent="0.35">
      <c r="A610" s="1">
        <v>38047</v>
      </c>
      <c r="B610" t="s">
        <v>27</v>
      </c>
      <c r="C610" s="2">
        <v>4780</v>
      </c>
      <c r="D610" s="5" t="s">
        <v>17</v>
      </c>
      <c r="E610" s="2">
        <f>IF(Tabla2[[#This Row],[Frecuencia]]="Annual", Tabla2[[#This Row],[Cosecha/Tarea]]/12,Tabla2[[#This Row],[Cosecha/Tarea]])</f>
        <v>4780</v>
      </c>
      <c r="F610" s="2">
        <v>41016</v>
      </c>
      <c r="G610" t="s">
        <v>18</v>
      </c>
      <c r="H610">
        <f>F610/Tabla2[[#This Row],[Cosecha Mensual]]</f>
        <v>8.5807531380753144</v>
      </c>
      <c r="I610">
        <f>H610*_xlfn.XLOOKUP(Tabla2[[#This Row],[Unidad de producción]],Tabla3[Medida],Tabla3[Equivalencia en Kg],"ELVIS",0)</f>
        <v>389.22296234309624</v>
      </c>
      <c r="J610">
        <v>426.04</v>
      </c>
      <c r="K610" t="s">
        <v>18</v>
      </c>
      <c r="L610">
        <f>J610/_xlfn.XLOOKUP(Tabla2[[#This Row],[Unidad de precio]],Tabla3[Medida],Tabla3[Equivalencia en Kg],"ELVIS",0)</f>
        <v>9.3924162257495603</v>
      </c>
      <c r="M610">
        <v>4235.82</v>
      </c>
      <c r="N610" s="2">
        <f>(Tabla2[[#This Row],[Productividad (kg/TAS)]]*Tabla2[[#This Row],[Precio por kg]]-Tabla2[[#This Row],[Costos (En RD$/Tarea)]])</f>
        <v>-580.07593305439241</v>
      </c>
      <c r="O610" s="6">
        <f>IF(Tabla2[[#This Row],[Costos (En RD$/Tarea)]]=0,0,Tabla2[[#This Row],[Beneficio Neto  (En RD$/Tarea)]]/Tabla2[[#This Row],[Costos (En RD$/Tarea)]])</f>
        <v>-0.13694536903229892</v>
      </c>
      <c r="P610" s="4">
        <f>Tabla2[[#This Row],[Rentabilidad (%)]]/12</f>
        <v>-1.141211408602491E-2</v>
      </c>
    </row>
    <row r="611" spans="1:16" x14ac:dyDescent="0.35">
      <c r="A611" s="1">
        <v>38047</v>
      </c>
      <c r="B611" t="s">
        <v>28</v>
      </c>
      <c r="C611" s="2">
        <v>4606</v>
      </c>
      <c r="D611" s="5" t="s">
        <v>17</v>
      </c>
      <c r="E611" s="2">
        <f>IF(Tabla2[[#This Row],[Frecuencia]]="Annual", Tabla2[[#This Row],[Cosecha/Tarea]]/12,Tabla2[[#This Row],[Cosecha/Tarea]])</f>
        <v>4606</v>
      </c>
      <c r="F611" s="2">
        <v>6372</v>
      </c>
      <c r="G611" t="s">
        <v>29</v>
      </c>
      <c r="H611">
        <f>F611/Tabla2[[#This Row],[Cosecha Mensual]]</f>
        <v>1.3834129396439427</v>
      </c>
      <c r="I611">
        <f>H611*_xlfn.XLOOKUP(Tabla2[[#This Row],[Unidad de producción]],Tabla3[Medida],Tabla3[Equivalencia en Kg],"ELVIS",0)</f>
        <v>777.94843247937479</v>
      </c>
      <c r="J611">
        <v>1500</v>
      </c>
      <c r="K611" t="s">
        <v>29</v>
      </c>
      <c r="L611">
        <f>J611/_xlfn.XLOOKUP(Tabla2[[#This Row],[Unidad de precio]],Tabla3[Medida],Tabla3[Equivalencia en Kg],"ELVIS",0)</f>
        <v>2.6674254010029519</v>
      </c>
      <c r="M611">
        <v>7896.8729194799998</v>
      </c>
      <c r="N611" s="2">
        <f>(Tabla2[[#This Row],[Productividad (kg/TAS)]]*Tabla2[[#This Row],[Precio por kg]]-Tabla2[[#This Row],[Costos (En RD$/Tarea)]])</f>
        <v>-5821.7535100140858</v>
      </c>
      <c r="O611" s="6">
        <f>IF(Tabla2[[#This Row],[Costos (En RD$/Tarea)]]=0,0,Tabla2[[#This Row],[Beneficio Neto  (En RD$/Tarea)]]/Tabla2[[#This Row],[Costos (En RD$/Tarea)]])</f>
        <v>-0.73722264108530722</v>
      </c>
      <c r="P611" s="4">
        <f>Tabla2[[#This Row],[Rentabilidad (%)]]/12</f>
        <v>-6.143522009044227E-2</v>
      </c>
    </row>
    <row r="612" spans="1:16" x14ac:dyDescent="0.35">
      <c r="A612" s="1">
        <v>38047</v>
      </c>
      <c r="B612" t="s">
        <v>30</v>
      </c>
      <c r="C612" s="2">
        <v>240406</v>
      </c>
      <c r="D612" s="2" t="s">
        <v>31</v>
      </c>
      <c r="E612" s="2">
        <f>IF(Tabla2[[#This Row],[Frecuencia]]="Annual", Tabla2[[#This Row],[Cosecha/Tarea]]/12,Tabla2[[#This Row],[Cosecha/Tarea]])</f>
        <v>20033.833333333332</v>
      </c>
      <c r="F612" s="2">
        <v>1752055</v>
      </c>
      <c r="G612" t="s">
        <v>32</v>
      </c>
      <c r="H612">
        <f>F612/Tabla2[[#This Row],[Cosecha Mensual]]</f>
        <v>87.45480562049201</v>
      </c>
      <c r="I612">
        <f>H612*_xlfn.XLOOKUP(Tabla2[[#This Row],[Unidad de producción]],Tabla3[Medida],Tabla3[Equivalencia en Kg],"ELVIS",0)</f>
        <v>2379.6452609335875</v>
      </c>
      <c r="J612">
        <v>49.75</v>
      </c>
      <c r="K612" t="s">
        <v>32</v>
      </c>
      <c r="L612">
        <f>J612/_xlfn.XLOOKUP(Tabla2[[#This Row],[Unidad de precio]],Tabla3[Medida],Tabla3[Equivalencia en Kg],"ELVIS",0)</f>
        <v>1.8283719220874677</v>
      </c>
      <c r="M612" s="2">
        <v>6693.79</v>
      </c>
      <c r="N612" s="2">
        <f>(Tabla2[[#This Row],[Productividad (kg/TAS)]]*Tabla2[[#This Row],[Precio por kg]]-Tabla2[[#This Row],[Costos (En RD$/Tarea)]])</f>
        <v>-2342.9134203805233</v>
      </c>
      <c r="O612" s="6">
        <f>IF(Tabla2[[#This Row],[Costos (En RD$/Tarea)]]=0,0,Tabla2[[#This Row],[Beneficio Neto  (En RD$/Tarea)]]/Tabla2[[#This Row],[Costos (En RD$/Tarea)]])</f>
        <v>-0.35001298522668373</v>
      </c>
      <c r="P612" s="4">
        <f>Tabla2[[#This Row],[Rentabilidad (%)]]/12</f>
        <v>-2.9167748768890309E-2</v>
      </c>
    </row>
    <row r="613" spans="1:16" x14ac:dyDescent="0.35">
      <c r="A613" s="1">
        <v>38047</v>
      </c>
      <c r="B613" t="s">
        <v>33</v>
      </c>
      <c r="C613" s="2">
        <v>559080</v>
      </c>
      <c r="D613" s="2" t="s">
        <v>31</v>
      </c>
      <c r="E613" s="2">
        <f>IF(Tabla2[[#This Row],[Frecuencia]]="Annual", Tabla2[[#This Row],[Cosecha/Tarea]]/12,Tabla2[[#This Row],[Cosecha/Tarea]])</f>
        <v>46590</v>
      </c>
      <c r="F613" s="2">
        <v>83759</v>
      </c>
      <c r="G613" t="s">
        <v>34</v>
      </c>
      <c r="H613">
        <f>F613/Tabla2[[#This Row],[Cosecha Mensual]]</f>
        <v>1.7977892251556129</v>
      </c>
      <c r="I613">
        <f>H613*_xlfn.XLOOKUP(Tabla2[[#This Row],[Unidad de producción]],Tabla3[Medida],Tabla3[Equivalencia en Kg],"ELVIS",0)</f>
        <v>733.76767224726336</v>
      </c>
      <c r="J613">
        <v>2209.375</v>
      </c>
      <c r="K613" t="s">
        <v>34</v>
      </c>
      <c r="L613">
        <f>J613/_xlfn.XLOOKUP(Tabla2[[#This Row],[Unidad de precio]],Tabla3[Medida],Tabla3[Equivalencia en Kg],"ELVIS",0)</f>
        <v>5.4131446772020091</v>
      </c>
      <c r="M613" s="2">
        <v>8906.2800000000007</v>
      </c>
      <c r="N613" s="2">
        <f>(Tabla2[[#This Row],[Productividad (kg/TAS)]]*Tabla2[[#This Row],[Precio por kg]]-Tabla2[[#This Row],[Costos (En RD$/Tarea)]])</f>
        <v>-4934.289430671819</v>
      </c>
      <c r="O613" s="6">
        <f>IF(Tabla2[[#This Row],[Costos (En RD$/Tarea)]]=0,0,Tabla2[[#This Row],[Beneficio Neto  (En RD$/Tarea)]]/Tabla2[[#This Row],[Costos (En RD$/Tarea)]])</f>
        <v>-0.5540236137502772</v>
      </c>
      <c r="P613" s="4">
        <f>Tabla2[[#This Row],[Rentabilidad (%)]]/12</f>
        <v>-4.6168634479189764E-2</v>
      </c>
    </row>
    <row r="614" spans="1:16" x14ac:dyDescent="0.35">
      <c r="A614" s="1">
        <v>38078</v>
      </c>
      <c r="B614" t="s">
        <v>16</v>
      </c>
      <c r="C614" s="2">
        <v>29970</v>
      </c>
      <c r="D614" s="5" t="s">
        <v>17</v>
      </c>
      <c r="E614" s="2">
        <f>IF(Tabla2[[#This Row],[Frecuencia]]="Annual", Tabla2[[#This Row],[Cosecha/Tarea]]/12,Tabla2[[#This Row],[Cosecha/Tarea]])</f>
        <v>29970</v>
      </c>
      <c r="F614" s="2">
        <v>123527</v>
      </c>
      <c r="G614" t="s">
        <v>18</v>
      </c>
      <c r="H614">
        <f>F614/Tabla2[[#This Row],[Cosecha Mensual]]</f>
        <v>4.1216883550216883</v>
      </c>
      <c r="I614">
        <f>H614*_xlfn.XLOOKUP(Tabla2[[#This Row],[Unidad de producción]],Tabla3[Medida],Tabla3[Equivalencia en Kg],"ELVIS",0)</f>
        <v>186.95978378378379</v>
      </c>
      <c r="J614">
        <v>1413.88666666667</v>
      </c>
      <c r="K614" t="s">
        <v>19</v>
      </c>
      <c r="L614">
        <f>J614/_xlfn.XLOOKUP(Tabla2[[#This Row],[Unidad de precio]],Tabla3[Medida],Tabla3[Equivalencia en Kg],"ELVIS",0)</f>
        <v>12.853515151515181</v>
      </c>
      <c r="M614">
        <v>4376.41</v>
      </c>
      <c r="N614" s="2">
        <f>(Tabla2[[#This Row],[Productividad (kg/TAS)]]*Tabla2[[#This Row],[Precio por kg]]-Tabla2[[#This Row],[Costos (En RD$/Tarea)]])</f>
        <v>-1973.3195864111326</v>
      </c>
      <c r="O614" s="6">
        <f>IF(Tabla2[[#This Row],[Costos (En RD$/Tarea)]]=0,0,Tabla2[[#This Row],[Beneficio Neto  (En RD$/Tarea)]]/Tabla2[[#This Row],[Costos (En RD$/Tarea)]])</f>
        <v>-0.4508991585365934</v>
      </c>
      <c r="P614" s="4">
        <f>Tabla2[[#This Row],[Rentabilidad (%)]]/12</f>
        <v>-3.7574929878049453E-2</v>
      </c>
    </row>
    <row r="615" spans="1:16" x14ac:dyDescent="0.35">
      <c r="A615" s="1">
        <v>38078</v>
      </c>
      <c r="B615" t="s">
        <v>20</v>
      </c>
      <c r="C615" s="2">
        <v>38864</v>
      </c>
      <c r="D615" s="5" t="s">
        <v>17</v>
      </c>
      <c r="E615" s="2">
        <f>IF(Tabla2[[#This Row],[Frecuencia]]="Annual", Tabla2[[#This Row],[Cosecha/Tarea]]/12,Tabla2[[#This Row],[Cosecha/Tarea]])</f>
        <v>38864</v>
      </c>
      <c r="F615" s="2">
        <v>85095</v>
      </c>
      <c r="G615" t="s">
        <v>18</v>
      </c>
      <c r="H615">
        <f>F615/Tabla2[[#This Row],[Cosecha Mensual]]</f>
        <v>2.1895584602717166</v>
      </c>
      <c r="I615">
        <f>H615*_xlfn.XLOOKUP(Tabla2[[#This Row],[Unidad de producción]],Tabla3[Medida],Tabla3[Equivalencia en Kg],"ELVIS",0)</f>
        <v>99.318371757925064</v>
      </c>
      <c r="J615">
        <v>430.49</v>
      </c>
      <c r="K615" t="s">
        <v>18</v>
      </c>
      <c r="L615">
        <f>J615/_xlfn.XLOOKUP(Tabla2[[#This Row],[Unidad de precio]],Tabla3[Medida],Tabla3[Equivalencia en Kg],"ELVIS",0)</f>
        <v>9.4905202821869494</v>
      </c>
      <c r="M615">
        <v>1100.6600000000001</v>
      </c>
      <c r="N615" s="2">
        <f>(Tabla2[[#This Row],[Productividad (kg/TAS)]]*Tabla2[[#This Row],[Precio por kg]]-Tabla2[[#This Row],[Costos (En RD$/Tarea)]])</f>
        <v>-158.07697843762878</v>
      </c>
      <c r="O615" s="6">
        <f>IF(Tabla2[[#This Row],[Costos (En RD$/Tarea)]]=0,0,Tabla2[[#This Row],[Beneficio Neto  (En RD$/Tarea)]]/Tabla2[[#This Row],[Costos (En RD$/Tarea)]])</f>
        <v>-0.14362017193104934</v>
      </c>
      <c r="P615" s="4">
        <f>Tabla2[[#This Row],[Rentabilidad (%)]]/12</f>
        <v>-1.1968347660920779E-2</v>
      </c>
    </row>
    <row r="616" spans="1:16" x14ac:dyDescent="0.35">
      <c r="A616" s="1">
        <v>38078</v>
      </c>
      <c r="B616" t="s">
        <v>21</v>
      </c>
      <c r="C616" s="2">
        <v>8320</v>
      </c>
      <c r="D616" s="5" t="s">
        <v>17</v>
      </c>
      <c r="E616" s="2">
        <f>IF(Tabla2[[#This Row],[Frecuencia]]="Annual", Tabla2[[#This Row],[Cosecha/Tarea]]/12,Tabla2[[#This Row],[Cosecha/Tarea]])</f>
        <v>8320</v>
      </c>
      <c r="F616" s="2">
        <v>76606</v>
      </c>
      <c r="G616" t="s">
        <v>18</v>
      </c>
      <c r="H616">
        <f>F616/Tabla2[[#This Row],[Cosecha Mensual]]</f>
        <v>9.2074519230769223</v>
      </c>
      <c r="I616">
        <f>H616*_xlfn.XLOOKUP(Tabla2[[#This Row],[Unidad de producción]],Tabla3[Medida],Tabla3[Equivalencia en Kg],"ELVIS",0)</f>
        <v>417.6500192307692</v>
      </c>
      <c r="J616">
        <v>474.76600000000002</v>
      </c>
      <c r="K616" t="s">
        <v>18</v>
      </c>
      <c r="L616">
        <f>J616/_xlfn.XLOOKUP(Tabla2[[#This Row],[Unidad de precio]],Tabla3[Medida],Tabla3[Equivalencia en Kg],"ELVIS",0)</f>
        <v>10.46662257495591</v>
      </c>
      <c r="M616">
        <v>3591.85</v>
      </c>
      <c r="N616" s="2">
        <f>(Tabla2[[#This Row],[Productividad (kg/TAS)]]*Tabla2[[#This Row],[Precio por kg]]-Tabla2[[#This Row],[Costos (En RD$/Tarea)]])</f>
        <v>779.53511971153921</v>
      </c>
      <c r="O616" s="6">
        <f>IF(Tabla2[[#This Row],[Costos (En RD$/Tarea)]]=0,0,Tabla2[[#This Row],[Beneficio Neto  (En RD$/Tarea)]]/Tabla2[[#This Row],[Costos (En RD$/Tarea)]])</f>
        <v>0.21702886248355005</v>
      </c>
      <c r="P616" s="4">
        <f>Tabla2[[#This Row],[Rentabilidad (%)]]/12</f>
        <v>1.8085738540295836E-2</v>
      </c>
    </row>
    <row r="617" spans="1:16" x14ac:dyDescent="0.35">
      <c r="A617" s="1">
        <v>38078</v>
      </c>
      <c r="B617" t="s">
        <v>22</v>
      </c>
      <c r="C617" s="2">
        <v>3614</v>
      </c>
      <c r="D617" s="5" t="s">
        <v>17</v>
      </c>
      <c r="E617" s="2">
        <f>IF(Tabla2[[#This Row],[Frecuencia]]="Annual", Tabla2[[#This Row],[Cosecha/Tarea]]/12,Tabla2[[#This Row],[Cosecha/Tarea]])</f>
        <v>3614</v>
      </c>
      <c r="F617" s="2">
        <v>31586</v>
      </c>
      <c r="G617" t="s">
        <v>18</v>
      </c>
      <c r="H617">
        <f>F617/Tabla2[[#This Row],[Cosecha Mensual]]</f>
        <v>8.7399003873824022</v>
      </c>
      <c r="I617">
        <f>H617*_xlfn.XLOOKUP(Tabla2[[#This Row],[Unidad de producción]],Tabla3[Medida],Tabla3[Equivalencia en Kg],"ELVIS",0)</f>
        <v>396.44188157166576</v>
      </c>
      <c r="J617">
        <v>593.5</v>
      </c>
      <c r="K617" t="s">
        <v>18</v>
      </c>
      <c r="L617">
        <f>J617/_xlfn.XLOOKUP(Tabla2[[#This Row],[Unidad de precio]],Tabla3[Medida],Tabla3[Equivalencia en Kg],"ELVIS",0)</f>
        <v>13.084215167548502</v>
      </c>
      <c r="M617">
        <v>3985.16</v>
      </c>
      <c r="N617" s="2">
        <f>(Tabla2[[#This Row],[Productividad (kg/TAS)]]*Tabla2[[#This Row],[Precio por kg]]-Tabla2[[#This Row],[Costos (En RD$/Tarea)]])</f>
        <v>1201.970879911456</v>
      </c>
      <c r="O617" s="6">
        <f>IF(Tabla2[[#This Row],[Costos (En RD$/Tarea)]]=0,0,Tabla2[[#This Row],[Beneficio Neto  (En RD$/Tarea)]]/Tabla2[[#This Row],[Costos (En RD$/Tarea)]])</f>
        <v>0.30161169938257337</v>
      </c>
      <c r="P617" s="4">
        <f>Tabla2[[#This Row],[Rentabilidad (%)]]/12</f>
        <v>2.5134308281881113E-2</v>
      </c>
    </row>
    <row r="618" spans="1:16" x14ac:dyDescent="0.35">
      <c r="A618" s="1">
        <v>38078</v>
      </c>
      <c r="B618" t="s">
        <v>23</v>
      </c>
      <c r="C618" s="2">
        <v>3352</v>
      </c>
      <c r="D618" s="5" t="s">
        <v>17</v>
      </c>
      <c r="E618" s="2">
        <f>IF(Tabla2[[#This Row],[Frecuencia]]="Annual", Tabla2[[#This Row],[Cosecha/Tarea]]/12,Tabla2[[#This Row],[Cosecha/Tarea]])</f>
        <v>3352</v>
      </c>
      <c r="F618" s="2">
        <v>102236</v>
      </c>
      <c r="G618" t="s">
        <v>18</v>
      </c>
      <c r="H618">
        <f>F618/Tabla2[[#This Row],[Cosecha Mensual]]</f>
        <v>30.5</v>
      </c>
      <c r="I618">
        <f>H618*_xlfn.XLOOKUP(Tabla2[[#This Row],[Unidad de producción]],Tabla3[Medida],Tabla3[Equivalencia en Kg],"ELVIS",0)</f>
        <v>1383.48</v>
      </c>
      <c r="J618">
        <v>381.875</v>
      </c>
      <c r="K618" t="s">
        <v>18</v>
      </c>
      <c r="L618">
        <f>J618/_xlfn.XLOOKUP(Tabla2[[#This Row],[Unidad de precio]],Tabla3[Medida],Tabla3[Equivalencia en Kg],"ELVIS",0)</f>
        <v>8.4187610229276899</v>
      </c>
      <c r="M618">
        <v>9274.52</v>
      </c>
      <c r="N618" s="2">
        <f>(Tabla2[[#This Row],[Productividad (kg/TAS)]]*Tabla2[[#This Row],[Precio por kg]]-Tabla2[[#This Row],[Costos (En RD$/Tarea)]])</f>
        <v>2372.6674999999996</v>
      </c>
      <c r="O618" s="6">
        <f>IF(Tabla2[[#This Row],[Costos (En RD$/Tarea)]]=0,0,Tabla2[[#This Row],[Beneficio Neto  (En RD$/Tarea)]]/Tabla2[[#This Row],[Costos (En RD$/Tarea)]])</f>
        <v>0.25582644708297564</v>
      </c>
      <c r="P618" s="4">
        <f>Tabla2[[#This Row],[Rentabilidad (%)]]/12</f>
        <v>2.1318870590247969E-2</v>
      </c>
    </row>
    <row r="619" spans="1:16" x14ac:dyDescent="0.35">
      <c r="A619" s="1">
        <v>38078</v>
      </c>
      <c r="B619" t="s">
        <v>24</v>
      </c>
      <c r="C619" s="2">
        <v>8286</v>
      </c>
      <c r="D619" s="5" t="s">
        <v>17</v>
      </c>
      <c r="E619" s="2">
        <f>IF(Tabla2[[#This Row],[Frecuencia]]="Annual", Tabla2[[#This Row],[Cosecha/Tarea]]/12,Tabla2[[#This Row],[Cosecha/Tarea]])</f>
        <v>8286</v>
      </c>
      <c r="F619" s="2">
        <v>155360</v>
      </c>
      <c r="G619" t="s">
        <v>18</v>
      </c>
      <c r="H619">
        <f>F619/Tabla2[[#This Row],[Cosecha Mensual]]</f>
        <v>18.749698286265989</v>
      </c>
      <c r="I619">
        <f>H619*_xlfn.XLOOKUP(Tabla2[[#This Row],[Unidad de producción]],Tabla3[Medida],Tabla3[Equivalencia en Kg],"ELVIS",0)</f>
        <v>850.48631426502527</v>
      </c>
      <c r="J619">
        <v>880.83333333333303</v>
      </c>
      <c r="K619" t="s">
        <v>18</v>
      </c>
      <c r="L619">
        <f>J619/_xlfn.XLOOKUP(Tabla2[[#This Row],[Unidad de precio]],Tabla3[Medida],Tabla3[Equivalencia en Kg],"ELVIS",0)</f>
        <v>19.418724279835384</v>
      </c>
      <c r="M619">
        <v>2563.46</v>
      </c>
      <c r="N619" s="2">
        <f>(Tabla2[[#This Row],[Productividad (kg/TAS)]]*Tabla2[[#This Row],[Precio por kg]]-Tabla2[[#This Row],[Costos (En RD$/Tarea)]])</f>
        <v>13951.899240485953</v>
      </c>
      <c r="O619" s="6">
        <f>IF(Tabla2[[#This Row],[Costos (En RD$/Tarea)]]=0,0,Tabla2[[#This Row],[Beneficio Neto  (En RD$/Tarea)]]/Tabla2[[#This Row],[Costos (En RD$/Tarea)]])</f>
        <v>5.4426046205074208</v>
      </c>
      <c r="P619" s="4">
        <f>Tabla2[[#This Row],[Rentabilidad (%)]]/12</f>
        <v>0.45355038504228506</v>
      </c>
    </row>
    <row r="620" spans="1:16" x14ac:dyDescent="0.35">
      <c r="A620" s="1">
        <v>38078</v>
      </c>
      <c r="B620" t="s">
        <v>25</v>
      </c>
      <c r="C620" s="2">
        <v>24197</v>
      </c>
      <c r="D620" s="5" t="s">
        <v>17</v>
      </c>
      <c r="E620" s="2">
        <f>IF(Tabla2[[#This Row],[Frecuencia]]="Annual", Tabla2[[#This Row],[Cosecha/Tarea]]/12,Tabla2[[#This Row],[Cosecha/Tarea]])</f>
        <v>24197</v>
      </c>
      <c r="F620" s="2">
        <v>232775</v>
      </c>
      <c r="G620" t="s">
        <v>18</v>
      </c>
      <c r="H620">
        <f>F620/Tabla2[[#This Row],[Cosecha Mensual]]</f>
        <v>9.6199942141587798</v>
      </c>
      <c r="I620">
        <f>H620*_xlfn.XLOOKUP(Tabla2[[#This Row],[Unidad de producción]],Tabla3[Medida],Tabla3[Equivalencia en Kg],"ELVIS",0)</f>
        <v>436.36293755424225</v>
      </c>
      <c r="J620">
        <v>505.756666666667</v>
      </c>
      <c r="K620" t="s">
        <v>18</v>
      </c>
      <c r="L620">
        <f>J620/_xlfn.XLOOKUP(Tabla2[[#This Row],[Unidad de precio]],Tabla3[Medida],Tabla3[Equivalencia en Kg],"ELVIS",0)</f>
        <v>11.149838330393893</v>
      </c>
      <c r="M620">
        <v>1852.92</v>
      </c>
      <c r="N620" s="2">
        <f>(Tabla2[[#This Row],[Productividad (kg/TAS)]]*Tabla2[[#This Row],[Precio por kg]]-Tabla2[[#This Row],[Costos (En RD$/Tarea)]])</f>
        <v>3012.456207105567</v>
      </c>
      <c r="O620" s="6">
        <f>IF(Tabla2[[#This Row],[Costos (En RD$/Tarea)]]=0,0,Tabla2[[#This Row],[Beneficio Neto  (En RD$/Tarea)]]/Tabla2[[#This Row],[Costos (En RD$/Tarea)]])</f>
        <v>1.6257885969742714</v>
      </c>
      <c r="P620" s="4">
        <f>Tabla2[[#This Row],[Rentabilidad (%)]]/12</f>
        <v>0.13548238308118929</v>
      </c>
    </row>
    <row r="621" spans="1:16" x14ac:dyDescent="0.35">
      <c r="A621" s="1">
        <v>38078</v>
      </c>
      <c r="B621" t="s">
        <v>26</v>
      </c>
      <c r="C621" s="2">
        <v>9551</v>
      </c>
      <c r="D621" s="5" t="s">
        <v>17</v>
      </c>
      <c r="E621" s="2">
        <f>IF(Tabla2[[#This Row],[Frecuencia]]="Annual", Tabla2[[#This Row],[Cosecha/Tarea]]/12,Tabla2[[#This Row],[Cosecha/Tarea]])</f>
        <v>9551</v>
      </c>
      <c r="F621" s="2">
        <v>83379</v>
      </c>
      <c r="G621" t="s">
        <v>18</v>
      </c>
      <c r="H621">
        <f>F621/Tabla2[[#This Row],[Cosecha Mensual]]</f>
        <v>8.7298712176735425</v>
      </c>
      <c r="I621">
        <f>H621*_xlfn.XLOOKUP(Tabla2[[#This Row],[Unidad de producción]],Tabla3[Medida],Tabla3[Equivalencia en Kg],"ELVIS",0)</f>
        <v>395.98695843367187</v>
      </c>
      <c r="J621">
        <v>466.66666666666703</v>
      </c>
      <c r="K621" t="s">
        <v>18</v>
      </c>
      <c r="L621">
        <f>J621/_xlfn.XLOOKUP(Tabla2[[#This Row],[Unidad de precio]],Tabla3[Medida],Tabla3[Equivalencia en Kg],"ELVIS",0)</f>
        <v>10.288065843621407</v>
      </c>
      <c r="M621">
        <v>1244.4000000000001</v>
      </c>
      <c r="N621" s="2">
        <f>(Tabla2[[#This Row],[Productividad (kg/TAS)]]*Tabla2[[#This Row],[Precio por kg]]-Tabla2[[#This Row],[Costos (En RD$/Tarea)]])</f>
        <v>2829.5399015809894</v>
      </c>
      <c r="O621" s="6">
        <f>IF(Tabla2[[#This Row],[Costos (En RD$/Tarea)]]=0,0,Tabla2[[#This Row],[Beneficio Neto  (En RD$/Tarea)]]/Tabla2[[#This Row],[Costos (En RD$/Tarea)]])</f>
        <v>2.2738186287214637</v>
      </c>
      <c r="P621" s="4">
        <f>Tabla2[[#This Row],[Rentabilidad (%)]]/12</f>
        <v>0.18948488572678865</v>
      </c>
    </row>
    <row r="622" spans="1:16" x14ac:dyDescent="0.35">
      <c r="A622" s="1">
        <v>38078</v>
      </c>
      <c r="B622" t="s">
        <v>27</v>
      </c>
      <c r="C622" s="2">
        <v>5415</v>
      </c>
      <c r="D622" s="5" t="s">
        <v>17</v>
      </c>
      <c r="E622" s="2">
        <f>IF(Tabla2[[#This Row],[Frecuencia]]="Annual", Tabla2[[#This Row],[Cosecha/Tarea]]/12,Tabla2[[#This Row],[Cosecha/Tarea]])</f>
        <v>5415</v>
      </c>
      <c r="F622" s="2">
        <v>47578</v>
      </c>
      <c r="G622" t="s">
        <v>18</v>
      </c>
      <c r="H622">
        <f>F622/Tabla2[[#This Row],[Cosecha Mensual]]</f>
        <v>8.7863342566943672</v>
      </c>
      <c r="I622">
        <f>H622*_xlfn.XLOOKUP(Tabla2[[#This Row],[Unidad de producción]],Tabla3[Medida],Tabla3[Equivalencia en Kg],"ELVIS",0)</f>
        <v>398.54812188365651</v>
      </c>
      <c r="J622">
        <v>381.8125</v>
      </c>
      <c r="K622" t="s">
        <v>18</v>
      </c>
      <c r="L622">
        <f>J622/_xlfn.XLOOKUP(Tabla2[[#This Row],[Unidad de precio]],Tabla3[Medida],Tabla3[Equivalencia en Kg],"ELVIS",0)</f>
        <v>8.4173831569664905</v>
      </c>
      <c r="M622">
        <v>4235.82</v>
      </c>
      <c r="N622" s="2">
        <f>(Tabla2[[#This Row],[Productividad (kg/TAS)]]*Tabla2[[#This Row],[Precio por kg]]-Tabla2[[#This Row],[Costos (En RD$/Tarea)]])</f>
        <v>-881.08775161588164</v>
      </c>
      <c r="O622" s="6">
        <f>IF(Tabla2[[#This Row],[Costos (En RD$/Tarea)]]=0,0,Tabla2[[#This Row],[Beneficio Neto  (En RD$/Tarea)]]/Tabla2[[#This Row],[Costos (En RD$/Tarea)]])</f>
        <v>-0.20800878026353378</v>
      </c>
      <c r="P622" s="4">
        <f>Tabla2[[#This Row],[Rentabilidad (%)]]/12</f>
        <v>-1.7334065021961147E-2</v>
      </c>
    </row>
    <row r="623" spans="1:16" x14ac:dyDescent="0.35">
      <c r="A623" s="1">
        <v>38078</v>
      </c>
      <c r="B623" t="s">
        <v>28</v>
      </c>
      <c r="C623" s="2">
        <v>4014</v>
      </c>
      <c r="D623" s="5" t="s">
        <v>17</v>
      </c>
      <c r="E623" s="2">
        <f>IF(Tabla2[[#This Row],[Frecuencia]]="Annual", Tabla2[[#This Row],[Cosecha/Tarea]]/12,Tabla2[[#This Row],[Cosecha/Tarea]])</f>
        <v>4014</v>
      </c>
      <c r="F623" s="2">
        <v>5160</v>
      </c>
      <c r="G623" t="s">
        <v>29</v>
      </c>
      <c r="H623">
        <f>F623/Tabla2[[#This Row],[Cosecha Mensual]]</f>
        <v>1.2855007473841555</v>
      </c>
      <c r="I623">
        <f>H623*_xlfn.XLOOKUP(Tabla2[[#This Row],[Unidad de producción]],Tabla3[Medida],Tabla3[Equivalencia en Kg],"ELVIS",0)</f>
        <v>722.88849028400602</v>
      </c>
      <c r="J623">
        <v>3850</v>
      </c>
      <c r="K623" t="s">
        <v>29</v>
      </c>
      <c r="L623">
        <f>J623/_xlfn.XLOOKUP(Tabla2[[#This Row],[Unidad de precio]],Tabla3[Medida],Tabla3[Equivalencia en Kg],"ELVIS",0)</f>
        <v>6.8463918625742428</v>
      </c>
      <c r="M623">
        <v>7896.8729194799998</v>
      </c>
      <c r="N623" s="2">
        <f>(Tabla2[[#This Row],[Productividad (kg/TAS)]]*Tabla2[[#This Row],[Precio por kg]]-Tabla2[[#This Row],[Costos (En RD$/Tarea)]])</f>
        <v>-2947.6950420510011</v>
      </c>
      <c r="O623" s="6">
        <f>IF(Tabla2[[#This Row],[Costos (En RD$/Tarea)]]=0,0,Tabla2[[#This Row],[Beneficio Neto  (En RD$/Tarea)]]/Tabla2[[#This Row],[Costos (En RD$/Tarea)]])</f>
        <v>-0.37327370873344429</v>
      </c>
      <c r="P623" s="4">
        <f>Tabla2[[#This Row],[Rentabilidad (%)]]/12</f>
        <v>-3.1106142394453692E-2</v>
      </c>
    </row>
    <row r="624" spans="1:16" x14ac:dyDescent="0.35">
      <c r="A624" s="1">
        <v>38078</v>
      </c>
      <c r="B624" t="s">
        <v>30</v>
      </c>
      <c r="C624" s="2">
        <v>250732</v>
      </c>
      <c r="D624" s="2" t="s">
        <v>31</v>
      </c>
      <c r="E624" s="2">
        <f>IF(Tabla2[[#This Row],[Frecuencia]]="Annual", Tabla2[[#This Row],[Cosecha/Tarea]]/12,Tabla2[[#This Row],[Cosecha/Tarea]])</f>
        <v>20894.333333333332</v>
      </c>
      <c r="F624" s="2">
        <v>1572090</v>
      </c>
      <c r="G624" t="s">
        <v>32</v>
      </c>
      <c r="H624">
        <f>F624/Tabla2[[#This Row],[Cosecha Mensual]]</f>
        <v>75.240017229551881</v>
      </c>
      <c r="I624">
        <f>H624*_xlfn.XLOOKUP(Tabla2[[#This Row],[Unidad de producción]],Tabla3[Medida],Tabla3[Equivalencia en Kg],"ELVIS",0)</f>
        <v>2047.2808688161067</v>
      </c>
      <c r="J624">
        <v>55</v>
      </c>
      <c r="K624" t="s">
        <v>32</v>
      </c>
      <c r="L624">
        <f>J624/_xlfn.XLOOKUP(Tabla2[[#This Row],[Unidad de precio]],Tabla3[Medida],Tabla3[Equivalencia en Kg],"ELVIS",0)</f>
        <v>2.0213156927600147</v>
      </c>
      <c r="M624" s="2">
        <v>6693.79</v>
      </c>
      <c r="N624" s="2">
        <f>(Tabla2[[#This Row],[Productividad (kg/TAS)]]*Tabla2[[#This Row],[Precio por kg]]-Tabla2[[#This Row],[Costos (En RD$/Tarea)]])</f>
        <v>-2555.5890523746466</v>
      </c>
      <c r="O624" s="6">
        <f>IF(Tabla2[[#This Row],[Costos (En RD$/Tarea)]]=0,0,Tabla2[[#This Row],[Beneficio Neto  (En RD$/Tarea)]]/Tabla2[[#This Row],[Costos (En RD$/Tarea)]])</f>
        <v>-0.38178506531795092</v>
      </c>
      <c r="P624" s="4">
        <f>Tabla2[[#This Row],[Rentabilidad (%)]]/12</f>
        <v>-3.1815422109829246E-2</v>
      </c>
    </row>
    <row r="625" spans="1:16" x14ac:dyDescent="0.35">
      <c r="A625" s="1">
        <v>38078</v>
      </c>
      <c r="B625" t="s">
        <v>33</v>
      </c>
      <c r="C625" s="2">
        <v>591442</v>
      </c>
      <c r="D625" s="2" t="s">
        <v>31</v>
      </c>
      <c r="E625" s="2">
        <f>IF(Tabla2[[#This Row],[Frecuencia]]="Annual", Tabla2[[#This Row],[Cosecha/Tarea]]/12,Tabla2[[#This Row],[Cosecha/Tarea]])</f>
        <v>49286.833333333336</v>
      </c>
      <c r="F625" s="2">
        <v>80313</v>
      </c>
      <c r="G625" t="s">
        <v>34</v>
      </c>
      <c r="H625">
        <f>F625/Tabla2[[#This Row],[Cosecha Mensual]]</f>
        <v>1.6295021320771943</v>
      </c>
      <c r="I625">
        <f>H625*_xlfn.XLOOKUP(Tabla2[[#This Row],[Unidad de producción]],Tabla3[Medida],Tabla3[Equivalencia en Kg],"ELVIS",0)</f>
        <v>665.08129520730677</v>
      </c>
      <c r="J625">
        <v>2443.3339999999998</v>
      </c>
      <c r="K625" t="s">
        <v>34</v>
      </c>
      <c r="L625">
        <f>J625/_xlfn.XLOOKUP(Tabla2[[#This Row],[Unidad de precio]],Tabla3[Medida],Tabla3[Equivalencia en Kg],"ELVIS",0)</f>
        <v>5.9863628567928453</v>
      </c>
      <c r="M625" s="2">
        <v>8906.2800000000007</v>
      </c>
      <c r="N625" s="2">
        <f>(Tabla2[[#This Row],[Productividad (kg/TAS)]]*Tabla2[[#This Row],[Precio por kg]]-Tabla2[[#This Row],[Costos (En RD$/Tarea)]])</f>
        <v>-4924.8620376233021</v>
      </c>
      <c r="O625" s="6">
        <f>IF(Tabla2[[#This Row],[Costos (En RD$/Tarea)]]=0,0,Tabla2[[#This Row],[Beneficio Neto  (En RD$/Tarea)]]/Tabla2[[#This Row],[Costos (En RD$/Tarea)]])</f>
        <v>-0.55296510300858515</v>
      </c>
      <c r="P625" s="4">
        <f>Tabla2[[#This Row],[Rentabilidad (%)]]/12</f>
        <v>-4.6080425250715429E-2</v>
      </c>
    </row>
    <row r="626" spans="1:16" x14ac:dyDescent="0.35">
      <c r="A626" s="1">
        <v>38108</v>
      </c>
      <c r="B626" t="s">
        <v>16</v>
      </c>
      <c r="C626" s="2">
        <v>179371</v>
      </c>
      <c r="D626" s="5" t="s">
        <v>17</v>
      </c>
      <c r="E626" s="2">
        <f>IF(Tabla2[[#This Row],[Frecuencia]]="Annual", Tabla2[[#This Row],[Cosecha/Tarea]]/12,Tabla2[[#This Row],[Cosecha/Tarea]])</f>
        <v>179371</v>
      </c>
      <c r="F626" s="2">
        <v>764176</v>
      </c>
      <c r="G626" t="s">
        <v>18</v>
      </c>
      <c r="H626">
        <f>F626/Tabla2[[#This Row],[Cosecha Mensual]]</f>
        <v>4.2603096375668308</v>
      </c>
      <c r="I626">
        <f>H626*_xlfn.XLOOKUP(Tabla2[[#This Row],[Unidad de producción]],Tabla3[Medida],Tabla3[Equivalencia en Kg],"ELVIS",0)</f>
        <v>193.24764516003145</v>
      </c>
      <c r="J626">
        <v>912.94333333333304</v>
      </c>
      <c r="K626" t="s">
        <v>19</v>
      </c>
      <c r="L626">
        <f>J626/_xlfn.XLOOKUP(Tabla2[[#This Row],[Unidad de precio]],Tabla3[Medida],Tabla3[Equivalencia en Kg],"ELVIS",0)</f>
        <v>8.2994848484848465</v>
      </c>
      <c r="M626">
        <v>4376.41</v>
      </c>
      <c r="N626" s="2">
        <f>(Tabla2[[#This Row],[Productividad (kg/TAS)]]*Tabla2[[#This Row],[Precio por kg]]-Tabla2[[#This Row],[Costos (En RD$/Tarea)]])</f>
        <v>-2772.5540969889425</v>
      </c>
      <c r="O626" s="6">
        <f>IF(Tabla2[[#This Row],[Costos (En RD$/Tarea)]]=0,0,Tabla2[[#This Row],[Beneficio Neto  (En RD$/Tarea)]]/Tabla2[[#This Row],[Costos (En RD$/Tarea)]])</f>
        <v>-0.63352247549679819</v>
      </c>
      <c r="P626" s="4">
        <f>Tabla2[[#This Row],[Rentabilidad (%)]]/12</f>
        <v>-5.2793539624733182E-2</v>
      </c>
    </row>
    <row r="627" spans="1:16" x14ac:dyDescent="0.35">
      <c r="A627" s="1">
        <v>38108</v>
      </c>
      <c r="B627" t="s">
        <v>20</v>
      </c>
      <c r="C627" s="2">
        <v>24969</v>
      </c>
      <c r="D627" s="5" t="s">
        <v>17</v>
      </c>
      <c r="E627" s="2">
        <f>IF(Tabla2[[#This Row],[Frecuencia]]="Annual", Tabla2[[#This Row],[Cosecha/Tarea]]/12,Tabla2[[#This Row],[Cosecha/Tarea]])</f>
        <v>24969</v>
      </c>
      <c r="F627" s="2">
        <v>81151</v>
      </c>
      <c r="G627" t="s">
        <v>18</v>
      </c>
      <c r="H627">
        <f>F627/Tabla2[[#This Row],[Cosecha Mensual]]</f>
        <v>3.2500700869077654</v>
      </c>
      <c r="I627">
        <f>H627*_xlfn.XLOOKUP(Tabla2[[#This Row],[Unidad de producción]],Tabla3[Medida],Tabla3[Equivalencia en Kg],"ELVIS",0)</f>
        <v>147.42317914213623</v>
      </c>
      <c r="J627">
        <v>442.350666666667</v>
      </c>
      <c r="K627" t="s">
        <v>18</v>
      </c>
      <c r="L627">
        <f>J627/_xlfn.XLOOKUP(Tabla2[[#This Row],[Unidad de precio]],Tabla3[Medida],Tabla3[Equivalencia en Kg],"ELVIS",0)</f>
        <v>9.7519988242210545</v>
      </c>
      <c r="M627">
        <v>1100.6600000000001</v>
      </c>
      <c r="N627" s="2">
        <f>(Tabla2[[#This Row],[Productividad (kg/TAS)]]*Tabla2[[#This Row],[Precio por kg]]-Tabla2[[#This Row],[Costos (En RD$/Tarea)]])</f>
        <v>337.0106696570424</v>
      </c>
      <c r="O627" s="6">
        <f>IF(Tabla2[[#This Row],[Costos (En RD$/Tarea)]]=0,0,Tabla2[[#This Row],[Beneficio Neto  (En RD$/Tarea)]]/Tabla2[[#This Row],[Costos (En RD$/Tarea)]])</f>
        <v>0.30618962227848961</v>
      </c>
      <c r="P627" s="4">
        <f>Tabla2[[#This Row],[Rentabilidad (%)]]/12</f>
        <v>2.5515801856540801E-2</v>
      </c>
    </row>
    <row r="628" spans="1:16" x14ac:dyDescent="0.35">
      <c r="A628" s="1">
        <v>38108</v>
      </c>
      <c r="B628" t="s">
        <v>21</v>
      </c>
      <c r="C628" s="2">
        <v>4634</v>
      </c>
      <c r="D628" s="5" t="s">
        <v>17</v>
      </c>
      <c r="E628" s="2">
        <f>IF(Tabla2[[#This Row],[Frecuencia]]="Annual", Tabla2[[#This Row],[Cosecha/Tarea]]/12,Tabla2[[#This Row],[Cosecha/Tarea]])</f>
        <v>4634</v>
      </c>
      <c r="F628" s="2">
        <v>39894</v>
      </c>
      <c r="G628" t="s">
        <v>18</v>
      </c>
      <c r="H628">
        <f>F628/Tabla2[[#This Row],[Cosecha Mensual]]</f>
        <v>8.6089771255934391</v>
      </c>
      <c r="I628">
        <f>H628*_xlfn.XLOOKUP(Tabla2[[#This Row],[Unidad de producción]],Tabla3[Medida],Tabla3[Equivalencia en Kg],"ELVIS",0)</f>
        <v>390.50320241691838</v>
      </c>
      <c r="J628">
        <v>364.7</v>
      </c>
      <c r="K628" t="s">
        <v>18</v>
      </c>
      <c r="L628">
        <f>J628/_xlfn.XLOOKUP(Tabla2[[#This Row],[Unidad de precio]],Tabla3[Medida],Tabla3[Equivalencia en Kg],"ELVIS",0)</f>
        <v>8.0401234567901234</v>
      </c>
      <c r="M628">
        <v>3591.85</v>
      </c>
      <c r="N628" s="2">
        <f>(Tabla2[[#This Row],[Productividad (kg/TAS)]]*Tabla2[[#This Row],[Precio por kg]]-Tabla2[[#This Row],[Costos (En RD$/Tarea)]])</f>
        <v>-452.15604229607288</v>
      </c>
      <c r="O628" s="6">
        <f>IF(Tabla2[[#This Row],[Costos (En RD$/Tarea)]]=0,0,Tabla2[[#This Row],[Beneficio Neto  (En RD$/Tarea)]]/Tabla2[[#This Row],[Costos (En RD$/Tarea)]])</f>
        <v>-0.12588388777261658</v>
      </c>
      <c r="P628" s="4">
        <f>Tabla2[[#This Row],[Rentabilidad (%)]]/12</f>
        <v>-1.0490323981051382E-2</v>
      </c>
    </row>
    <row r="629" spans="1:16" x14ac:dyDescent="0.35">
      <c r="A629" s="1">
        <v>38108</v>
      </c>
      <c r="B629" t="s">
        <v>22</v>
      </c>
      <c r="C629" s="2">
        <v>3983</v>
      </c>
      <c r="D629" s="5" t="s">
        <v>17</v>
      </c>
      <c r="E629" s="2">
        <f>IF(Tabla2[[#This Row],[Frecuencia]]="Annual", Tabla2[[#This Row],[Cosecha/Tarea]]/12,Tabla2[[#This Row],[Cosecha/Tarea]])</f>
        <v>3983</v>
      </c>
      <c r="F629" s="2">
        <v>37400</v>
      </c>
      <c r="G629" t="s">
        <v>18</v>
      </c>
      <c r="H629">
        <f>F629/Tabla2[[#This Row],[Cosecha Mensual]]</f>
        <v>9.3899071051970875</v>
      </c>
      <c r="I629">
        <f>H629*_xlfn.XLOOKUP(Tabla2[[#This Row],[Unidad de producción]],Tabla3[Medida],Tabla3[Equivalencia en Kg],"ELVIS",0)</f>
        <v>425.9261862917399</v>
      </c>
      <c r="J629">
        <v>631.25</v>
      </c>
      <c r="K629" t="s">
        <v>18</v>
      </c>
      <c r="L629">
        <f>J629/_xlfn.XLOOKUP(Tabla2[[#This Row],[Unidad de precio]],Tabla3[Medida],Tabla3[Equivalencia en Kg],"ELVIS",0)</f>
        <v>13.916446208112875</v>
      </c>
      <c r="M629">
        <v>3985.16</v>
      </c>
      <c r="N629" s="2">
        <f>(Tabla2[[#This Row],[Productividad (kg/TAS)]]*Tabla2[[#This Row],[Precio por kg]]-Tabla2[[#This Row],[Costos (En RD$/Tarea)]])</f>
        <v>1942.2188601556618</v>
      </c>
      <c r="O629" s="6">
        <f>IF(Tabla2[[#This Row],[Costos (En RD$/Tarea)]]=0,0,Tabla2[[#This Row],[Beneficio Neto  (En RD$/Tarea)]]/Tabla2[[#This Row],[Costos (En RD$/Tarea)]])</f>
        <v>0.48736283114245399</v>
      </c>
      <c r="P629" s="4">
        <f>Tabla2[[#This Row],[Rentabilidad (%)]]/12</f>
        <v>4.0613569261871166E-2</v>
      </c>
    </row>
    <row r="630" spans="1:16" x14ac:dyDescent="0.35">
      <c r="A630" s="1">
        <v>38108</v>
      </c>
      <c r="B630" t="s">
        <v>23</v>
      </c>
      <c r="C630" s="2">
        <v>2945</v>
      </c>
      <c r="D630" s="5" t="s">
        <v>17</v>
      </c>
      <c r="E630" s="2">
        <f>IF(Tabla2[[#This Row],[Frecuencia]]="Annual", Tabla2[[#This Row],[Cosecha/Tarea]]/12,Tabla2[[#This Row],[Cosecha/Tarea]])</f>
        <v>2945</v>
      </c>
      <c r="F630" s="2">
        <v>70739</v>
      </c>
      <c r="G630" t="s">
        <v>18</v>
      </c>
      <c r="H630">
        <f>F630/Tabla2[[#This Row],[Cosecha Mensual]]</f>
        <v>24.020033955857386</v>
      </c>
      <c r="I630">
        <f>H630*_xlfn.XLOOKUP(Tabla2[[#This Row],[Unidad de producción]],Tabla3[Medida],Tabla3[Equivalencia en Kg],"ELVIS",0)</f>
        <v>1089.5487402376909</v>
      </c>
      <c r="J630">
        <v>332</v>
      </c>
      <c r="K630" t="s">
        <v>18</v>
      </c>
      <c r="L630">
        <f>J630/_xlfn.XLOOKUP(Tabla2[[#This Row],[Unidad de precio]],Tabla3[Medida],Tabla3[Equivalencia en Kg],"ELVIS",0)</f>
        <v>7.3192239858906527</v>
      </c>
      <c r="M630">
        <v>9274.52</v>
      </c>
      <c r="N630" s="2">
        <f>(Tabla2[[#This Row],[Productividad (kg/TAS)]]*Tabla2[[#This Row],[Precio por kg]]-Tabla2[[#This Row],[Costos (En RD$/Tarea)]])</f>
        <v>-1299.8687266553488</v>
      </c>
      <c r="O630" s="6">
        <f>IF(Tabla2[[#This Row],[Costos (En RD$/Tarea)]]=0,0,Tabla2[[#This Row],[Beneficio Neto  (En RD$/Tarea)]]/Tabla2[[#This Row],[Costos (En RD$/Tarea)]])</f>
        <v>-0.14015482490256626</v>
      </c>
      <c r="P630" s="4">
        <f>Tabla2[[#This Row],[Rentabilidad (%)]]/12</f>
        <v>-1.1679568741880522E-2</v>
      </c>
    </row>
    <row r="631" spans="1:16" x14ac:dyDescent="0.35">
      <c r="A631" s="1">
        <v>38108</v>
      </c>
      <c r="B631" t="s">
        <v>24</v>
      </c>
      <c r="C631" s="2">
        <v>6758</v>
      </c>
      <c r="D631" s="5" t="s">
        <v>17</v>
      </c>
      <c r="E631" s="2">
        <f>IF(Tabla2[[#This Row],[Frecuencia]]="Annual", Tabla2[[#This Row],[Cosecha/Tarea]]/12,Tabla2[[#This Row],[Cosecha/Tarea]])</f>
        <v>6758</v>
      </c>
      <c r="F631" s="2">
        <v>120699</v>
      </c>
      <c r="G631" t="s">
        <v>18</v>
      </c>
      <c r="H631">
        <f>F631/Tabla2[[#This Row],[Cosecha Mensual]]</f>
        <v>17.86016572950577</v>
      </c>
      <c r="I631">
        <f>H631*_xlfn.XLOOKUP(Tabla2[[#This Row],[Unidad de producción]],Tabla3[Medida],Tabla3[Equivalencia en Kg],"ELVIS",0)</f>
        <v>810.13711749038168</v>
      </c>
      <c r="J631">
        <v>825</v>
      </c>
      <c r="K631" t="s">
        <v>18</v>
      </c>
      <c r="L631">
        <f>J631/_xlfn.XLOOKUP(Tabla2[[#This Row],[Unidad de precio]],Tabla3[Medida],Tabla3[Equivalencia en Kg],"ELVIS",0)</f>
        <v>18.187830687830687</v>
      </c>
      <c r="M631">
        <v>2563.46</v>
      </c>
      <c r="N631" s="2">
        <f>(Tabla2[[#This Row],[Productividad (kg/TAS)]]*Tabla2[[#This Row],[Precio por kg]]-Tabla2[[#This Row],[Costos (En RD$/Tarea)]])</f>
        <v>12171.176726842259</v>
      </c>
      <c r="O631" s="6">
        <f>IF(Tabla2[[#This Row],[Costos (En RD$/Tarea)]]=0,0,Tabla2[[#This Row],[Beneficio Neto  (En RD$/Tarea)]]/Tabla2[[#This Row],[Costos (En RD$/Tarea)]])</f>
        <v>4.7479487594275938</v>
      </c>
      <c r="P631" s="4">
        <f>Tabla2[[#This Row],[Rentabilidad (%)]]/12</f>
        <v>0.39566239661896613</v>
      </c>
    </row>
    <row r="632" spans="1:16" x14ac:dyDescent="0.35">
      <c r="A632" s="1">
        <v>38108</v>
      </c>
      <c r="B632" t="s">
        <v>25</v>
      </c>
      <c r="C632" s="2">
        <v>15931</v>
      </c>
      <c r="D632" s="5" t="s">
        <v>17</v>
      </c>
      <c r="E632" s="2">
        <f>IF(Tabla2[[#This Row],[Frecuencia]]="Annual", Tabla2[[#This Row],[Cosecha/Tarea]]/12,Tabla2[[#This Row],[Cosecha/Tarea]])</f>
        <v>15931</v>
      </c>
      <c r="F632" s="2">
        <v>152780</v>
      </c>
      <c r="G632" t="s">
        <v>18</v>
      </c>
      <c r="H632">
        <f>F632/Tabla2[[#This Row],[Cosecha Mensual]]</f>
        <v>9.5901073378946702</v>
      </c>
      <c r="I632">
        <f>H632*_xlfn.XLOOKUP(Tabla2[[#This Row],[Unidad de producción]],Tabla3[Medida],Tabla3[Equivalencia en Kg],"ELVIS",0)</f>
        <v>435.00726884690221</v>
      </c>
      <c r="J632">
        <v>539</v>
      </c>
      <c r="K632" t="s">
        <v>18</v>
      </c>
      <c r="L632">
        <f>J632/_xlfn.XLOOKUP(Tabla2[[#This Row],[Unidad de precio]],Tabla3[Medida],Tabla3[Equivalencia en Kg],"ELVIS",0)</f>
        <v>11.882716049382717</v>
      </c>
      <c r="M632">
        <v>1852.92</v>
      </c>
      <c r="N632" s="2">
        <f>(Tabla2[[#This Row],[Productividad (kg/TAS)]]*Tabla2[[#This Row],[Precio por kg]]-Tabla2[[#This Row],[Costos (En RD$/Tarea)]])</f>
        <v>3316.1478551252267</v>
      </c>
      <c r="O632" s="6">
        <f>IF(Tabla2[[#This Row],[Costos (En RD$/Tarea)]]=0,0,Tabla2[[#This Row],[Beneficio Neto  (En RD$/Tarea)]]/Tabla2[[#This Row],[Costos (En RD$/Tarea)]])</f>
        <v>1.7896875499887888</v>
      </c>
      <c r="P632" s="4">
        <f>Tabla2[[#This Row],[Rentabilidad (%)]]/12</f>
        <v>0.1491406291657324</v>
      </c>
    </row>
    <row r="633" spans="1:16" x14ac:dyDescent="0.35">
      <c r="A633" s="1">
        <v>38108</v>
      </c>
      <c r="B633" t="s">
        <v>26</v>
      </c>
      <c r="C633" s="2">
        <v>9264</v>
      </c>
      <c r="D633" s="5" t="s">
        <v>17</v>
      </c>
      <c r="E633" s="2">
        <f>IF(Tabla2[[#This Row],[Frecuencia]]="Annual", Tabla2[[#This Row],[Cosecha/Tarea]]/12,Tabla2[[#This Row],[Cosecha/Tarea]])</f>
        <v>9264</v>
      </c>
      <c r="F633" s="2">
        <v>70290</v>
      </c>
      <c r="G633" t="s">
        <v>18</v>
      </c>
      <c r="H633">
        <f>F633/Tabla2[[#This Row],[Cosecha Mensual]]</f>
        <v>7.5874352331606216</v>
      </c>
      <c r="I633">
        <f>H633*_xlfn.XLOOKUP(Tabla2[[#This Row],[Unidad de producción]],Tabla3[Medida],Tabla3[Equivalencia en Kg],"ELVIS",0)</f>
        <v>344.16606217616578</v>
      </c>
      <c r="J633">
        <v>500</v>
      </c>
      <c r="K633" t="s">
        <v>18</v>
      </c>
      <c r="L633">
        <f>J633/_xlfn.XLOOKUP(Tabla2[[#This Row],[Unidad de precio]],Tabla3[Medida],Tabla3[Equivalencia en Kg],"ELVIS",0)</f>
        <v>11.022927689594356</v>
      </c>
      <c r="M633">
        <v>1244.4000000000001</v>
      </c>
      <c r="N633" s="2">
        <f>(Tabla2[[#This Row],[Productividad (kg/TAS)]]*Tabla2[[#This Row],[Precio por kg]]-Tabla2[[#This Row],[Costos (En RD$/Tarea)]])</f>
        <v>2549.3176165803106</v>
      </c>
      <c r="O633" s="6">
        <f>IF(Tabla2[[#This Row],[Costos (En RD$/Tarea)]]=0,0,Tabla2[[#This Row],[Beneficio Neto  (En RD$/Tarea)]]/Tabla2[[#This Row],[Costos (En RD$/Tarea)]])</f>
        <v>2.0486319644650517</v>
      </c>
      <c r="P633" s="4">
        <f>Tabla2[[#This Row],[Rentabilidad (%)]]/12</f>
        <v>0.17071933037208764</v>
      </c>
    </row>
    <row r="634" spans="1:16" x14ac:dyDescent="0.35">
      <c r="A634" s="1">
        <v>38108</v>
      </c>
      <c r="B634" t="s">
        <v>27</v>
      </c>
      <c r="C634" s="2">
        <v>5443</v>
      </c>
      <c r="D634" s="5" t="s">
        <v>17</v>
      </c>
      <c r="E634" s="2">
        <f>IF(Tabla2[[#This Row],[Frecuencia]]="Annual", Tabla2[[#This Row],[Cosecha/Tarea]]/12,Tabla2[[#This Row],[Cosecha/Tarea]])</f>
        <v>5443</v>
      </c>
      <c r="F634" s="2">
        <v>45089</v>
      </c>
      <c r="G634" t="s">
        <v>18</v>
      </c>
      <c r="H634">
        <f>F634/Tabla2[[#This Row],[Cosecha Mensual]]</f>
        <v>8.2838508175638434</v>
      </c>
      <c r="I634">
        <f>H634*_xlfn.XLOOKUP(Tabla2[[#This Row],[Unidad de producción]],Tabla3[Medida],Tabla3[Equivalencia en Kg],"ELVIS",0)</f>
        <v>375.75547308469595</v>
      </c>
      <c r="J634">
        <v>298.55666666666701</v>
      </c>
      <c r="K634" t="s">
        <v>18</v>
      </c>
      <c r="L634">
        <f>J634/_xlfn.XLOOKUP(Tabla2[[#This Row],[Unidad de precio]],Tabla3[Medida],Tabla3[Equivalencia en Kg],"ELVIS",0)</f>
        <v>6.5819370958259924</v>
      </c>
      <c r="M634">
        <v>4235.82</v>
      </c>
      <c r="N634" s="2">
        <f>(Tabla2[[#This Row],[Productividad (kg/TAS)]]*Tabla2[[#This Row],[Precio por kg]]-Tabla2[[#This Row],[Costos (En RD$/Tarea)]])</f>
        <v>-1762.6211127441943</v>
      </c>
      <c r="O634" s="6">
        <f>IF(Tabla2[[#This Row],[Costos (En RD$/Tarea)]]=0,0,Tabla2[[#This Row],[Beneficio Neto  (En RD$/Tarea)]]/Tabla2[[#This Row],[Costos (En RD$/Tarea)]])</f>
        <v>-0.41612276082179944</v>
      </c>
      <c r="P634" s="4">
        <f>Tabla2[[#This Row],[Rentabilidad (%)]]/12</f>
        <v>-3.4676896735149954E-2</v>
      </c>
    </row>
    <row r="635" spans="1:16" x14ac:dyDescent="0.35">
      <c r="A635" s="1">
        <v>38108</v>
      </c>
      <c r="B635" t="s">
        <v>28</v>
      </c>
      <c r="C635" s="2">
        <v>5106</v>
      </c>
      <c r="D635" s="5" t="s">
        <v>17</v>
      </c>
      <c r="E635" s="2">
        <f>IF(Tabla2[[#This Row],[Frecuencia]]="Annual", Tabla2[[#This Row],[Cosecha/Tarea]]/12,Tabla2[[#This Row],[Cosecha/Tarea]])</f>
        <v>5106</v>
      </c>
      <c r="F635" s="2">
        <v>6650</v>
      </c>
      <c r="G635" t="s">
        <v>29</v>
      </c>
      <c r="H635">
        <f>F635/Tabla2[[#This Row],[Cosecha Mensual]]</f>
        <v>1.3023893458676068</v>
      </c>
      <c r="I635">
        <f>H635*_xlfn.XLOOKUP(Tabla2[[#This Row],[Unidad de producción]],Tabla3[Medida],Tabla3[Equivalencia en Kg],"ELVIS",0)</f>
        <v>732.38562475519007</v>
      </c>
      <c r="J635">
        <v>1500</v>
      </c>
      <c r="K635" t="s">
        <v>29</v>
      </c>
      <c r="L635">
        <f>J635/_xlfn.XLOOKUP(Tabla2[[#This Row],[Unidad de precio]],Tabla3[Medida],Tabla3[Equivalencia en Kg],"ELVIS",0)</f>
        <v>2.6674254010029519</v>
      </c>
      <c r="M635">
        <v>7896.8729194799998</v>
      </c>
      <c r="N635" s="2">
        <f>(Tabla2[[#This Row],[Productividad (kg/TAS)]]*Tabla2[[#This Row],[Precio por kg]]-Tabla2[[#This Row],[Costos (En RD$/Tarea)]])</f>
        <v>-5943.2889006785899</v>
      </c>
      <c r="O635" s="6">
        <f>IF(Tabla2[[#This Row],[Costos (En RD$/Tarea)]]=0,0,Tabla2[[#This Row],[Beneficio Neto  (En RD$/Tarea)]]/Tabla2[[#This Row],[Costos (En RD$/Tarea)]])</f>
        <v>-0.75261295974735642</v>
      </c>
      <c r="P635" s="4">
        <f>Tabla2[[#This Row],[Rentabilidad (%)]]/12</f>
        <v>-6.271774664561304E-2</v>
      </c>
    </row>
    <row r="636" spans="1:16" x14ac:dyDescent="0.35">
      <c r="A636" s="1">
        <v>38108</v>
      </c>
      <c r="B636" t="s">
        <v>30</v>
      </c>
      <c r="C636" s="2">
        <v>250436</v>
      </c>
      <c r="D636" s="2" t="s">
        <v>31</v>
      </c>
      <c r="E636" s="2">
        <f>IF(Tabla2[[#This Row],[Frecuencia]]="Annual", Tabla2[[#This Row],[Cosecha/Tarea]]/12,Tabla2[[#This Row],[Cosecha/Tarea]])</f>
        <v>20869.666666666668</v>
      </c>
      <c r="F636" s="2">
        <v>1844570</v>
      </c>
      <c r="G636" t="s">
        <v>32</v>
      </c>
      <c r="H636">
        <f>F636/Tabla2[[#This Row],[Cosecha Mensual]]</f>
        <v>88.385216182976876</v>
      </c>
      <c r="I636">
        <f>H636*_xlfn.XLOOKUP(Tabla2[[#This Row],[Unidad de producción]],Tabla3[Medida],Tabla3[Equivalencia en Kg],"ELVIS",0)</f>
        <v>2404.9617323388011</v>
      </c>
      <c r="J636">
        <v>57.25</v>
      </c>
      <c r="K636" t="s">
        <v>32</v>
      </c>
      <c r="L636">
        <f>J636/_xlfn.XLOOKUP(Tabla2[[#This Row],[Unidad de precio]],Tabla3[Medida],Tabla3[Equivalencia en Kg],"ELVIS",0)</f>
        <v>2.1040058801911061</v>
      </c>
      <c r="M636" s="2">
        <v>6693.79</v>
      </c>
      <c r="N636" s="2">
        <f>(Tabla2[[#This Row],[Productividad (kg/TAS)]]*Tabla2[[#This Row],[Precio por kg]]-Tabla2[[#This Row],[Costos (En RD$/Tarea)]])</f>
        <v>-1633.7363735245735</v>
      </c>
      <c r="O636" s="6">
        <f>IF(Tabla2[[#This Row],[Costos (En RD$/Tarea)]]=0,0,Tabla2[[#This Row],[Beneficio Neto  (En RD$/Tarea)]]/Tabla2[[#This Row],[Costos (En RD$/Tarea)]])</f>
        <v>-0.2440674675370117</v>
      </c>
      <c r="P636" s="4">
        <f>Tabla2[[#This Row],[Rentabilidad (%)]]/12</f>
        <v>-2.0338955628084309E-2</v>
      </c>
    </row>
    <row r="637" spans="1:16" x14ac:dyDescent="0.35">
      <c r="A637" s="1">
        <v>38108</v>
      </c>
      <c r="B637" t="s">
        <v>33</v>
      </c>
      <c r="C637" s="2">
        <v>561946</v>
      </c>
      <c r="D637" s="2" t="s">
        <v>31</v>
      </c>
      <c r="E637" s="2">
        <f>IF(Tabla2[[#This Row],[Frecuencia]]="Annual", Tabla2[[#This Row],[Cosecha/Tarea]]/12,Tabla2[[#This Row],[Cosecha/Tarea]])</f>
        <v>46828.833333333336</v>
      </c>
      <c r="F637" s="2">
        <v>107554</v>
      </c>
      <c r="G637" t="s">
        <v>34</v>
      </c>
      <c r="H637">
        <f>F637/Tabla2[[#This Row],[Cosecha Mensual]]</f>
        <v>2.296747374302869</v>
      </c>
      <c r="I637">
        <f>H637*_xlfn.XLOOKUP(Tabla2[[#This Row],[Unidad de producción]],Tabla3[Medida],Tabla3[Equivalencia en Kg],"ELVIS",0)</f>
        <v>937.4174408217159</v>
      </c>
      <c r="J637">
        <v>2306.24933333333</v>
      </c>
      <c r="K637" t="s">
        <v>34</v>
      </c>
      <c r="L637">
        <f>J637/_xlfn.XLOOKUP(Tabla2[[#This Row],[Unidad de precio]],Tabla3[Medida],Tabla3[Equivalencia en Kg],"ELVIS",0)</f>
        <v>5.6504945077381601</v>
      </c>
      <c r="M637" s="2">
        <v>8906.2800000000007</v>
      </c>
      <c r="N637" s="2">
        <f>(Tabla2[[#This Row],[Productividad (kg/TAS)]]*Tabla2[[#This Row],[Precio por kg]]-Tabla2[[#This Row],[Costos (En RD$/Tarea)]])</f>
        <v>-3609.4078991789329</v>
      </c>
      <c r="O637" s="6">
        <f>IF(Tabla2[[#This Row],[Costos (En RD$/Tarea)]]=0,0,Tabla2[[#This Row],[Beneficio Neto  (En RD$/Tarea)]]/Tabla2[[#This Row],[Costos (En RD$/Tarea)]])</f>
        <v>-0.40526548673283713</v>
      </c>
      <c r="P637" s="4">
        <f>Tabla2[[#This Row],[Rentabilidad (%)]]/12</f>
        <v>-3.3772123894403094E-2</v>
      </c>
    </row>
    <row r="638" spans="1:16" x14ac:dyDescent="0.35">
      <c r="A638" s="1">
        <v>38139</v>
      </c>
      <c r="B638" t="s">
        <v>16</v>
      </c>
      <c r="C638" s="2">
        <v>546108</v>
      </c>
      <c r="D638" s="5" t="s">
        <v>17</v>
      </c>
      <c r="E638" s="2">
        <f>IF(Tabla2[[#This Row],[Frecuencia]]="Annual", Tabla2[[#This Row],[Cosecha/Tarea]]/12,Tabla2[[#This Row],[Cosecha/Tarea]])</f>
        <v>546108</v>
      </c>
      <c r="F638" s="2">
        <v>2548304</v>
      </c>
      <c r="G638" t="s">
        <v>18</v>
      </c>
      <c r="H638">
        <f>F638/Tabla2[[#This Row],[Cosecha Mensual]]</f>
        <v>4.6663004387410547</v>
      </c>
      <c r="I638">
        <f>H638*_xlfn.XLOOKUP(Tabla2[[#This Row],[Unidad de producción]],Tabla3[Medida],Tabla3[Equivalencia en Kg],"ELVIS",0)</f>
        <v>211.66338790129424</v>
      </c>
      <c r="J638">
        <v>1008.78333333333</v>
      </c>
      <c r="K638" t="s">
        <v>19</v>
      </c>
      <c r="L638">
        <f>J638/_xlfn.XLOOKUP(Tabla2[[#This Row],[Unidad de precio]],Tabla3[Medida],Tabla3[Equivalencia en Kg],"ELVIS",0)</f>
        <v>9.1707575757575448</v>
      </c>
      <c r="M638">
        <v>4376.41</v>
      </c>
      <c r="N638" s="2">
        <f>(Tabla2[[#This Row],[Productividad (kg/TAS)]]*Tabla2[[#This Row],[Precio por kg]]-Tabla2[[#This Row],[Costos (En RD$/Tarea)]])</f>
        <v>-2435.2963818936978</v>
      </c>
      <c r="O638" s="6">
        <f>IF(Tabla2[[#This Row],[Costos (En RD$/Tarea)]]=0,0,Tabla2[[#This Row],[Beneficio Neto  (En RD$/Tarea)]]/Tabla2[[#This Row],[Costos (En RD$/Tarea)]])</f>
        <v>-0.55645983394921816</v>
      </c>
      <c r="P638" s="4">
        <f>Tabla2[[#This Row],[Rentabilidad (%)]]/12</f>
        <v>-4.6371652829101516E-2</v>
      </c>
    </row>
    <row r="639" spans="1:16" x14ac:dyDescent="0.35">
      <c r="A639" s="1">
        <v>38139</v>
      </c>
      <c r="B639" t="s">
        <v>20</v>
      </c>
      <c r="C639" s="2">
        <v>28586</v>
      </c>
      <c r="D639" s="5" t="s">
        <v>17</v>
      </c>
      <c r="E639" s="2">
        <f>IF(Tabla2[[#This Row],[Frecuencia]]="Annual", Tabla2[[#This Row],[Cosecha/Tarea]]/12,Tabla2[[#This Row],[Cosecha/Tarea]])</f>
        <v>28586</v>
      </c>
      <c r="F639" s="2">
        <v>103222</v>
      </c>
      <c r="G639" t="s">
        <v>18</v>
      </c>
      <c r="H639">
        <f>F639/Tabla2[[#This Row],[Cosecha Mensual]]</f>
        <v>3.6109284265024839</v>
      </c>
      <c r="I639">
        <f>H639*_xlfn.XLOOKUP(Tabla2[[#This Row],[Unidad de producción]],Tabla3[Medida],Tabla3[Equivalencia en Kg],"ELVIS",0)</f>
        <v>163.79171342615265</v>
      </c>
      <c r="J639">
        <v>547.91750000000002</v>
      </c>
      <c r="K639" t="s">
        <v>18</v>
      </c>
      <c r="L639">
        <f>J639/_xlfn.XLOOKUP(Tabla2[[#This Row],[Unidad de precio]],Tabla3[Medida],Tabla3[Equivalencia en Kg],"ELVIS",0)</f>
        <v>12.079309964726631</v>
      </c>
      <c r="M639">
        <v>1100.6600000000001</v>
      </c>
      <c r="N639" s="2">
        <f>(Tabla2[[#This Row],[Productividad (kg/TAS)]]*Tabla2[[#This Row],[Precio por kg]]-Tabla2[[#This Row],[Costos (En RD$/Tarea)]])</f>
        <v>877.8308761281744</v>
      </c>
      <c r="O639" s="6">
        <f>IF(Tabla2[[#This Row],[Costos (En RD$/Tarea)]]=0,0,Tabla2[[#This Row],[Beneficio Neto  (En RD$/Tarea)]]/Tabla2[[#This Row],[Costos (En RD$/Tarea)]])</f>
        <v>0.79754953948374097</v>
      </c>
      <c r="P639" s="4">
        <f>Tabla2[[#This Row],[Rentabilidad (%)]]/12</f>
        <v>6.646246162364508E-2</v>
      </c>
    </row>
    <row r="640" spans="1:16" x14ac:dyDescent="0.35">
      <c r="A640" s="1">
        <v>38139</v>
      </c>
      <c r="B640" t="s">
        <v>21</v>
      </c>
      <c r="C640" s="2">
        <v>5581</v>
      </c>
      <c r="D640" s="5" t="s">
        <v>17</v>
      </c>
      <c r="E640" s="2">
        <f>IF(Tabla2[[#This Row],[Frecuencia]]="Annual", Tabla2[[#This Row],[Cosecha/Tarea]]/12,Tabla2[[#This Row],[Cosecha/Tarea]])</f>
        <v>5581</v>
      </c>
      <c r="F640" s="2">
        <v>45471</v>
      </c>
      <c r="G640" t="s">
        <v>18</v>
      </c>
      <c r="H640">
        <f>F640/Tabla2[[#This Row],[Cosecha Mensual]]</f>
        <v>8.1474646120766891</v>
      </c>
      <c r="I640">
        <f>H640*_xlfn.XLOOKUP(Tabla2[[#This Row],[Unidad de producción]],Tabla3[Medida],Tabla3[Equivalencia en Kg],"ELVIS",0)</f>
        <v>369.5689948037986</v>
      </c>
      <c r="J640">
        <v>291.60000000000002</v>
      </c>
      <c r="K640" t="s">
        <v>18</v>
      </c>
      <c r="L640">
        <f>J640/_xlfn.XLOOKUP(Tabla2[[#This Row],[Unidad de precio]],Tabla3[Medida],Tabla3[Equivalencia en Kg],"ELVIS",0)</f>
        <v>6.4285714285714288</v>
      </c>
      <c r="M640">
        <v>3591.85</v>
      </c>
      <c r="N640" s="2">
        <f>(Tabla2[[#This Row],[Productividad (kg/TAS)]]*Tabla2[[#This Row],[Precio por kg]]-Tabla2[[#This Row],[Costos (En RD$/Tarea)]])</f>
        <v>-1216.0493191184373</v>
      </c>
      <c r="O640" s="6">
        <f>IF(Tabla2[[#This Row],[Costos (En RD$/Tarea)]]=0,0,Tabla2[[#This Row],[Beneficio Neto  (En RD$/Tarea)]]/Tabla2[[#This Row],[Costos (En RD$/Tarea)]])</f>
        <v>-0.33855793508037291</v>
      </c>
      <c r="P640" s="4">
        <f>Tabla2[[#This Row],[Rentabilidad (%)]]/12</f>
        <v>-2.8213161256697743E-2</v>
      </c>
    </row>
    <row r="641" spans="1:16" x14ac:dyDescent="0.35">
      <c r="A641" s="1">
        <v>38139</v>
      </c>
      <c r="B641" t="s">
        <v>22</v>
      </c>
      <c r="C641" s="2">
        <v>3019</v>
      </c>
      <c r="D641" s="5" t="s">
        <v>17</v>
      </c>
      <c r="E641" s="2">
        <f>IF(Tabla2[[#This Row],[Frecuencia]]="Annual", Tabla2[[#This Row],[Cosecha/Tarea]]/12,Tabla2[[#This Row],[Cosecha/Tarea]])</f>
        <v>3019</v>
      </c>
      <c r="F641" s="2">
        <v>27016</v>
      </c>
      <c r="G641" t="s">
        <v>18</v>
      </c>
      <c r="H641">
        <f>F641/Tabla2[[#This Row],[Cosecha Mensual]]</f>
        <v>8.9486584961907916</v>
      </c>
      <c r="I641">
        <f>H641*_xlfn.XLOOKUP(Tabla2[[#This Row],[Unidad de producción]],Tabla3[Medida],Tabla3[Equivalencia en Kg],"ELVIS",0)</f>
        <v>405.91114938721432</v>
      </c>
      <c r="J641">
        <v>862.5</v>
      </c>
      <c r="K641" t="s">
        <v>18</v>
      </c>
      <c r="L641">
        <f>J641/_xlfn.XLOOKUP(Tabla2[[#This Row],[Unidad de precio]],Tabla3[Medida],Tabla3[Equivalencia en Kg],"ELVIS",0)</f>
        <v>19.014550264550266</v>
      </c>
      <c r="M641">
        <v>3985.16</v>
      </c>
      <c r="N641" s="2">
        <f>(Tabla2[[#This Row],[Productividad (kg/TAS)]]*Tabla2[[#This Row],[Precio por kg]]-Tabla2[[#This Row],[Costos (En RD$/Tarea)]])</f>
        <v>3733.0579529645584</v>
      </c>
      <c r="O641" s="6">
        <f>IF(Tabla2[[#This Row],[Costos (En RD$/Tarea)]]=0,0,Tabla2[[#This Row],[Beneficio Neto  (En RD$/Tarea)]]/Tabla2[[#This Row],[Costos (En RD$/Tarea)]])</f>
        <v>0.93673979287269737</v>
      </c>
      <c r="P641" s="4">
        <f>Tabla2[[#This Row],[Rentabilidad (%)]]/12</f>
        <v>7.8061649406058115E-2</v>
      </c>
    </row>
    <row r="642" spans="1:16" x14ac:dyDescent="0.35">
      <c r="A642" s="1">
        <v>38139</v>
      </c>
      <c r="B642" t="s">
        <v>23</v>
      </c>
      <c r="C642" s="2">
        <v>4544</v>
      </c>
      <c r="D642" s="5" t="s">
        <v>17</v>
      </c>
      <c r="E642" s="2">
        <f>IF(Tabla2[[#This Row],[Frecuencia]]="Annual", Tabla2[[#This Row],[Cosecha/Tarea]]/12,Tabla2[[#This Row],[Cosecha/Tarea]])</f>
        <v>4544</v>
      </c>
      <c r="F642" s="2">
        <v>106118</v>
      </c>
      <c r="G642" t="s">
        <v>18</v>
      </c>
      <c r="H642">
        <f>F642/Tabla2[[#This Row],[Cosecha Mensual]]</f>
        <v>23.353433098591548</v>
      </c>
      <c r="I642">
        <f>H642*_xlfn.XLOOKUP(Tabla2[[#This Row],[Unidad de producción]],Tabla3[Medida],Tabla3[Equivalencia en Kg],"ELVIS",0)</f>
        <v>1059.3117253521127</v>
      </c>
      <c r="J642">
        <v>337.5</v>
      </c>
      <c r="K642" t="s">
        <v>18</v>
      </c>
      <c r="L642">
        <f>J642/_xlfn.XLOOKUP(Tabla2[[#This Row],[Unidad de precio]],Tabla3[Medida],Tabla3[Equivalencia en Kg],"ELVIS",0)</f>
        <v>7.4404761904761907</v>
      </c>
      <c r="M642">
        <v>9274.52</v>
      </c>
      <c r="N642" s="2">
        <f>(Tabla2[[#This Row],[Productividad (kg/TAS)]]*Tabla2[[#This Row],[Precio por kg]]-Tabla2[[#This Row],[Costos (En RD$/Tarea)]])</f>
        <v>-1392.7363292253522</v>
      </c>
      <c r="O642" s="6">
        <f>IF(Tabla2[[#This Row],[Costos (En RD$/Tarea)]]=0,0,Tabla2[[#This Row],[Beneficio Neto  (En RD$/Tarea)]]/Tabla2[[#This Row],[Costos (En RD$/Tarea)]])</f>
        <v>-0.1501680226281632</v>
      </c>
      <c r="P642" s="4">
        <f>Tabla2[[#This Row],[Rentabilidad (%)]]/12</f>
        <v>-1.2514001885680267E-2</v>
      </c>
    </row>
    <row r="643" spans="1:16" x14ac:dyDescent="0.35">
      <c r="A643" s="1">
        <v>38139</v>
      </c>
      <c r="B643" t="s">
        <v>24</v>
      </c>
      <c r="C643" s="2">
        <v>7795</v>
      </c>
      <c r="D643" s="5" t="s">
        <v>17</v>
      </c>
      <c r="E643" s="2">
        <f>IF(Tabla2[[#This Row],[Frecuencia]]="Annual", Tabla2[[#This Row],[Cosecha/Tarea]]/12,Tabla2[[#This Row],[Cosecha/Tarea]])</f>
        <v>7795</v>
      </c>
      <c r="F643" s="2">
        <v>101147</v>
      </c>
      <c r="G643" t="s">
        <v>18</v>
      </c>
      <c r="H643">
        <f>F643/Tabla2[[#This Row],[Cosecha Mensual]]</f>
        <v>12.9758819756254</v>
      </c>
      <c r="I643">
        <f>H643*_xlfn.XLOOKUP(Tabla2[[#This Row],[Unidad de producción]],Tabla3[Medida],Tabla3[Equivalencia en Kg],"ELVIS",0)</f>
        <v>588.58600641436817</v>
      </c>
      <c r="J643">
        <v>938.41875000000005</v>
      </c>
      <c r="K643" t="s">
        <v>18</v>
      </c>
      <c r="L643">
        <f>J643/_xlfn.XLOOKUP(Tabla2[[#This Row],[Unidad de precio]],Tabla3[Medida],Tabla3[Equivalencia en Kg],"ELVIS",0)</f>
        <v>20.688244047619047</v>
      </c>
      <c r="M643">
        <v>2563.46</v>
      </c>
      <c r="N643" s="2">
        <f>(Tabla2[[#This Row],[Productividad (kg/TAS)]]*Tabla2[[#This Row],[Precio por kg]]-Tabla2[[#This Row],[Costos (En RD$/Tarea)]])</f>
        <v>9613.3509437139182</v>
      </c>
      <c r="O643" s="6">
        <f>IF(Tabla2[[#This Row],[Costos (En RD$/Tarea)]]=0,0,Tabla2[[#This Row],[Beneficio Neto  (En RD$/Tarea)]]/Tabla2[[#This Row],[Costos (En RD$/Tarea)]])</f>
        <v>3.7501466548001208</v>
      </c>
      <c r="P643" s="4">
        <f>Tabla2[[#This Row],[Rentabilidad (%)]]/12</f>
        <v>0.31251222123334338</v>
      </c>
    </row>
    <row r="644" spans="1:16" x14ac:dyDescent="0.35">
      <c r="A644" s="1">
        <v>38139</v>
      </c>
      <c r="B644" t="s">
        <v>25</v>
      </c>
      <c r="C644" s="2">
        <v>16957</v>
      </c>
      <c r="D644" s="5" t="s">
        <v>17</v>
      </c>
      <c r="E644" s="2">
        <f>IF(Tabla2[[#This Row],[Frecuencia]]="Annual", Tabla2[[#This Row],[Cosecha/Tarea]]/12,Tabla2[[#This Row],[Cosecha/Tarea]])</f>
        <v>16957</v>
      </c>
      <c r="F644" s="2">
        <v>134004</v>
      </c>
      <c r="G644" t="s">
        <v>18</v>
      </c>
      <c r="H644">
        <f>F644/Tabla2[[#This Row],[Cosecha Mensual]]</f>
        <v>7.9025771067995514</v>
      </c>
      <c r="I644">
        <f>H644*_xlfn.XLOOKUP(Tabla2[[#This Row],[Unidad de producción]],Tabla3[Medida],Tabla3[Equivalencia en Kg],"ELVIS",0)</f>
        <v>358.46089756442763</v>
      </c>
      <c r="J644">
        <v>497.83249999999998</v>
      </c>
      <c r="K644" t="s">
        <v>18</v>
      </c>
      <c r="L644">
        <f>J644/_xlfn.XLOOKUP(Tabla2[[#This Row],[Unidad de precio]],Tabla3[Medida],Tabla3[Equivalencia en Kg],"ELVIS",0)</f>
        <v>10.975143298059965</v>
      </c>
      <c r="M644">
        <v>1852.92</v>
      </c>
      <c r="N644" s="2">
        <f>(Tabla2[[#This Row],[Productividad (kg/TAS)]]*Tabla2[[#This Row],[Precio por kg]]-Tabla2[[#This Row],[Costos (En RD$/Tarea)]])</f>
        <v>2081.2397175207875</v>
      </c>
      <c r="O644" s="6">
        <f>IF(Tabla2[[#This Row],[Costos (En RD$/Tarea)]]=0,0,Tabla2[[#This Row],[Beneficio Neto  (En RD$/Tarea)]]/Tabla2[[#This Row],[Costos (En RD$/Tarea)]])</f>
        <v>1.1232215732577702</v>
      </c>
      <c r="P644" s="4">
        <f>Tabla2[[#This Row],[Rentabilidad (%)]]/12</f>
        <v>9.3601797771480852E-2</v>
      </c>
    </row>
    <row r="645" spans="1:16" x14ac:dyDescent="0.35">
      <c r="A645" s="1">
        <v>38139</v>
      </c>
      <c r="B645" t="s">
        <v>26</v>
      </c>
      <c r="C645" s="2">
        <v>10672</v>
      </c>
      <c r="D645" s="5" t="s">
        <v>17</v>
      </c>
      <c r="E645" s="2">
        <f>IF(Tabla2[[#This Row],[Frecuencia]]="Annual", Tabla2[[#This Row],[Cosecha/Tarea]]/12,Tabla2[[#This Row],[Cosecha/Tarea]])</f>
        <v>10672</v>
      </c>
      <c r="F645" s="2">
        <v>93137</v>
      </c>
      <c r="G645" t="s">
        <v>18</v>
      </c>
      <c r="H645">
        <f>F645/Tabla2[[#This Row],[Cosecha Mensual]]</f>
        <v>8.7272301349325332</v>
      </c>
      <c r="I645">
        <f>H645*_xlfn.XLOOKUP(Tabla2[[#This Row],[Unidad de producción]],Tabla3[Medida],Tabla3[Equivalencia en Kg],"ELVIS",0)</f>
        <v>395.86715892053968</v>
      </c>
      <c r="J645">
        <v>460</v>
      </c>
      <c r="K645" t="s">
        <v>18</v>
      </c>
      <c r="L645">
        <f>J645/_xlfn.XLOOKUP(Tabla2[[#This Row],[Unidad de precio]],Tabla3[Medida],Tabla3[Equivalencia en Kg],"ELVIS",0)</f>
        <v>10.141093474426809</v>
      </c>
      <c r="M645">
        <v>1244.4000000000001</v>
      </c>
      <c r="N645" s="2">
        <f>(Tabla2[[#This Row],[Productividad (kg/TAS)]]*Tabla2[[#This Row],[Precio por kg]]-Tabla2[[#This Row],[Costos (En RD$/Tarea)]])</f>
        <v>2770.1258620689655</v>
      </c>
      <c r="O645" s="6">
        <f>IF(Tabla2[[#This Row],[Costos (En RD$/Tarea)]]=0,0,Tabla2[[#This Row],[Beneficio Neto  (En RD$/Tarea)]]/Tabla2[[#This Row],[Costos (En RD$/Tarea)]])</f>
        <v>2.2260734989303805</v>
      </c>
      <c r="P645" s="4">
        <f>Tabla2[[#This Row],[Rentabilidad (%)]]/12</f>
        <v>0.18550612491086504</v>
      </c>
    </row>
    <row r="646" spans="1:16" x14ac:dyDescent="0.35">
      <c r="A646" s="1">
        <v>38139</v>
      </c>
      <c r="B646" t="s">
        <v>27</v>
      </c>
      <c r="C646" s="2">
        <v>5409</v>
      </c>
      <c r="D646" s="5" t="s">
        <v>17</v>
      </c>
      <c r="E646" s="2">
        <f>IF(Tabla2[[#This Row],[Frecuencia]]="Annual", Tabla2[[#This Row],[Cosecha/Tarea]]/12,Tabla2[[#This Row],[Cosecha/Tarea]])</f>
        <v>5409</v>
      </c>
      <c r="F646" s="2">
        <v>55868</v>
      </c>
      <c r="G646" t="s">
        <v>18</v>
      </c>
      <c r="H646">
        <f>F646/Tabla2[[#This Row],[Cosecha Mensual]]</f>
        <v>10.328711406914401</v>
      </c>
      <c r="I646">
        <f>H646*_xlfn.XLOOKUP(Tabla2[[#This Row],[Unidad de producción]],Tabla3[Medida],Tabla3[Equivalencia en Kg],"ELVIS",0)</f>
        <v>468.5103494176372</v>
      </c>
      <c r="J646">
        <v>327</v>
      </c>
      <c r="K646" t="s">
        <v>18</v>
      </c>
      <c r="L646">
        <f>J646/_xlfn.XLOOKUP(Tabla2[[#This Row],[Unidad de precio]],Tabla3[Medida],Tabla3[Equivalencia en Kg],"ELVIS",0)</f>
        <v>7.2089947089947088</v>
      </c>
      <c r="M646">
        <v>4235.82</v>
      </c>
      <c r="N646" s="2">
        <f>(Tabla2[[#This Row],[Productividad (kg/TAS)]]*Tabla2[[#This Row],[Precio por kg]]-Tabla2[[#This Row],[Costos (En RD$/Tarea)]])</f>
        <v>-858.33136993899097</v>
      </c>
      <c r="O646" s="6">
        <f>IF(Tabla2[[#This Row],[Costos (En RD$/Tarea)]]=0,0,Tabla2[[#This Row],[Beneficio Neto  (En RD$/Tarea)]]/Tabla2[[#This Row],[Costos (En RD$/Tarea)]])</f>
        <v>-0.20263641276989841</v>
      </c>
      <c r="P646" s="4">
        <f>Tabla2[[#This Row],[Rentabilidad (%)]]/12</f>
        <v>-1.6886367730824869E-2</v>
      </c>
    </row>
    <row r="647" spans="1:16" x14ac:dyDescent="0.35">
      <c r="A647" s="1">
        <v>38139</v>
      </c>
      <c r="B647" t="s">
        <v>28</v>
      </c>
      <c r="C647" s="2">
        <v>10150</v>
      </c>
      <c r="D647" s="5" t="s">
        <v>17</v>
      </c>
      <c r="E647" s="2">
        <f>IF(Tabla2[[#This Row],[Frecuencia]]="Annual", Tabla2[[#This Row],[Cosecha/Tarea]]/12,Tabla2[[#This Row],[Cosecha/Tarea]])</f>
        <v>10150</v>
      </c>
      <c r="F647" s="2">
        <v>17255</v>
      </c>
      <c r="G647" t="s">
        <v>29</v>
      </c>
      <c r="H647">
        <f>F647/Tabla2[[#This Row],[Cosecha Mensual]]</f>
        <v>1.7</v>
      </c>
      <c r="I647">
        <f>H647*_xlfn.XLOOKUP(Tabla2[[#This Row],[Unidad de producción]],Tabla3[Medida],Tabla3[Equivalencia en Kg],"ELVIS",0)</f>
        <v>955.97800000000007</v>
      </c>
      <c r="J647">
        <v>3000</v>
      </c>
      <c r="K647" t="s">
        <v>29</v>
      </c>
      <c r="L647">
        <f>J647/_xlfn.XLOOKUP(Tabla2[[#This Row],[Unidad de precio]],Tabla3[Medida],Tabla3[Equivalencia en Kg],"ELVIS",0)</f>
        <v>5.3348508020059038</v>
      </c>
      <c r="M647">
        <v>7896.8729194799998</v>
      </c>
      <c r="N647" s="2">
        <f>(Tabla2[[#This Row],[Productividad (kg/TAS)]]*Tabla2[[#This Row],[Precio por kg]]-Tabla2[[#This Row],[Costos (En RD$/Tarea)]])</f>
        <v>-2796.8729194799998</v>
      </c>
      <c r="O647" s="6">
        <f>IF(Tabla2[[#This Row],[Costos (En RD$/Tarea)]]=0,0,Tabla2[[#This Row],[Beneficio Neto  (En RD$/Tarea)]]/Tabla2[[#This Row],[Costos (En RD$/Tarea)]])</f>
        <v>-0.35417474081173017</v>
      </c>
      <c r="P647" s="4">
        <f>Tabla2[[#This Row],[Rentabilidad (%)]]/12</f>
        <v>-2.9514561734310846E-2</v>
      </c>
    </row>
    <row r="648" spans="1:16" x14ac:dyDescent="0.35">
      <c r="A648" s="1">
        <v>38139</v>
      </c>
      <c r="B648" t="s">
        <v>30</v>
      </c>
      <c r="C648" s="2">
        <v>261629</v>
      </c>
      <c r="D648" s="2" t="s">
        <v>31</v>
      </c>
      <c r="E648" s="2">
        <f>IF(Tabla2[[#This Row],[Frecuencia]]="Annual", Tabla2[[#This Row],[Cosecha/Tarea]]/12,Tabla2[[#This Row],[Cosecha/Tarea]])</f>
        <v>21802.416666666668</v>
      </c>
      <c r="F648" s="2">
        <v>1883858</v>
      </c>
      <c r="G648" t="s">
        <v>32</v>
      </c>
      <c r="H648">
        <f>F648/Tabla2[[#This Row],[Cosecha Mensual]]</f>
        <v>86.405925948576026</v>
      </c>
      <c r="I648">
        <f>H648*_xlfn.XLOOKUP(Tabla2[[#This Row],[Unidad de producción]],Tabla3[Medida],Tabla3[Equivalencia en Kg],"ELVIS",0)</f>
        <v>2351.1052450607535</v>
      </c>
      <c r="J648">
        <v>58.75</v>
      </c>
      <c r="K648" t="s">
        <v>32</v>
      </c>
      <c r="L648">
        <f>J648/_xlfn.XLOOKUP(Tabla2[[#This Row],[Unidad de precio]],Tabla3[Medida],Tabla3[Equivalencia en Kg],"ELVIS",0)</f>
        <v>2.1591326718118338</v>
      </c>
      <c r="M648" s="2">
        <v>6693.79</v>
      </c>
      <c r="N648" s="2">
        <f>(Tabla2[[#This Row],[Productividad (kg/TAS)]]*Tabla2[[#This Row],[Precio por kg]]-Tabla2[[#This Row],[Costos (En RD$/Tarea)]])</f>
        <v>-1617.4418505211588</v>
      </c>
      <c r="O648" s="6">
        <f>IF(Tabla2[[#This Row],[Costos (En RD$/Tarea)]]=0,0,Tabla2[[#This Row],[Beneficio Neto  (En RD$/Tarea)]]/Tabla2[[#This Row],[Costos (En RD$/Tarea)]])</f>
        <v>-0.24163319293272703</v>
      </c>
      <c r="P648" s="4">
        <f>Tabla2[[#This Row],[Rentabilidad (%)]]/12</f>
        <v>-2.0136099411060586E-2</v>
      </c>
    </row>
    <row r="649" spans="1:16" x14ac:dyDescent="0.35">
      <c r="A649" s="1">
        <v>38139</v>
      </c>
      <c r="B649" t="s">
        <v>33</v>
      </c>
      <c r="C649" s="2">
        <v>556553</v>
      </c>
      <c r="D649" s="2" t="s">
        <v>31</v>
      </c>
      <c r="E649" s="2">
        <f>IF(Tabla2[[#This Row],[Frecuencia]]="Annual", Tabla2[[#This Row],[Cosecha/Tarea]]/12,Tabla2[[#This Row],[Cosecha/Tarea]])</f>
        <v>46379.416666666664</v>
      </c>
      <c r="F649" s="2">
        <v>94446</v>
      </c>
      <c r="G649" t="s">
        <v>34</v>
      </c>
      <c r="H649">
        <f>F649/Tabla2[[#This Row],[Cosecha Mensual]]</f>
        <v>2.0363774878582994</v>
      </c>
      <c r="I649">
        <f>H649*_xlfn.XLOOKUP(Tabla2[[#This Row],[Unidad de producción]],Tabla3[Medida],Tabla3[Equivalencia en Kg],"ELVIS",0)</f>
        <v>831.1474716693649</v>
      </c>
      <c r="J649">
        <v>2486.75</v>
      </c>
      <c r="K649" t="s">
        <v>34</v>
      </c>
      <c r="L649">
        <f>J649/_xlfn.XLOOKUP(Tabla2[[#This Row],[Unidad de precio]],Tabla3[Medida],Tabla3[Equivalencia en Kg],"ELVIS",0)</f>
        <v>6.0927355139042021</v>
      </c>
      <c r="M649" s="2">
        <v>8906.2800000000007</v>
      </c>
      <c r="N649" s="2">
        <f>(Tabla2[[#This Row],[Productividad (kg/TAS)]]*Tabla2[[#This Row],[Precio por kg]]-Tabla2[[#This Row],[Costos (En RD$/Tarea)]])</f>
        <v>-3842.3182820683742</v>
      </c>
      <c r="O649" s="6">
        <f>IF(Tabla2[[#This Row],[Costos (En RD$/Tarea)]]=0,0,Tabla2[[#This Row],[Beneficio Neto  (En RD$/Tarea)]]/Tabla2[[#This Row],[Costos (En RD$/Tarea)]])</f>
        <v>-0.43141673988111467</v>
      </c>
      <c r="P649" s="4">
        <f>Tabla2[[#This Row],[Rentabilidad (%)]]/12</f>
        <v>-3.5951394990092887E-2</v>
      </c>
    </row>
    <row r="650" spans="1:16" x14ac:dyDescent="0.35">
      <c r="A650" s="1">
        <v>38169</v>
      </c>
      <c r="B650" t="s">
        <v>16</v>
      </c>
      <c r="C650" s="2">
        <v>259272</v>
      </c>
      <c r="D650" s="5" t="s">
        <v>17</v>
      </c>
      <c r="E650" s="2">
        <f>IF(Tabla2[[#This Row],[Frecuencia]]="Annual", Tabla2[[#This Row],[Cosecha/Tarea]]/12,Tabla2[[#This Row],[Cosecha/Tarea]])</f>
        <v>259272</v>
      </c>
      <c r="F650" s="2">
        <v>1275879</v>
      </c>
      <c r="G650" t="s">
        <v>18</v>
      </c>
      <c r="H650">
        <f>F650/Tabla2[[#This Row],[Cosecha Mensual]]</f>
        <v>4.9210057391465334</v>
      </c>
      <c r="I650">
        <f>H650*_xlfn.XLOOKUP(Tabla2[[#This Row],[Unidad de producción]],Tabla3[Medida],Tabla3[Equivalencia en Kg],"ELVIS",0)</f>
        <v>223.21682032768675</v>
      </c>
      <c r="J650">
        <v>1409.69</v>
      </c>
      <c r="K650" t="s">
        <v>19</v>
      </c>
      <c r="L650">
        <f>J650/_xlfn.XLOOKUP(Tabla2[[#This Row],[Unidad de precio]],Tabla3[Medida],Tabla3[Equivalencia en Kg],"ELVIS",0)</f>
        <v>12.815363636363637</v>
      </c>
      <c r="M650">
        <v>4376.41</v>
      </c>
      <c r="N650" s="2">
        <f>(Tabla2[[#This Row],[Productividad (kg/TAS)]]*Tabla2[[#This Row],[Precio por kg]]-Tabla2[[#This Row],[Costos (En RD$/Tarea)]])</f>
        <v>-1515.8052777478474</v>
      </c>
      <c r="O650" s="6">
        <f>IF(Tabla2[[#This Row],[Costos (En RD$/Tarea)]]=0,0,Tabla2[[#This Row],[Beneficio Neto  (En RD$/Tarea)]]/Tabla2[[#This Row],[Costos (En RD$/Tarea)]])</f>
        <v>-0.34635815148668597</v>
      </c>
      <c r="P650" s="4">
        <f>Tabla2[[#This Row],[Rentabilidad (%)]]/12</f>
        <v>-2.8863179290557164E-2</v>
      </c>
    </row>
    <row r="651" spans="1:16" x14ac:dyDescent="0.35">
      <c r="A651" s="1">
        <v>38169</v>
      </c>
      <c r="B651" t="s">
        <v>20</v>
      </c>
      <c r="C651" s="2">
        <v>39617</v>
      </c>
      <c r="D651" s="5" t="s">
        <v>17</v>
      </c>
      <c r="E651" s="2">
        <f>IF(Tabla2[[#This Row],[Frecuencia]]="Annual", Tabla2[[#This Row],[Cosecha/Tarea]]/12,Tabla2[[#This Row],[Cosecha/Tarea]])</f>
        <v>39617</v>
      </c>
      <c r="F651" s="2">
        <v>86092</v>
      </c>
      <c r="G651" t="s">
        <v>18</v>
      </c>
      <c r="H651">
        <f>F651/Tabla2[[#This Row],[Cosecha Mensual]]</f>
        <v>2.1731075043541912</v>
      </c>
      <c r="I651">
        <f>H651*_xlfn.XLOOKUP(Tabla2[[#This Row],[Unidad de producción]],Tabla3[Medida],Tabla3[Equivalencia en Kg],"ELVIS",0)</f>
        <v>98.572156397506106</v>
      </c>
      <c r="J651">
        <v>462.64</v>
      </c>
      <c r="K651" t="s">
        <v>18</v>
      </c>
      <c r="L651">
        <f>J651/_xlfn.XLOOKUP(Tabla2[[#This Row],[Unidad de precio]],Tabla3[Medida],Tabla3[Equivalencia en Kg],"ELVIS",0)</f>
        <v>10.199294532627865</v>
      </c>
      <c r="M651">
        <v>1100.6600000000001</v>
      </c>
      <c r="N651" s="2">
        <f>(Tabla2[[#This Row],[Productividad (kg/TAS)]]*Tabla2[[#This Row],[Precio por kg]]-Tabla2[[#This Row],[Costos (En RD$/Tarea)]])</f>
        <v>-95.293544185577161</v>
      </c>
      <c r="O651" s="6">
        <f>IF(Tabla2[[#This Row],[Costos (En RD$/Tarea)]]=0,0,Tabla2[[#This Row],[Beneficio Neto  (En RD$/Tarea)]]/Tabla2[[#This Row],[Costos (En RD$/Tarea)]])</f>
        <v>-8.6578547585609678E-2</v>
      </c>
      <c r="P651" s="4">
        <f>Tabla2[[#This Row],[Rentabilidad (%)]]/12</f>
        <v>-7.2148789654674734E-3</v>
      </c>
    </row>
    <row r="652" spans="1:16" x14ac:dyDescent="0.35">
      <c r="A652" s="1">
        <v>38169</v>
      </c>
      <c r="B652" t="s">
        <v>21</v>
      </c>
      <c r="C652" s="2">
        <v>4879</v>
      </c>
      <c r="D652" s="5" t="s">
        <v>17</v>
      </c>
      <c r="E652" s="2">
        <f>IF(Tabla2[[#This Row],[Frecuencia]]="Annual", Tabla2[[#This Row],[Cosecha/Tarea]]/12,Tabla2[[#This Row],[Cosecha/Tarea]])</f>
        <v>4879</v>
      </c>
      <c r="F652" s="2">
        <v>46711</v>
      </c>
      <c r="G652" t="s">
        <v>18</v>
      </c>
      <c r="H652">
        <f>F652/Tabla2[[#This Row],[Cosecha Mensual]]</f>
        <v>9.573888091822095</v>
      </c>
      <c r="I652">
        <f>H652*_xlfn.XLOOKUP(Tabla2[[#This Row],[Unidad de producción]],Tabla3[Medida],Tabla3[Equivalencia en Kg],"ELVIS",0)</f>
        <v>434.2715638450502</v>
      </c>
      <c r="J652">
        <v>286.666</v>
      </c>
      <c r="K652" t="s">
        <v>18</v>
      </c>
      <c r="L652">
        <f>J652/_xlfn.XLOOKUP(Tabla2[[#This Row],[Unidad de precio]],Tabla3[Medida],Tabla3[Equivalencia en Kg],"ELVIS",0)</f>
        <v>6.3197971781305116</v>
      </c>
      <c r="M652">
        <v>3591.85</v>
      </c>
      <c r="N652" s="2">
        <f>(Tabla2[[#This Row],[Productividad (kg/TAS)]]*Tabla2[[#This Row],[Precio por kg]]-Tabla2[[#This Row],[Costos (En RD$/Tarea)]])</f>
        <v>-847.34179626972718</v>
      </c>
      <c r="O652" s="6">
        <f>IF(Tabla2[[#This Row],[Costos (En RD$/Tarea)]]=0,0,Tabla2[[#This Row],[Beneficio Neto  (En RD$/Tarea)]]/Tabla2[[#This Row],[Costos (En RD$/Tarea)]])</f>
        <v>-0.23590678794207084</v>
      </c>
      <c r="P652" s="4">
        <f>Tabla2[[#This Row],[Rentabilidad (%)]]/12</f>
        <v>-1.965889899517257E-2</v>
      </c>
    </row>
    <row r="653" spans="1:16" x14ac:dyDescent="0.35">
      <c r="A653" s="1">
        <v>38169</v>
      </c>
      <c r="B653" t="s">
        <v>22</v>
      </c>
      <c r="C653" s="2">
        <v>2183</v>
      </c>
      <c r="D653" s="5" t="s">
        <v>17</v>
      </c>
      <c r="E653" s="2">
        <f>IF(Tabla2[[#This Row],[Frecuencia]]="Annual", Tabla2[[#This Row],[Cosecha/Tarea]]/12,Tabla2[[#This Row],[Cosecha/Tarea]])</f>
        <v>2183</v>
      </c>
      <c r="F653" s="2">
        <v>23864</v>
      </c>
      <c r="G653" t="s">
        <v>18</v>
      </c>
      <c r="H653">
        <f>F653/Tabla2[[#This Row],[Cosecha Mensual]]</f>
        <v>10.931745304626661</v>
      </c>
      <c r="I653">
        <f>H653*_xlfn.XLOOKUP(Tabla2[[#This Row],[Unidad de producción]],Tabla3[Medida],Tabla3[Equivalencia en Kg],"ELVIS",0)</f>
        <v>495.86396701786532</v>
      </c>
      <c r="J653">
        <v>775</v>
      </c>
      <c r="K653" t="s">
        <v>18</v>
      </c>
      <c r="L653">
        <f>J653/_xlfn.XLOOKUP(Tabla2[[#This Row],[Unidad de precio]],Tabla3[Medida],Tabla3[Equivalencia en Kg],"ELVIS",0)</f>
        <v>17.085537918871253</v>
      </c>
      <c r="M653">
        <v>3985.16</v>
      </c>
      <c r="N653" s="2">
        <f>(Tabla2[[#This Row],[Productividad (kg/TAS)]]*Tabla2[[#This Row],[Precio por kg]]-Tabla2[[#This Row],[Costos (En RD$/Tarea)]])</f>
        <v>4486.9426110856621</v>
      </c>
      <c r="O653" s="6">
        <f>IF(Tabla2[[#This Row],[Costos (En RD$/Tarea)]]=0,0,Tabla2[[#This Row],[Beneficio Neto  (En RD$/Tarea)]]/Tabla2[[#This Row],[Costos (En RD$/Tarea)]])</f>
        <v>1.1259127892194196</v>
      </c>
      <c r="P653" s="4">
        <f>Tabla2[[#This Row],[Rentabilidad (%)]]/12</f>
        <v>9.3826065768284964E-2</v>
      </c>
    </row>
    <row r="654" spans="1:16" x14ac:dyDescent="0.35">
      <c r="A654" s="1">
        <v>38169</v>
      </c>
      <c r="B654" t="s">
        <v>23</v>
      </c>
      <c r="C654" s="2">
        <v>2084</v>
      </c>
      <c r="D654" s="5" t="s">
        <v>17</v>
      </c>
      <c r="E654" s="2">
        <f>IF(Tabla2[[#This Row],[Frecuencia]]="Annual", Tabla2[[#This Row],[Cosecha/Tarea]]/12,Tabla2[[#This Row],[Cosecha/Tarea]])</f>
        <v>2084</v>
      </c>
      <c r="F654" s="2">
        <v>47897</v>
      </c>
      <c r="G654" t="s">
        <v>18</v>
      </c>
      <c r="H654">
        <f>F654/Tabla2[[#This Row],[Cosecha Mensual]]</f>
        <v>22.983205374280232</v>
      </c>
      <c r="I654">
        <f>H654*_xlfn.XLOOKUP(Tabla2[[#This Row],[Unidad de producción]],Tabla3[Medida],Tabla3[Equivalencia en Kg],"ELVIS",0)</f>
        <v>1042.5181957773514</v>
      </c>
      <c r="J654">
        <v>675</v>
      </c>
      <c r="K654" t="s">
        <v>18</v>
      </c>
      <c r="L654">
        <f>J654/_xlfn.XLOOKUP(Tabla2[[#This Row],[Unidad de precio]],Tabla3[Medida],Tabla3[Equivalencia en Kg],"ELVIS",0)</f>
        <v>14.880952380952381</v>
      </c>
      <c r="M654">
        <v>9274.52</v>
      </c>
      <c r="N654" s="2">
        <f>(Tabla2[[#This Row],[Productividad (kg/TAS)]]*Tabla2[[#This Row],[Precio por kg]]-Tabla2[[#This Row],[Costos (En RD$/Tarea)]])</f>
        <v>6239.1436276391578</v>
      </c>
      <c r="O654" s="6">
        <f>IF(Tabla2[[#This Row],[Costos (En RD$/Tarea)]]=0,0,Tabla2[[#This Row],[Beneficio Neto  (En RD$/Tarea)]]/Tabla2[[#This Row],[Costos (En RD$/Tarea)]])</f>
        <v>0.67271876362756855</v>
      </c>
      <c r="P654" s="4">
        <f>Tabla2[[#This Row],[Rentabilidad (%)]]/12</f>
        <v>5.6059896968964046E-2</v>
      </c>
    </row>
    <row r="655" spans="1:16" x14ac:dyDescent="0.35">
      <c r="A655" s="1">
        <v>38169</v>
      </c>
      <c r="B655" t="s">
        <v>24</v>
      </c>
      <c r="C655" s="2">
        <v>4645</v>
      </c>
      <c r="D655" s="5" t="s">
        <v>17</v>
      </c>
      <c r="E655" s="2">
        <f>IF(Tabla2[[#This Row],[Frecuencia]]="Annual", Tabla2[[#This Row],[Cosecha/Tarea]]/12,Tabla2[[#This Row],[Cosecha/Tarea]])</f>
        <v>4645</v>
      </c>
      <c r="F655" s="2">
        <v>84203</v>
      </c>
      <c r="G655" t="s">
        <v>18</v>
      </c>
      <c r="H655">
        <f>F655/Tabla2[[#This Row],[Cosecha Mensual]]</f>
        <v>18.127664155005384</v>
      </c>
      <c r="I655">
        <f>H655*_xlfn.XLOOKUP(Tabla2[[#This Row],[Unidad de producción]],Tabla3[Medida],Tabla3[Equivalencia en Kg],"ELVIS",0)</f>
        <v>822.27084607104416</v>
      </c>
      <c r="J655">
        <v>627.08333333333303</v>
      </c>
      <c r="K655" t="s">
        <v>18</v>
      </c>
      <c r="L655">
        <f>J655/_xlfn.XLOOKUP(Tabla2[[#This Row],[Unidad de precio]],Tabla3[Medida],Tabla3[Equivalencia en Kg],"ELVIS",0)</f>
        <v>13.824588477366248</v>
      </c>
      <c r="M655">
        <v>2563.46</v>
      </c>
      <c r="N655" s="2">
        <f>(Tabla2[[#This Row],[Productividad (kg/TAS)]]*Tabla2[[#This Row],[Precio por kg]]-Tabla2[[#This Row],[Costos (En RD$/Tarea)]])</f>
        <v>8804.0960638679535</v>
      </c>
      <c r="O655" s="6">
        <f>IF(Tabla2[[#This Row],[Costos (En RD$/Tarea)]]=0,0,Tabla2[[#This Row],[Beneficio Neto  (En RD$/Tarea)]]/Tabla2[[#This Row],[Costos (En RD$/Tarea)]])</f>
        <v>3.4344581401184153</v>
      </c>
      <c r="P655" s="4">
        <f>Tabla2[[#This Row],[Rentabilidad (%)]]/12</f>
        <v>0.28620484500986793</v>
      </c>
    </row>
    <row r="656" spans="1:16" x14ac:dyDescent="0.35">
      <c r="A656" s="1">
        <v>38169</v>
      </c>
      <c r="B656" t="s">
        <v>25</v>
      </c>
      <c r="C656" s="2">
        <v>13238</v>
      </c>
      <c r="D656" s="5" t="s">
        <v>17</v>
      </c>
      <c r="E656" s="2">
        <f>IF(Tabla2[[#This Row],[Frecuencia]]="Annual", Tabla2[[#This Row],[Cosecha/Tarea]]/12,Tabla2[[#This Row],[Cosecha/Tarea]])</f>
        <v>13238</v>
      </c>
      <c r="F656" s="2">
        <v>119227</v>
      </c>
      <c r="G656" t="s">
        <v>18</v>
      </c>
      <c r="H656">
        <f>F656/Tabla2[[#This Row],[Cosecha Mensual]]</f>
        <v>9.0064209095029462</v>
      </c>
      <c r="I656">
        <f>H656*_xlfn.XLOOKUP(Tabla2[[#This Row],[Unidad de producción]],Tabla3[Medida],Tabla3[Equivalencia en Kg],"ELVIS",0)</f>
        <v>408.53125245505362</v>
      </c>
      <c r="J656">
        <v>653.05666666666696</v>
      </c>
      <c r="K656" t="s">
        <v>18</v>
      </c>
      <c r="L656">
        <f>J656/_xlfn.XLOOKUP(Tabla2[[#This Row],[Unidad de precio]],Tabla3[Medida],Tabla3[Equivalencia en Kg],"ELVIS",0)</f>
        <v>14.397192827748389</v>
      </c>
      <c r="M656">
        <v>1852.92</v>
      </c>
      <c r="N656" s="2">
        <f>(Tabla2[[#This Row],[Productividad (kg/TAS)]]*Tabla2[[#This Row],[Precio por kg]]-Tabla2[[#This Row],[Costos (En RD$/Tarea)]])</f>
        <v>4028.7832177569644</v>
      </c>
      <c r="O656" s="6">
        <f>IF(Tabla2[[#This Row],[Costos (En RD$/Tarea)]]=0,0,Tabla2[[#This Row],[Beneficio Neto  (En RD$/Tarea)]]/Tabla2[[#This Row],[Costos (En RD$/Tarea)]])</f>
        <v>2.1742888078044191</v>
      </c>
      <c r="P656" s="4">
        <f>Tabla2[[#This Row],[Rentabilidad (%)]]/12</f>
        <v>0.18119073398370159</v>
      </c>
    </row>
    <row r="657" spans="1:16" x14ac:dyDescent="0.35">
      <c r="A657" s="1">
        <v>38169</v>
      </c>
      <c r="B657" t="s">
        <v>26</v>
      </c>
      <c r="C657" s="2">
        <v>7837</v>
      </c>
      <c r="D657" s="5" t="s">
        <v>17</v>
      </c>
      <c r="E657" s="2">
        <f>IF(Tabla2[[#This Row],[Frecuencia]]="Annual", Tabla2[[#This Row],[Cosecha/Tarea]]/12,Tabla2[[#This Row],[Cosecha/Tarea]])</f>
        <v>7837</v>
      </c>
      <c r="F657" s="2">
        <v>50574</v>
      </c>
      <c r="G657" t="s">
        <v>18</v>
      </c>
      <c r="H657">
        <f>F657/Tabla2[[#This Row],[Cosecha Mensual]]</f>
        <v>6.4532346561184131</v>
      </c>
      <c r="I657">
        <f>H657*_xlfn.XLOOKUP(Tabla2[[#This Row],[Unidad de producción]],Tabla3[Medida],Tabla3[Equivalencia en Kg],"ELVIS",0)</f>
        <v>292.7187240015312</v>
      </c>
      <c r="J657">
        <v>375</v>
      </c>
      <c r="K657" t="s">
        <v>18</v>
      </c>
      <c r="L657">
        <f>J657/_xlfn.XLOOKUP(Tabla2[[#This Row],[Unidad de precio]],Tabla3[Medida],Tabla3[Equivalencia en Kg],"ELVIS",0)</f>
        <v>8.2671957671957674</v>
      </c>
      <c r="M657">
        <v>1244.4000000000001</v>
      </c>
      <c r="N657" s="2">
        <f>(Tabla2[[#This Row],[Productividad (kg/TAS)]]*Tabla2[[#This Row],[Precio por kg]]-Tabla2[[#This Row],[Costos (En RD$/Tarea)]])</f>
        <v>1175.5629960444048</v>
      </c>
      <c r="O657" s="6">
        <f>IF(Tabla2[[#This Row],[Costos (En RD$/Tarea)]]=0,0,Tabla2[[#This Row],[Beneficio Neto  (En RD$/Tarea)]]/Tabla2[[#This Row],[Costos (En RD$/Tarea)]])</f>
        <v>0.94468257477049566</v>
      </c>
      <c r="P657" s="4">
        <f>Tabla2[[#This Row],[Rentabilidad (%)]]/12</f>
        <v>7.872354789754131E-2</v>
      </c>
    </row>
    <row r="658" spans="1:16" x14ac:dyDescent="0.35">
      <c r="A658" s="1">
        <v>38169</v>
      </c>
      <c r="B658" t="s">
        <v>27</v>
      </c>
      <c r="C658" s="2">
        <v>5184</v>
      </c>
      <c r="D658" s="5" t="s">
        <v>17</v>
      </c>
      <c r="E658" s="2">
        <f>IF(Tabla2[[#This Row],[Frecuencia]]="Annual", Tabla2[[#This Row],[Cosecha/Tarea]]/12,Tabla2[[#This Row],[Cosecha/Tarea]])</f>
        <v>5184</v>
      </c>
      <c r="F658" s="2">
        <v>47093</v>
      </c>
      <c r="G658" t="s">
        <v>18</v>
      </c>
      <c r="H658">
        <f>F658/Tabla2[[#This Row],[Cosecha Mensual]]</f>
        <v>9.0842978395061724</v>
      </c>
      <c r="I658">
        <f>H658*_xlfn.XLOOKUP(Tabla2[[#This Row],[Unidad de producción]],Tabla3[Medida],Tabla3[Equivalencia en Kg],"ELVIS",0)</f>
        <v>412.06374999999997</v>
      </c>
      <c r="J658">
        <v>355.55666666666701</v>
      </c>
      <c r="K658" t="s">
        <v>18</v>
      </c>
      <c r="L658">
        <f>J658/_xlfn.XLOOKUP(Tabla2[[#This Row],[Unidad de precio]],Tabla3[Medida],Tabla3[Equivalencia en Kg],"ELVIS",0)</f>
        <v>7.8385508524397487</v>
      </c>
      <c r="M658">
        <v>4235.82</v>
      </c>
      <c r="N658" s="2">
        <f>(Tabla2[[#This Row],[Productividad (kg/TAS)]]*Tabla2[[#This Row],[Precio por kg]]-Tabla2[[#This Row],[Costos (En RD$/Tarea)]])</f>
        <v>-1005.8373411779803</v>
      </c>
      <c r="O658" s="6">
        <f>IF(Tabla2[[#This Row],[Costos (En RD$/Tarea)]]=0,0,Tabla2[[#This Row],[Beneficio Neto  (En RD$/Tarea)]]/Tabla2[[#This Row],[Costos (En RD$/Tarea)]])</f>
        <v>-0.23745988761986589</v>
      </c>
      <c r="P658" s="4">
        <f>Tabla2[[#This Row],[Rentabilidad (%)]]/12</f>
        <v>-1.9788323968322159E-2</v>
      </c>
    </row>
    <row r="659" spans="1:16" x14ac:dyDescent="0.35">
      <c r="A659" s="1">
        <v>38169</v>
      </c>
      <c r="B659" t="s">
        <v>28</v>
      </c>
      <c r="C659" s="2">
        <v>26473</v>
      </c>
      <c r="D659" s="5" t="s">
        <v>17</v>
      </c>
      <c r="E659" s="2">
        <f>IF(Tabla2[[#This Row],[Frecuencia]]="Annual", Tabla2[[#This Row],[Cosecha/Tarea]]/12,Tabla2[[#This Row],[Cosecha/Tarea]])</f>
        <v>26473</v>
      </c>
      <c r="F659" s="2">
        <v>49412</v>
      </c>
      <c r="G659" t="s">
        <v>29</v>
      </c>
      <c r="H659">
        <f>F659/Tabla2[[#This Row],[Cosecha Mensual]]</f>
        <v>1.8665054961659049</v>
      </c>
      <c r="I659">
        <f>H659*_xlfn.XLOOKUP(Tabla2[[#This Row],[Unidad de producción]],Tabla3[Medida],Tabla3[Equivalencia en Kg],"ELVIS",0)</f>
        <v>1049.6107007139351</v>
      </c>
      <c r="J659">
        <v>4500</v>
      </c>
      <c r="K659" t="s">
        <v>29</v>
      </c>
      <c r="L659">
        <f>J659/_xlfn.XLOOKUP(Tabla2[[#This Row],[Unidad de precio]],Tabla3[Medida],Tabla3[Equivalencia en Kg],"ELVIS",0)</f>
        <v>8.0022762030088561</v>
      </c>
      <c r="M659">
        <v>7896.8729194799998</v>
      </c>
      <c r="N659" s="2">
        <f>(Tabla2[[#This Row],[Productividad (kg/TAS)]]*Tabla2[[#This Row],[Precio por kg]]-Tabla2[[#This Row],[Costos (En RD$/Tarea)]])</f>
        <v>502.4018132665733</v>
      </c>
      <c r="O659" s="6">
        <f>IF(Tabla2[[#This Row],[Costos (En RD$/Tarea)]]=0,0,Tabla2[[#This Row],[Beneficio Neto  (En RD$/Tarea)]]/Tabla2[[#This Row],[Costos (En RD$/Tarea)]])</f>
        <v>6.3620349268537532E-2</v>
      </c>
      <c r="P659" s="4">
        <f>Tabla2[[#This Row],[Rentabilidad (%)]]/12</f>
        <v>5.301695772378128E-3</v>
      </c>
    </row>
    <row r="660" spans="1:16" x14ac:dyDescent="0.35">
      <c r="A660" s="1">
        <v>38169</v>
      </c>
      <c r="B660" t="s">
        <v>30</v>
      </c>
      <c r="C660" s="2">
        <v>201549</v>
      </c>
      <c r="D660" s="2" t="s">
        <v>31</v>
      </c>
      <c r="E660" s="2">
        <f>IF(Tabla2[[#This Row],[Frecuencia]]="Annual", Tabla2[[#This Row],[Cosecha/Tarea]]/12,Tabla2[[#This Row],[Cosecha/Tarea]])</f>
        <v>16795.75</v>
      </c>
      <c r="F660" s="2">
        <v>1353025</v>
      </c>
      <c r="G660" t="s">
        <v>32</v>
      </c>
      <c r="H660">
        <f>F660/Tabla2[[#This Row],[Cosecha Mensual]]</f>
        <v>80.557581531042075</v>
      </c>
      <c r="I660">
        <f>H660*_xlfn.XLOOKUP(Tabla2[[#This Row],[Unidad de producción]],Tabla3[Medida],Tabla3[Equivalencia en Kg],"ELVIS",0)</f>
        <v>2191.9717934596551</v>
      </c>
      <c r="J660">
        <v>57.293333333333301</v>
      </c>
      <c r="K660" t="s">
        <v>32</v>
      </c>
      <c r="L660">
        <f>J660/_xlfn.XLOOKUP(Tabla2[[#This Row],[Unidad de precio]],Tabla3[Medida],Tabla3[Equivalencia en Kg],"ELVIS",0)</f>
        <v>2.1055984319490371</v>
      </c>
      <c r="M660" s="2">
        <v>6693.79</v>
      </c>
      <c r="N660" s="2">
        <f>(Tabla2[[#This Row],[Productividad (kg/TAS)]]*Tabla2[[#This Row],[Precio por kg]]-Tabla2[[#This Row],[Costos (En RD$/Tarea)]])</f>
        <v>-2078.377628814832</v>
      </c>
      <c r="O660" s="6">
        <f>IF(Tabla2[[#This Row],[Costos (En RD$/Tarea)]]=0,0,Tabla2[[#This Row],[Beneficio Neto  (En RD$/Tarea)]]/Tabla2[[#This Row],[Costos (En RD$/Tarea)]])</f>
        <v>-0.31049340191652741</v>
      </c>
      <c r="P660" s="4">
        <f>Tabla2[[#This Row],[Rentabilidad (%)]]/12</f>
        <v>-2.5874450159710616E-2</v>
      </c>
    </row>
    <row r="661" spans="1:16" x14ac:dyDescent="0.35">
      <c r="A661" s="1">
        <v>38169</v>
      </c>
      <c r="B661" t="s">
        <v>33</v>
      </c>
      <c r="C661" s="2">
        <v>562819</v>
      </c>
      <c r="D661" s="2" t="s">
        <v>31</v>
      </c>
      <c r="E661" s="2">
        <f>IF(Tabla2[[#This Row],[Frecuencia]]="Annual", Tabla2[[#This Row],[Cosecha/Tarea]]/12,Tabla2[[#This Row],[Cosecha/Tarea]])</f>
        <v>46901.583333333336</v>
      </c>
      <c r="F661" s="2">
        <v>103125</v>
      </c>
      <c r="G661" t="s">
        <v>34</v>
      </c>
      <c r="H661">
        <f>F661/Tabla2[[#This Row],[Cosecha Mensual]]</f>
        <v>2.1987530627075489</v>
      </c>
      <c r="I661">
        <f>H661*_xlfn.XLOOKUP(Tabla2[[#This Row],[Unidad de producción]],Tabla3[Medida],Tabla3[Equivalencia en Kg],"ELVIS",0)</f>
        <v>897.421062544086</v>
      </c>
      <c r="J661">
        <v>2666.6666666666702</v>
      </c>
      <c r="K661" t="s">
        <v>34</v>
      </c>
      <c r="L661">
        <f>J661/_xlfn.XLOOKUP(Tabla2[[#This Row],[Unidad de precio]],Tabla3[Medida],Tabla3[Equivalencia en Kg],"ELVIS",0)</f>
        <v>6.5335456735677333</v>
      </c>
      <c r="M661" s="2">
        <v>8906.2800000000007</v>
      </c>
      <c r="N661" s="2">
        <f>(Tabla2[[#This Row],[Productividad (kg/TAS)]]*Tabla2[[#This Row],[Precio por kg]]-Tabla2[[#This Row],[Costos (En RD$/Tarea)]])</f>
        <v>-3042.938499446529</v>
      </c>
      <c r="O661" s="6">
        <f>IF(Tabla2[[#This Row],[Costos (En RD$/Tarea)]]=0,0,Tabla2[[#This Row],[Beneficio Neto  (En RD$/Tarea)]]/Tabla2[[#This Row],[Costos (En RD$/Tarea)]])</f>
        <v>-0.34166211925141909</v>
      </c>
      <c r="P661" s="4">
        <f>Tabla2[[#This Row],[Rentabilidad (%)]]/12</f>
        <v>-2.8471843270951591E-2</v>
      </c>
    </row>
    <row r="662" spans="1:16" x14ac:dyDescent="0.35">
      <c r="A662" s="1">
        <v>38200</v>
      </c>
      <c r="B662" t="s">
        <v>16</v>
      </c>
      <c r="C662" s="2">
        <v>85766</v>
      </c>
      <c r="D662" s="5" t="s">
        <v>17</v>
      </c>
      <c r="E662" s="2">
        <f>IF(Tabla2[[#This Row],[Frecuencia]]="Annual", Tabla2[[#This Row],[Cosecha/Tarea]]/12,Tabla2[[#This Row],[Cosecha/Tarea]])</f>
        <v>85766</v>
      </c>
      <c r="F662" s="2">
        <v>411041</v>
      </c>
      <c r="G662" t="s">
        <v>18</v>
      </c>
      <c r="H662">
        <f>F662/Tabla2[[#This Row],[Cosecha Mensual]]</f>
        <v>4.7925868059604042</v>
      </c>
      <c r="I662">
        <f>H662*_xlfn.XLOOKUP(Tabla2[[#This Row],[Unidad de producción]],Tabla3[Medida],Tabla3[Equivalencia en Kg],"ELVIS",0)</f>
        <v>217.39173751836393</v>
      </c>
      <c r="J662">
        <v>1060.415</v>
      </c>
      <c r="K662" t="s">
        <v>19</v>
      </c>
      <c r="L662">
        <f>J662/_xlfn.XLOOKUP(Tabla2[[#This Row],[Unidad de precio]],Tabla3[Medida],Tabla3[Equivalencia en Kg],"ELVIS",0)</f>
        <v>9.6401363636363637</v>
      </c>
      <c r="M662">
        <v>4376.41</v>
      </c>
      <c r="N662" s="2">
        <f>(Tabla2[[#This Row],[Productividad (kg/TAS)]]*Tabla2[[#This Row],[Precio por kg]]-Tabla2[[#This Row],[Costos (En RD$/Tarea)]])</f>
        <v>-2280.7240059951282</v>
      </c>
      <c r="O662" s="6">
        <f>IF(Tabla2[[#This Row],[Costos (En RD$/Tarea)]]=0,0,Tabla2[[#This Row],[Beneficio Neto  (En RD$/Tarea)]]/Tabla2[[#This Row],[Costos (En RD$/Tarea)]])</f>
        <v>-0.52114038812522778</v>
      </c>
      <c r="P662" s="4">
        <f>Tabla2[[#This Row],[Rentabilidad (%)]]/12</f>
        <v>-4.3428365677102315E-2</v>
      </c>
    </row>
    <row r="663" spans="1:16" x14ac:dyDescent="0.35">
      <c r="A663" s="1">
        <v>38200</v>
      </c>
      <c r="B663" t="s">
        <v>20</v>
      </c>
      <c r="C663" s="2">
        <v>50956</v>
      </c>
      <c r="D663" s="5" t="s">
        <v>17</v>
      </c>
      <c r="E663" s="2">
        <f>IF(Tabla2[[#This Row],[Frecuencia]]="Annual", Tabla2[[#This Row],[Cosecha/Tarea]]/12,Tabla2[[#This Row],[Cosecha/Tarea]])</f>
        <v>50956</v>
      </c>
      <c r="F663" s="2">
        <v>103997</v>
      </c>
      <c r="G663" t="s">
        <v>18</v>
      </c>
      <c r="H663">
        <f>F663/Tabla2[[#This Row],[Cosecha Mensual]]</f>
        <v>2.0409176544469738</v>
      </c>
      <c r="I663">
        <f>H663*_xlfn.XLOOKUP(Tabla2[[#This Row],[Unidad de producción]],Tabla3[Medida],Tabla3[Equivalencia en Kg],"ELVIS",0)</f>
        <v>92.576024805714738</v>
      </c>
      <c r="J663">
        <v>388.10804999999999</v>
      </c>
      <c r="K663" t="s">
        <v>18</v>
      </c>
      <c r="L663">
        <f>J663/_xlfn.XLOOKUP(Tabla2[[#This Row],[Unidad de precio]],Tabla3[Medida],Tabla3[Equivalencia en Kg],"ELVIS",0)</f>
        <v>8.5561739417989422</v>
      </c>
      <c r="M663">
        <v>1100.6600000000001</v>
      </c>
      <c r="N663" s="2">
        <f>(Tabla2[[#This Row],[Productividad (kg/TAS)]]*Tabla2[[#This Row],[Precio por kg]]-Tabla2[[#This Row],[Costos (En RD$/Tarea)]])</f>
        <v>-308.56342892201121</v>
      </c>
      <c r="O663" s="6">
        <f>IF(Tabla2[[#This Row],[Costos (En RD$/Tarea)]]=0,0,Tabla2[[#This Row],[Beneficio Neto  (En RD$/Tarea)]]/Tabla2[[#This Row],[Costos (En RD$/Tarea)]])</f>
        <v>-0.28034400170989332</v>
      </c>
      <c r="P663" s="4">
        <f>Tabla2[[#This Row],[Rentabilidad (%)]]/12</f>
        <v>-2.336200014249111E-2</v>
      </c>
    </row>
    <row r="664" spans="1:16" x14ac:dyDescent="0.35">
      <c r="A664" s="1">
        <v>38200</v>
      </c>
      <c r="B664" t="s">
        <v>21</v>
      </c>
      <c r="C664" s="2">
        <v>2875</v>
      </c>
      <c r="D664" s="5" t="s">
        <v>17</v>
      </c>
      <c r="E664" s="2">
        <f>IF(Tabla2[[#This Row],[Frecuencia]]="Annual", Tabla2[[#This Row],[Cosecha/Tarea]]/12,Tabla2[[#This Row],[Cosecha/Tarea]])</f>
        <v>2875</v>
      </c>
      <c r="F664" s="2">
        <v>25155</v>
      </c>
      <c r="G664" t="s">
        <v>18</v>
      </c>
      <c r="H664">
        <f>F664/Tabla2[[#This Row],[Cosecha Mensual]]</f>
        <v>8.7495652173913037</v>
      </c>
      <c r="I664">
        <f>H664*_xlfn.XLOOKUP(Tabla2[[#This Row],[Unidad de producción]],Tabla3[Medida],Tabla3[Equivalencia en Kg],"ELVIS",0)</f>
        <v>396.88027826086955</v>
      </c>
      <c r="J664">
        <v>293.7</v>
      </c>
      <c r="K664" t="s">
        <v>18</v>
      </c>
      <c r="L664">
        <f>J664/_xlfn.XLOOKUP(Tabla2[[#This Row],[Unidad de precio]],Tabla3[Medida],Tabla3[Equivalencia en Kg],"ELVIS",0)</f>
        <v>6.4748677248677247</v>
      </c>
      <c r="M664">
        <v>3591.85</v>
      </c>
      <c r="N664" s="2">
        <f>(Tabla2[[#This Row],[Productividad (kg/TAS)]]*Tabla2[[#This Row],[Precio por kg]]-Tabla2[[#This Row],[Costos (En RD$/Tarea)]])</f>
        <v>-1022.1026956521741</v>
      </c>
      <c r="O664" s="6">
        <f>IF(Tabla2[[#This Row],[Costos (En RD$/Tarea)]]=0,0,Tabla2[[#This Row],[Beneficio Neto  (En RD$/Tarea)]]/Tabla2[[#This Row],[Costos (En RD$/Tarea)]])</f>
        <v>-0.28456163137440987</v>
      </c>
      <c r="P664" s="4">
        <f>Tabla2[[#This Row],[Rentabilidad (%)]]/12</f>
        <v>-2.3713469281200824E-2</v>
      </c>
    </row>
    <row r="665" spans="1:16" x14ac:dyDescent="0.35">
      <c r="A665" s="1">
        <v>38200</v>
      </c>
      <c r="B665" t="s">
        <v>22</v>
      </c>
      <c r="C665" s="2">
        <v>2342</v>
      </c>
      <c r="D665" s="5" t="s">
        <v>17</v>
      </c>
      <c r="E665" s="2">
        <f>IF(Tabla2[[#This Row],[Frecuencia]]="Annual", Tabla2[[#This Row],[Cosecha/Tarea]]/12,Tabla2[[#This Row],[Cosecha/Tarea]])</f>
        <v>2342</v>
      </c>
      <c r="F665" s="2">
        <v>17371</v>
      </c>
      <c r="G665" t="s">
        <v>18</v>
      </c>
      <c r="H665">
        <f>F665/Tabla2[[#This Row],[Cosecha Mensual]]</f>
        <v>7.4171648163962427</v>
      </c>
      <c r="I665">
        <f>H665*_xlfn.XLOOKUP(Tabla2[[#This Row],[Unidad de producción]],Tabla3[Medida],Tabla3[Equivalencia en Kg],"ELVIS",0)</f>
        <v>336.44259607173359</v>
      </c>
      <c r="J665">
        <v>693.75</v>
      </c>
      <c r="K665" t="s">
        <v>18</v>
      </c>
      <c r="L665">
        <f>J665/_xlfn.XLOOKUP(Tabla2[[#This Row],[Unidad de precio]],Tabla3[Medida],Tabla3[Equivalencia en Kg],"ELVIS",0)</f>
        <v>15.294312169312169</v>
      </c>
      <c r="M665">
        <v>3985.16</v>
      </c>
      <c r="N665" s="2">
        <f>(Tabla2[[#This Row],[Productividad (kg/TAS)]]*Tabla2[[#This Row],[Precio por kg]]-Tabla2[[#This Row],[Costos (En RD$/Tarea)]])</f>
        <v>1160.4980913748941</v>
      </c>
      <c r="O665" s="6">
        <f>IF(Tabla2[[#This Row],[Costos (En RD$/Tarea)]]=0,0,Tabla2[[#This Row],[Beneficio Neto  (En RD$/Tarea)]]/Tabla2[[#This Row],[Costos (En RD$/Tarea)]])</f>
        <v>0.29120489299674146</v>
      </c>
      <c r="P665" s="4">
        <f>Tabla2[[#This Row],[Rentabilidad (%)]]/12</f>
        <v>2.4267074416395123E-2</v>
      </c>
    </row>
    <row r="666" spans="1:16" x14ac:dyDescent="0.35">
      <c r="A666" s="1">
        <v>38200</v>
      </c>
      <c r="B666" t="s">
        <v>23</v>
      </c>
      <c r="C666" s="2">
        <v>1821</v>
      </c>
      <c r="D666" s="5" t="s">
        <v>17</v>
      </c>
      <c r="E666" s="2">
        <f>IF(Tabla2[[#This Row],[Frecuencia]]="Annual", Tabla2[[#This Row],[Cosecha/Tarea]]/12,Tabla2[[#This Row],[Cosecha/Tarea]])</f>
        <v>1821</v>
      </c>
      <c r="F666" s="2">
        <v>34560</v>
      </c>
      <c r="G666" t="s">
        <v>18</v>
      </c>
      <c r="H666">
        <f>F666/Tabla2[[#This Row],[Cosecha Mensual]]</f>
        <v>18.978583196046127</v>
      </c>
      <c r="I666">
        <f>H666*_xlfn.XLOOKUP(Tabla2[[#This Row],[Unidad de producción]],Tabla3[Medida],Tabla3[Equivalencia en Kg],"ELVIS",0)</f>
        <v>860.86853377265231</v>
      </c>
      <c r="J666">
        <v>597.91666666666697</v>
      </c>
      <c r="K666" t="s">
        <v>18</v>
      </c>
      <c r="L666">
        <f>J666/_xlfn.XLOOKUP(Tabla2[[#This Row],[Unidad de precio]],Tabla3[Medida],Tabla3[Equivalencia en Kg],"ELVIS",0)</f>
        <v>13.181584362139924</v>
      </c>
      <c r="M666">
        <v>9274.52</v>
      </c>
      <c r="N666" s="2">
        <f>(Tabla2[[#This Row],[Productividad (kg/TAS)]]*Tabla2[[#This Row],[Precio por kg]]-Tabla2[[#This Row],[Costos (En RD$/Tarea)]])</f>
        <v>2073.0912026359183</v>
      </c>
      <c r="O666" s="6">
        <f>IF(Tabla2[[#This Row],[Costos (En RD$/Tarea)]]=0,0,Tabla2[[#This Row],[Beneficio Neto  (En RD$/Tarea)]]/Tabla2[[#This Row],[Costos (En RD$/Tarea)]])</f>
        <v>0.2235254441885853</v>
      </c>
      <c r="P666" s="4">
        <f>Tabla2[[#This Row],[Rentabilidad (%)]]/12</f>
        <v>1.8627120349048776E-2</v>
      </c>
    </row>
    <row r="667" spans="1:16" x14ac:dyDescent="0.35">
      <c r="A667" s="1">
        <v>38200</v>
      </c>
      <c r="B667" t="s">
        <v>24</v>
      </c>
      <c r="C667" s="2">
        <v>4256</v>
      </c>
      <c r="D667" s="5" t="s">
        <v>17</v>
      </c>
      <c r="E667" s="2">
        <f>IF(Tabla2[[#This Row],[Frecuencia]]="Annual", Tabla2[[#This Row],[Cosecha/Tarea]]/12,Tabla2[[#This Row],[Cosecha/Tarea]])</f>
        <v>4256</v>
      </c>
      <c r="F667" s="2">
        <v>92414</v>
      </c>
      <c r="G667" t="s">
        <v>18</v>
      </c>
      <c r="H667">
        <f>F667/Tabla2[[#This Row],[Cosecha Mensual]]</f>
        <v>21.713815789473685</v>
      </c>
      <c r="I667">
        <f>H667*_xlfn.XLOOKUP(Tabla2[[#This Row],[Unidad de producción]],Tabla3[Medida],Tabla3[Equivalencia en Kg],"ELVIS",0)</f>
        <v>984.93868421052639</v>
      </c>
      <c r="J667">
        <v>940</v>
      </c>
      <c r="K667" t="s">
        <v>18</v>
      </c>
      <c r="L667">
        <f>J667/_xlfn.XLOOKUP(Tabla2[[#This Row],[Unidad de precio]],Tabla3[Medida],Tabla3[Equivalencia en Kg],"ELVIS",0)</f>
        <v>20.723104056437389</v>
      </c>
      <c r="M667">
        <v>2563.46</v>
      </c>
      <c r="N667" s="2">
        <f>(Tabla2[[#This Row],[Productividad (kg/TAS)]]*Tabla2[[#This Row],[Precio por kg]]-Tabla2[[#This Row],[Costos (En RD$/Tarea)]])</f>
        <v>17847.526842105264</v>
      </c>
      <c r="O667" s="6">
        <f>IF(Tabla2[[#This Row],[Costos (En RD$/Tarea)]]=0,0,Tabla2[[#This Row],[Beneficio Neto  (En RD$/Tarea)]]/Tabla2[[#This Row],[Costos (En RD$/Tarea)]])</f>
        <v>6.9622802158431432</v>
      </c>
      <c r="P667" s="4">
        <f>Tabla2[[#This Row],[Rentabilidad (%)]]/12</f>
        <v>0.5801900179869286</v>
      </c>
    </row>
    <row r="668" spans="1:16" x14ac:dyDescent="0.35">
      <c r="A668" s="1">
        <v>38200</v>
      </c>
      <c r="B668" t="s">
        <v>25</v>
      </c>
      <c r="C668" s="2">
        <v>13732</v>
      </c>
      <c r="D668" s="5" t="s">
        <v>17</v>
      </c>
      <c r="E668" s="2">
        <f>IF(Tabla2[[#This Row],[Frecuencia]]="Annual", Tabla2[[#This Row],[Cosecha/Tarea]]/12,Tabla2[[#This Row],[Cosecha/Tarea]])</f>
        <v>13732</v>
      </c>
      <c r="F668" s="2">
        <v>111080</v>
      </c>
      <c r="G668" t="s">
        <v>18</v>
      </c>
      <c r="H668">
        <f>F668/Tabla2[[#This Row],[Cosecha Mensual]]</f>
        <v>8.0891348674628603</v>
      </c>
      <c r="I668">
        <f>H668*_xlfn.XLOOKUP(Tabla2[[#This Row],[Unidad de producción]],Tabla3[Medida],Tabla3[Equivalencia en Kg],"ELVIS",0)</f>
        <v>366.92315758811532</v>
      </c>
      <c r="J668">
        <v>779</v>
      </c>
      <c r="K668" t="s">
        <v>18</v>
      </c>
      <c r="L668">
        <f>J668/_xlfn.XLOOKUP(Tabla2[[#This Row],[Unidad de precio]],Tabla3[Medida],Tabla3[Equivalencia en Kg],"ELVIS",0)</f>
        <v>17.173721340388006</v>
      </c>
      <c r="M668">
        <v>1852.92</v>
      </c>
      <c r="N668" s="2">
        <f>(Tabla2[[#This Row],[Productividad (kg/TAS)]]*Tabla2[[#This Row],[Precio por kg]]-Tabla2[[#This Row],[Costos (En RD$/Tarea)]])</f>
        <v>4448.5160617535676</v>
      </c>
      <c r="O668" s="6">
        <f>IF(Tabla2[[#This Row],[Costos (En RD$/Tarea)]]=0,0,Tabla2[[#This Row],[Beneficio Neto  (En RD$/Tarea)]]/Tabla2[[#This Row],[Costos (En RD$/Tarea)]])</f>
        <v>2.4008138838986937</v>
      </c>
      <c r="P668" s="4">
        <f>Tabla2[[#This Row],[Rentabilidad (%)]]/12</f>
        <v>0.20006782365822448</v>
      </c>
    </row>
    <row r="669" spans="1:16" x14ac:dyDescent="0.35">
      <c r="A669" s="1">
        <v>38200</v>
      </c>
      <c r="B669" t="s">
        <v>26</v>
      </c>
      <c r="C669" s="2">
        <v>8798</v>
      </c>
      <c r="D669" s="5" t="s">
        <v>17</v>
      </c>
      <c r="E669" s="2">
        <f>IF(Tabla2[[#This Row],[Frecuencia]]="Annual", Tabla2[[#This Row],[Cosecha/Tarea]]/12,Tabla2[[#This Row],[Cosecha/Tarea]])</f>
        <v>8798</v>
      </c>
      <c r="F669" s="2">
        <v>52777</v>
      </c>
      <c r="G669" t="s">
        <v>18</v>
      </c>
      <c r="H669">
        <f>F669/Tabla2[[#This Row],[Cosecha Mensual]]</f>
        <v>5.99874971584451</v>
      </c>
      <c r="I669">
        <f>H669*_xlfn.XLOOKUP(Tabla2[[#This Row],[Unidad de producción]],Tabla3[Medida],Tabla3[Equivalencia en Kg],"ELVIS",0)</f>
        <v>272.10328711070696</v>
      </c>
      <c r="J669">
        <v>437.5</v>
      </c>
      <c r="K669" t="s">
        <v>18</v>
      </c>
      <c r="L669">
        <f>J669/_xlfn.XLOOKUP(Tabla2[[#This Row],[Unidad de precio]],Tabla3[Medida],Tabla3[Equivalencia en Kg],"ELVIS",0)</f>
        <v>9.6450617283950617</v>
      </c>
      <c r="M669">
        <v>1244.4000000000001</v>
      </c>
      <c r="N669" s="2">
        <f>(Tabla2[[#This Row],[Productividad (kg/TAS)]]*Tabla2[[#This Row],[Precio por kg]]-Tabla2[[#This Row],[Costos (En RD$/Tarea)]])</f>
        <v>1380.0530006819727</v>
      </c>
      <c r="O669" s="6">
        <f>IF(Tabla2[[#This Row],[Costos (En RD$/Tarea)]]=0,0,Tabla2[[#This Row],[Beneficio Neto  (En RD$/Tarea)]]/Tabla2[[#This Row],[Costos (En RD$/Tarea)]])</f>
        <v>1.1090107687897561</v>
      </c>
      <c r="P669" s="4">
        <f>Tabla2[[#This Row],[Rentabilidad (%)]]/12</f>
        <v>9.2417564065813015E-2</v>
      </c>
    </row>
    <row r="670" spans="1:16" x14ac:dyDescent="0.35">
      <c r="A670" s="1">
        <v>38200</v>
      </c>
      <c r="B670" t="s">
        <v>27</v>
      </c>
      <c r="C670" s="2">
        <v>3496</v>
      </c>
      <c r="D670" s="5" t="s">
        <v>17</v>
      </c>
      <c r="E670" s="2">
        <f>IF(Tabla2[[#This Row],[Frecuencia]]="Annual", Tabla2[[#This Row],[Cosecha/Tarea]]/12,Tabla2[[#This Row],[Cosecha/Tarea]])</f>
        <v>3496</v>
      </c>
      <c r="F670" s="2">
        <v>36034</v>
      </c>
      <c r="G670" t="s">
        <v>18</v>
      </c>
      <c r="H670">
        <f>F670/Tabla2[[#This Row],[Cosecha Mensual]]</f>
        <v>10.30720823798627</v>
      </c>
      <c r="I670">
        <f>H670*_xlfn.XLOOKUP(Tabla2[[#This Row],[Unidad de producción]],Tabla3[Medida],Tabla3[Equivalencia en Kg],"ELVIS",0)</f>
        <v>467.53496567505721</v>
      </c>
      <c r="J670">
        <v>391.5</v>
      </c>
      <c r="K670" t="s">
        <v>18</v>
      </c>
      <c r="L670">
        <f>J670/_xlfn.XLOOKUP(Tabla2[[#This Row],[Unidad de precio]],Tabla3[Medida],Tabla3[Equivalencia en Kg],"ELVIS",0)</f>
        <v>8.6309523809523814</v>
      </c>
      <c r="M670">
        <v>4235.82</v>
      </c>
      <c r="N670" s="2">
        <f>(Tabla2[[#This Row],[Productividad (kg/TAS)]]*Tabla2[[#This Row],[Precio por kg]]-Tabla2[[#This Row],[Costos (En RD$/Tarea)]])</f>
        <v>-200.54797482837466</v>
      </c>
      <c r="O670" s="6">
        <f>IF(Tabla2[[#This Row],[Costos (En RD$/Tarea)]]=0,0,Tabla2[[#This Row],[Beneficio Neto  (En RD$/Tarea)]]/Tabla2[[#This Row],[Costos (En RD$/Tarea)]])</f>
        <v>-4.7345726406781849E-2</v>
      </c>
      <c r="P670" s="4">
        <f>Tabla2[[#This Row],[Rentabilidad (%)]]/12</f>
        <v>-3.9454772005651541E-3</v>
      </c>
    </row>
    <row r="671" spans="1:16" x14ac:dyDescent="0.35">
      <c r="A671" s="1">
        <v>38200</v>
      </c>
      <c r="B671" t="s">
        <v>28</v>
      </c>
      <c r="C671" s="2">
        <v>47234</v>
      </c>
      <c r="D671" s="5" t="s">
        <v>17</v>
      </c>
      <c r="E671" s="2">
        <f>IF(Tabla2[[#This Row],[Frecuencia]]="Annual", Tabla2[[#This Row],[Cosecha/Tarea]]/12,Tabla2[[#This Row],[Cosecha/Tarea]])</f>
        <v>47234</v>
      </c>
      <c r="F671" s="2">
        <v>74975</v>
      </c>
      <c r="G671" t="s">
        <v>29</v>
      </c>
      <c r="H671">
        <f>F671/Tabla2[[#This Row],[Cosecha Mensual]]</f>
        <v>1.5873099885675572</v>
      </c>
      <c r="I671">
        <f>H671*_xlfn.XLOOKUP(Tabla2[[#This Row],[Unidad de producción]],Tabla3[Medida],Tabla3[Equivalencia en Kg],"ELVIS",0)</f>
        <v>892.6078989710802</v>
      </c>
      <c r="J671">
        <v>2366.6666666666702</v>
      </c>
      <c r="K671" t="s">
        <v>29</v>
      </c>
      <c r="L671">
        <f>J671/_xlfn.XLOOKUP(Tabla2[[#This Row],[Unidad de precio]],Tabla3[Medida],Tabla3[Equivalencia en Kg],"ELVIS",0)</f>
        <v>4.2086045215824415</v>
      </c>
      <c r="M671">
        <v>7896.8729194799998</v>
      </c>
      <c r="N671" s="2">
        <f>(Tabla2[[#This Row],[Productividad (kg/TAS)]]*Tabla2[[#This Row],[Precio por kg]]-Tabla2[[#This Row],[Costos (En RD$/Tarea)]])</f>
        <v>-4140.2392798701085</v>
      </c>
      <c r="O671" s="6">
        <f>IF(Tabla2[[#This Row],[Costos (En RD$/Tarea)]]=0,0,Tabla2[[#This Row],[Beneficio Neto  (En RD$/Tarea)]]/Tabla2[[#This Row],[Costos (En RD$/Tarea)]])</f>
        <v>-0.52428845216148401</v>
      </c>
      <c r="P671" s="4">
        <f>Tabla2[[#This Row],[Rentabilidad (%)]]/12</f>
        <v>-4.3690704346790336E-2</v>
      </c>
    </row>
    <row r="672" spans="1:16" x14ac:dyDescent="0.35">
      <c r="A672" s="1">
        <v>38200</v>
      </c>
      <c r="B672" t="s">
        <v>30</v>
      </c>
      <c r="C672" s="2">
        <v>238506</v>
      </c>
      <c r="D672" s="2" t="s">
        <v>31</v>
      </c>
      <c r="E672" s="2">
        <f>IF(Tabla2[[#This Row],[Frecuencia]]="Annual", Tabla2[[#This Row],[Cosecha/Tarea]]/12,Tabla2[[#This Row],[Cosecha/Tarea]])</f>
        <v>19875.5</v>
      </c>
      <c r="F672" s="2">
        <v>1642334</v>
      </c>
      <c r="G672" t="s">
        <v>32</v>
      </c>
      <c r="H672">
        <f>F672/Tabla2[[#This Row],[Cosecha Mensual]]</f>
        <v>82.631078463434889</v>
      </c>
      <c r="I672">
        <f>H672*_xlfn.XLOOKUP(Tabla2[[#This Row],[Unidad de producción]],Tabla3[Medida],Tabla3[Equivalencia en Kg],"ELVIS",0)</f>
        <v>2248.3916449900635</v>
      </c>
      <c r="J672">
        <v>62</v>
      </c>
      <c r="K672" t="s">
        <v>32</v>
      </c>
      <c r="L672">
        <f>J672/_xlfn.XLOOKUP(Tabla2[[#This Row],[Unidad de precio]],Tabla3[Medida],Tabla3[Equivalencia en Kg],"ELVIS",0)</f>
        <v>2.2785740536567438</v>
      </c>
      <c r="M672" s="2">
        <v>6693.79</v>
      </c>
      <c r="N672" s="2">
        <f>(Tabla2[[#This Row],[Productividad (kg/TAS)]]*Tabla2[[#This Row],[Precio por kg]]-Tabla2[[#This Row],[Costos (En RD$/Tarea)]])</f>
        <v>-1570.6631352670365</v>
      </c>
      <c r="O672" s="6">
        <f>IF(Tabla2[[#This Row],[Costos (En RD$/Tarea)]]=0,0,Tabla2[[#This Row],[Beneficio Neto  (En RD$/Tarea)]]/Tabla2[[#This Row],[Costos (En RD$/Tarea)]])</f>
        <v>-0.2346448178486383</v>
      </c>
      <c r="P672" s="4">
        <f>Tabla2[[#This Row],[Rentabilidad (%)]]/12</f>
        <v>-1.955373482071986E-2</v>
      </c>
    </row>
    <row r="673" spans="1:16" x14ac:dyDescent="0.35">
      <c r="A673" s="1">
        <v>38200</v>
      </c>
      <c r="B673" t="s">
        <v>33</v>
      </c>
      <c r="C673" s="2">
        <v>579608</v>
      </c>
      <c r="D673" s="2" t="s">
        <v>31</v>
      </c>
      <c r="E673" s="2">
        <f>IF(Tabla2[[#This Row],[Frecuencia]]="Annual", Tabla2[[#This Row],[Cosecha/Tarea]]/12,Tabla2[[#This Row],[Cosecha/Tarea]])</f>
        <v>48300.666666666664</v>
      </c>
      <c r="F673" s="2">
        <v>107528</v>
      </c>
      <c r="G673" t="s">
        <v>34</v>
      </c>
      <c r="H673">
        <f>F673/Tabla2[[#This Row],[Cosecha Mensual]]</f>
        <v>2.2262218602917834</v>
      </c>
      <c r="I673">
        <f>H673*_xlfn.XLOOKUP(Tabla2[[#This Row],[Unidad de producción]],Tabla3[Medida],Tabla3[Equivalencia en Kg],"ELVIS",0)</f>
        <v>908.63245227809136</v>
      </c>
      <c r="J673">
        <v>2616.55666666667</v>
      </c>
      <c r="K673" t="s">
        <v>34</v>
      </c>
      <c r="L673">
        <f>J673/_xlfn.XLOOKUP(Tabla2[[#This Row],[Unidad de precio]],Tabla3[Medida],Tabla3[Equivalencia en Kg],"ELVIS",0)</f>
        <v>6.4107721834293034</v>
      </c>
      <c r="M673" s="2">
        <v>8906.2800000000007</v>
      </c>
      <c r="N673" s="2">
        <f>(Tabla2[[#This Row],[Productividad (kg/TAS)]]*Tabla2[[#This Row],[Precio por kg]]-Tabla2[[#This Row],[Costos (En RD$/Tarea)]])</f>
        <v>-3081.2443499744586</v>
      </c>
      <c r="O673" s="6">
        <f>IF(Tabla2[[#This Row],[Costos (En RD$/Tarea)]]=0,0,Tabla2[[#This Row],[Beneficio Neto  (En RD$/Tarea)]]/Tabla2[[#This Row],[Costos (En RD$/Tarea)]])</f>
        <v>-0.34596311254243728</v>
      </c>
      <c r="P673" s="4">
        <f>Tabla2[[#This Row],[Rentabilidad (%)]]/12</f>
        <v>-2.8830259378536439E-2</v>
      </c>
    </row>
    <row r="674" spans="1:16" x14ac:dyDescent="0.35">
      <c r="A674" s="1">
        <v>38231</v>
      </c>
      <c r="B674" t="s">
        <v>16</v>
      </c>
      <c r="C674" s="2">
        <v>216110</v>
      </c>
      <c r="D674" s="5" t="s">
        <v>17</v>
      </c>
      <c r="E674" s="2">
        <f>IF(Tabla2[[#This Row],[Frecuencia]]="Annual", Tabla2[[#This Row],[Cosecha/Tarea]]/12,Tabla2[[#This Row],[Cosecha/Tarea]])</f>
        <v>216110</v>
      </c>
      <c r="F674" s="2">
        <v>685861</v>
      </c>
      <c r="G674" t="s">
        <v>18</v>
      </c>
      <c r="H674">
        <f>F674/Tabla2[[#This Row],[Cosecha Mensual]]</f>
        <v>3.1736661885151078</v>
      </c>
      <c r="I674">
        <f>H674*_xlfn.XLOOKUP(Tabla2[[#This Row],[Unidad de producción]],Tabla3[Medida],Tabla3[Equivalencia en Kg],"ELVIS",0)</f>
        <v>143.9574983110453</v>
      </c>
      <c r="J674">
        <v>996.83</v>
      </c>
      <c r="K674" t="s">
        <v>19</v>
      </c>
      <c r="L674">
        <f>J674/_xlfn.XLOOKUP(Tabla2[[#This Row],[Unidad de precio]],Tabla3[Medida],Tabla3[Equivalencia en Kg],"ELVIS",0)</f>
        <v>9.0620909090909088</v>
      </c>
      <c r="M674">
        <v>4376.41</v>
      </c>
      <c r="N674" s="2">
        <f>(Tabla2[[#This Row],[Productividad (kg/TAS)]]*Tabla2[[#This Row],[Precio por kg]]-Tabla2[[#This Row],[Costos (En RD$/Tarea)]])</f>
        <v>-3071.8540632600061</v>
      </c>
      <c r="O674" s="6">
        <f>IF(Tabla2[[#This Row],[Costos (En RD$/Tarea)]]=0,0,Tabla2[[#This Row],[Beneficio Neto  (En RD$/Tarea)]]/Tabla2[[#This Row],[Costos (En RD$/Tarea)]])</f>
        <v>-0.70191185543859147</v>
      </c>
      <c r="P674" s="4">
        <f>Tabla2[[#This Row],[Rentabilidad (%)]]/12</f>
        <v>-5.8492654619882622E-2</v>
      </c>
    </row>
    <row r="675" spans="1:16" x14ac:dyDescent="0.35">
      <c r="A675" s="1">
        <v>38231</v>
      </c>
      <c r="B675" t="s">
        <v>20</v>
      </c>
      <c r="C675" s="2">
        <v>42798</v>
      </c>
      <c r="D675" s="5" t="s">
        <v>17</v>
      </c>
      <c r="E675" s="2">
        <f>IF(Tabla2[[#This Row],[Frecuencia]]="Annual", Tabla2[[#This Row],[Cosecha/Tarea]]/12,Tabla2[[#This Row],[Cosecha/Tarea]])</f>
        <v>42798</v>
      </c>
      <c r="F675" s="2">
        <v>86360</v>
      </c>
      <c r="G675" t="s">
        <v>18</v>
      </c>
      <c r="H675">
        <f>F675/Tabla2[[#This Row],[Cosecha Mensual]]</f>
        <v>2.0178513014626853</v>
      </c>
      <c r="I675">
        <f>H675*_xlfn.XLOOKUP(Tabla2[[#This Row],[Unidad de producción]],Tabla3[Medida],Tabla3[Equivalencia en Kg],"ELVIS",0)</f>
        <v>91.529735034347411</v>
      </c>
      <c r="J675">
        <v>386.4</v>
      </c>
      <c r="K675" t="s">
        <v>18</v>
      </c>
      <c r="L675">
        <f>J675/_xlfn.XLOOKUP(Tabla2[[#This Row],[Unidad de precio]],Tabla3[Medida],Tabla3[Equivalencia en Kg],"ELVIS",0)</f>
        <v>8.5185185185185173</v>
      </c>
      <c r="M675">
        <v>1100.6600000000001</v>
      </c>
      <c r="N675" s="2">
        <f>(Tabla2[[#This Row],[Productividad (kg/TAS)]]*Tabla2[[#This Row],[Precio por kg]]-Tabla2[[#This Row],[Costos (En RD$/Tarea)]])</f>
        <v>-320.9622571148185</v>
      </c>
      <c r="O675" s="6">
        <f>IF(Tabla2[[#This Row],[Costos (En RD$/Tarea)]]=0,0,Tabla2[[#This Row],[Beneficio Neto  (En RD$/Tarea)]]/Tabla2[[#This Row],[Costos (En RD$/Tarea)]])</f>
        <v>-0.29160890476152351</v>
      </c>
      <c r="P675" s="4">
        <f>Tabla2[[#This Row],[Rentabilidad (%)]]/12</f>
        <v>-2.4300742063460293E-2</v>
      </c>
    </row>
    <row r="676" spans="1:16" x14ac:dyDescent="0.35">
      <c r="A676" s="1">
        <v>38231</v>
      </c>
      <c r="B676" t="s">
        <v>21</v>
      </c>
      <c r="C676" s="2">
        <v>5858</v>
      </c>
      <c r="D676" s="5" t="s">
        <v>17</v>
      </c>
      <c r="E676" s="2">
        <f>IF(Tabla2[[#This Row],[Frecuencia]]="Annual", Tabla2[[#This Row],[Cosecha/Tarea]]/12,Tabla2[[#This Row],[Cosecha/Tarea]])</f>
        <v>5858</v>
      </c>
      <c r="F676" s="2">
        <v>49379</v>
      </c>
      <c r="G676" t="s">
        <v>18</v>
      </c>
      <c r="H676">
        <f>F676/Tabla2[[#This Row],[Cosecha Mensual]]</f>
        <v>8.4293274155001701</v>
      </c>
      <c r="I676">
        <f>H676*_xlfn.XLOOKUP(Tabla2[[#This Row],[Unidad de producción]],Tabla3[Medida],Tabla3[Equivalencia en Kg],"ELVIS",0)</f>
        <v>382.35429156708773</v>
      </c>
      <c r="J676">
        <v>270</v>
      </c>
      <c r="K676" t="s">
        <v>18</v>
      </c>
      <c r="L676">
        <f>J676/_xlfn.XLOOKUP(Tabla2[[#This Row],[Unidad de precio]],Tabla3[Medida],Tabla3[Equivalencia en Kg],"ELVIS",0)</f>
        <v>5.9523809523809526</v>
      </c>
      <c r="M676">
        <v>3591.85</v>
      </c>
      <c r="N676" s="2">
        <f>(Tabla2[[#This Row],[Productividad (kg/TAS)]]*Tabla2[[#This Row],[Precio por kg]]-Tabla2[[#This Row],[Costos (En RD$/Tarea)]])</f>
        <v>-1315.9315978149539</v>
      </c>
      <c r="O676" s="6">
        <f>IF(Tabla2[[#This Row],[Costos (En RD$/Tarea)]]=0,0,Tabla2[[#This Row],[Beneficio Neto  (En RD$/Tarea)]]/Tabla2[[#This Row],[Costos (En RD$/Tarea)]])</f>
        <v>-0.36636596679008143</v>
      </c>
      <c r="P676" s="4">
        <f>Tabla2[[#This Row],[Rentabilidad (%)]]/12</f>
        <v>-3.0530497232506785E-2</v>
      </c>
    </row>
    <row r="677" spans="1:16" x14ac:dyDescent="0.35">
      <c r="A677" s="1">
        <v>38231</v>
      </c>
      <c r="B677" t="s">
        <v>22</v>
      </c>
      <c r="C677" s="2">
        <v>778</v>
      </c>
      <c r="D677" s="5" t="s">
        <v>17</v>
      </c>
      <c r="E677" s="2">
        <f>IF(Tabla2[[#This Row],[Frecuencia]]="Annual", Tabla2[[#This Row],[Cosecha/Tarea]]/12,Tabla2[[#This Row],[Cosecha/Tarea]])</f>
        <v>778</v>
      </c>
      <c r="F677" s="2">
        <v>6933</v>
      </c>
      <c r="G677" t="s">
        <v>18</v>
      </c>
      <c r="H677">
        <f>F677/Tabla2[[#This Row],[Cosecha Mensual]]</f>
        <v>8.9113110539845763</v>
      </c>
      <c r="I677">
        <f>H677*_xlfn.XLOOKUP(Tabla2[[#This Row],[Unidad de producción]],Tabla3[Medida],Tabla3[Equivalencia en Kg],"ELVIS",0)</f>
        <v>404.21706940874037</v>
      </c>
      <c r="J677">
        <v>455.45</v>
      </c>
      <c r="K677" t="s">
        <v>18</v>
      </c>
      <c r="L677">
        <f>J677/_xlfn.XLOOKUP(Tabla2[[#This Row],[Unidad de precio]],Tabla3[Medida],Tabla3[Equivalencia en Kg],"ELVIS",0)</f>
        <v>10.040784832451498</v>
      </c>
      <c r="M677">
        <v>3985.16</v>
      </c>
      <c r="N677" s="2">
        <f>(Tabla2[[#This Row],[Productividad (kg/TAS)]]*Tabla2[[#This Row],[Precio por kg]]-Tabla2[[#This Row],[Costos (En RD$/Tarea)]])</f>
        <v>73.49661953727491</v>
      </c>
      <c r="O677" s="6">
        <f>IF(Tabla2[[#This Row],[Costos (En RD$/Tarea)]]=0,0,Tabla2[[#This Row],[Beneficio Neto  (En RD$/Tarea)]]/Tabla2[[#This Row],[Costos (En RD$/Tarea)]])</f>
        <v>1.8442576844411494E-2</v>
      </c>
      <c r="P677" s="4">
        <f>Tabla2[[#This Row],[Rentabilidad (%)]]/12</f>
        <v>1.5368814037009578E-3</v>
      </c>
    </row>
    <row r="678" spans="1:16" x14ac:dyDescent="0.35">
      <c r="A678" s="1">
        <v>38231</v>
      </c>
      <c r="B678" t="s">
        <v>23</v>
      </c>
      <c r="C678" s="2">
        <v>2061</v>
      </c>
      <c r="D678" s="5" t="s">
        <v>17</v>
      </c>
      <c r="E678" s="2">
        <f>IF(Tabla2[[#This Row],[Frecuencia]]="Annual", Tabla2[[#This Row],[Cosecha/Tarea]]/12,Tabla2[[#This Row],[Cosecha/Tarea]])</f>
        <v>2061</v>
      </c>
      <c r="F678" s="2">
        <v>66879</v>
      </c>
      <c r="G678" t="s">
        <v>18</v>
      </c>
      <c r="H678">
        <f>F678/Tabla2[[#This Row],[Cosecha Mensual]]</f>
        <v>32.449781659388648</v>
      </c>
      <c r="I678">
        <f>H678*_xlfn.XLOOKUP(Tabla2[[#This Row],[Unidad de producción]],Tabla3[Medida],Tabla3[Equivalencia en Kg],"ELVIS",0)</f>
        <v>1471.922096069869</v>
      </c>
      <c r="J678">
        <v>600</v>
      </c>
      <c r="K678" t="s">
        <v>18</v>
      </c>
      <c r="L678">
        <f>J678/_xlfn.XLOOKUP(Tabla2[[#This Row],[Unidad de precio]],Tabla3[Medida],Tabla3[Equivalencia en Kg],"ELVIS",0)</f>
        <v>13.227513227513228</v>
      </c>
      <c r="M678">
        <v>9274.52</v>
      </c>
      <c r="N678" s="2">
        <f>(Tabla2[[#This Row],[Productividad (kg/TAS)]]*Tabla2[[#This Row],[Precio por kg]]-Tabla2[[#This Row],[Costos (En RD$/Tarea)]])</f>
        <v>10195.348995633187</v>
      </c>
      <c r="O678" s="6">
        <f>IF(Tabla2[[#This Row],[Costos (En RD$/Tarea)]]=0,0,Tabla2[[#This Row],[Beneficio Neto  (En RD$/Tarea)]]/Tabla2[[#This Row],[Costos (En RD$/Tarea)]])</f>
        <v>1.0992858924918147</v>
      </c>
      <c r="P678" s="4">
        <f>Tabla2[[#This Row],[Rentabilidad (%)]]/12</f>
        <v>9.1607157707651224E-2</v>
      </c>
    </row>
    <row r="679" spans="1:16" x14ac:dyDescent="0.35">
      <c r="A679" s="1">
        <v>38231</v>
      </c>
      <c r="B679" t="s">
        <v>24</v>
      </c>
      <c r="C679" s="2">
        <v>4894</v>
      </c>
      <c r="D679" s="5" t="s">
        <v>17</v>
      </c>
      <c r="E679" s="2">
        <f>IF(Tabla2[[#This Row],[Frecuencia]]="Annual", Tabla2[[#This Row],[Cosecha/Tarea]]/12,Tabla2[[#This Row],[Cosecha/Tarea]])</f>
        <v>4894</v>
      </c>
      <c r="F679" s="2">
        <v>99295</v>
      </c>
      <c r="G679" t="s">
        <v>18</v>
      </c>
      <c r="H679">
        <f>F679/Tabla2[[#This Row],[Cosecha Mensual]]</f>
        <v>20.289129546383325</v>
      </c>
      <c r="I679">
        <f>H679*_xlfn.XLOOKUP(Tabla2[[#This Row],[Unidad de producción]],Tabla3[Medida],Tabla3[Equivalencia en Kg],"ELVIS",0)</f>
        <v>920.31491622394765</v>
      </c>
      <c r="J679">
        <v>957</v>
      </c>
      <c r="K679" t="s">
        <v>18</v>
      </c>
      <c r="L679">
        <f>J679/_xlfn.XLOOKUP(Tabla2[[#This Row],[Unidad de precio]],Tabla3[Medida],Tabla3[Equivalencia en Kg],"ELVIS",0)</f>
        <v>21.097883597883598</v>
      </c>
      <c r="M679">
        <v>2563.46</v>
      </c>
      <c r="N679" s="2">
        <f>(Tabla2[[#This Row],[Productividad (kg/TAS)]]*Tabla2[[#This Row],[Precio por kg]]-Tabla2[[#This Row],[Costos (En RD$/Tarea)]])</f>
        <v>16853.236975888845</v>
      </c>
      <c r="O679" s="6">
        <f>IF(Tabla2[[#This Row],[Costos (En RD$/Tarea)]]=0,0,Tabla2[[#This Row],[Beneficio Neto  (En RD$/Tarea)]]/Tabla2[[#This Row],[Costos (En RD$/Tarea)]])</f>
        <v>6.5744099677345638</v>
      </c>
      <c r="P679" s="4">
        <f>Tabla2[[#This Row],[Rentabilidad (%)]]/12</f>
        <v>0.54786749731121365</v>
      </c>
    </row>
    <row r="680" spans="1:16" x14ac:dyDescent="0.35">
      <c r="A680" s="1">
        <v>38231</v>
      </c>
      <c r="B680" t="s">
        <v>25</v>
      </c>
      <c r="C680" s="2">
        <v>12891</v>
      </c>
      <c r="D680" s="5" t="s">
        <v>17</v>
      </c>
      <c r="E680" s="2">
        <f>IF(Tabla2[[#This Row],[Frecuencia]]="Annual", Tabla2[[#This Row],[Cosecha/Tarea]]/12,Tabla2[[#This Row],[Cosecha/Tarea]])</f>
        <v>12891</v>
      </c>
      <c r="F680" s="2">
        <v>127964</v>
      </c>
      <c r="G680" t="s">
        <v>18</v>
      </c>
      <c r="H680">
        <f>F680/Tabla2[[#This Row],[Cosecha Mensual]]</f>
        <v>9.9266154681560774</v>
      </c>
      <c r="I680">
        <f>H680*_xlfn.XLOOKUP(Tabla2[[#This Row],[Unidad de producción]],Tabla3[Medida],Tabla3[Equivalencia en Kg],"ELVIS",0)</f>
        <v>450.27127763555967</v>
      </c>
      <c r="J680">
        <v>488</v>
      </c>
      <c r="K680" t="s">
        <v>18</v>
      </c>
      <c r="L680">
        <f>J680/_xlfn.XLOOKUP(Tabla2[[#This Row],[Unidad de precio]],Tabla3[Medida],Tabla3[Equivalencia en Kg],"ELVIS",0)</f>
        <v>10.758377425044092</v>
      </c>
      <c r="M680">
        <v>1852.92</v>
      </c>
      <c r="N680" s="2">
        <f>(Tabla2[[#This Row],[Productividad (kg/TAS)]]*Tabla2[[#This Row],[Precio por kg]]-Tabla2[[#This Row],[Costos (En RD$/Tarea)]])</f>
        <v>2991.2683484601657</v>
      </c>
      <c r="O680" s="6">
        <f>IF(Tabla2[[#This Row],[Costos (En RD$/Tarea)]]=0,0,Tabla2[[#This Row],[Beneficio Neto  (En RD$/Tarea)]]/Tabla2[[#This Row],[Costos (En RD$/Tarea)]])</f>
        <v>1.6143537489261088</v>
      </c>
      <c r="P680" s="4">
        <f>Tabla2[[#This Row],[Rentabilidad (%)]]/12</f>
        <v>0.13452947907717575</v>
      </c>
    </row>
    <row r="681" spans="1:16" x14ac:dyDescent="0.35">
      <c r="A681" s="1">
        <v>38231</v>
      </c>
      <c r="B681" t="s">
        <v>26</v>
      </c>
      <c r="C681" s="2">
        <v>7399</v>
      </c>
      <c r="D681" s="5" t="s">
        <v>17</v>
      </c>
      <c r="E681" s="2">
        <f>IF(Tabla2[[#This Row],[Frecuencia]]="Annual", Tabla2[[#This Row],[Cosecha/Tarea]]/12,Tabla2[[#This Row],[Cosecha/Tarea]])</f>
        <v>7399</v>
      </c>
      <c r="F681" s="2">
        <v>41354</v>
      </c>
      <c r="G681" t="s">
        <v>18</v>
      </c>
      <c r="H681">
        <f>F681/Tabla2[[#This Row],[Cosecha Mensual]]</f>
        <v>5.5891336667117182</v>
      </c>
      <c r="I681">
        <f>H681*_xlfn.XLOOKUP(Tabla2[[#This Row],[Unidad de producción]],Tabla3[Medida],Tabla3[Equivalencia en Kg],"ELVIS",0)</f>
        <v>253.52310312204352</v>
      </c>
      <c r="J681">
        <v>440.76851851851899</v>
      </c>
      <c r="K681" t="s">
        <v>18</v>
      </c>
      <c r="L681">
        <f>J681/_xlfn.XLOOKUP(Tabla2[[#This Row],[Unidad de precio]],Tabla3[Medida],Tabla3[Equivalencia en Kg],"ELVIS",0)</f>
        <v>9.7171190149585325</v>
      </c>
      <c r="M681">
        <v>1244.4000000000001</v>
      </c>
      <c r="N681" s="2">
        <f>(Tabla2[[#This Row],[Productividad (kg/TAS)]]*Tabla2[[#This Row],[Precio por kg]]-Tabla2[[#This Row],[Costos (En RD$/Tarea)]])</f>
        <v>1219.114166078502</v>
      </c>
      <c r="O681" s="6">
        <f>IF(Tabla2[[#This Row],[Costos (En RD$/Tarea)]]=0,0,Tabla2[[#This Row],[Beneficio Neto  (En RD$/Tarea)]]/Tabla2[[#This Row],[Costos (En RD$/Tarea)]])</f>
        <v>0.97968030060953215</v>
      </c>
      <c r="P681" s="4">
        <f>Tabla2[[#This Row],[Rentabilidad (%)]]/12</f>
        <v>8.1640025050794346E-2</v>
      </c>
    </row>
    <row r="682" spans="1:16" x14ac:dyDescent="0.35">
      <c r="A682" s="1">
        <v>38231</v>
      </c>
      <c r="B682" t="s">
        <v>27</v>
      </c>
      <c r="C682" s="2">
        <v>3262</v>
      </c>
      <c r="D682" s="5" t="s">
        <v>17</v>
      </c>
      <c r="E682" s="2">
        <f>IF(Tabla2[[#This Row],[Frecuencia]]="Annual", Tabla2[[#This Row],[Cosecha/Tarea]]/12,Tabla2[[#This Row],[Cosecha/Tarea]])</f>
        <v>3262</v>
      </c>
      <c r="F682" s="2">
        <v>32299</v>
      </c>
      <c r="G682" t="s">
        <v>18</v>
      </c>
      <c r="H682">
        <f>F682/Tabla2[[#This Row],[Cosecha Mensual]]</f>
        <v>9.9015941140404653</v>
      </c>
      <c r="I682">
        <f>H682*_xlfn.XLOOKUP(Tabla2[[#This Row],[Unidad de producción]],Tabla3[Medida],Tabla3[Equivalencia en Kg],"ELVIS",0)</f>
        <v>449.13630901287547</v>
      </c>
      <c r="J682">
        <v>375</v>
      </c>
      <c r="K682" t="s">
        <v>18</v>
      </c>
      <c r="L682">
        <f>J682/_xlfn.XLOOKUP(Tabla2[[#This Row],[Unidad de precio]],Tabla3[Medida],Tabla3[Equivalencia en Kg],"ELVIS",0)</f>
        <v>8.2671957671957674</v>
      </c>
      <c r="M682">
        <v>4235.82</v>
      </c>
      <c r="N682" s="2">
        <f>(Tabla2[[#This Row],[Productividad (kg/TAS)]]*Tabla2[[#This Row],[Precio por kg]]-Tabla2[[#This Row],[Costos (En RD$/Tarea)]])</f>
        <v>-522.72220723482542</v>
      </c>
      <c r="O682" s="6">
        <f>IF(Tabla2[[#This Row],[Costos (En RD$/Tarea)]]=0,0,Tabla2[[#This Row],[Beneficio Neto  (En RD$/Tarea)]]/Tabla2[[#This Row],[Costos (En RD$/Tarea)]])</f>
        <v>-0.12340519834053984</v>
      </c>
      <c r="P682" s="4">
        <f>Tabla2[[#This Row],[Rentabilidad (%)]]/12</f>
        <v>-1.028376652837832E-2</v>
      </c>
    </row>
    <row r="683" spans="1:16" x14ac:dyDescent="0.35">
      <c r="A683" s="1">
        <v>38231</v>
      </c>
      <c r="B683" t="s">
        <v>28</v>
      </c>
      <c r="C683" s="2">
        <v>55073</v>
      </c>
      <c r="D683" s="5" t="s">
        <v>17</v>
      </c>
      <c r="E683" s="2">
        <f>IF(Tabla2[[#This Row],[Frecuencia]]="Annual", Tabla2[[#This Row],[Cosecha/Tarea]]/12,Tabla2[[#This Row],[Cosecha/Tarea]])</f>
        <v>55073</v>
      </c>
      <c r="F683" s="2">
        <v>101870</v>
      </c>
      <c r="G683" t="s">
        <v>29</v>
      </c>
      <c r="H683">
        <f>F683/Tabla2[[#This Row],[Cosecha Mensual]]</f>
        <v>1.849726726345033</v>
      </c>
      <c r="I683">
        <f>H683*_xlfn.XLOOKUP(Tabla2[[#This Row],[Unidad de producción]],Tabla3[Medida],Tabla3[Equivalencia en Kg],"ELVIS",0)</f>
        <v>1040.1753272928659</v>
      </c>
      <c r="J683">
        <v>2860</v>
      </c>
      <c r="K683" t="s">
        <v>29</v>
      </c>
      <c r="L683">
        <f>J683/_xlfn.XLOOKUP(Tabla2[[#This Row],[Unidad de precio]],Tabla3[Medida],Tabla3[Equivalencia en Kg],"ELVIS",0)</f>
        <v>5.0858910979122944</v>
      </c>
      <c r="M683">
        <v>7896.8729194799998</v>
      </c>
      <c r="N683" s="2">
        <f>(Tabla2[[#This Row],[Productividad (kg/TAS)]]*Tabla2[[#This Row],[Precio por kg]]-Tabla2[[#This Row],[Costos (En RD$/Tarea)]])</f>
        <v>-2606.6544821332063</v>
      </c>
      <c r="O683" s="6">
        <f>IF(Tabla2[[#This Row],[Costos (En RD$/Tarea)]]=0,0,Tabla2[[#This Row],[Beneficio Neto  (En RD$/Tarea)]]/Tabla2[[#This Row],[Costos (En RD$/Tarea)]])</f>
        <v>-0.33008692285057711</v>
      </c>
      <c r="P683" s="4">
        <f>Tabla2[[#This Row],[Rentabilidad (%)]]/12</f>
        <v>-2.7507243570881426E-2</v>
      </c>
    </row>
    <row r="684" spans="1:16" x14ac:dyDescent="0.35">
      <c r="A684" s="1">
        <v>38231</v>
      </c>
      <c r="B684" t="s">
        <v>30</v>
      </c>
      <c r="C684" s="2">
        <v>212127</v>
      </c>
      <c r="D684" s="2" t="s">
        <v>31</v>
      </c>
      <c r="E684" s="2">
        <f>IF(Tabla2[[#This Row],[Frecuencia]]="Annual", Tabla2[[#This Row],[Cosecha/Tarea]]/12,Tabla2[[#This Row],[Cosecha/Tarea]])</f>
        <v>17677.25</v>
      </c>
      <c r="F684" s="2">
        <v>1286839</v>
      </c>
      <c r="G684" t="s">
        <v>32</v>
      </c>
      <c r="H684">
        <f>F684/Tabla2[[#This Row],[Cosecha Mensual]]</f>
        <v>72.79633427145059</v>
      </c>
      <c r="I684">
        <f>H684*_xlfn.XLOOKUP(Tabla2[[#This Row],[Unidad de producción]],Tabla3[Medida],Tabla3[Equivalencia en Kg],"ELVIS",0)</f>
        <v>1980.7882555261706</v>
      </c>
      <c r="J684">
        <v>66.5</v>
      </c>
      <c r="K684" t="s">
        <v>32</v>
      </c>
      <c r="L684">
        <f>J684/_xlfn.XLOOKUP(Tabla2[[#This Row],[Unidad de precio]],Tabla3[Medida],Tabla3[Equivalencia en Kg],"ELVIS",0)</f>
        <v>2.4439544285189267</v>
      </c>
      <c r="M684" s="2">
        <v>6693.79</v>
      </c>
      <c r="N684" s="2">
        <f>(Tabla2[[#This Row],[Productividad (kg/TAS)]]*Tabla2[[#This Row],[Precio por kg]]-Tabla2[[#This Row],[Costos (En RD$/Tarea)]])</f>
        <v>-1852.8337709485359</v>
      </c>
      <c r="O684" s="6">
        <f>IF(Tabla2[[#This Row],[Costos (En RD$/Tarea)]]=0,0,Tabla2[[#This Row],[Beneficio Neto  (En RD$/Tarea)]]/Tabla2[[#This Row],[Costos (En RD$/Tarea)]])</f>
        <v>-0.27679890927987522</v>
      </c>
      <c r="P684" s="4">
        <f>Tabla2[[#This Row],[Rentabilidad (%)]]/12</f>
        <v>-2.3066575773322936E-2</v>
      </c>
    </row>
    <row r="685" spans="1:16" x14ac:dyDescent="0.35">
      <c r="A685" s="1">
        <v>38231</v>
      </c>
      <c r="B685" t="s">
        <v>33</v>
      </c>
      <c r="C685" s="2">
        <v>600029</v>
      </c>
      <c r="D685" s="2" t="s">
        <v>31</v>
      </c>
      <c r="E685" s="2">
        <f>IF(Tabla2[[#This Row],[Frecuencia]]="Annual", Tabla2[[#This Row],[Cosecha/Tarea]]/12,Tabla2[[#This Row],[Cosecha/Tarea]])</f>
        <v>50002.416666666664</v>
      </c>
      <c r="F685" s="2">
        <v>142965</v>
      </c>
      <c r="G685" t="s">
        <v>34</v>
      </c>
      <c r="H685">
        <f>F685/Tabla2[[#This Row],[Cosecha Mensual]]</f>
        <v>2.8591618071793197</v>
      </c>
      <c r="I685">
        <f>H685*_xlfn.XLOOKUP(Tabla2[[#This Row],[Unidad de producción]],Tabla3[Medida],Tabla3[Equivalencia en Kg],"ELVIS",0)</f>
        <v>1166.9668916002393</v>
      </c>
      <c r="J685">
        <v>2966.665</v>
      </c>
      <c r="K685" t="s">
        <v>34</v>
      </c>
      <c r="L685">
        <f>J685/_xlfn.XLOOKUP(Tabla2[[#This Row],[Unidad de precio]],Tabla3[Medida],Tabla3[Equivalencia en Kg],"ELVIS",0)</f>
        <v>7.268565478378048</v>
      </c>
      <c r="M685" s="2">
        <v>8906.2800000000007</v>
      </c>
      <c r="N685" s="2">
        <f>(Tabla2[[#This Row],[Productividad (kg/TAS)]]*Tabla2[[#This Row],[Precio por kg]]-Tabla2[[#This Row],[Costos (En RD$/Tarea)]])</f>
        <v>-424.10473730436388</v>
      </c>
      <c r="O685" s="6">
        <f>IF(Tabla2[[#This Row],[Costos (En RD$/Tarea)]]=0,0,Tabla2[[#This Row],[Beneficio Neto  (En RD$/Tarea)]]/Tabla2[[#This Row],[Costos (En RD$/Tarea)]])</f>
        <v>-4.761861712234107E-2</v>
      </c>
      <c r="P685" s="4">
        <f>Tabla2[[#This Row],[Rentabilidad (%)]]/12</f>
        <v>-3.9682180935284228E-3</v>
      </c>
    </row>
    <row r="686" spans="1:16" x14ac:dyDescent="0.35">
      <c r="A686" s="1">
        <v>38261</v>
      </c>
      <c r="B686" t="s">
        <v>16</v>
      </c>
      <c r="C686" s="2">
        <v>398268</v>
      </c>
      <c r="D686" s="5" t="s">
        <v>17</v>
      </c>
      <c r="E686" s="2">
        <f>IF(Tabla2[[#This Row],[Frecuencia]]="Annual", Tabla2[[#This Row],[Cosecha/Tarea]]/12,Tabla2[[#This Row],[Cosecha/Tarea]])</f>
        <v>398268</v>
      </c>
      <c r="F686" s="2">
        <v>1116520</v>
      </c>
      <c r="G686" t="s">
        <v>18</v>
      </c>
      <c r="H686">
        <f>F686/Tabla2[[#This Row],[Cosecha Mensual]]</f>
        <v>2.8034388903954119</v>
      </c>
      <c r="I686">
        <f>H686*_xlfn.XLOOKUP(Tabla2[[#This Row],[Unidad de producción]],Tabla3[Medida],Tabla3[Equivalencia en Kg],"ELVIS",0)</f>
        <v>127.16398806833588</v>
      </c>
      <c r="J686">
        <v>1011.86</v>
      </c>
      <c r="K686" t="s">
        <v>19</v>
      </c>
      <c r="L686">
        <f>J686/_xlfn.XLOOKUP(Tabla2[[#This Row],[Unidad de precio]],Tabla3[Medida],Tabla3[Equivalencia en Kg],"ELVIS",0)</f>
        <v>9.1987272727272735</v>
      </c>
      <c r="M686">
        <v>4376.41</v>
      </c>
      <c r="N686" s="2">
        <f>(Tabla2[[#This Row],[Productividad (kg/TAS)]]*Tabla2[[#This Row],[Precio por kg]]-Tabla2[[#This Row],[Costos (En RD$/Tarea)]])</f>
        <v>-3206.6631548470332</v>
      </c>
      <c r="O686" s="6">
        <f>IF(Tabla2[[#This Row],[Costos (En RD$/Tarea)]]=0,0,Tabla2[[#This Row],[Beneficio Neto  (En RD$/Tarea)]]/Tabla2[[#This Row],[Costos (En RD$/Tarea)]])</f>
        <v>-0.73271543453356369</v>
      </c>
      <c r="P686" s="4">
        <f>Tabla2[[#This Row],[Rentabilidad (%)]]/12</f>
        <v>-6.1059619544463643E-2</v>
      </c>
    </row>
    <row r="687" spans="1:16" x14ac:dyDescent="0.35">
      <c r="A687" s="1">
        <v>38261</v>
      </c>
      <c r="B687" t="s">
        <v>20</v>
      </c>
      <c r="C687" s="2">
        <v>38749</v>
      </c>
      <c r="D687" s="5" t="s">
        <v>17</v>
      </c>
      <c r="E687" s="2">
        <f>IF(Tabla2[[#This Row],[Frecuencia]]="Annual", Tabla2[[#This Row],[Cosecha/Tarea]]/12,Tabla2[[#This Row],[Cosecha/Tarea]])</f>
        <v>38749</v>
      </c>
      <c r="F687" s="2">
        <v>55158</v>
      </c>
      <c r="G687" t="s">
        <v>18</v>
      </c>
      <c r="H687">
        <f>F687/Tabla2[[#This Row],[Cosecha Mensual]]</f>
        <v>1.4234689927482</v>
      </c>
      <c r="I687">
        <f>H687*_xlfn.XLOOKUP(Tabla2[[#This Row],[Unidad de producción]],Tabla3[Medida],Tabla3[Equivalencia en Kg],"ELVIS",0)</f>
        <v>64.568553511058354</v>
      </c>
      <c r="J687">
        <v>376.52875</v>
      </c>
      <c r="K687" t="s">
        <v>18</v>
      </c>
      <c r="L687">
        <f>J687/_xlfn.XLOOKUP(Tabla2[[#This Row],[Unidad de precio]],Tabla3[Medida],Tabla3[Equivalencia en Kg],"ELVIS",0)</f>
        <v>8.3008983686067026</v>
      </c>
      <c r="M687">
        <v>1100.6600000000001</v>
      </c>
      <c r="N687" s="2">
        <f>(Tabla2[[#This Row],[Productividad (kg/TAS)]]*Tabla2[[#This Row],[Precio por kg]]-Tabla2[[#This Row],[Costos (En RD$/Tarea)]])</f>
        <v>-564.68299949676123</v>
      </c>
      <c r="O687" s="6">
        <f>IF(Tabla2[[#This Row],[Costos (En RD$/Tarea)]]=0,0,Tabla2[[#This Row],[Beneficio Neto  (En RD$/Tarea)]]/Tabla2[[#This Row],[Costos (En RD$/Tarea)]])</f>
        <v>-0.51304035714640417</v>
      </c>
      <c r="P687" s="4">
        <f>Tabla2[[#This Row],[Rentabilidad (%)]]/12</f>
        <v>-4.2753363095533681E-2</v>
      </c>
    </row>
    <row r="688" spans="1:16" x14ac:dyDescent="0.35">
      <c r="A688" s="1">
        <v>38261</v>
      </c>
      <c r="B688" t="s">
        <v>21</v>
      </c>
      <c r="C688" s="2">
        <v>6434</v>
      </c>
      <c r="D688" s="5" t="s">
        <v>17</v>
      </c>
      <c r="E688" s="2">
        <f>IF(Tabla2[[#This Row],[Frecuencia]]="Annual", Tabla2[[#This Row],[Cosecha/Tarea]]/12,Tabla2[[#This Row],[Cosecha/Tarea]])</f>
        <v>6434</v>
      </c>
      <c r="F688" s="2">
        <v>54129</v>
      </c>
      <c r="G688" t="s">
        <v>18</v>
      </c>
      <c r="H688">
        <f>F688/Tabla2[[#This Row],[Cosecha Mensual]]</f>
        <v>8.4129623873173767</v>
      </c>
      <c r="I688">
        <f>H688*_xlfn.XLOOKUP(Tabla2[[#This Row],[Unidad de producción]],Tabla3[Medida],Tabla3[Equivalencia en Kg],"ELVIS",0)</f>
        <v>381.61197388871619</v>
      </c>
      <c r="J688">
        <v>245.1</v>
      </c>
      <c r="K688" t="s">
        <v>18</v>
      </c>
      <c r="L688">
        <f>J688/_xlfn.XLOOKUP(Tabla2[[#This Row],[Unidad de precio]],Tabla3[Medida],Tabla3[Equivalencia en Kg],"ELVIS",0)</f>
        <v>5.4034391534391535</v>
      </c>
      <c r="M688">
        <v>3591.85</v>
      </c>
      <c r="N688" s="2">
        <f>(Tabla2[[#This Row],[Productividad (kg/TAS)]]*Tabla2[[#This Row],[Precio por kg]]-Tabla2[[#This Row],[Costos (En RD$/Tarea)]])</f>
        <v>-1529.8329188685111</v>
      </c>
      <c r="O688" s="6">
        <f>IF(Tabla2[[#This Row],[Costos (En RD$/Tarea)]]=0,0,Tabla2[[#This Row],[Beneficio Neto  (En RD$/Tarea)]]/Tabla2[[#This Row],[Costos (En RD$/Tarea)]])</f>
        <v>-0.42591781919303734</v>
      </c>
      <c r="P688" s="4">
        <f>Tabla2[[#This Row],[Rentabilidad (%)]]/12</f>
        <v>-3.5493151599419778E-2</v>
      </c>
    </row>
    <row r="689" spans="1:16" x14ac:dyDescent="0.35">
      <c r="A689" s="1">
        <v>38261</v>
      </c>
      <c r="B689" t="s">
        <v>22</v>
      </c>
      <c r="C689" s="2">
        <v>2736</v>
      </c>
      <c r="D689" s="5" t="s">
        <v>17</v>
      </c>
      <c r="E689" s="2">
        <f>IF(Tabla2[[#This Row],[Frecuencia]]="Annual", Tabla2[[#This Row],[Cosecha/Tarea]]/12,Tabla2[[#This Row],[Cosecha/Tarea]])</f>
        <v>2736</v>
      </c>
      <c r="F689" s="2">
        <v>26789</v>
      </c>
      <c r="G689" t="s">
        <v>18</v>
      </c>
      <c r="H689">
        <f>F689/Tabla2[[#This Row],[Cosecha Mensual]]</f>
        <v>9.7913011695906427</v>
      </c>
      <c r="I689">
        <f>H689*_xlfn.XLOOKUP(Tabla2[[#This Row],[Unidad de producción]],Tabla3[Medida],Tabla3[Equivalencia en Kg],"ELVIS",0)</f>
        <v>444.13342105263155</v>
      </c>
      <c r="J689">
        <v>506.25</v>
      </c>
      <c r="K689" t="s">
        <v>18</v>
      </c>
      <c r="L689">
        <f>J689/_xlfn.XLOOKUP(Tabla2[[#This Row],[Unidad de precio]],Tabla3[Medida],Tabla3[Equivalencia en Kg],"ELVIS",0)</f>
        <v>11.160714285714286</v>
      </c>
      <c r="M689">
        <v>3985.16</v>
      </c>
      <c r="N689" s="2">
        <f>(Tabla2[[#This Row],[Productividad (kg/TAS)]]*Tabla2[[#This Row],[Precio por kg]]-Tabla2[[#This Row],[Costos (En RD$/Tarea)]])</f>
        <v>971.68621710526349</v>
      </c>
      <c r="O689" s="6">
        <f>IF(Tabla2[[#This Row],[Costos (En RD$/Tarea)]]=0,0,Tabla2[[#This Row],[Beneficio Neto  (En RD$/Tarea)]]/Tabla2[[#This Row],[Costos (En RD$/Tarea)]])</f>
        <v>0.24382614929018245</v>
      </c>
      <c r="P689" s="4">
        <f>Tabla2[[#This Row],[Rentabilidad (%)]]/12</f>
        <v>2.031884577418187E-2</v>
      </c>
    </row>
    <row r="690" spans="1:16" x14ac:dyDescent="0.35">
      <c r="A690" s="1">
        <v>38261</v>
      </c>
      <c r="B690" t="s">
        <v>23</v>
      </c>
      <c r="C690" s="2">
        <v>3033</v>
      </c>
      <c r="D690" s="5" t="s">
        <v>17</v>
      </c>
      <c r="E690" s="2">
        <f>IF(Tabla2[[#This Row],[Frecuencia]]="Annual", Tabla2[[#This Row],[Cosecha/Tarea]]/12,Tabla2[[#This Row],[Cosecha/Tarea]])</f>
        <v>3033</v>
      </c>
      <c r="F690" s="2">
        <v>76311</v>
      </c>
      <c r="G690" t="s">
        <v>18</v>
      </c>
      <c r="H690">
        <f>F690/Tabla2[[#This Row],[Cosecha Mensual]]</f>
        <v>25.160237388724035</v>
      </c>
      <c r="I690">
        <f>H690*_xlfn.XLOOKUP(Tabla2[[#This Row],[Unidad de producción]],Tabla3[Medida],Tabla3[Equivalencia en Kg],"ELVIS",0)</f>
        <v>1141.2683679525221</v>
      </c>
      <c r="J690">
        <v>562.5</v>
      </c>
      <c r="K690" t="s">
        <v>18</v>
      </c>
      <c r="L690">
        <f>J690/_xlfn.XLOOKUP(Tabla2[[#This Row],[Unidad de precio]],Tabla3[Medida],Tabla3[Equivalencia en Kg],"ELVIS",0)</f>
        <v>12.40079365079365</v>
      </c>
      <c r="M690">
        <v>9274.52</v>
      </c>
      <c r="N690" s="2">
        <f>(Tabla2[[#This Row],[Productividad (kg/TAS)]]*Tabla2[[#This Row],[Precio por kg]]-Tabla2[[#This Row],[Costos (En RD$/Tarea)]])</f>
        <v>4878.1135311572671</v>
      </c>
      <c r="O690" s="6">
        <f>IF(Tabla2[[#This Row],[Costos (En RD$/Tarea)]]=0,0,Tabla2[[#This Row],[Beneficio Neto  (En RD$/Tarea)]]/Tabla2[[#This Row],[Costos (En RD$/Tarea)]])</f>
        <v>0.52596937967218427</v>
      </c>
      <c r="P690" s="4">
        <f>Tabla2[[#This Row],[Rentabilidad (%)]]/12</f>
        <v>4.3830781639348691E-2</v>
      </c>
    </row>
    <row r="691" spans="1:16" x14ac:dyDescent="0.35">
      <c r="A691" s="1">
        <v>38261</v>
      </c>
      <c r="B691" t="s">
        <v>24</v>
      </c>
      <c r="C691" s="2">
        <v>4342</v>
      </c>
      <c r="D691" s="5" t="s">
        <v>17</v>
      </c>
      <c r="E691" s="2">
        <f>IF(Tabla2[[#This Row],[Frecuencia]]="Annual", Tabla2[[#This Row],[Cosecha/Tarea]]/12,Tabla2[[#This Row],[Cosecha/Tarea]])</f>
        <v>4342</v>
      </c>
      <c r="F691" s="2">
        <v>69167</v>
      </c>
      <c r="G691" t="s">
        <v>18</v>
      </c>
      <c r="H691">
        <f>F691/Tabla2[[#This Row],[Cosecha Mensual]]</f>
        <v>15.929755872869645</v>
      </c>
      <c r="I691">
        <f>H691*_xlfn.XLOOKUP(Tabla2[[#This Row],[Unidad de producción]],Tabla3[Medida],Tabla3[Equivalencia en Kg],"ELVIS",0)</f>
        <v>722.57372639336711</v>
      </c>
      <c r="J691">
        <v>1128.4000000000001</v>
      </c>
      <c r="K691" t="s">
        <v>18</v>
      </c>
      <c r="L691">
        <f>J691/_xlfn.XLOOKUP(Tabla2[[#This Row],[Unidad de precio]],Tabla3[Medida],Tabla3[Equivalencia en Kg],"ELVIS",0)</f>
        <v>24.876543209876544</v>
      </c>
      <c r="M691">
        <v>2563.46</v>
      </c>
      <c r="N691" s="2">
        <f>(Tabla2[[#This Row],[Productividad (kg/TAS)]]*Tabla2[[#This Row],[Precio por kg]]-Tabla2[[#This Row],[Costos (En RD$/Tarea)]])</f>
        <v>15411.67652694611</v>
      </c>
      <c r="O691" s="6">
        <f>IF(Tabla2[[#This Row],[Costos (En RD$/Tarea)]]=0,0,Tabla2[[#This Row],[Beneficio Neto  (En RD$/Tarea)]]/Tabla2[[#This Row],[Costos (En RD$/Tarea)]])</f>
        <v>6.0120604678622289</v>
      </c>
      <c r="P691" s="4">
        <f>Tabla2[[#This Row],[Rentabilidad (%)]]/12</f>
        <v>0.50100503898851911</v>
      </c>
    </row>
    <row r="692" spans="1:16" x14ac:dyDescent="0.35">
      <c r="A692" s="1">
        <v>38261</v>
      </c>
      <c r="B692" t="s">
        <v>25</v>
      </c>
      <c r="C692" s="2">
        <v>12162</v>
      </c>
      <c r="D692" s="5" t="s">
        <v>17</v>
      </c>
      <c r="E692" s="2">
        <f>IF(Tabla2[[#This Row],[Frecuencia]]="Annual", Tabla2[[#This Row],[Cosecha/Tarea]]/12,Tabla2[[#This Row],[Cosecha/Tarea]])</f>
        <v>12162</v>
      </c>
      <c r="F692" s="2">
        <v>107042</v>
      </c>
      <c r="G692" t="s">
        <v>18</v>
      </c>
      <c r="H692">
        <f>F692/Tabla2[[#This Row],[Cosecha Mensual]]</f>
        <v>8.8013484624239435</v>
      </c>
      <c r="I692">
        <f>H692*_xlfn.XLOOKUP(Tabla2[[#This Row],[Unidad de producción]],Tabla3[Medida],Tabla3[Equivalencia en Kg],"ELVIS",0)</f>
        <v>399.22916625555007</v>
      </c>
      <c r="J692">
        <v>483.70749999999998</v>
      </c>
      <c r="K692" t="s">
        <v>18</v>
      </c>
      <c r="L692">
        <f>J692/_xlfn.XLOOKUP(Tabla2[[#This Row],[Unidad de precio]],Tabla3[Medida],Tabla3[Equivalencia en Kg],"ELVIS",0)</f>
        <v>10.663745590828924</v>
      </c>
      <c r="M692">
        <v>1852.92</v>
      </c>
      <c r="N692" s="2">
        <f>(Tabla2[[#This Row],[Productividad (kg/TAS)]]*Tabla2[[#This Row],[Precio por kg]]-Tabla2[[#This Row],[Costos (En RD$/Tarea)]])</f>
        <v>2404.3582613879298</v>
      </c>
      <c r="O692" s="6">
        <f>IF(Tabla2[[#This Row],[Costos (En RD$/Tarea)]]=0,0,Tabla2[[#This Row],[Beneficio Neto  (En RD$/Tarea)]]/Tabla2[[#This Row],[Costos (En RD$/Tarea)]])</f>
        <v>1.2976050025839916</v>
      </c>
      <c r="P692" s="4">
        <f>Tabla2[[#This Row],[Rentabilidad (%)]]/12</f>
        <v>0.10813375021533263</v>
      </c>
    </row>
    <row r="693" spans="1:16" x14ac:dyDescent="0.35">
      <c r="A693" s="1">
        <v>38261</v>
      </c>
      <c r="B693" t="s">
        <v>26</v>
      </c>
      <c r="C693" s="2">
        <v>9671</v>
      </c>
      <c r="D693" s="5" t="s">
        <v>17</v>
      </c>
      <c r="E693" s="2">
        <f>IF(Tabla2[[#This Row],[Frecuencia]]="Annual", Tabla2[[#This Row],[Cosecha/Tarea]]/12,Tabla2[[#This Row],[Cosecha/Tarea]])</f>
        <v>9671</v>
      </c>
      <c r="F693" s="2">
        <v>61224</v>
      </c>
      <c r="G693" t="s">
        <v>18</v>
      </c>
      <c r="H693">
        <f>F693/Tabla2[[#This Row],[Cosecha Mensual]]</f>
        <v>6.330679350635922</v>
      </c>
      <c r="I693">
        <f>H693*_xlfn.XLOOKUP(Tabla2[[#This Row],[Unidad de producción]],Tabla3[Medida],Tabla3[Equivalencia en Kg],"ELVIS",0)</f>
        <v>287.15961534484541</v>
      </c>
      <c r="J693">
        <v>440.76851851851899</v>
      </c>
      <c r="K693" t="s">
        <v>18</v>
      </c>
      <c r="L693">
        <f>J693/_xlfn.XLOOKUP(Tabla2[[#This Row],[Unidad de precio]],Tabla3[Medida],Tabla3[Equivalencia en Kg],"ELVIS",0)</f>
        <v>9.7171190149585325</v>
      </c>
      <c r="M693">
        <v>1244.4000000000001</v>
      </c>
      <c r="N693" s="2">
        <f>(Tabla2[[#This Row],[Productividad (kg/TAS)]]*Tabla2[[#This Row],[Precio por kg]]-Tabla2[[#This Row],[Costos (En RD$/Tarea)]])</f>
        <v>1545.9641585955751</v>
      </c>
      <c r="O693" s="6">
        <f>IF(Tabla2[[#This Row],[Costos (En RD$/Tarea)]]=0,0,Tabla2[[#This Row],[Beneficio Neto  (En RD$/Tarea)]]/Tabla2[[#This Row],[Costos (En RD$/Tarea)]])</f>
        <v>1.2423369966213236</v>
      </c>
      <c r="P693" s="4">
        <f>Tabla2[[#This Row],[Rentabilidad (%)]]/12</f>
        <v>0.10352808305177696</v>
      </c>
    </row>
    <row r="694" spans="1:16" x14ac:dyDescent="0.35">
      <c r="A694" s="1">
        <v>38261</v>
      </c>
      <c r="B694" t="s">
        <v>27</v>
      </c>
      <c r="C694" s="2">
        <v>3335</v>
      </c>
      <c r="D694" s="5" t="s">
        <v>17</v>
      </c>
      <c r="E694" s="2">
        <f>IF(Tabla2[[#This Row],[Frecuencia]]="Annual", Tabla2[[#This Row],[Cosecha/Tarea]]/12,Tabla2[[#This Row],[Cosecha/Tarea]])</f>
        <v>3335</v>
      </c>
      <c r="F694" s="2">
        <v>30415</v>
      </c>
      <c r="G694" t="s">
        <v>18</v>
      </c>
      <c r="H694">
        <f>F694/Tabla2[[#This Row],[Cosecha Mensual]]</f>
        <v>9.119940029985008</v>
      </c>
      <c r="I694">
        <f>H694*_xlfn.XLOOKUP(Tabla2[[#This Row],[Unidad de producción]],Tabla3[Medida],Tabla3[Equivalencia en Kg],"ELVIS",0)</f>
        <v>413.68047976011997</v>
      </c>
      <c r="J694">
        <v>511.33333333333297</v>
      </c>
      <c r="K694" t="s">
        <v>18</v>
      </c>
      <c r="L694">
        <f>J694/_xlfn.XLOOKUP(Tabla2[[#This Row],[Unidad de precio]],Tabla3[Medida],Tabla3[Equivalencia en Kg],"ELVIS",0)</f>
        <v>11.272780717225153</v>
      </c>
      <c r="M694">
        <v>4235.82</v>
      </c>
      <c r="N694" s="2">
        <f>(Tabla2[[#This Row],[Productividad (kg/TAS)]]*Tabla2[[#This Row],[Precio por kg]]-Tabla2[[#This Row],[Costos (En RD$/Tarea)]])</f>
        <v>427.50933533233092</v>
      </c>
      <c r="O694" s="6">
        <f>IF(Tabla2[[#This Row],[Costos (En RD$/Tarea)]]=0,0,Tabla2[[#This Row],[Beneficio Neto  (En RD$/Tarea)]]/Tabla2[[#This Row],[Costos (En RD$/Tarea)]])</f>
        <v>0.1009271723851181</v>
      </c>
      <c r="P694" s="4">
        <f>Tabla2[[#This Row],[Rentabilidad (%)]]/12</f>
        <v>8.4105976987598422E-3</v>
      </c>
    </row>
    <row r="695" spans="1:16" x14ac:dyDescent="0.35">
      <c r="A695" s="1">
        <v>38261</v>
      </c>
      <c r="B695" t="s">
        <v>28</v>
      </c>
      <c r="C695" s="2">
        <v>46541</v>
      </c>
      <c r="D695" s="5" t="s">
        <v>17</v>
      </c>
      <c r="E695" s="2">
        <f>IF(Tabla2[[#This Row],[Frecuencia]]="Annual", Tabla2[[#This Row],[Cosecha/Tarea]]/12,Tabla2[[#This Row],[Cosecha/Tarea]])</f>
        <v>46541</v>
      </c>
      <c r="F695" s="2">
        <v>63757</v>
      </c>
      <c r="G695" t="s">
        <v>29</v>
      </c>
      <c r="H695">
        <f>F695/Tabla2[[#This Row],[Cosecha Mensual]]</f>
        <v>1.3699104015814014</v>
      </c>
      <c r="I695">
        <f>H695*_xlfn.XLOOKUP(Tabla2[[#This Row],[Unidad de producción]],Tabla3[Medida],Tabla3[Equivalencia en Kg],"ELVIS",0)</f>
        <v>770.35541522528536</v>
      </c>
      <c r="J695">
        <v>2475.6666666666702</v>
      </c>
      <c r="K695" t="s">
        <v>29</v>
      </c>
      <c r="L695">
        <f>J695/_xlfn.XLOOKUP(Tabla2[[#This Row],[Unidad de precio]],Tabla3[Medida],Tabla3[Equivalencia en Kg],"ELVIS",0)</f>
        <v>4.4024374340553223</v>
      </c>
      <c r="M695">
        <v>7896.8729194799998</v>
      </c>
      <c r="N695" s="2">
        <f>(Tabla2[[#This Row],[Productividad (kg/TAS)]]*Tabla2[[#This Row],[Precio por kg]]-Tabla2[[#This Row],[Costos (En RD$/Tarea)]])</f>
        <v>-4505.4314019649719</v>
      </c>
      <c r="O695" s="6">
        <f>IF(Tabla2[[#This Row],[Costos (En RD$/Tarea)]]=0,0,Tabla2[[#This Row],[Beneficio Neto  (En RD$/Tarea)]]/Tabla2[[#This Row],[Costos (En RD$/Tarea)]])</f>
        <v>-0.5705336084174506</v>
      </c>
      <c r="P695" s="4">
        <f>Tabla2[[#This Row],[Rentabilidad (%)]]/12</f>
        <v>-4.7544467368120881E-2</v>
      </c>
    </row>
    <row r="696" spans="1:16" x14ac:dyDescent="0.35">
      <c r="A696" s="1">
        <v>38261</v>
      </c>
      <c r="B696" t="s">
        <v>30</v>
      </c>
      <c r="C696" s="2">
        <v>245953</v>
      </c>
      <c r="D696" s="2" t="s">
        <v>31</v>
      </c>
      <c r="E696" s="2">
        <f>IF(Tabla2[[#This Row],[Frecuencia]]="Annual", Tabla2[[#This Row],[Cosecha/Tarea]]/12,Tabla2[[#This Row],[Cosecha/Tarea]])</f>
        <v>20496.083333333332</v>
      </c>
      <c r="F696" s="2">
        <v>1695128</v>
      </c>
      <c r="G696" t="s">
        <v>32</v>
      </c>
      <c r="H696">
        <f>F696/Tabla2[[#This Row],[Cosecha Mensual]]</f>
        <v>82.704972088163188</v>
      </c>
      <c r="I696">
        <f>H696*_xlfn.XLOOKUP(Tabla2[[#This Row],[Unidad de producción]],Tabla3[Medida],Tabla3[Equivalencia en Kg],"ELVIS",0)</f>
        <v>2250.4022905189204</v>
      </c>
      <c r="J696">
        <v>147.25</v>
      </c>
      <c r="K696" t="s">
        <v>32</v>
      </c>
      <c r="L696">
        <f>J696/_xlfn.XLOOKUP(Tabla2[[#This Row],[Unidad de precio]],Tabla3[Medida],Tabla3[Equivalencia en Kg],"ELVIS",0)</f>
        <v>5.4116133774347661</v>
      </c>
      <c r="M696" s="2">
        <v>6693.79</v>
      </c>
      <c r="N696" s="2">
        <f>(Tabla2[[#This Row],[Productividad (kg/TAS)]]*Tabla2[[#This Row],[Precio por kg]]-Tabla2[[#This Row],[Costos (En RD$/Tarea)]])</f>
        <v>5484.5171399820292</v>
      </c>
      <c r="O696" s="6">
        <f>IF(Tabla2[[#This Row],[Costos (En RD$/Tarea)]]=0,0,Tabla2[[#This Row],[Beneficio Neto  (En RD$/Tarea)]]/Tabla2[[#This Row],[Costos (En RD$/Tarea)]])</f>
        <v>0.81934406964993367</v>
      </c>
      <c r="P696" s="4">
        <f>Tabla2[[#This Row],[Rentabilidad (%)]]/12</f>
        <v>6.8278672470827806E-2</v>
      </c>
    </row>
    <row r="697" spans="1:16" x14ac:dyDescent="0.35">
      <c r="A697" s="1">
        <v>38261</v>
      </c>
      <c r="B697" t="s">
        <v>33</v>
      </c>
      <c r="C697" s="2">
        <v>552490</v>
      </c>
      <c r="D697" s="2" t="s">
        <v>31</v>
      </c>
      <c r="E697" s="2">
        <f>IF(Tabla2[[#This Row],[Frecuencia]]="Annual", Tabla2[[#This Row],[Cosecha/Tarea]]/12,Tabla2[[#This Row],[Cosecha/Tarea]])</f>
        <v>46040.833333333336</v>
      </c>
      <c r="F697" s="2">
        <v>88261</v>
      </c>
      <c r="G697" t="s">
        <v>34</v>
      </c>
      <c r="H697">
        <f>F697/Tabla2[[#This Row],[Cosecha Mensual]]</f>
        <v>1.917015692591721</v>
      </c>
      <c r="I697">
        <f>H697*_xlfn.XLOOKUP(Tabla2[[#This Row],[Unidad de producción]],Tabla3[Medida],Tabla3[Equivalencia en Kg],"ELVIS",0)</f>
        <v>782.42995493131093</v>
      </c>
      <c r="J697">
        <v>2359.375</v>
      </c>
      <c r="K697" t="s">
        <v>34</v>
      </c>
      <c r="L697">
        <f>J697/_xlfn.XLOOKUP(Tabla2[[#This Row],[Unidad de precio]],Tabla3[Medida],Tabla3[Equivalencia en Kg],"ELVIS",0)</f>
        <v>5.780656621340194</v>
      </c>
      <c r="M697" s="2">
        <v>8906.2800000000007</v>
      </c>
      <c r="N697" s="2">
        <f>(Tabla2[[#This Row],[Productividad (kg/TAS)]]*Tabla2[[#This Row],[Precio por kg]]-Tabla2[[#This Row],[Costos (En RD$/Tarea)]])</f>
        <v>-4383.3211002914086</v>
      </c>
      <c r="O697" s="6">
        <f>IF(Tabla2[[#This Row],[Costos (En RD$/Tarea)]]=0,0,Tabla2[[#This Row],[Beneficio Neto  (En RD$/Tarea)]]/Tabla2[[#This Row],[Costos (En RD$/Tarea)]])</f>
        <v>-0.49216071135102513</v>
      </c>
      <c r="P697" s="4">
        <f>Tabla2[[#This Row],[Rentabilidad (%)]]/12</f>
        <v>-4.101339261258543E-2</v>
      </c>
    </row>
    <row r="698" spans="1:16" x14ac:dyDescent="0.35">
      <c r="A698" s="1">
        <v>38292</v>
      </c>
      <c r="B698" t="s">
        <v>16</v>
      </c>
      <c r="C698" s="2">
        <v>213919</v>
      </c>
      <c r="D698" s="5" t="s">
        <v>17</v>
      </c>
      <c r="E698" s="2">
        <f>IF(Tabla2[[#This Row],[Frecuencia]]="Annual", Tabla2[[#This Row],[Cosecha/Tarea]]/12,Tabla2[[#This Row],[Cosecha/Tarea]])</f>
        <v>213919</v>
      </c>
      <c r="F698" s="2">
        <v>724679</v>
      </c>
      <c r="G698" t="s">
        <v>18</v>
      </c>
      <c r="H698">
        <f>F698/Tabla2[[#This Row],[Cosecha Mensual]]</f>
        <v>3.3876327020975228</v>
      </c>
      <c r="I698">
        <f>H698*_xlfn.XLOOKUP(Tabla2[[#This Row],[Unidad de producción]],Tabla3[Medida],Tabla3[Equivalencia en Kg],"ELVIS",0)</f>
        <v>153.66301936714362</v>
      </c>
      <c r="J698">
        <v>883</v>
      </c>
      <c r="K698" t="s">
        <v>19</v>
      </c>
      <c r="L698">
        <f>J698/_xlfn.XLOOKUP(Tabla2[[#This Row],[Unidad de precio]],Tabla3[Medida],Tabla3[Equivalencia en Kg],"ELVIS",0)</f>
        <v>8.0272727272727273</v>
      </c>
      <c r="M698">
        <v>4376.41</v>
      </c>
      <c r="N698" s="2">
        <f>(Tabla2[[#This Row],[Productividad (kg/TAS)]]*Tabla2[[#This Row],[Precio por kg]]-Tabla2[[#This Row],[Costos (En RD$/Tarea)]])</f>
        <v>-3142.915035443747</v>
      </c>
      <c r="O698" s="6">
        <f>IF(Tabla2[[#This Row],[Costos (En RD$/Tarea)]]=0,0,Tabla2[[#This Row],[Beneficio Neto  (En RD$/Tarea)]]/Tabla2[[#This Row],[Costos (En RD$/Tarea)]])</f>
        <v>-0.71814913032456906</v>
      </c>
      <c r="P698" s="4">
        <f>Tabla2[[#This Row],[Rentabilidad (%)]]/12</f>
        <v>-5.9845760860380758E-2</v>
      </c>
    </row>
    <row r="699" spans="1:16" x14ac:dyDescent="0.35">
      <c r="A699" s="1">
        <v>38292</v>
      </c>
      <c r="B699" t="s">
        <v>20</v>
      </c>
      <c r="C699" s="2">
        <v>25112</v>
      </c>
      <c r="D699" s="5" t="s">
        <v>17</v>
      </c>
      <c r="E699" s="2">
        <f>IF(Tabla2[[#This Row],[Frecuencia]]="Annual", Tabla2[[#This Row],[Cosecha/Tarea]]/12,Tabla2[[#This Row],[Cosecha/Tarea]])</f>
        <v>25112</v>
      </c>
      <c r="F699" s="2">
        <v>42582</v>
      </c>
      <c r="G699" t="s">
        <v>18</v>
      </c>
      <c r="H699">
        <f>F699/Tabla2[[#This Row],[Cosecha Mensual]]</f>
        <v>1.6956833386428798</v>
      </c>
      <c r="I699">
        <f>H699*_xlfn.XLOOKUP(Tabla2[[#This Row],[Unidad de producción]],Tabla3[Medida],Tabla3[Equivalencia en Kg],"ELVIS",0)</f>
        <v>76.916196240841032</v>
      </c>
      <c r="J699">
        <v>358.72</v>
      </c>
      <c r="K699" t="s">
        <v>18</v>
      </c>
      <c r="L699">
        <f>J699/_xlfn.XLOOKUP(Tabla2[[#This Row],[Unidad de precio]],Tabla3[Medida],Tabla3[Equivalencia en Kg],"ELVIS",0)</f>
        <v>7.9082892416225761</v>
      </c>
      <c r="M699">
        <v>1100.6600000000001</v>
      </c>
      <c r="N699" s="2">
        <f>(Tabla2[[#This Row],[Productividad (kg/TAS)]]*Tabla2[[#This Row],[Precio por kg]]-Tabla2[[#This Row],[Costos (En RD$/Tarea)]])</f>
        <v>-492.38447276202612</v>
      </c>
      <c r="O699" s="6">
        <f>IF(Tabla2[[#This Row],[Costos (En RD$/Tarea)]]=0,0,Tabla2[[#This Row],[Beneficio Neto  (En RD$/Tarea)]]/Tabla2[[#This Row],[Costos (En RD$/Tarea)]])</f>
        <v>-0.44735383566407982</v>
      </c>
      <c r="P699" s="4">
        <f>Tabla2[[#This Row],[Rentabilidad (%)]]/12</f>
        <v>-3.7279486305339983E-2</v>
      </c>
    </row>
    <row r="700" spans="1:16" x14ac:dyDescent="0.35">
      <c r="A700" s="1">
        <v>38292</v>
      </c>
      <c r="B700" t="s">
        <v>21</v>
      </c>
      <c r="C700" s="2">
        <v>5171</v>
      </c>
      <c r="D700" s="5" t="s">
        <v>17</v>
      </c>
      <c r="E700" s="2">
        <f>IF(Tabla2[[#This Row],[Frecuencia]]="Annual", Tabla2[[#This Row],[Cosecha/Tarea]]/12,Tabla2[[#This Row],[Cosecha/Tarea]])</f>
        <v>5171</v>
      </c>
      <c r="F700" s="2">
        <v>33891</v>
      </c>
      <c r="G700" t="s">
        <v>18</v>
      </c>
      <c r="H700">
        <f>F700/Tabla2[[#This Row],[Cosecha Mensual]]</f>
        <v>6.5540514407271324</v>
      </c>
      <c r="I700">
        <f>H700*_xlfn.XLOOKUP(Tabla2[[#This Row],[Unidad de producción]],Tabla3[Medida],Tabla3[Equivalencia en Kg],"ELVIS",0)</f>
        <v>297.29177335138274</v>
      </c>
      <c r="J700">
        <v>427</v>
      </c>
      <c r="K700" t="s">
        <v>18</v>
      </c>
      <c r="L700">
        <f>J700/_xlfn.XLOOKUP(Tabla2[[#This Row],[Unidad de precio]],Tabla3[Medida],Tabla3[Equivalencia en Kg],"ELVIS",0)</f>
        <v>9.4135802469135808</v>
      </c>
      <c r="M700">
        <v>3591.85</v>
      </c>
      <c r="N700" s="2">
        <f>(Tabla2[[#This Row],[Productividad (kg/TAS)]]*Tabla2[[#This Row],[Precio por kg]]-Tabla2[[#This Row],[Costos (En RD$/Tarea)]])</f>
        <v>-793.27003480951407</v>
      </c>
      <c r="O700" s="6">
        <f>IF(Tabla2[[#This Row],[Costos (En RD$/Tarea)]]=0,0,Tabla2[[#This Row],[Beneficio Neto  (En RD$/Tarea)]]/Tabla2[[#This Row],[Costos (En RD$/Tarea)]])</f>
        <v>-0.2208527735872918</v>
      </c>
      <c r="P700" s="4">
        <f>Tabla2[[#This Row],[Rentabilidad (%)]]/12</f>
        <v>-1.8404397798940982E-2</v>
      </c>
    </row>
    <row r="701" spans="1:16" x14ac:dyDescent="0.35">
      <c r="A701" s="1">
        <v>38292</v>
      </c>
      <c r="B701" t="s">
        <v>22</v>
      </c>
      <c r="C701" s="2">
        <v>2126</v>
      </c>
      <c r="D701" s="5" t="s">
        <v>17</v>
      </c>
      <c r="E701" s="2">
        <f>IF(Tabla2[[#This Row],[Frecuencia]]="Annual", Tabla2[[#This Row],[Cosecha/Tarea]]/12,Tabla2[[#This Row],[Cosecha/Tarea]])</f>
        <v>2126</v>
      </c>
      <c r="F701" s="2">
        <v>17872</v>
      </c>
      <c r="G701" t="s">
        <v>18</v>
      </c>
      <c r="H701">
        <f>F701/Tabla2[[#This Row],[Cosecha Mensual]]</f>
        <v>8.4063969896519293</v>
      </c>
      <c r="I701">
        <f>H701*_xlfn.XLOOKUP(Tabla2[[#This Row],[Unidad de producción]],Tabla3[Medida],Tabla3[Equivalencia en Kg],"ELVIS",0)</f>
        <v>381.31416745061154</v>
      </c>
      <c r="J701">
        <v>633</v>
      </c>
      <c r="K701" t="s">
        <v>18</v>
      </c>
      <c r="L701">
        <f>J701/_xlfn.XLOOKUP(Tabla2[[#This Row],[Unidad de precio]],Tabla3[Medida],Tabla3[Equivalencia en Kg],"ELVIS",0)</f>
        <v>13.955026455026456</v>
      </c>
      <c r="M701">
        <v>3985.16</v>
      </c>
      <c r="N701" s="2">
        <f>(Tabla2[[#This Row],[Productividad (kg/TAS)]]*Tabla2[[#This Row],[Precio por kg]]-Tabla2[[#This Row],[Costos (En RD$/Tarea)]])</f>
        <v>1336.0892944496718</v>
      </c>
      <c r="O701" s="6">
        <f>IF(Tabla2[[#This Row],[Costos (En RD$/Tarea)]]=0,0,Tabla2[[#This Row],[Beneficio Neto  (En RD$/Tarea)]]/Tabla2[[#This Row],[Costos (En RD$/Tarea)]])</f>
        <v>0.33526616106998763</v>
      </c>
      <c r="P701" s="4">
        <f>Tabla2[[#This Row],[Rentabilidad (%)]]/12</f>
        <v>2.7938846755832303E-2</v>
      </c>
    </row>
    <row r="702" spans="1:16" x14ac:dyDescent="0.35">
      <c r="A702" s="1">
        <v>38292</v>
      </c>
      <c r="B702" t="s">
        <v>23</v>
      </c>
      <c r="C702" s="2">
        <v>2717</v>
      </c>
      <c r="D702" s="5" t="s">
        <v>17</v>
      </c>
      <c r="E702" s="2">
        <f>IF(Tabla2[[#This Row],[Frecuencia]]="Annual", Tabla2[[#This Row],[Cosecha/Tarea]]/12,Tabla2[[#This Row],[Cosecha/Tarea]])</f>
        <v>2717</v>
      </c>
      <c r="F702" s="2">
        <v>61490</v>
      </c>
      <c r="G702" t="s">
        <v>18</v>
      </c>
      <c r="H702">
        <f>F702/Tabla2[[#This Row],[Cosecha Mensual]]</f>
        <v>22.631578947368421</v>
      </c>
      <c r="I702">
        <f>H702*_xlfn.XLOOKUP(Tabla2[[#This Row],[Unidad de producción]],Tabla3[Medida],Tabla3[Equivalencia en Kg],"ELVIS",0)</f>
        <v>1026.5684210526315</v>
      </c>
      <c r="J702">
        <v>750</v>
      </c>
      <c r="K702" t="s">
        <v>18</v>
      </c>
      <c r="L702">
        <f>J702/_xlfn.XLOOKUP(Tabla2[[#This Row],[Unidad de precio]],Tabla3[Medida],Tabla3[Equivalencia en Kg],"ELVIS",0)</f>
        <v>16.534391534391535</v>
      </c>
      <c r="M702">
        <v>9274.52</v>
      </c>
      <c r="N702" s="2">
        <f>(Tabla2[[#This Row],[Productividad (kg/TAS)]]*Tabla2[[#This Row],[Precio por kg]]-Tabla2[[#This Row],[Costos (En RD$/Tarea)]])</f>
        <v>7699.1642105263127</v>
      </c>
      <c r="O702" s="6">
        <f>IF(Tabla2[[#This Row],[Costos (En RD$/Tarea)]]=0,0,Tabla2[[#This Row],[Beneficio Neto  (En RD$/Tarea)]]/Tabla2[[#This Row],[Costos (En RD$/Tarea)]])</f>
        <v>0.83014152867494084</v>
      </c>
      <c r="P702" s="4">
        <f>Tabla2[[#This Row],[Rentabilidad (%)]]/12</f>
        <v>6.9178460722911742E-2</v>
      </c>
    </row>
    <row r="703" spans="1:16" x14ac:dyDescent="0.35">
      <c r="A703" s="1">
        <v>38292</v>
      </c>
      <c r="B703" t="s">
        <v>24</v>
      </c>
      <c r="C703" s="2">
        <v>3361</v>
      </c>
      <c r="D703" s="5" t="s">
        <v>17</v>
      </c>
      <c r="E703" s="2">
        <f>IF(Tabla2[[#This Row],[Frecuencia]]="Annual", Tabla2[[#This Row],[Cosecha/Tarea]]/12,Tabla2[[#This Row],[Cosecha/Tarea]])</f>
        <v>3361</v>
      </c>
      <c r="F703" s="2">
        <v>44037</v>
      </c>
      <c r="G703" t="s">
        <v>18</v>
      </c>
      <c r="H703">
        <f>F703/Tabla2[[#This Row],[Cosecha Mensual]]</f>
        <v>13.102350490925319</v>
      </c>
      <c r="I703">
        <f>H703*_xlfn.XLOOKUP(Tabla2[[#This Row],[Unidad de producción]],Tabla3[Medida],Tabla3[Equivalencia en Kg],"ELVIS",0)</f>
        <v>594.32261826837248</v>
      </c>
      <c r="J703">
        <v>1145.9000000000001</v>
      </c>
      <c r="K703" t="s">
        <v>18</v>
      </c>
      <c r="L703">
        <f>J703/_xlfn.XLOOKUP(Tabla2[[#This Row],[Unidad de precio]],Tabla3[Medida],Tabla3[Equivalencia en Kg],"ELVIS",0)</f>
        <v>25.262345679012348</v>
      </c>
      <c r="M703">
        <v>2563.46</v>
      </c>
      <c r="N703" s="2">
        <f>(Tabla2[[#This Row],[Productividad (kg/TAS)]]*Tabla2[[#This Row],[Precio por kg]]-Tabla2[[#This Row],[Costos (En RD$/Tarea)]])</f>
        <v>12450.523427551325</v>
      </c>
      <c r="O703" s="6">
        <f>IF(Tabla2[[#This Row],[Costos (En RD$/Tarea)]]=0,0,Tabla2[[#This Row],[Beneficio Neto  (En RD$/Tarea)]]/Tabla2[[#This Row],[Costos (En RD$/Tarea)]])</f>
        <v>4.8569212812180895</v>
      </c>
      <c r="P703" s="4">
        <f>Tabla2[[#This Row],[Rentabilidad (%)]]/12</f>
        <v>0.40474344010150748</v>
      </c>
    </row>
    <row r="704" spans="1:16" x14ac:dyDescent="0.35">
      <c r="A704" s="1">
        <v>38292</v>
      </c>
      <c r="B704" t="s">
        <v>25</v>
      </c>
      <c r="C704" s="2">
        <v>13990</v>
      </c>
      <c r="D704" s="5" t="s">
        <v>17</v>
      </c>
      <c r="E704" s="2">
        <f>IF(Tabla2[[#This Row],[Frecuencia]]="Annual", Tabla2[[#This Row],[Cosecha/Tarea]]/12,Tabla2[[#This Row],[Cosecha/Tarea]])</f>
        <v>13990</v>
      </c>
      <c r="F704" s="2">
        <v>123529</v>
      </c>
      <c r="G704" t="s">
        <v>18</v>
      </c>
      <c r="H704">
        <f>F704/Tabla2[[#This Row],[Cosecha Mensual]]</f>
        <v>8.8298070050035733</v>
      </c>
      <c r="I704">
        <f>H704*_xlfn.XLOOKUP(Tabla2[[#This Row],[Unidad de producción]],Tabla3[Medida],Tabla3[Equivalencia en Kg],"ELVIS",0)</f>
        <v>400.52004574696207</v>
      </c>
      <c r="J704">
        <v>457.5</v>
      </c>
      <c r="K704" t="s">
        <v>18</v>
      </c>
      <c r="L704">
        <f>J704/_xlfn.XLOOKUP(Tabla2[[#This Row],[Unidad de precio]],Tabla3[Medida],Tabla3[Equivalencia en Kg],"ELVIS",0)</f>
        <v>10.085978835978835</v>
      </c>
      <c r="M704">
        <v>1852.92</v>
      </c>
      <c r="N704" s="2">
        <f>(Tabla2[[#This Row],[Productividad (kg/TAS)]]*Tabla2[[#This Row],[Precio por kg]]-Tabla2[[#This Row],[Costos (En RD$/Tarea)]])</f>
        <v>2186.7167047891344</v>
      </c>
      <c r="O704" s="6">
        <f>IF(Tabla2[[#This Row],[Costos (En RD$/Tarea)]]=0,0,Tabla2[[#This Row],[Beneficio Neto  (En RD$/Tarea)]]/Tabla2[[#This Row],[Costos (En RD$/Tarea)]])</f>
        <v>1.1801463121932594</v>
      </c>
      <c r="P704" s="4">
        <f>Tabla2[[#This Row],[Rentabilidad (%)]]/12</f>
        <v>9.8345526016104953E-2</v>
      </c>
    </row>
    <row r="705" spans="1:16" x14ac:dyDescent="0.35">
      <c r="A705" s="1">
        <v>38292</v>
      </c>
      <c r="B705" t="s">
        <v>26</v>
      </c>
      <c r="C705" s="2">
        <v>5253</v>
      </c>
      <c r="D705" s="5" t="s">
        <v>17</v>
      </c>
      <c r="E705" s="2">
        <f>IF(Tabla2[[#This Row],[Frecuencia]]="Annual", Tabla2[[#This Row],[Cosecha/Tarea]]/12,Tabla2[[#This Row],[Cosecha/Tarea]])</f>
        <v>5253</v>
      </c>
      <c r="F705" s="2">
        <v>29589</v>
      </c>
      <c r="G705" t="s">
        <v>18</v>
      </c>
      <c r="H705">
        <f>F705/Tabla2[[#This Row],[Cosecha Mensual]]</f>
        <v>5.6327812678469442</v>
      </c>
      <c r="I705">
        <f>H705*_xlfn.XLOOKUP(Tabla2[[#This Row],[Unidad de producción]],Tabla3[Medida],Tabla3[Equivalencia en Kg],"ELVIS",0)</f>
        <v>255.50295830953738</v>
      </c>
      <c r="J705">
        <v>440.76851851851899</v>
      </c>
      <c r="K705" t="s">
        <v>18</v>
      </c>
      <c r="L705">
        <f>J705/_xlfn.XLOOKUP(Tabla2[[#This Row],[Unidad de precio]],Tabla3[Medida],Tabla3[Equivalencia en Kg],"ELVIS",0)</f>
        <v>9.7171190149585325</v>
      </c>
      <c r="M705">
        <v>1244.4000000000001</v>
      </c>
      <c r="N705" s="2">
        <f>(Tabla2[[#This Row],[Productividad (kg/TAS)]]*Tabla2[[#This Row],[Precio por kg]]-Tabla2[[#This Row],[Costos (En RD$/Tarea)]])</f>
        <v>1238.3526545677628</v>
      </c>
      <c r="O705" s="6">
        <f>IF(Tabla2[[#This Row],[Costos (En RD$/Tarea)]]=0,0,Tabla2[[#This Row],[Beneficio Neto  (En RD$/Tarea)]]/Tabla2[[#This Row],[Costos (En RD$/Tarea)]])</f>
        <v>0.9951403524331105</v>
      </c>
      <c r="P705" s="4">
        <f>Tabla2[[#This Row],[Rentabilidad (%)]]/12</f>
        <v>8.2928362702759204E-2</v>
      </c>
    </row>
    <row r="706" spans="1:16" x14ac:dyDescent="0.35">
      <c r="A706" s="1">
        <v>38292</v>
      </c>
      <c r="B706" t="s">
        <v>27</v>
      </c>
      <c r="C706" s="2">
        <v>7519</v>
      </c>
      <c r="D706" s="5" t="s">
        <v>17</v>
      </c>
      <c r="E706" s="2">
        <f>IF(Tabla2[[#This Row],[Frecuencia]]="Annual", Tabla2[[#This Row],[Cosecha/Tarea]]/12,Tabla2[[#This Row],[Cosecha/Tarea]])</f>
        <v>7519</v>
      </c>
      <c r="F706" s="2">
        <v>38648</v>
      </c>
      <c r="G706" t="s">
        <v>18</v>
      </c>
      <c r="H706">
        <f>F706/Tabla2[[#This Row],[Cosecha Mensual]]</f>
        <v>5.1400452187790933</v>
      </c>
      <c r="I706">
        <f>H706*_xlfn.XLOOKUP(Tabla2[[#This Row],[Unidad de producción]],Tabla3[Medida],Tabla3[Equivalencia en Kg],"ELVIS",0)</f>
        <v>233.15245112381967</v>
      </c>
      <c r="J706">
        <v>489</v>
      </c>
      <c r="K706" t="s">
        <v>18</v>
      </c>
      <c r="L706">
        <f>J706/_xlfn.XLOOKUP(Tabla2[[#This Row],[Unidad de precio]],Tabla3[Medida],Tabla3[Equivalencia en Kg],"ELVIS",0)</f>
        <v>10.78042328042328</v>
      </c>
      <c r="M706">
        <v>4235.82</v>
      </c>
      <c r="N706" s="2">
        <f>(Tabla2[[#This Row],[Productividad (kg/TAS)]]*Tabla2[[#This Row],[Precio por kg]]-Tabla2[[#This Row],[Costos (En RD$/Tarea)]])</f>
        <v>-1722.337888017023</v>
      </c>
      <c r="O706" s="6">
        <f>IF(Tabla2[[#This Row],[Costos (En RD$/Tarea)]]=0,0,Tabla2[[#This Row],[Beneficio Neto  (En RD$/Tarea)]]/Tabla2[[#This Row],[Costos (En RD$/Tarea)]])</f>
        <v>-0.40661262471422843</v>
      </c>
      <c r="P706" s="4">
        <f>Tabla2[[#This Row],[Rentabilidad (%)]]/12</f>
        <v>-3.3884385392852372E-2</v>
      </c>
    </row>
    <row r="707" spans="1:16" x14ac:dyDescent="0.35">
      <c r="A707" s="1">
        <v>38292</v>
      </c>
      <c r="B707" t="s">
        <v>28</v>
      </c>
      <c r="C707" s="2">
        <v>46105</v>
      </c>
      <c r="D707" s="5" t="s">
        <v>17</v>
      </c>
      <c r="E707" s="2">
        <f>IF(Tabla2[[#This Row],[Frecuencia]]="Annual", Tabla2[[#This Row],[Cosecha/Tarea]]/12,Tabla2[[#This Row],[Cosecha/Tarea]])</f>
        <v>46105</v>
      </c>
      <c r="F707" s="2">
        <v>43293</v>
      </c>
      <c r="G707" t="s">
        <v>29</v>
      </c>
      <c r="H707">
        <f>F707/Tabla2[[#This Row],[Cosecha Mensual]]</f>
        <v>0.93900878429671397</v>
      </c>
      <c r="I707">
        <f>H707*_xlfn.XLOOKUP(Tabla2[[#This Row],[Unidad de producción]],Tabla3[Medida],Tabla3[Equivalencia en Kg],"ELVIS",0)</f>
        <v>528.04219976141417</v>
      </c>
      <c r="J707">
        <v>2987</v>
      </c>
      <c r="K707" t="s">
        <v>29</v>
      </c>
      <c r="L707">
        <f>J707/_xlfn.XLOOKUP(Tabla2[[#This Row],[Unidad de precio]],Tabla3[Medida],Tabla3[Equivalencia en Kg],"ELVIS",0)</f>
        <v>5.3117331151972111</v>
      </c>
      <c r="M707">
        <v>7896.8729194799998</v>
      </c>
      <c r="N707" s="2">
        <f>(Tabla2[[#This Row],[Productividad (kg/TAS)]]*Tabla2[[#This Row],[Precio por kg]]-Tabla2[[#This Row],[Costos (En RD$/Tarea)]])</f>
        <v>-5092.0536807857152</v>
      </c>
      <c r="O707" s="6">
        <f>IF(Tabla2[[#This Row],[Costos (En RD$/Tarea)]]=0,0,Tabla2[[#This Row],[Beneficio Neto  (En RD$/Tarea)]]/Tabla2[[#This Row],[Costos (En RD$/Tarea)]])</f>
        <v>-0.64481899768510154</v>
      </c>
      <c r="P707" s="4">
        <f>Tabla2[[#This Row],[Rentabilidad (%)]]/12</f>
        <v>-5.3734916473758464E-2</v>
      </c>
    </row>
    <row r="708" spans="1:16" x14ac:dyDescent="0.35">
      <c r="A708" s="1">
        <v>38292</v>
      </c>
      <c r="B708" t="s">
        <v>30</v>
      </c>
      <c r="C708" s="2">
        <v>264552</v>
      </c>
      <c r="D708" s="2" t="s">
        <v>31</v>
      </c>
      <c r="E708" s="2">
        <f>IF(Tabla2[[#This Row],[Frecuencia]]="Annual", Tabla2[[#This Row],[Cosecha/Tarea]]/12,Tabla2[[#This Row],[Cosecha/Tarea]])</f>
        <v>22046</v>
      </c>
      <c r="F708" s="2">
        <v>1635660</v>
      </c>
      <c r="G708" t="s">
        <v>32</v>
      </c>
      <c r="H708">
        <f>F708/Tabla2[[#This Row],[Cosecha Mensual]]</f>
        <v>74.193050893586133</v>
      </c>
      <c r="I708">
        <f>H708*_xlfn.XLOOKUP(Tabla2[[#This Row],[Unidad de producción]],Tabla3[Medida],Tabla3[Equivalencia en Kg],"ELVIS",0)</f>
        <v>2018.7929148144788</v>
      </c>
      <c r="J708">
        <v>84</v>
      </c>
      <c r="K708" t="s">
        <v>32</v>
      </c>
      <c r="L708">
        <f>J708/_xlfn.XLOOKUP(Tabla2[[#This Row],[Unidad de precio]],Tabla3[Medida],Tabla3[Equivalencia en Kg],"ELVIS",0)</f>
        <v>3.0871003307607494</v>
      </c>
      <c r="M708" s="2">
        <v>6693.79</v>
      </c>
      <c r="N708" s="2">
        <f>(Tabla2[[#This Row],[Productividad (kg/TAS)]]*Tabla2[[#This Row],[Precio por kg]]-Tabla2[[#This Row],[Costos (En RD$/Tarea)]])</f>
        <v>-461.57372493876483</v>
      </c>
      <c r="O708" s="6">
        <f>IF(Tabla2[[#This Row],[Costos (En RD$/Tarea)]]=0,0,Tabla2[[#This Row],[Beneficio Neto  (En RD$/Tarea)]]/Tabla2[[#This Row],[Costos (En RD$/Tarea)]])</f>
        <v>-6.8955513235217245E-2</v>
      </c>
      <c r="P708" s="4">
        <f>Tabla2[[#This Row],[Rentabilidad (%)]]/12</f>
        <v>-5.7462927696014373E-3</v>
      </c>
    </row>
    <row r="709" spans="1:16" x14ac:dyDescent="0.35">
      <c r="A709" s="1">
        <v>38292</v>
      </c>
      <c r="B709" t="s">
        <v>33</v>
      </c>
      <c r="C709" s="2">
        <v>575139</v>
      </c>
      <c r="D709" s="2" t="s">
        <v>31</v>
      </c>
      <c r="E709" s="2">
        <f>IF(Tabla2[[#This Row],[Frecuencia]]="Annual", Tabla2[[#This Row],[Cosecha/Tarea]]/12,Tabla2[[#This Row],[Cosecha/Tarea]])</f>
        <v>47928.25</v>
      </c>
      <c r="F709" s="2">
        <v>91899</v>
      </c>
      <c r="G709" t="s">
        <v>34</v>
      </c>
      <c r="H709">
        <f>F709/Tabla2[[#This Row],[Cosecha Mensual]]</f>
        <v>1.9174286563769802</v>
      </c>
      <c r="I709">
        <f>H709*_xlfn.XLOOKUP(Tabla2[[#This Row],[Unidad de producción]],Tabla3[Medida],Tabla3[Equivalencia en Kg],"ELVIS",0)</f>
        <v>782.59850610026444</v>
      </c>
      <c r="J709">
        <v>2917</v>
      </c>
      <c r="K709" t="s">
        <v>34</v>
      </c>
      <c r="L709">
        <f>J709/_xlfn.XLOOKUP(Tabla2[[#This Row],[Unidad de precio]],Tabla3[Medida],Tabla3[Equivalencia en Kg],"ELVIS",0)</f>
        <v>7.1468822736738948</v>
      </c>
      <c r="M709" s="2">
        <v>8906.2800000000007</v>
      </c>
      <c r="N709" s="2">
        <f>(Tabla2[[#This Row],[Productividad (kg/TAS)]]*Tabla2[[#This Row],[Precio por kg]]-Tabla2[[#This Row],[Costos (En RD$/Tarea)]])</f>
        <v>-3313.1406093483492</v>
      </c>
      <c r="O709" s="6">
        <f>IF(Tabla2[[#This Row],[Costos (En RD$/Tarea)]]=0,0,Tabla2[[#This Row],[Beneficio Neto  (En RD$/Tarea)]]/Tabla2[[#This Row],[Costos (En RD$/Tarea)]])</f>
        <v>-0.37200049957427223</v>
      </c>
      <c r="P709" s="4">
        <f>Tabla2[[#This Row],[Rentabilidad (%)]]/12</f>
        <v>-3.1000041631189353E-2</v>
      </c>
    </row>
    <row r="710" spans="1:16" x14ac:dyDescent="0.35">
      <c r="A710" s="1">
        <v>38322</v>
      </c>
      <c r="B710" t="s">
        <v>16</v>
      </c>
      <c r="C710" s="2">
        <v>112439</v>
      </c>
      <c r="D710" s="5" t="s">
        <v>17</v>
      </c>
      <c r="E710" s="2">
        <f>IF(Tabla2[[#This Row],[Frecuencia]]="Annual", Tabla2[[#This Row],[Cosecha/Tarea]]/12,Tabla2[[#This Row],[Cosecha/Tarea]])</f>
        <v>112439</v>
      </c>
      <c r="F710" s="2">
        <v>349773</v>
      </c>
      <c r="G710" t="s">
        <v>18</v>
      </c>
      <c r="H710">
        <f>F710/Tabla2[[#This Row],[Cosecha Mensual]]</f>
        <v>3.1107800674143311</v>
      </c>
      <c r="I710">
        <f>H710*_xlfn.XLOOKUP(Tabla2[[#This Row],[Unidad de producción]],Tabla3[Medida],Tabla3[Equivalencia en Kg],"ELVIS",0)</f>
        <v>141.10498385791405</v>
      </c>
      <c r="J710">
        <v>969.05666666666696</v>
      </c>
      <c r="K710" t="s">
        <v>19</v>
      </c>
      <c r="L710">
        <f>J710/_xlfn.XLOOKUP(Tabla2[[#This Row],[Unidad de precio]],Tabla3[Medida],Tabla3[Equivalencia en Kg],"ELVIS",0)</f>
        <v>8.8096060606060629</v>
      </c>
      <c r="M710">
        <v>4376.41</v>
      </c>
      <c r="N710" s="2">
        <f>(Tabla2[[#This Row],[Productividad (kg/TAS)]]*Tabla2[[#This Row],[Precio por kg]]-Tabla2[[#This Row],[Costos (En RD$/Tarea)]])</f>
        <v>-3133.3306790235993</v>
      </c>
      <c r="O710" s="6">
        <f>IF(Tabla2[[#This Row],[Costos (En RD$/Tarea)]]=0,0,Tabla2[[#This Row],[Beneficio Neto  (En RD$/Tarea)]]/Tabla2[[#This Row],[Costos (En RD$/Tarea)]])</f>
        <v>-0.71595912609275625</v>
      </c>
      <c r="P710" s="4">
        <f>Tabla2[[#This Row],[Rentabilidad (%)]]/12</f>
        <v>-5.9663260507729687E-2</v>
      </c>
    </row>
    <row r="711" spans="1:16" x14ac:dyDescent="0.35">
      <c r="A711" s="1">
        <v>38322</v>
      </c>
      <c r="B711" t="s">
        <v>20</v>
      </c>
      <c r="C711" s="2">
        <v>29610</v>
      </c>
      <c r="D711" s="5" t="s">
        <v>17</v>
      </c>
      <c r="E711" s="2">
        <f>IF(Tabla2[[#This Row],[Frecuencia]]="Annual", Tabla2[[#This Row],[Cosecha/Tarea]]/12,Tabla2[[#This Row],[Cosecha/Tarea]])</f>
        <v>29610</v>
      </c>
      <c r="F711" s="2">
        <v>47781</v>
      </c>
      <c r="G711" t="s">
        <v>18</v>
      </c>
      <c r="H711">
        <f>F711/Tabla2[[#This Row],[Cosecha Mensual]]</f>
        <v>1.613677811550152</v>
      </c>
      <c r="I711">
        <f>H711*_xlfn.XLOOKUP(Tabla2[[#This Row],[Unidad de producción]],Tabla3[Medida],Tabla3[Equivalencia en Kg],"ELVIS",0)</f>
        <v>73.196425531914898</v>
      </c>
      <c r="J711">
        <v>355.58333333333297</v>
      </c>
      <c r="K711" t="s">
        <v>18</v>
      </c>
      <c r="L711">
        <f>J711/_xlfn.XLOOKUP(Tabla2[[#This Row],[Unidad de precio]],Tabla3[Medida],Tabla3[Equivalencia en Kg],"ELVIS",0)</f>
        <v>7.8391387419165115</v>
      </c>
      <c r="M711">
        <v>1100.6600000000001</v>
      </c>
      <c r="N711" s="2">
        <f>(Tabla2[[#This Row],[Productividad (kg/TAS)]]*Tabla2[[#This Row],[Precio por kg]]-Tabla2[[#This Row],[Costos (En RD$/Tarea)]])</f>
        <v>-526.86306484295915</v>
      </c>
      <c r="O711" s="6">
        <f>IF(Tabla2[[#This Row],[Costos (En RD$/Tarea)]]=0,0,Tabla2[[#This Row],[Beneficio Neto  (En RD$/Tarea)]]/Tabla2[[#This Row],[Costos (En RD$/Tarea)]])</f>
        <v>-0.478679215055475</v>
      </c>
      <c r="P711" s="4">
        <f>Tabla2[[#This Row],[Rentabilidad (%)]]/12</f>
        <v>-3.9889934587956248E-2</v>
      </c>
    </row>
    <row r="712" spans="1:16" x14ac:dyDescent="0.35">
      <c r="A712" s="1">
        <v>38322</v>
      </c>
      <c r="B712" t="s">
        <v>21</v>
      </c>
      <c r="C712" s="2">
        <v>4708</v>
      </c>
      <c r="D712" s="5" t="s">
        <v>17</v>
      </c>
      <c r="E712" s="2">
        <f>IF(Tabla2[[#This Row],[Frecuencia]]="Annual", Tabla2[[#This Row],[Cosecha/Tarea]]/12,Tabla2[[#This Row],[Cosecha/Tarea]])</f>
        <v>4708</v>
      </c>
      <c r="F712" s="2">
        <v>43858</v>
      </c>
      <c r="G712" t="s">
        <v>18</v>
      </c>
      <c r="H712">
        <f>F712/Tabla2[[#This Row],[Cosecha Mensual]]</f>
        <v>9.3156329651656762</v>
      </c>
      <c r="I712">
        <f>H712*_xlfn.XLOOKUP(Tabla2[[#This Row],[Unidad de producción]],Tabla3[Medida],Tabla3[Equivalencia en Kg],"ELVIS",0)</f>
        <v>422.55711129991505</v>
      </c>
      <c r="J712">
        <v>425.97333333333302</v>
      </c>
      <c r="K712" t="s">
        <v>18</v>
      </c>
      <c r="L712">
        <f>J712/_xlfn.XLOOKUP(Tabla2[[#This Row],[Unidad de precio]],Tabla3[Medida],Tabla3[Equivalencia en Kg],"ELVIS",0)</f>
        <v>9.3909465020576057</v>
      </c>
      <c r="M712">
        <v>3591.85</v>
      </c>
      <c r="N712" s="2">
        <f>(Tabla2[[#This Row],[Productividad (kg/TAS)]]*Tabla2[[#This Row],[Precio por kg]]-Tabla2[[#This Row],[Costos (En RD$/Tarea)]])</f>
        <v>376.3612262815036</v>
      </c>
      <c r="O712" s="6">
        <f>IF(Tabla2[[#This Row],[Costos (En RD$/Tarea)]]=0,0,Tabla2[[#This Row],[Beneficio Neto  (En RD$/Tarea)]]/Tabla2[[#This Row],[Costos (En RD$/Tarea)]])</f>
        <v>0.10478199988348723</v>
      </c>
      <c r="P712" s="4">
        <f>Tabla2[[#This Row],[Rentabilidad (%)]]/12</f>
        <v>8.7318333236239363E-3</v>
      </c>
    </row>
    <row r="713" spans="1:16" x14ac:dyDescent="0.35">
      <c r="A713" s="1">
        <v>38322</v>
      </c>
      <c r="B713" t="s">
        <v>22</v>
      </c>
      <c r="C713" s="2">
        <v>5610</v>
      </c>
      <c r="D713" s="5" t="s">
        <v>17</v>
      </c>
      <c r="E713" s="2">
        <f>IF(Tabla2[[#This Row],[Frecuencia]]="Annual", Tabla2[[#This Row],[Cosecha/Tarea]]/12,Tabla2[[#This Row],[Cosecha/Tarea]])</f>
        <v>5610</v>
      </c>
      <c r="F713" s="2">
        <v>47180</v>
      </c>
      <c r="G713" t="s">
        <v>18</v>
      </c>
      <c r="H713">
        <f>F713/Tabla2[[#This Row],[Cosecha Mensual]]</f>
        <v>8.4099821746880572</v>
      </c>
      <c r="I713">
        <f>H713*_xlfn.XLOOKUP(Tabla2[[#This Row],[Unidad de producción]],Tabla3[Medida],Tabla3[Equivalencia en Kg],"ELVIS",0)</f>
        <v>381.47679144385029</v>
      </c>
      <c r="J713">
        <v>537.5</v>
      </c>
      <c r="K713" t="s">
        <v>18</v>
      </c>
      <c r="L713">
        <f>J713/_xlfn.XLOOKUP(Tabla2[[#This Row],[Unidad de precio]],Tabla3[Medida],Tabla3[Equivalencia en Kg],"ELVIS",0)</f>
        <v>11.849647266313934</v>
      </c>
      <c r="M713">
        <v>3985.16</v>
      </c>
      <c r="N713" s="2">
        <f>(Tabla2[[#This Row],[Productividad (kg/TAS)]]*Tabla2[[#This Row],[Precio por kg]]-Tabla2[[#This Row],[Costos (En RD$/Tarea)]])</f>
        <v>535.20541889483138</v>
      </c>
      <c r="O713" s="6">
        <f>IF(Tabla2[[#This Row],[Costos (En RD$/Tarea)]]=0,0,Tabla2[[#This Row],[Beneficio Neto  (En RD$/Tarea)]]/Tabla2[[#This Row],[Costos (En RD$/Tarea)]])</f>
        <v>0.13429960626294338</v>
      </c>
      <c r="P713" s="4">
        <f>Tabla2[[#This Row],[Rentabilidad (%)]]/12</f>
        <v>1.1191633855245282E-2</v>
      </c>
    </row>
    <row r="714" spans="1:16" x14ac:dyDescent="0.35">
      <c r="A714" s="1">
        <v>38322</v>
      </c>
      <c r="B714" t="s">
        <v>23</v>
      </c>
      <c r="C714" s="2">
        <v>2092</v>
      </c>
      <c r="D714" s="5" t="s">
        <v>17</v>
      </c>
      <c r="E714" s="2">
        <f>IF(Tabla2[[#This Row],[Frecuencia]]="Annual", Tabla2[[#This Row],[Cosecha/Tarea]]/12,Tabla2[[#This Row],[Cosecha/Tarea]])</f>
        <v>2092</v>
      </c>
      <c r="F714" s="2">
        <v>54010</v>
      </c>
      <c r="G714" t="s">
        <v>18</v>
      </c>
      <c r="H714">
        <f>F714/Tabla2[[#This Row],[Cosecha Mensual]]</f>
        <v>25.817399617590823</v>
      </c>
      <c r="I714">
        <f>H714*_xlfn.XLOOKUP(Tabla2[[#This Row],[Unidad de producción]],Tabla3[Medida],Tabla3[Equivalencia en Kg],"ELVIS",0)</f>
        <v>1171.0772466539197</v>
      </c>
      <c r="J714">
        <v>715</v>
      </c>
      <c r="K714" t="s">
        <v>18</v>
      </c>
      <c r="L714">
        <f>J714/_xlfn.XLOOKUP(Tabla2[[#This Row],[Unidad de precio]],Tabla3[Medida],Tabla3[Equivalencia en Kg],"ELVIS",0)</f>
        <v>15.76278659611993</v>
      </c>
      <c r="M714">
        <v>9274.52</v>
      </c>
      <c r="N714" s="2">
        <f>(Tabla2[[#This Row],[Productividad (kg/TAS)]]*Tabla2[[#This Row],[Precio por kg]]-Tabla2[[#This Row],[Costos (En RD$/Tarea)]])</f>
        <v>9184.9207265774385</v>
      </c>
      <c r="O714" s="6">
        <f>IF(Tabla2[[#This Row],[Costos (En RD$/Tarea)]]=0,0,Tabla2[[#This Row],[Beneficio Neto  (En RD$/Tarea)]]/Tabla2[[#This Row],[Costos (En RD$/Tarea)]])</f>
        <v>0.99033920101282202</v>
      </c>
      <c r="P714" s="4">
        <f>Tabla2[[#This Row],[Rentabilidad (%)]]/12</f>
        <v>8.2528266751068502E-2</v>
      </c>
    </row>
    <row r="715" spans="1:16" x14ac:dyDescent="0.35">
      <c r="A715" s="1">
        <v>38322</v>
      </c>
      <c r="B715" t="s">
        <v>24</v>
      </c>
      <c r="C715" s="2">
        <v>12875</v>
      </c>
      <c r="D715" s="5" t="s">
        <v>17</v>
      </c>
      <c r="E715" s="2">
        <f>IF(Tabla2[[#This Row],[Frecuencia]]="Annual", Tabla2[[#This Row],[Cosecha/Tarea]]/12,Tabla2[[#This Row],[Cosecha/Tarea]])</f>
        <v>12875</v>
      </c>
      <c r="F715" s="2">
        <v>195115</v>
      </c>
      <c r="G715" t="s">
        <v>18</v>
      </c>
      <c r="H715">
        <f>F715/Tabla2[[#This Row],[Cosecha Mensual]]</f>
        <v>15.154563106796116</v>
      </c>
      <c r="I715">
        <f>H715*_xlfn.XLOOKUP(Tabla2[[#This Row],[Unidad de producción]],Tabla3[Medida],Tabla3[Equivalencia en Kg],"ELVIS",0)</f>
        <v>687.41098252427184</v>
      </c>
      <c r="J715">
        <v>699.375</v>
      </c>
      <c r="K715" t="s">
        <v>18</v>
      </c>
      <c r="L715">
        <f>J715/_xlfn.XLOOKUP(Tabla2[[#This Row],[Unidad de precio]],Tabla3[Medida],Tabla3[Equivalencia en Kg],"ELVIS",0)</f>
        <v>15.418320105820106</v>
      </c>
      <c r="M715">
        <v>2563.46</v>
      </c>
      <c r="N715" s="2">
        <f>(Tabla2[[#This Row],[Productividad (kg/TAS)]]*Tabla2[[#This Row],[Precio por kg]]-Tabla2[[#This Row],[Costos (En RD$/Tarea)]])</f>
        <v>8035.2625728155335</v>
      </c>
      <c r="O715" s="6">
        <f>IF(Tabla2[[#This Row],[Costos (En RD$/Tarea)]]=0,0,Tabla2[[#This Row],[Beneficio Neto  (En RD$/Tarea)]]/Tabla2[[#This Row],[Costos (En RD$/Tarea)]])</f>
        <v>3.1345379186004592</v>
      </c>
      <c r="P715" s="4">
        <f>Tabla2[[#This Row],[Rentabilidad (%)]]/12</f>
        <v>0.26121149321670495</v>
      </c>
    </row>
    <row r="716" spans="1:16" x14ac:dyDescent="0.35">
      <c r="A716" s="1">
        <v>38322</v>
      </c>
      <c r="B716" t="s">
        <v>25</v>
      </c>
      <c r="C716" s="2">
        <v>19803</v>
      </c>
      <c r="D716" s="5" t="s">
        <v>17</v>
      </c>
      <c r="E716" s="2">
        <f>IF(Tabla2[[#This Row],[Frecuencia]]="Annual", Tabla2[[#This Row],[Cosecha/Tarea]]/12,Tabla2[[#This Row],[Cosecha/Tarea]])</f>
        <v>19803</v>
      </c>
      <c r="F716" s="2">
        <v>183816</v>
      </c>
      <c r="G716" t="s">
        <v>18</v>
      </c>
      <c r="H716">
        <f>F716/Tabla2[[#This Row],[Cosecha Mensual]]</f>
        <v>9.2822299651567945</v>
      </c>
      <c r="I716">
        <f>H716*_xlfn.XLOOKUP(Tabla2[[#This Row],[Unidad de producción]],Tabla3[Medida],Tabla3[Equivalencia en Kg],"ELVIS",0)</f>
        <v>421.04195121951221</v>
      </c>
      <c r="J716">
        <v>433.58222222222201</v>
      </c>
      <c r="K716" t="s">
        <v>18</v>
      </c>
      <c r="L716">
        <f>J716/_xlfn.XLOOKUP(Tabla2[[#This Row],[Unidad de precio]],Tabla3[Medida],Tabla3[Equivalencia en Kg],"ELVIS",0)</f>
        <v>9.5586909660983697</v>
      </c>
      <c r="M716">
        <v>1852.92</v>
      </c>
      <c r="N716" s="2">
        <f>(Tabla2[[#This Row],[Productividad (kg/TAS)]]*Tabla2[[#This Row],[Precio por kg]]-Tabla2[[#This Row],[Costos (En RD$/Tarea)]])</f>
        <v>2171.6898954703815</v>
      </c>
      <c r="O716" s="6">
        <f>IF(Tabla2[[#This Row],[Costos (En RD$/Tarea)]]=0,0,Tabla2[[#This Row],[Beneficio Neto  (En RD$/Tarea)]]/Tabla2[[#This Row],[Costos (En RD$/Tarea)]])</f>
        <v>1.1720365128933692</v>
      </c>
      <c r="P716" s="4">
        <f>Tabla2[[#This Row],[Rentabilidad (%)]]/12</f>
        <v>9.7669709407780761E-2</v>
      </c>
    </row>
    <row r="717" spans="1:16" x14ac:dyDescent="0.35">
      <c r="A717" s="1">
        <v>38322</v>
      </c>
      <c r="B717" t="s">
        <v>26</v>
      </c>
      <c r="C717" s="2">
        <v>6190</v>
      </c>
      <c r="D717" s="5" t="s">
        <v>17</v>
      </c>
      <c r="E717" s="2">
        <f>IF(Tabla2[[#This Row],[Frecuencia]]="Annual", Tabla2[[#This Row],[Cosecha/Tarea]]/12,Tabla2[[#This Row],[Cosecha/Tarea]])</f>
        <v>6190</v>
      </c>
      <c r="F717" s="2">
        <v>36692</v>
      </c>
      <c r="G717" t="s">
        <v>18</v>
      </c>
      <c r="H717">
        <f>F717/Tabla2[[#This Row],[Cosecha Mensual]]</f>
        <v>5.9276252019386106</v>
      </c>
      <c r="I717">
        <f>H717*_xlfn.XLOOKUP(Tabla2[[#This Row],[Unidad de producción]],Tabla3[Medida],Tabla3[Equivalencia en Kg],"ELVIS",0)</f>
        <v>268.87707915993536</v>
      </c>
      <c r="J717">
        <v>600</v>
      </c>
      <c r="K717" t="s">
        <v>18</v>
      </c>
      <c r="L717">
        <f>J717/_xlfn.XLOOKUP(Tabla2[[#This Row],[Unidad de precio]],Tabla3[Medida],Tabla3[Equivalencia en Kg],"ELVIS",0)</f>
        <v>13.227513227513228</v>
      </c>
      <c r="M717">
        <v>1244.4000000000001</v>
      </c>
      <c r="N717" s="2">
        <f>(Tabla2[[#This Row],[Productividad (kg/TAS)]]*Tabla2[[#This Row],[Precio por kg]]-Tabla2[[#This Row],[Costos (En RD$/Tarea)]])</f>
        <v>2312.1751211631663</v>
      </c>
      <c r="O717" s="6">
        <f>IF(Tabla2[[#This Row],[Costos (En RD$/Tarea)]]=0,0,Tabla2[[#This Row],[Beneficio Neto  (En RD$/Tarea)]]/Tabla2[[#This Row],[Costos (En RD$/Tarea)]])</f>
        <v>1.8580642246569963</v>
      </c>
      <c r="P717" s="4">
        <f>Tabla2[[#This Row],[Rentabilidad (%)]]/12</f>
        <v>0.15483868538808301</v>
      </c>
    </row>
    <row r="718" spans="1:16" x14ac:dyDescent="0.35">
      <c r="A718" s="1">
        <v>38322</v>
      </c>
      <c r="B718" t="s">
        <v>27</v>
      </c>
      <c r="C718" s="2">
        <v>5554</v>
      </c>
      <c r="D718" s="5" t="s">
        <v>17</v>
      </c>
      <c r="E718" s="2">
        <f>IF(Tabla2[[#This Row],[Frecuencia]]="Annual", Tabla2[[#This Row],[Cosecha/Tarea]]/12,Tabla2[[#This Row],[Cosecha/Tarea]])</f>
        <v>5554</v>
      </c>
      <c r="F718" s="2">
        <v>45627</v>
      </c>
      <c r="G718" t="s">
        <v>18</v>
      </c>
      <c r="H718">
        <f>F718/Tabla2[[#This Row],[Cosecha Mensual]]</f>
        <v>8.2151602448685637</v>
      </c>
      <c r="I718">
        <f>H718*_xlfn.XLOOKUP(Tabla2[[#This Row],[Unidad de producción]],Tabla3[Medida],Tabla3[Equivalencia en Kg],"ELVIS",0)</f>
        <v>372.63966870723806</v>
      </c>
      <c r="J718">
        <v>357.91666666666703</v>
      </c>
      <c r="K718" t="s">
        <v>18</v>
      </c>
      <c r="L718">
        <f>J718/_xlfn.XLOOKUP(Tabla2[[#This Row],[Unidad de precio]],Tabla3[Medida],Tabla3[Equivalencia en Kg],"ELVIS",0)</f>
        <v>7.8905790711346349</v>
      </c>
      <c r="M718">
        <v>4235.82</v>
      </c>
      <c r="N718" s="2">
        <f>(Tabla2[[#This Row],[Productividad (kg/TAS)]]*Tabla2[[#This Row],[Precio por kg]]-Tabla2[[#This Row],[Costos (En RD$/Tarea)]])</f>
        <v>-1295.4772290241231</v>
      </c>
      <c r="O718" s="6">
        <f>IF(Tabla2[[#This Row],[Costos (En RD$/Tarea)]]=0,0,Tabla2[[#This Row],[Beneficio Neto  (En RD$/Tarea)]]/Tabla2[[#This Row],[Costos (En RD$/Tarea)]])</f>
        <v>-0.30583859300539756</v>
      </c>
      <c r="P718" s="4">
        <f>Tabla2[[#This Row],[Rentabilidad (%)]]/12</f>
        <v>-2.5486549417116464E-2</v>
      </c>
    </row>
    <row r="719" spans="1:16" x14ac:dyDescent="0.35">
      <c r="A719" s="1">
        <v>38322</v>
      </c>
      <c r="B719" t="s">
        <v>28</v>
      </c>
      <c r="C719" s="2">
        <v>40965</v>
      </c>
      <c r="D719" s="5" t="s">
        <v>17</v>
      </c>
      <c r="E719" s="2">
        <f>IF(Tabla2[[#This Row],[Frecuencia]]="Annual", Tabla2[[#This Row],[Cosecha/Tarea]]/12,Tabla2[[#This Row],[Cosecha/Tarea]])</f>
        <v>40965</v>
      </c>
      <c r="F719" s="2">
        <v>44095</v>
      </c>
      <c r="G719" t="s">
        <v>29</v>
      </c>
      <c r="H719">
        <f>F719/Tabla2[[#This Row],[Cosecha Mensual]]</f>
        <v>1.076406688636641</v>
      </c>
      <c r="I719">
        <f>H719*_xlfn.XLOOKUP(Tabla2[[#This Row],[Unidad de producción]],Tabla3[Medida],Tabla3[Equivalencia en Kg],"ELVIS",0)</f>
        <v>605.30653728792879</v>
      </c>
      <c r="J719">
        <v>4404.75</v>
      </c>
      <c r="K719" t="s">
        <v>29</v>
      </c>
      <c r="L719">
        <f>J719/_xlfn.XLOOKUP(Tabla2[[#This Row],[Unidad de precio]],Tabla3[Medida],Tabla3[Equivalencia en Kg],"ELVIS",0)</f>
        <v>7.8328946900451681</v>
      </c>
      <c r="M719">
        <v>7896.8729194799998</v>
      </c>
      <c r="N719" s="2">
        <f>(Tabla2[[#This Row],[Productividad (kg/TAS)]]*Tabla2[[#This Row],[Precio por kg]]-Tabla2[[#This Row],[Costos (En RD$/Tarea)]])</f>
        <v>-3155.5705577077551</v>
      </c>
      <c r="O719" s="6">
        <f>IF(Tabla2[[#This Row],[Costos (En RD$/Tarea)]]=0,0,Tabla2[[#This Row],[Beneficio Neto  (En RD$/Tarea)]]/Tabla2[[#This Row],[Costos (En RD$/Tarea)]])</f>
        <v>-0.39959748496440867</v>
      </c>
      <c r="P719" s="4">
        <f>Tabla2[[#This Row],[Rentabilidad (%)]]/12</f>
        <v>-3.3299790413700722E-2</v>
      </c>
    </row>
    <row r="720" spans="1:16" x14ac:dyDescent="0.35">
      <c r="A720" s="1">
        <v>38322</v>
      </c>
      <c r="B720" t="s">
        <v>30</v>
      </c>
      <c r="C720" s="2">
        <v>271301</v>
      </c>
      <c r="D720" s="2" t="s">
        <v>31</v>
      </c>
      <c r="E720" s="2">
        <f>IF(Tabla2[[#This Row],[Frecuencia]]="Annual", Tabla2[[#This Row],[Cosecha/Tarea]]/12,Tabla2[[#This Row],[Cosecha/Tarea]])</f>
        <v>22608.416666666668</v>
      </c>
      <c r="F720" s="2">
        <v>1646725</v>
      </c>
      <c r="G720" t="s">
        <v>32</v>
      </c>
      <c r="H720">
        <f>F720/Tabla2[[#This Row],[Cosecha Mensual]]</f>
        <v>72.836812249125501</v>
      </c>
      <c r="I720">
        <f>H720*_xlfn.XLOOKUP(Tabla2[[#This Row],[Unidad de producción]],Tabla3[Medida],Tabla3[Equivalencia en Kg],"ELVIS",0)</f>
        <v>1981.8896612987051</v>
      </c>
      <c r="J720">
        <v>204.166666666667</v>
      </c>
      <c r="K720" t="s">
        <v>32</v>
      </c>
      <c r="L720">
        <f>J720/_xlfn.XLOOKUP(Tabla2[[#This Row],[Unidad de precio]],Tabla3[Medida],Tabla3[Equivalencia en Kg],"ELVIS",0)</f>
        <v>7.5033688594879457</v>
      </c>
      <c r="M720" s="2">
        <v>6693.79</v>
      </c>
      <c r="N720" s="2">
        <f>(Tabla2[[#This Row],[Productividad (kg/TAS)]]*Tabla2[[#This Row],[Precio por kg]]-Tabla2[[#This Row],[Costos (En RD$/Tarea)]])</f>
        <v>8177.0591675298156</v>
      </c>
      <c r="O720" s="6">
        <f>IF(Tabla2[[#This Row],[Costos (En RD$/Tarea)]]=0,0,Tabla2[[#This Row],[Beneficio Neto  (En RD$/Tarea)]]/Tabla2[[#This Row],[Costos (En RD$/Tarea)]])</f>
        <v>1.2215888409301481</v>
      </c>
      <c r="P720" s="4">
        <f>Tabla2[[#This Row],[Rentabilidad (%)]]/12</f>
        <v>0.10179907007751234</v>
      </c>
    </row>
    <row r="721" spans="1:16" x14ac:dyDescent="0.35">
      <c r="A721" s="1">
        <v>38322</v>
      </c>
      <c r="B721" t="s">
        <v>33</v>
      </c>
      <c r="C721" s="2">
        <v>601361</v>
      </c>
      <c r="D721" s="2" t="s">
        <v>31</v>
      </c>
      <c r="E721" s="2">
        <f>IF(Tabla2[[#This Row],[Frecuencia]]="Annual", Tabla2[[#This Row],[Cosecha/Tarea]]/12,Tabla2[[#This Row],[Cosecha/Tarea]])</f>
        <v>50113.416666666664</v>
      </c>
      <c r="F721" s="2">
        <v>93735</v>
      </c>
      <c r="G721" t="s">
        <v>34</v>
      </c>
      <c r="H721">
        <f>F721/Tabla2[[#This Row],[Cosecha Mensual]]</f>
        <v>1.8704571796308707</v>
      </c>
      <c r="I721">
        <f>H721*_xlfn.XLOOKUP(Tabla2[[#This Row],[Unidad de producción]],Tabla3[Medida],Tabla3[Equivalencia en Kg],"ELVIS",0)</f>
        <v>763.42709786633986</v>
      </c>
      <c r="J721">
        <v>3080.1866666666701</v>
      </c>
      <c r="K721" t="s">
        <v>34</v>
      </c>
      <c r="L721">
        <f>J721/_xlfn.XLOOKUP(Tabla2[[#This Row],[Unidad de precio]],Tabla3[Medida],Tabla3[Equivalencia en Kg],"ELVIS",0)</f>
        <v>7.5467026011678806</v>
      </c>
      <c r="M721" s="2">
        <v>8906.2800000000007</v>
      </c>
      <c r="N721" s="2">
        <f>(Tabla2[[#This Row],[Productividad (kg/TAS)]]*Tabla2[[#This Row],[Precio por kg]]-Tabla2[[#This Row],[Costos (En RD$/Tarea)]])</f>
        <v>-3144.9227347300475</v>
      </c>
      <c r="O721" s="6">
        <f>IF(Tabla2[[#This Row],[Costos (En RD$/Tarea)]]=0,0,Tabla2[[#This Row],[Beneficio Neto  (En RD$/Tarea)]]/Tabla2[[#This Row],[Costos (En RD$/Tarea)]])</f>
        <v>-0.35311294218574391</v>
      </c>
      <c r="P721" s="4">
        <f>Tabla2[[#This Row],[Rentabilidad (%)]]/12</f>
        <v>-2.9426078515478658E-2</v>
      </c>
    </row>
    <row r="722" spans="1:16" x14ac:dyDescent="0.35">
      <c r="A722" s="1">
        <v>38353</v>
      </c>
      <c r="B722" t="s">
        <v>16</v>
      </c>
      <c r="C722" s="2">
        <v>112108</v>
      </c>
      <c r="D722" s="5" t="s">
        <v>17</v>
      </c>
      <c r="E722" s="2">
        <f>IF(Tabla2[[#This Row],[Frecuencia]]="Annual", Tabla2[[#This Row],[Cosecha/Tarea]]/12,Tabla2[[#This Row],[Cosecha/Tarea]])</f>
        <v>112108</v>
      </c>
      <c r="F722" s="2">
        <v>203086</v>
      </c>
      <c r="G722" t="s">
        <v>18</v>
      </c>
      <c r="H722">
        <f>F722/Tabla2[[#This Row],[Cosecha Mensual]]</f>
        <v>1.8115210332893281</v>
      </c>
      <c r="I722">
        <f>H722*_xlfn.XLOOKUP(Tabla2[[#This Row],[Unidad de producción]],Tabla3[Medida],Tabla3[Equivalencia en Kg],"ELVIS",0)</f>
        <v>82.170594070003929</v>
      </c>
      <c r="J722">
        <v>950.1875</v>
      </c>
      <c r="K722" t="s">
        <v>19</v>
      </c>
      <c r="L722">
        <f>J722/_xlfn.XLOOKUP(Tabla2[[#This Row],[Unidad de precio]],Tabla3[Medida],Tabla3[Equivalencia en Kg],"ELVIS",0)</f>
        <v>8.6380681818181824</v>
      </c>
      <c r="M722">
        <v>4807.32</v>
      </c>
      <c r="N722" s="2">
        <f>(Tabla2[[#This Row],[Productividad (kg/TAS)]]*Tabla2[[#This Row],[Precio por kg]]-Tabla2[[#This Row],[Costos (En RD$/Tarea)]])</f>
        <v>-4097.524805882801</v>
      </c>
      <c r="O722" s="6">
        <f>IF(Tabla2[[#This Row],[Costos (En RD$/Tarea)]]=0,0,Tabla2[[#This Row],[Beneficio Neto  (En RD$/Tarea)]]/Tabla2[[#This Row],[Costos (En RD$/Tarea)]])</f>
        <v>-0.85235116569789426</v>
      </c>
      <c r="P722" s="4">
        <f>Tabla2[[#This Row],[Rentabilidad (%)]]/12</f>
        <v>-7.1029263808157855E-2</v>
      </c>
    </row>
    <row r="723" spans="1:16" x14ac:dyDescent="0.35">
      <c r="A723" s="1">
        <v>38353</v>
      </c>
      <c r="B723" t="s">
        <v>20</v>
      </c>
      <c r="C723" s="2">
        <v>20931</v>
      </c>
      <c r="D723" s="5" t="s">
        <v>17</v>
      </c>
      <c r="E723" s="2">
        <f>IF(Tabla2[[#This Row],[Frecuencia]]="Annual", Tabla2[[#This Row],[Cosecha/Tarea]]/12,Tabla2[[#This Row],[Cosecha/Tarea]])</f>
        <v>20931</v>
      </c>
      <c r="F723" s="2">
        <v>34401</v>
      </c>
      <c r="G723" t="s">
        <v>18</v>
      </c>
      <c r="H723">
        <f>F723/Tabla2[[#This Row],[Cosecha Mensual]]</f>
        <v>1.6435430700874301</v>
      </c>
      <c r="I723">
        <f>H723*_xlfn.XLOOKUP(Tabla2[[#This Row],[Unidad de producción]],Tabla3[Medida],Tabla3[Equivalencia en Kg],"ELVIS",0)</f>
        <v>74.551113659165821</v>
      </c>
      <c r="J723">
        <v>361.09333333333302</v>
      </c>
      <c r="K723" t="s">
        <v>18</v>
      </c>
      <c r="L723">
        <f>J723/_xlfn.XLOOKUP(Tabla2[[#This Row],[Unidad de precio]],Tabla3[Medida],Tabla3[Equivalencia en Kg],"ELVIS",0)</f>
        <v>7.9606114050558423</v>
      </c>
      <c r="M723">
        <v>1327.7</v>
      </c>
      <c r="N723" s="2">
        <f>(Tabla2[[#This Row],[Productividad (kg/TAS)]]*Tabla2[[#This Row],[Precio por kg]]-Tabla2[[#This Row],[Costos (En RD$/Tarea)]])</f>
        <v>-734.22755434523026</v>
      </c>
      <c r="O723" s="6">
        <f>IF(Tabla2[[#This Row],[Costos (En RD$/Tarea)]]=0,0,Tabla2[[#This Row],[Beneficio Neto  (En RD$/Tarea)]]/Tabla2[[#This Row],[Costos (En RD$/Tarea)]])</f>
        <v>-0.55300712084449066</v>
      </c>
      <c r="P723" s="4">
        <f>Tabla2[[#This Row],[Rentabilidad (%)]]/12</f>
        <v>-4.6083926737040891E-2</v>
      </c>
    </row>
    <row r="724" spans="1:16" x14ac:dyDescent="0.35">
      <c r="A724" s="1">
        <v>38353</v>
      </c>
      <c r="B724" t="s">
        <v>21</v>
      </c>
      <c r="C724" s="2">
        <v>6462</v>
      </c>
      <c r="D724" s="5" t="s">
        <v>17</v>
      </c>
      <c r="E724" s="2">
        <f>IF(Tabla2[[#This Row],[Frecuencia]]="Annual", Tabla2[[#This Row],[Cosecha/Tarea]]/12,Tabla2[[#This Row],[Cosecha/Tarea]])</f>
        <v>6462</v>
      </c>
      <c r="F724" s="2">
        <v>50376</v>
      </c>
      <c r="G724" t="s">
        <v>18</v>
      </c>
      <c r="H724">
        <f>F724/Tabla2[[#This Row],[Cosecha Mensual]]</f>
        <v>7.7957288765088206</v>
      </c>
      <c r="I724">
        <f>H724*_xlfn.XLOOKUP(Tabla2[[#This Row],[Unidad de producción]],Tabla3[Medida],Tabla3[Equivalencia en Kg],"ELVIS",0)</f>
        <v>353.61426183844009</v>
      </c>
      <c r="J724">
        <v>528.83000000000004</v>
      </c>
      <c r="K724" t="s">
        <v>18</v>
      </c>
      <c r="L724">
        <f>J724/_xlfn.XLOOKUP(Tabla2[[#This Row],[Unidad de precio]],Tabla3[Medida],Tabla3[Equivalencia en Kg],"ELVIS",0)</f>
        <v>11.658509700176367</v>
      </c>
      <c r="M724">
        <v>2092.86</v>
      </c>
      <c r="N724" s="2">
        <f>(Tabla2[[#This Row],[Productividad (kg/TAS)]]*Tabla2[[#This Row],[Precio por kg]]-Tabla2[[#This Row],[Costos (En RD$/Tarea)]])</f>
        <v>2029.755301764159</v>
      </c>
      <c r="O724" s="6">
        <f>IF(Tabla2[[#This Row],[Costos (En RD$/Tarea)]]=0,0,Tabla2[[#This Row],[Beneficio Neto  (En RD$/Tarea)]]/Tabla2[[#This Row],[Costos (En RD$/Tarea)]])</f>
        <v>0.96984762562434124</v>
      </c>
      <c r="P724" s="4">
        <f>Tabla2[[#This Row],[Rentabilidad (%)]]/12</f>
        <v>8.0820635468695098E-2</v>
      </c>
    </row>
    <row r="725" spans="1:16" x14ac:dyDescent="0.35">
      <c r="A725" s="1">
        <v>38353</v>
      </c>
      <c r="B725" t="s">
        <v>22</v>
      </c>
      <c r="C725" s="2">
        <v>2959</v>
      </c>
      <c r="D725" s="5" t="s">
        <v>17</v>
      </c>
      <c r="E725" s="2">
        <f>IF(Tabla2[[#This Row],[Frecuencia]]="Annual", Tabla2[[#This Row],[Cosecha/Tarea]]/12,Tabla2[[#This Row],[Cosecha/Tarea]])</f>
        <v>2959</v>
      </c>
      <c r="F725" s="2">
        <v>24534</v>
      </c>
      <c r="G725" t="s">
        <v>18</v>
      </c>
      <c r="H725">
        <f>F725/Tabla2[[#This Row],[Cosecha Mensual]]</f>
        <v>8.2913146333220684</v>
      </c>
      <c r="I725">
        <f>H725*_xlfn.XLOOKUP(Tabla2[[#This Row],[Unidad de producción]],Tabla3[Medida],Tabla3[Equivalencia en Kg],"ELVIS",0)</f>
        <v>376.09403176748901</v>
      </c>
      <c r="J725">
        <v>563.75</v>
      </c>
      <c r="K725" t="s">
        <v>18</v>
      </c>
      <c r="L725">
        <f>J725/_xlfn.XLOOKUP(Tabla2[[#This Row],[Unidad de precio]],Tabla3[Medida],Tabla3[Equivalencia en Kg],"ELVIS",0)</f>
        <v>12.428350970017636</v>
      </c>
      <c r="M725">
        <v>5853.83</v>
      </c>
      <c r="N725" s="2">
        <f>(Tabla2[[#This Row],[Productividad (kg/TAS)]]*Tabla2[[#This Row],[Precio por kg]]-Tabla2[[#This Row],[Costos (En RD$/Tarea)]])</f>
        <v>-1179.6013754646847</v>
      </c>
      <c r="O725" s="6">
        <f>IF(Tabla2[[#This Row],[Costos (En RD$/Tarea)]]=0,0,Tabla2[[#This Row],[Beneficio Neto  (En RD$/Tarea)]]/Tabla2[[#This Row],[Costos (En RD$/Tarea)]])</f>
        <v>-0.20150933243102118</v>
      </c>
      <c r="P725" s="4">
        <f>Tabla2[[#This Row],[Rentabilidad (%)]]/12</f>
        <v>-1.6792444369251765E-2</v>
      </c>
    </row>
    <row r="726" spans="1:16" x14ac:dyDescent="0.35">
      <c r="A726" s="1">
        <v>38353</v>
      </c>
      <c r="B726" t="s">
        <v>23</v>
      </c>
      <c r="C726" s="2">
        <v>2450</v>
      </c>
      <c r="D726" s="5" t="s">
        <v>17</v>
      </c>
      <c r="E726" s="2">
        <f>IF(Tabla2[[#This Row],[Frecuencia]]="Annual", Tabla2[[#This Row],[Cosecha/Tarea]]/12,Tabla2[[#This Row],[Cosecha/Tarea]])</f>
        <v>2450</v>
      </c>
      <c r="F726" s="2">
        <v>66489</v>
      </c>
      <c r="G726" t="s">
        <v>18</v>
      </c>
      <c r="H726">
        <f>F726/Tabla2[[#This Row],[Cosecha Mensual]]</f>
        <v>27.138367346938775</v>
      </c>
      <c r="I726">
        <f>H726*_xlfn.XLOOKUP(Tabla2[[#This Row],[Unidad de producción]],Tabla3[Medida],Tabla3[Equivalencia en Kg],"ELVIS",0)</f>
        <v>1230.9963428571427</v>
      </c>
      <c r="J726">
        <v>533.33333333333303</v>
      </c>
      <c r="K726" t="s">
        <v>18</v>
      </c>
      <c r="L726">
        <f>J726/_xlfn.XLOOKUP(Tabla2[[#This Row],[Unidad de precio]],Tabla3[Medida],Tabla3[Equivalencia en Kg],"ELVIS",0)</f>
        <v>11.757789535567307</v>
      </c>
      <c r="M726">
        <v>10163.530000000001</v>
      </c>
      <c r="N726" s="2">
        <f>(Tabla2[[#This Row],[Productividad (kg/TAS)]]*Tabla2[[#This Row],[Precio por kg]]-Tabla2[[#This Row],[Costos (En RD$/Tarea)]])</f>
        <v>4310.2659183673368</v>
      </c>
      <c r="O726" s="6">
        <f>IF(Tabla2[[#This Row],[Costos (En RD$/Tarea)]]=0,0,Tabla2[[#This Row],[Beneficio Neto  (En RD$/Tarea)]]/Tabla2[[#This Row],[Costos (En RD$/Tarea)]])</f>
        <v>0.42409142476751055</v>
      </c>
      <c r="P726" s="4">
        <f>Tabla2[[#This Row],[Rentabilidad (%)]]/12</f>
        <v>3.5340952063959215E-2</v>
      </c>
    </row>
    <row r="727" spans="1:16" x14ac:dyDescent="0.35">
      <c r="A727" s="1">
        <v>38353</v>
      </c>
      <c r="B727" t="s">
        <v>24</v>
      </c>
      <c r="C727" s="2">
        <v>6499</v>
      </c>
      <c r="D727" s="5" t="s">
        <v>17</v>
      </c>
      <c r="E727" s="2">
        <f>IF(Tabla2[[#This Row],[Frecuencia]]="Annual", Tabla2[[#This Row],[Cosecha/Tarea]]/12,Tabla2[[#This Row],[Cosecha/Tarea]])</f>
        <v>6499</v>
      </c>
      <c r="F727" s="2">
        <v>55325</v>
      </c>
      <c r="G727" t="s">
        <v>18</v>
      </c>
      <c r="H727">
        <f>F727/Tabla2[[#This Row],[Cosecha Mensual]]</f>
        <v>8.512848130481613</v>
      </c>
      <c r="I727">
        <f>H727*_xlfn.XLOOKUP(Tabla2[[#This Row],[Unidad de producción]],Tabla3[Medida],Tabla3[Equivalencia en Kg],"ELVIS",0)</f>
        <v>386.14279119864597</v>
      </c>
      <c r="J727">
        <v>879.16666666666697</v>
      </c>
      <c r="K727" t="s">
        <v>18</v>
      </c>
      <c r="L727">
        <f>J727/_xlfn.XLOOKUP(Tabla2[[#This Row],[Unidad de precio]],Tabla3[Medida],Tabla3[Equivalencia en Kg],"ELVIS",0)</f>
        <v>19.381981187536748</v>
      </c>
      <c r="M727">
        <v>4680.83</v>
      </c>
      <c r="N727" s="2">
        <f>(Tabla2[[#This Row],[Productividad (kg/TAS)]]*Tabla2[[#This Row],[Precio por kg]]-Tabla2[[#This Row],[Costos (En RD$/Tarea)]])</f>
        <v>2803.382314715087</v>
      </c>
      <c r="O727" s="6">
        <f>IF(Tabla2[[#This Row],[Costos (En RD$/Tarea)]]=0,0,Tabla2[[#This Row],[Beneficio Neto  (En RD$/Tarea)]]/Tabla2[[#This Row],[Costos (En RD$/Tarea)]])</f>
        <v>0.59890709868016723</v>
      </c>
      <c r="P727" s="4">
        <f>Tabla2[[#This Row],[Rentabilidad (%)]]/12</f>
        <v>4.9908924890013938E-2</v>
      </c>
    </row>
    <row r="728" spans="1:16" x14ac:dyDescent="0.35">
      <c r="A728" s="1">
        <v>38353</v>
      </c>
      <c r="B728" t="s">
        <v>25</v>
      </c>
      <c r="C728" s="2">
        <v>22678</v>
      </c>
      <c r="D728" s="5" t="s">
        <v>17</v>
      </c>
      <c r="E728" s="2">
        <f>IF(Tabla2[[#This Row],[Frecuencia]]="Annual", Tabla2[[#This Row],[Cosecha/Tarea]]/12,Tabla2[[#This Row],[Cosecha/Tarea]])</f>
        <v>22678</v>
      </c>
      <c r="F728" s="2">
        <v>215085</v>
      </c>
      <c r="G728" t="s">
        <v>18</v>
      </c>
      <c r="H728">
        <f>F728/Tabla2[[#This Row],[Cosecha Mensual]]</f>
        <v>9.4843019666637272</v>
      </c>
      <c r="I728">
        <f>H728*_xlfn.XLOOKUP(Tabla2[[#This Row],[Unidad de producción]],Tabla3[Medida],Tabla3[Equivalencia en Kg],"ELVIS",0)</f>
        <v>430.20793720786668</v>
      </c>
      <c r="J728">
        <v>482.51</v>
      </c>
      <c r="K728" t="s">
        <v>18</v>
      </c>
      <c r="L728">
        <f>J728/_xlfn.XLOOKUP(Tabla2[[#This Row],[Unidad de precio]],Tabla3[Medida],Tabla3[Equivalencia en Kg],"ELVIS",0)</f>
        <v>10.637345679012345</v>
      </c>
      <c r="M728">
        <v>2314.2150000000001</v>
      </c>
      <c r="N728" s="2">
        <f>(Tabla2[[#This Row],[Productividad (kg/TAS)]]*Tabla2[[#This Row],[Precio por kg]]-Tabla2[[#This Row],[Costos (En RD$/Tarea)]])</f>
        <v>2262.0555419349148</v>
      </c>
      <c r="O728" s="6">
        <f>IF(Tabla2[[#This Row],[Costos (En RD$/Tarea)]]=0,0,Tabla2[[#This Row],[Beneficio Neto  (En RD$/Tarea)]]/Tabla2[[#This Row],[Costos (En RD$/Tarea)]])</f>
        <v>0.97746127388117121</v>
      </c>
      <c r="P728" s="4">
        <f>Tabla2[[#This Row],[Rentabilidad (%)]]/12</f>
        <v>8.1455106156764268E-2</v>
      </c>
    </row>
    <row r="729" spans="1:16" x14ac:dyDescent="0.35">
      <c r="A729" s="1">
        <v>38353</v>
      </c>
      <c r="B729" t="s">
        <v>26</v>
      </c>
      <c r="C729" s="2">
        <v>8992</v>
      </c>
      <c r="D729" s="5" t="s">
        <v>17</v>
      </c>
      <c r="E729" s="2">
        <f>IF(Tabla2[[#This Row],[Frecuencia]]="Annual", Tabla2[[#This Row],[Cosecha/Tarea]]/12,Tabla2[[#This Row],[Cosecha/Tarea]])</f>
        <v>8992</v>
      </c>
      <c r="F729" s="2">
        <v>56660</v>
      </c>
      <c r="G729" t="s">
        <v>18</v>
      </c>
      <c r="H729">
        <f>F729/Tabla2[[#This Row],[Cosecha Mensual]]</f>
        <v>6.3011565836298935</v>
      </c>
      <c r="I729">
        <f>H729*_xlfn.XLOOKUP(Tabla2[[#This Row],[Unidad de producción]],Tabla3[Medida],Tabla3[Equivalencia en Kg],"ELVIS",0)</f>
        <v>285.82046263345194</v>
      </c>
      <c r="J729">
        <v>928.91499999999996</v>
      </c>
      <c r="K729" t="s">
        <v>18</v>
      </c>
      <c r="L729">
        <f>J729/_xlfn.XLOOKUP(Tabla2[[#This Row],[Unidad de precio]],Tabla3[Medida],Tabla3[Equivalencia en Kg],"ELVIS",0)</f>
        <v>20.478725749559082</v>
      </c>
      <c r="M729">
        <v>906.4</v>
      </c>
      <c r="N729" s="2">
        <f>(Tabla2[[#This Row],[Productividad (kg/TAS)]]*Tabla2[[#This Row],[Precio por kg]]-Tabla2[[#This Row],[Costos (En RD$/Tarea)]])</f>
        <v>4946.8388678825622</v>
      </c>
      <c r="O729" s="6">
        <f>IF(Tabla2[[#This Row],[Costos (En RD$/Tarea)]]=0,0,Tabla2[[#This Row],[Beneficio Neto  (En RD$/Tarea)]]/Tabla2[[#This Row],[Costos (En RD$/Tarea)]])</f>
        <v>5.457677480011653</v>
      </c>
      <c r="P729" s="4">
        <f>Tabla2[[#This Row],[Rentabilidad (%)]]/12</f>
        <v>0.45480645666763775</v>
      </c>
    </row>
    <row r="730" spans="1:16" x14ac:dyDescent="0.35">
      <c r="A730" s="1">
        <v>38353</v>
      </c>
      <c r="B730" t="s">
        <v>27</v>
      </c>
      <c r="C730" s="2">
        <v>4748</v>
      </c>
      <c r="D730" s="5" t="s">
        <v>17</v>
      </c>
      <c r="E730" s="2">
        <f>IF(Tabla2[[#This Row],[Frecuencia]]="Annual", Tabla2[[#This Row],[Cosecha/Tarea]]/12,Tabla2[[#This Row],[Cosecha/Tarea]])</f>
        <v>4748</v>
      </c>
      <c r="F730" s="2">
        <v>41136</v>
      </c>
      <c r="G730" t="s">
        <v>18</v>
      </c>
      <c r="H730">
        <f>F730/Tabla2[[#This Row],[Cosecha Mensual]]</f>
        <v>8.6638584667228304</v>
      </c>
      <c r="I730">
        <f>H730*_xlfn.XLOOKUP(Tabla2[[#This Row],[Unidad de producción]],Tabla3[Medida],Tabla3[Equivalencia en Kg],"ELVIS",0)</f>
        <v>392.9926200505476</v>
      </c>
      <c r="J730">
        <v>250.43979999999999</v>
      </c>
      <c r="K730" t="s">
        <v>18</v>
      </c>
      <c r="L730">
        <f>J730/_xlfn.XLOOKUP(Tabla2[[#This Row],[Unidad de precio]],Tabla3[Medida],Tabla3[Equivalencia en Kg],"ELVIS",0)</f>
        <v>5.5211596119929451</v>
      </c>
      <c r="M730">
        <v>5157.3900000000003</v>
      </c>
      <c r="N730" s="2">
        <f>(Tabla2[[#This Row],[Productividad (kg/TAS)]]*Tabla2[[#This Row],[Precio por kg]]-Tabla2[[#This Row],[Costos (En RD$/Tarea)]])</f>
        <v>-2987.6150183656282</v>
      </c>
      <c r="O730" s="6">
        <f>IF(Tabla2[[#This Row],[Costos (En RD$/Tarea)]]=0,0,Tabla2[[#This Row],[Beneficio Neto  (En RD$/Tarea)]]/Tabla2[[#This Row],[Costos (En RD$/Tarea)]])</f>
        <v>-0.57928817063778926</v>
      </c>
      <c r="P730" s="4">
        <f>Tabla2[[#This Row],[Rentabilidad (%)]]/12</f>
        <v>-4.8274014219815774E-2</v>
      </c>
    </row>
    <row r="731" spans="1:16" x14ac:dyDescent="0.35">
      <c r="A731" s="1">
        <v>38353</v>
      </c>
      <c r="B731" t="s">
        <v>28</v>
      </c>
      <c r="C731" s="2">
        <v>17825</v>
      </c>
      <c r="D731" s="5" t="s">
        <v>17</v>
      </c>
      <c r="E731" s="2">
        <f>IF(Tabla2[[#This Row],[Frecuencia]]="Annual", Tabla2[[#This Row],[Cosecha/Tarea]]/12,Tabla2[[#This Row],[Cosecha/Tarea]])</f>
        <v>17825</v>
      </c>
      <c r="F731" s="2">
        <v>25676</v>
      </c>
      <c r="G731" t="s">
        <v>29</v>
      </c>
      <c r="H731">
        <f>F731/Tabla2[[#This Row],[Cosecha Mensual]]</f>
        <v>1.4404488078541375</v>
      </c>
      <c r="I731">
        <f>H731*_xlfn.XLOOKUP(Tabla2[[#This Row],[Unidad de producción]],Tabla3[Medida],Tabla3[Equivalencia en Kg],"ELVIS",0)</f>
        <v>810.02198260869579</v>
      </c>
      <c r="J731">
        <v>4000</v>
      </c>
      <c r="K731" t="s">
        <v>29</v>
      </c>
      <c r="L731">
        <f>J731/_xlfn.XLOOKUP(Tabla2[[#This Row],[Unidad de precio]],Tabla3[Medida],Tabla3[Equivalencia en Kg],"ELVIS",0)</f>
        <v>7.1131344026745378</v>
      </c>
      <c r="M731">
        <v>9027.66</v>
      </c>
      <c r="N731" s="2">
        <f>(Tabla2[[#This Row],[Productividad (kg/TAS)]]*Tabla2[[#This Row],[Precio por kg]]-Tabla2[[#This Row],[Costos (En RD$/Tarea)]])</f>
        <v>-3265.8647685834494</v>
      </c>
      <c r="O731" s="6">
        <f>IF(Tabla2[[#This Row],[Costos (En RD$/Tarea)]]=0,0,Tabla2[[#This Row],[Beneficio Neto  (En RD$/Tarea)]]/Tabla2[[#This Row],[Costos (En RD$/Tarea)]])</f>
        <v>-0.36176204781565208</v>
      </c>
      <c r="P731" s="4">
        <f>Tabla2[[#This Row],[Rentabilidad (%)]]/12</f>
        <v>-3.0146837317971006E-2</v>
      </c>
    </row>
    <row r="732" spans="1:16" x14ac:dyDescent="0.35">
      <c r="A732" s="1">
        <v>38353</v>
      </c>
      <c r="B732" t="s">
        <v>30</v>
      </c>
      <c r="C732" s="2">
        <v>271356</v>
      </c>
      <c r="D732" s="2" t="s">
        <v>31</v>
      </c>
      <c r="E732" s="2">
        <f>IF(Tabla2[[#This Row],[Frecuencia]]="Annual", Tabla2[[#This Row],[Cosecha/Tarea]]/12,Tabla2[[#This Row],[Cosecha/Tarea]])</f>
        <v>22613</v>
      </c>
      <c r="F732" s="2">
        <v>1805117</v>
      </c>
      <c r="G732" t="s">
        <v>32</v>
      </c>
      <c r="H732">
        <f>F732/Tabla2[[#This Row],[Cosecha Mensual]]</f>
        <v>79.826515721045411</v>
      </c>
      <c r="I732">
        <f>H732*_xlfn.XLOOKUP(Tabla2[[#This Row],[Unidad de producción]],Tabla3[Medida],Tabla3[Equivalencia en Kg],"ELVIS",0)</f>
        <v>2172.0794927696456</v>
      </c>
      <c r="J732">
        <v>63.496666666666698</v>
      </c>
      <c r="K732" t="s">
        <v>32</v>
      </c>
      <c r="L732">
        <f>J732/_xlfn.XLOOKUP(Tabla2[[#This Row],[Unidad de precio]],Tabla3[Medida],Tabla3[Equivalencia en Kg],"ELVIS",0)</f>
        <v>2.3335783412960933</v>
      </c>
      <c r="M732" s="2">
        <v>7918.62</v>
      </c>
      <c r="N732" s="2">
        <f>(Tabla2[[#This Row],[Productividad (kg/TAS)]]*Tabla2[[#This Row],[Precio por kg]]-Tabla2[[#This Row],[Costos (En RD$/Tarea)]])</f>
        <v>-2849.9023400993501</v>
      </c>
      <c r="O732" s="6">
        <f>IF(Tabla2[[#This Row],[Costos (En RD$/Tarea)]]=0,0,Tabla2[[#This Row],[Beneficio Neto  (En RD$/Tarea)]]/Tabla2[[#This Row],[Costos (En RD$/Tarea)]])</f>
        <v>-0.35989886370344204</v>
      </c>
      <c r="P732" s="4">
        <f>Tabla2[[#This Row],[Rentabilidad (%)]]/12</f>
        <v>-2.9991571975286836E-2</v>
      </c>
    </row>
    <row r="733" spans="1:16" x14ac:dyDescent="0.35">
      <c r="A733" s="1">
        <v>38353</v>
      </c>
      <c r="B733" t="s">
        <v>33</v>
      </c>
      <c r="C733" s="2">
        <v>525730</v>
      </c>
      <c r="D733" s="2" t="s">
        <v>31</v>
      </c>
      <c r="E733" s="2">
        <f>IF(Tabla2[[#This Row],[Frecuencia]]="Annual", Tabla2[[#This Row],[Cosecha/Tarea]]/12,Tabla2[[#This Row],[Cosecha/Tarea]])</f>
        <v>43810.833333333336</v>
      </c>
      <c r="F733" s="2">
        <v>105676</v>
      </c>
      <c r="G733" t="s">
        <v>34</v>
      </c>
      <c r="H733">
        <f>F733/Tabla2[[#This Row],[Cosecha Mensual]]</f>
        <v>2.4120974644779638</v>
      </c>
      <c r="I733">
        <f>H733*_xlfn.XLOOKUP(Tabla2[[#This Row],[Unidad de producción]],Tabla3[Medida],Tabla3[Equivalencia en Kg],"ELVIS",0)</f>
        <v>984.49758012668087</v>
      </c>
      <c r="J733">
        <v>3448.8433333333301</v>
      </c>
      <c r="K733" t="s">
        <v>34</v>
      </c>
      <c r="L733">
        <f>J733/_xlfn.XLOOKUP(Tabla2[[#This Row],[Unidad de precio]],Tabla3[Medida],Tabla3[Equivalencia en Kg],"ELVIS",0)</f>
        <v>8.4499407897423264</v>
      </c>
      <c r="M733" s="2">
        <v>9928.24</v>
      </c>
      <c r="N733" s="2">
        <f>(Tabla2[[#This Row],[Productividad (kg/TAS)]]*Tabla2[[#This Row],[Precio por kg]]-Tabla2[[#This Row],[Costos (En RD$/Tarea)]])</f>
        <v>-1609.2937402849439</v>
      </c>
      <c r="O733" s="6">
        <f>IF(Tabla2[[#This Row],[Costos (En RD$/Tarea)]]=0,0,Tabla2[[#This Row],[Beneficio Neto  (En RD$/Tarea)]]/Tabla2[[#This Row],[Costos (En RD$/Tarea)]])</f>
        <v>-0.16209255016850357</v>
      </c>
      <c r="P733" s="4">
        <f>Tabla2[[#This Row],[Rentabilidad (%)]]/12</f>
        <v>-1.3507712514041965E-2</v>
      </c>
    </row>
    <row r="734" spans="1:16" x14ac:dyDescent="0.35">
      <c r="A734" s="1">
        <v>38384</v>
      </c>
      <c r="B734" t="s">
        <v>16</v>
      </c>
      <c r="C734" s="2">
        <v>8749</v>
      </c>
      <c r="D734" s="5" t="s">
        <v>17</v>
      </c>
      <c r="E734" s="2">
        <f>IF(Tabla2[[#This Row],[Frecuencia]]="Annual", Tabla2[[#This Row],[Cosecha/Tarea]]/12,Tabla2[[#This Row],[Cosecha/Tarea]])</f>
        <v>8749</v>
      </c>
      <c r="F734" s="2">
        <v>21416</v>
      </c>
      <c r="G734" t="s">
        <v>18</v>
      </c>
      <c r="H734">
        <f>F734/Tabla2[[#This Row],[Cosecha Mensual]]</f>
        <v>2.4478226082980914</v>
      </c>
      <c r="I734">
        <f>H734*_xlfn.XLOOKUP(Tabla2[[#This Row],[Unidad de producción]],Tabla3[Medida],Tabla3[Equivalencia en Kg],"ELVIS",0)</f>
        <v>111.03323351240142</v>
      </c>
      <c r="J734">
        <v>666.25</v>
      </c>
      <c r="K734" t="s">
        <v>19</v>
      </c>
      <c r="L734">
        <f>J734/_xlfn.XLOOKUP(Tabla2[[#This Row],[Unidad de precio]],Tabla3[Medida],Tabla3[Equivalencia en Kg],"ELVIS",0)</f>
        <v>6.0568181818181817</v>
      </c>
      <c r="M734">
        <v>4807.32</v>
      </c>
      <c r="N734" s="2">
        <f>(Tabla2[[#This Row],[Productividad (kg/TAS)]]*Tabla2[[#This Row],[Precio por kg]]-Tabla2[[#This Row],[Costos (En RD$/Tarea)]])</f>
        <v>-4134.8118924760229</v>
      </c>
      <c r="O734" s="6">
        <f>IF(Tabla2[[#This Row],[Costos (En RD$/Tarea)]]=0,0,Tabla2[[#This Row],[Beneficio Neto  (En RD$/Tarea)]]/Tabla2[[#This Row],[Costos (En RD$/Tarea)]])</f>
        <v>-0.86010748035829176</v>
      </c>
      <c r="P734" s="4">
        <f>Tabla2[[#This Row],[Rentabilidad (%)]]/12</f>
        <v>-7.1675623363190985E-2</v>
      </c>
    </row>
    <row r="735" spans="1:16" x14ac:dyDescent="0.35">
      <c r="A735" s="1">
        <v>38384</v>
      </c>
      <c r="B735" t="s">
        <v>20</v>
      </c>
      <c r="C735" s="2">
        <v>23607</v>
      </c>
      <c r="D735" s="5" t="s">
        <v>17</v>
      </c>
      <c r="E735" s="2">
        <f>IF(Tabla2[[#This Row],[Frecuencia]]="Annual", Tabla2[[#This Row],[Cosecha/Tarea]]/12,Tabla2[[#This Row],[Cosecha/Tarea]])</f>
        <v>23607</v>
      </c>
      <c r="F735" s="2">
        <v>42539</v>
      </c>
      <c r="G735" t="s">
        <v>18</v>
      </c>
      <c r="H735">
        <f>F735/Tabla2[[#This Row],[Cosecha Mensual]]</f>
        <v>1.80196551870208</v>
      </c>
      <c r="I735">
        <f>H735*_xlfn.XLOOKUP(Tabla2[[#This Row],[Unidad de producción]],Tabla3[Medida],Tabla3[Equivalencia en Kg],"ELVIS",0)</f>
        <v>81.737155928326345</v>
      </c>
      <c r="J735">
        <v>364.488</v>
      </c>
      <c r="K735" t="s">
        <v>18</v>
      </c>
      <c r="L735">
        <f>J735/_xlfn.XLOOKUP(Tabla2[[#This Row],[Unidad de precio]],Tabla3[Medida],Tabla3[Equivalencia en Kg],"ELVIS",0)</f>
        <v>8.0354497354497347</v>
      </c>
      <c r="M735">
        <v>1327.7</v>
      </c>
      <c r="N735" s="2">
        <f>(Tabla2[[#This Row],[Productividad (kg/TAS)]]*Tabla2[[#This Row],[Precio por kg]]-Tabla2[[#This Row],[Costos (En RD$/Tarea)]])</f>
        <v>-670.90519201931636</v>
      </c>
      <c r="O735" s="6">
        <f>IF(Tabla2[[#This Row],[Costos (En RD$/Tarea)]]=0,0,Tabla2[[#This Row],[Beneficio Neto  (En RD$/Tarea)]]/Tabla2[[#This Row],[Costos (En RD$/Tarea)]])</f>
        <v>-0.50531384500965304</v>
      </c>
      <c r="P735" s="4">
        <f>Tabla2[[#This Row],[Rentabilidad (%)]]/12</f>
        <v>-4.2109487084137753E-2</v>
      </c>
    </row>
    <row r="736" spans="1:16" x14ac:dyDescent="0.35">
      <c r="A736" s="1">
        <v>38384</v>
      </c>
      <c r="B736" t="s">
        <v>21</v>
      </c>
      <c r="C736" s="2">
        <v>6255</v>
      </c>
      <c r="D736" s="5" t="s">
        <v>17</v>
      </c>
      <c r="E736" s="2">
        <f>IF(Tabla2[[#This Row],[Frecuencia]]="Annual", Tabla2[[#This Row],[Cosecha/Tarea]]/12,Tabla2[[#This Row],[Cosecha/Tarea]])</f>
        <v>6255</v>
      </c>
      <c r="F736" s="2">
        <v>53118</v>
      </c>
      <c r="G736" t="s">
        <v>18</v>
      </c>
      <c r="H736">
        <f>F736/Tabla2[[#This Row],[Cosecha Mensual]]</f>
        <v>8.4920863309352512</v>
      </c>
      <c r="I736">
        <f>H736*_xlfn.XLOOKUP(Tabla2[[#This Row],[Unidad de producción]],Tabla3[Medida],Tabla3[Equivalencia en Kg],"ELVIS",0)</f>
        <v>385.20103597122301</v>
      </c>
      <c r="J736">
        <v>378.56599999999997</v>
      </c>
      <c r="K736" t="s">
        <v>18</v>
      </c>
      <c r="L736">
        <f>J736/_xlfn.XLOOKUP(Tabla2[[#This Row],[Unidad de precio]],Tabla3[Medida],Tabla3[Equivalencia en Kg],"ELVIS",0)</f>
        <v>8.3458112874779538</v>
      </c>
      <c r="M736">
        <v>2092.86</v>
      </c>
      <c r="N736" s="2">
        <f>(Tabla2[[#This Row],[Productividad (kg/TAS)]]*Tabla2[[#This Row],[Precio por kg]]-Tabla2[[#This Row],[Costos (En RD$/Tarea)]])</f>
        <v>1121.9551539568342</v>
      </c>
      <c r="O736" s="6">
        <f>IF(Tabla2[[#This Row],[Costos (En RD$/Tarea)]]=0,0,Tabla2[[#This Row],[Beneficio Neto  (En RD$/Tarea)]]/Tabla2[[#This Row],[Costos (En RD$/Tarea)]])</f>
        <v>0.53608705501411191</v>
      </c>
      <c r="P736" s="4">
        <f>Tabla2[[#This Row],[Rentabilidad (%)]]/12</f>
        <v>4.4673921251175995E-2</v>
      </c>
    </row>
    <row r="737" spans="1:16" x14ac:dyDescent="0.35">
      <c r="A737" s="1">
        <v>38384</v>
      </c>
      <c r="B737" t="s">
        <v>22</v>
      </c>
      <c r="C737" s="2">
        <v>3548</v>
      </c>
      <c r="D737" s="5" t="s">
        <v>17</v>
      </c>
      <c r="E737" s="2">
        <f>IF(Tabla2[[#This Row],[Frecuencia]]="Annual", Tabla2[[#This Row],[Cosecha/Tarea]]/12,Tabla2[[#This Row],[Cosecha/Tarea]])</f>
        <v>3548</v>
      </c>
      <c r="F737" s="2">
        <v>23269</v>
      </c>
      <c r="G737" t="s">
        <v>18</v>
      </c>
      <c r="H737">
        <f>F737/Tabla2[[#This Row],[Cosecha Mensual]]</f>
        <v>6.5583427282976325</v>
      </c>
      <c r="I737">
        <f>H737*_xlfn.XLOOKUP(Tabla2[[#This Row],[Unidad de producción]],Tabla3[Medida],Tabla3[Equivalencia en Kg],"ELVIS",0)</f>
        <v>297.4864261555806</v>
      </c>
      <c r="J737">
        <v>590</v>
      </c>
      <c r="K737" t="s">
        <v>18</v>
      </c>
      <c r="L737">
        <f>J737/_xlfn.XLOOKUP(Tabla2[[#This Row],[Unidad de precio]],Tabla3[Medida],Tabla3[Equivalencia en Kg],"ELVIS",0)</f>
        <v>13.00705467372134</v>
      </c>
      <c r="M737">
        <v>5853.83</v>
      </c>
      <c r="N737" s="2">
        <f>(Tabla2[[#This Row],[Productividad (kg/TAS)]]*Tabla2[[#This Row],[Precio por kg]]-Tabla2[[#This Row],[Costos (En RD$/Tarea)]])</f>
        <v>-1984.4077903043967</v>
      </c>
      <c r="O737" s="6">
        <f>IF(Tabla2[[#This Row],[Costos (En RD$/Tarea)]]=0,0,Tabla2[[#This Row],[Beneficio Neto  (En RD$/Tarea)]]/Tabla2[[#This Row],[Costos (En RD$/Tarea)]])</f>
        <v>-0.33899306783838901</v>
      </c>
      <c r="P737" s="4">
        <f>Tabla2[[#This Row],[Rentabilidad (%)]]/12</f>
        <v>-2.8249422319865752E-2</v>
      </c>
    </row>
    <row r="738" spans="1:16" x14ac:dyDescent="0.35">
      <c r="A738" s="1">
        <v>38384</v>
      </c>
      <c r="B738" t="s">
        <v>23</v>
      </c>
      <c r="C738" s="2">
        <v>2569</v>
      </c>
      <c r="D738" s="5" t="s">
        <v>17</v>
      </c>
      <c r="E738" s="2">
        <f>IF(Tabla2[[#This Row],[Frecuencia]]="Annual", Tabla2[[#This Row],[Cosecha/Tarea]]/12,Tabla2[[#This Row],[Cosecha/Tarea]])</f>
        <v>2569</v>
      </c>
      <c r="F738" s="2">
        <v>85687</v>
      </c>
      <c r="G738" t="s">
        <v>18</v>
      </c>
      <c r="H738">
        <f>F738/Tabla2[[#This Row],[Cosecha Mensual]]</f>
        <v>33.35422343324251</v>
      </c>
      <c r="I738">
        <f>H738*_xlfn.XLOOKUP(Tabla2[[#This Row],[Unidad de producción]],Tabla3[Medida],Tabla3[Equivalencia en Kg],"ELVIS",0)</f>
        <v>1512.9475749318801</v>
      </c>
      <c r="J738">
        <v>325</v>
      </c>
      <c r="K738" t="s">
        <v>18</v>
      </c>
      <c r="L738">
        <f>J738/_xlfn.XLOOKUP(Tabla2[[#This Row],[Unidad de precio]],Tabla3[Medida],Tabla3[Equivalencia en Kg],"ELVIS",0)</f>
        <v>7.1649029982363315</v>
      </c>
      <c r="M738">
        <v>10163.530000000001</v>
      </c>
      <c r="N738" s="2">
        <f>(Tabla2[[#This Row],[Productividad (kg/TAS)]]*Tabla2[[#This Row],[Precio por kg]]-Tabla2[[#This Row],[Costos (En RD$/Tarea)]])</f>
        <v>676.59261580381462</v>
      </c>
      <c r="O738" s="6">
        <f>IF(Tabla2[[#This Row],[Costos (En RD$/Tarea)]]=0,0,Tabla2[[#This Row],[Beneficio Neto  (En RD$/Tarea)]]/Tabla2[[#This Row],[Costos (En RD$/Tarea)]])</f>
        <v>6.6570632034717719E-2</v>
      </c>
      <c r="P738" s="4">
        <f>Tabla2[[#This Row],[Rentabilidad (%)]]/12</f>
        <v>5.5475526695598102E-3</v>
      </c>
    </row>
    <row r="739" spans="1:16" x14ac:dyDescent="0.35">
      <c r="A739" s="1">
        <v>38384</v>
      </c>
      <c r="B739" t="s">
        <v>24</v>
      </c>
      <c r="C739" s="2">
        <v>9724</v>
      </c>
      <c r="D739" s="5" t="s">
        <v>17</v>
      </c>
      <c r="E739" s="2">
        <f>IF(Tabla2[[#This Row],[Frecuencia]]="Annual", Tabla2[[#This Row],[Cosecha/Tarea]]/12,Tabla2[[#This Row],[Cosecha/Tarea]])</f>
        <v>9724</v>
      </c>
      <c r="F739" s="2">
        <v>91305</v>
      </c>
      <c r="G739" t="s">
        <v>18</v>
      </c>
      <c r="H739">
        <f>F739/Tabla2[[#This Row],[Cosecha Mensual]]</f>
        <v>9.3896544631838754</v>
      </c>
      <c r="I739">
        <f>H739*_xlfn.XLOOKUP(Tabla2[[#This Row],[Unidad de producción]],Tabla3[Medida],Tabla3[Equivalencia en Kg],"ELVIS",0)</f>
        <v>425.91472645002057</v>
      </c>
      <c r="J739">
        <v>747.20749999999998</v>
      </c>
      <c r="K739" t="s">
        <v>18</v>
      </c>
      <c r="L739">
        <f>J739/_xlfn.XLOOKUP(Tabla2[[#This Row],[Unidad de precio]],Tabla3[Medida],Tabla3[Equivalencia en Kg],"ELVIS",0)</f>
        <v>16.472828483245149</v>
      </c>
      <c r="M739">
        <v>4680.83</v>
      </c>
      <c r="N739" s="2">
        <f>(Tabla2[[#This Row],[Productividad (kg/TAS)]]*Tabla2[[#This Row],[Precio por kg]]-Tabla2[[#This Row],[Costos (En RD$/Tarea)]])</f>
        <v>2335.1902372994646</v>
      </c>
      <c r="O739" s="6">
        <f>IF(Tabla2[[#This Row],[Costos (En RD$/Tarea)]]=0,0,Tabla2[[#This Row],[Beneficio Neto  (En RD$/Tarea)]]/Tabla2[[#This Row],[Costos (En RD$/Tarea)]])</f>
        <v>0.49888379567287522</v>
      </c>
      <c r="P739" s="4">
        <f>Tabla2[[#This Row],[Rentabilidad (%)]]/12</f>
        <v>4.1573649639406268E-2</v>
      </c>
    </row>
    <row r="740" spans="1:16" x14ac:dyDescent="0.35">
      <c r="A740" s="1">
        <v>38384</v>
      </c>
      <c r="B740" t="s">
        <v>25</v>
      </c>
      <c r="C740" s="2">
        <v>21380</v>
      </c>
      <c r="D740" s="5" t="s">
        <v>17</v>
      </c>
      <c r="E740" s="2">
        <f>IF(Tabla2[[#This Row],[Frecuencia]]="Annual", Tabla2[[#This Row],[Cosecha/Tarea]]/12,Tabla2[[#This Row],[Cosecha/Tarea]])</f>
        <v>21380</v>
      </c>
      <c r="F740" s="2">
        <v>199179</v>
      </c>
      <c r="G740" t="s">
        <v>18</v>
      </c>
      <c r="H740">
        <f>F740/Tabla2[[#This Row],[Cosecha Mensual]]</f>
        <v>9.3161365762394759</v>
      </c>
      <c r="I740">
        <f>H740*_xlfn.XLOOKUP(Tabla2[[#This Row],[Unidad de producción]],Tabla3[Medida],Tabla3[Equivalencia en Kg],"ELVIS",0)</f>
        <v>422.57995509822263</v>
      </c>
      <c r="J740">
        <v>436.90350000000001</v>
      </c>
      <c r="K740" t="s">
        <v>18</v>
      </c>
      <c r="L740">
        <f>J740/_xlfn.XLOOKUP(Tabla2[[#This Row],[Unidad de precio]],Tabla3[Medida],Tabla3[Equivalencia en Kg],"ELVIS",0)</f>
        <v>9.6319113756613763</v>
      </c>
      <c r="M740">
        <v>2314.2150000000001</v>
      </c>
      <c r="N740" s="2">
        <f>(Tabla2[[#This Row],[Productividad (kg/TAS)]]*Tabla2[[#This Row],[Precio por kg]]-Tabla2[[#This Row],[Costos (En RD$/Tarea)]])</f>
        <v>1756.0376766370441</v>
      </c>
      <c r="O740" s="6">
        <f>IF(Tabla2[[#This Row],[Costos (En RD$/Tarea)]]=0,0,Tabla2[[#This Row],[Beneficio Neto  (En RD$/Tarea)]]/Tabla2[[#This Row],[Costos (En RD$/Tarea)]])</f>
        <v>0.75880489783232929</v>
      </c>
      <c r="P740" s="4">
        <f>Tabla2[[#This Row],[Rentabilidad (%)]]/12</f>
        <v>6.3233741486027437E-2</v>
      </c>
    </row>
    <row r="741" spans="1:16" x14ac:dyDescent="0.35">
      <c r="A741" s="1">
        <v>38384</v>
      </c>
      <c r="B741" t="s">
        <v>26</v>
      </c>
      <c r="C741" s="2">
        <v>9769</v>
      </c>
      <c r="D741" s="5" t="s">
        <v>17</v>
      </c>
      <c r="E741" s="2">
        <f>IF(Tabla2[[#This Row],[Frecuencia]]="Annual", Tabla2[[#This Row],[Cosecha/Tarea]]/12,Tabla2[[#This Row],[Cosecha/Tarea]])</f>
        <v>9769</v>
      </c>
      <c r="F741" s="2">
        <v>69493</v>
      </c>
      <c r="G741" t="s">
        <v>18</v>
      </c>
      <c r="H741">
        <f>F741/Tabla2[[#This Row],[Cosecha Mensual]]</f>
        <v>7.1136247312928651</v>
      </c>
      <c r="I741">
        <f>H741*_xlfn.XLOOKUP(Tabla2[[#This Row],[Unidad de producción]],Tabla3[Medida],Tabla3[Equivalencia en Kg],"ELVIS",0)</f>
        <v>322.67401781144434</v>
      </c>
      <c r="J741">
        <v>400</v>
      </c>
      <c r="K741" t="s">
        <v>18</v>
      </c>
      <c r="L741">
        <f>J741/_xlfn.XLOOKUP(Tabla2[[#This Row],[Unidad de precio]],Tabla3[Medida],Tabla3[Equivalencia en Kg],"ELVIS",0)</f>
        <v>8.8183421516754859</v>
      </c>
      <c r="M741">
        <v>906.4</v>
      </c>
      <c r="N741" s="2">
        <f>(Tabla2[[#This Row],[Productividad (kg/TAS)]]*Tabla2[[#This Row],[Precio por kg]]-Tabla2[[#This Row],[Costos (En RD$/Tarea)]])</f>
        <v>1939.049892517146</v>
      </c>
      <c r="O741" s="6">
        <f>IF(Tabla2[[#This Row],[Costos (En RD$/Tarea)]]=0,0,Tabla2[[#This Row],[Beneficio Neto  (En RD$/Tarea)]]/Tabla2[[#This Row],[Costos (En RD$/Tarea)]])</f>
        <v>2.1392871717973807</v>
      </c>
      <c r="P741" s="4">
        <f>Tabla2[[#This Row],[Rentabilidad (%)]]/12</f>
        <v>0.17827393098311506</v>
      </c>
    </row>
    <row r="742" spans="1:16" x14ac:dyDescent="0.35">
      <c r="A742" s="1">
        <v>38384</v>
      </c>
      <c r="B742" t="s">
        <v>27</v>
      </c>
      <c r="C742" s="2">
        <v>4807</v>
      </c>
      <c r="D742" s="5" t="s">
        <v>17</v>
      </c>
      <c r="E742" s="2">
        <f>IF(Tabla2[[#This Row],[Frecuencia]]="Annual", Tabla2[[#This Row],[Cosecha/Tarea]]/12,Tabla2[[#This Row],[Cosecha/Tarea]])</f>
        <v>4807</v>
      </c>
      <c r="F742" s="2">
        <v>54187</v>
      </c>
      <c r="G742" t="s">
        <v>18</v>
      </c>
      <c r="H742">
        <f>F742/Tabla2[[#This Row],[Cosecha Mensual]]</f>
        <v>11.27251924277096</v>
      </c>
      <c r="I742">
        <f>H742*_xlfn.XLOOKUP(Tabla2[[#This Row],[Unidad de producción]],Tabla3[Medida],Tabla3[Equivalencia en Kg],"ELVIS",0)</f>
        <v>511.32147285209072</v>
      </c>
      <c r="J742">
        <v>199.68753333333399</v>
      </c>
      <c r="K742" t="s">
        <v>18</v>
      </c>
      <c r="L742">
        <f>J742/_xlfn.XLOOKUP(Tabla2[[#This Row],[Unidad de precio]],Tabla3[Medida],Tabla3[Equivalencia en Kg],"ELVIS",0)</f>
        <v>4.4022824808936063</v>
      </c>
      <c r="M742">
        <v>5157.3900000000003</v>
      </c>
      <c r="N742" s="2">
        <f>(Tabla2[[#This Row],[Productividad (kg/TAS)]]*Tabla2[[#This Row],[Precio por kg]]-Tabla2[[#This Row],[Costos (En RD$/Tarea)]])</f>
        <v>-2906.4084379585256</v>
      </c>
      <c r="O742" s="6">
        <f>IF(Tabla2[[#This Row],[Costos (En RD$/Tarea)]]=0,0,Tabla2[[#This Row],[Beneficio Neto  (En RD$/Tarea)]]/Tabla2[[#This Row],[Costos (En RD$/Tarea)]])</f>
        <v>-0.56354249687507163</v>
      </c>
      <c r="P742" s="4">
        <f>Tabla2[[#This Row],[Rentabilidad (%)]]/12</f>
        <v>-4.69618747395893E-2</v>
      </c>
    </row>
    <row r="743" spans="1:16" x14ac:dyDescent="0.35">
      <c r="A743" s="1">
        <v>38384</v>
      </c>
      <c r="B743" t="s">
        <v>28</v>
      </c>
      <c r="C743" s="2">
        <v>23779</v>
      </c>
      <c r="D743" s="5" t="s">
        <v>17</v>
      </c>
      <c r="E743" s="2">
        <f>IF(Tabla2[[#This Row],[Frecuencia]]="Annual", Tabla2[[#This Row],[Cosecha/Tarea]]/12,Tabla2[[#This Row],[Cosecha/Tarea]])</f>
        <v>23779</v>
      </c>
      <c r="F743" s="2">
        <v>16611</v>
      </c>
      <c r="G743" t="s">
        <v>29</v>
      </c>
      <c r="H743">
        <f>F743/Tabla2[[#This Row],[Cosecha Mensual]]</f>
        <v>0.69855755078010007</v>
      </c>
      <c r="I743">
        <f>H743*_xlfn.XLOOKUP(Tabla2[[#This Row],[Unidad de producción]],Tabla3[Medida],Tabla3[Equivalencia en Kg],"ELVIS",0)</f>
        <v>392.82685310568149</v>
      </c>
      <c r="J743">
        <v>4000</v>
      </c>
      <c r="K743" t="s">
        <v>29</v>
      </c>
      <c r="L743">
        <f>J743/_xlfn.XLOOKUP(Tabla2[[#This Row],[Unidad de precio]],Tabla3[Medida],Tabla3[Equivalencia en Kg],"ELVIS",0)</f>
        <v>7.1131344026745378</v>
      </c>
      <c r="M743">
        <v>9027.66</v>
      </c>
      <c r="N743" s="2">
        <f>(Tabla2[[#This Row],[Productividad (kg/TAS)]]*Tabla2[[#This Row],[Precio por kg]]-Tabla2[[#This Row],[Costos (En RD$/Tarea)]])</f>
        <v>-6233.4297968796</v>
      </c>
      <c r="O743" s="6">
        <f>IF(Tabla2[[#This Row],[Costos (En RD$/Tarea)]]=0,0,Tabla2[[#This Row],[Beneficio Neto  (En RD$/Tarea)]]/Tabla2[[#This Row],[Costos (En RD$/Tarea)]])</f>
        <v>-0.69048123177873333</v>
      </c>
      <c r="P743" s="4">
        <f>Tabla2[[#This Row],[Rentabilidad (%)]]/12</f>
        <v>-5.754010264822778E-2</v>
      </c>
    </row>
    <row r="744" spans="1:16" x14ac:dyDescent="0.35">
      <c r="A744" s="1">
        <v>38384</v>
      </c>
      <c r="B744" t="s">
        <v>30</v>
      </c>
      <c r="C744" s="2">
        <v>249238</v>
      </c>
      <c r="D744" s="2" t="s">
        <v>31</v>
      </c>
      <c r="E744" s="2">
        <f>IF(Tabla2[[#This Row],[Frecuencia]]="Annual", Tabla2[[#This Row],[Cosecha/Tarea]]/12,Tabla2[[#This Row],[Cosecha/Tarea]])</f>
        <v>20769.833333333332</v>
      </c>
      <c r="F744" s="2">
        <v>1735952</v>
      </c>
      <c r="G744" t="s">
        <v>32</v>
      </c>
      <c r="H744">
        <f>F744/Tabla2[[#This Row],[Cosecha Mensual]]</f>
        <v>83.580449209189609</v>
      </c>
      <c r="I744">
        <f>H744*_xlfn.XLOOKUP(Tabla2[[#This Row],[Unidad de producción]],Tabla3[Medida],Tabla3[Equivalencia en Kg],"ELVIS",0)</f>
        <v>2274.2240229820495</v>
      </c>
      <c r="J744">
        <v>74.444999999999993</v>
      </c>
      <c r="K744" t="s">
        <v>32</v>
      </c>
      <c r="L744">
        <f>J744/_xlfn.XLOOKUP(Tabla2[[#This Row],[Unidad de precio]],Tabla3[Medida],Tabla3[Equivalencia en Kg],"ELVIS",0)</f>
        <v>2.7359426681367141</v>
      </c>
      <c r="M744" s="2">
        <v>7918.62</v>
      </c>
      <c r="N744" s="2">
        <f>(Tabla2[[#This Row],[Productividad (kg/TAS)]]*Tabla2[[#This Row],[Precio por kg]]-Tabla2[[#This Row],[Costos (En RD$/Tarea)]])</f>
        <v>-1696.4734586218792</v>
      </c>
      <c r="O744" s="6">
        <f>IF(Tabla2[[#This Row],[Costos (En RD$/Tarea)]]=0,0,Tabla2[[#This Row],[Beneficio Neto  (En RD$/Tarea)]]/Tabla2[[#This Row],[Costos (En RD$/Tarea)]])</f>
        <v>-0.21423852371017668</v>
      </c>
      <c r="P744" s="4">
        <f>Tabla2[[#This Row],[Rentabilidad (%)]]/12</f>
        <v>-1.785321030918139E-2</v>
      </c>
    </row>
    <row r="745" spans="1:16" x14ac:dyDescent="0.35">
      <c r="A745" s="1">
        <v>38384</v>
      </c>
      <c r="B745" t="s">
        <v>33</v>
      </c>
      <c r="C745" s="2">
        <v>624404</v>
      </c>
      <c r="D745" s="2" t="s">
        <v>31</v>
      </c>
      <c r="E745" s="2">
        <f>IF(Tabla2[[#This Row],[Frecuencia]]="Annual", Tabla2[[#This Row],[Cosecha/Tarea]]/12,Tabla2[[#This Row],[Cosecha/Tarea]])</f>
        <v>52033.666666666664</v>
      </c>
      <c r="F745" s="2">
        <v>89313</v>
      </c>
      <c r="G745" t="s">
        <v>34</v>
      </c>
      <c r="H745">
        <f>F745/Tabla2[[#This Row],[Cosecha Mensual]]</f>
        <v>1.7164464032901776</v>
      </c>
      <c r="I745">
        <f>H745*_xlfn.XLOOKUP(Tabla2[[#This Row],[Unidad de producción]],Tabla3[Medida],Tabla3[Equivalencia en Kg],"ELVIS",0)</f>
        <v>700.56759950288597</v>
      </c>
      <c r="J745">
        <v>4050.4175</v>
      </c>
      <c r="K745" t="s">
        <v>34</v>
      </c>
      <c r="L745">
        <f>J745/_xlfn.XLOOKUP(Tabla2[[#This Row],[Unidad de precio]],Tabla3[Medida],Tabla3[Equivalencia en Kg],"ELVIS",0)</f>
        <v>9.9238453999754999</v>
      </c>
      <c r="M745" s="2">
        <v>9928.24</v>
      </c>
      <c r="N745" s="2">
        <f>(Tabla2[[#This Row],[Productividad (kg/TAS)]]*Tabla2[[#This Row],[Precio por kg]]-Tabla2[[#This Row],[Costos (En RD$/Tarea)]])</f>
        <v>-2975.915450301407</v>
      </c>
      <c r="O745" s="6">
        <f>IF(Tabla2[[#This Row],[Costos (En RD$/Tarea)]]=0,0,Tabla2[[#This Row],[Beneficio Neto  (En RD$/Tarea)]]/Tabla2[[#This Row],[Costos (En RD$/Tarea)]])</f>
        <v>-0.29974249718997598</v>
      </c>
      <c r="P745" s="4">
        <f>Tabla2[[#This Row],[Rentabilidad (%)]]/12</f>
        <v>-2.4978541432497999E-2</v>
      </c>
    </row>
    <row r="746" spans="1:16" x14ac:dyDescent="0.35">
      <c r="A746" s="1">
        <v>38412</v>
      </c>
      <c r="B746" t="s">
        <v>16</v>
      </c>
      <c r="C746" s="2">
        <v>3023</v>
      </c>
      <c r="D746" s="5" t="s">
        <v>17</v>
      </c>
      <c r="E746" s="2">
        <f>IF(Tabla2[[#This Row],[Frecuencia]]="Annual", Tabla2[[#This Row],[Cosecha/Tarea]]/12,Tabla2[[#This Row],[Cosecha/Tarea]])</f>
        <v>3023</v>
      </c>
      <c r="F746" s="2">
        <v>7934</v>
      </c>
      <c r="G746" t="s">
        <v>18</v>
      </c>
      <c r="H746">
        <f>F746/Tabla2[[#This Row],[Cosecha Mensual]]</f>
        <v>2.6245451538207081</v>
      </c>
      <c r="I746">
        <f>H746*_xlfn.XLOOKUP(Tabla2[[#This Row],[Unidad de producción]],Tabla3[Medida],Tabla3[Equivalencia en Kg],"ELVIS",0)</f>
        <v>119.04936817730731</v>
      </c>
      <c r="J746">
        <v>794.72333333333302</v>
      </c>
      <c r="K746" t="s">
        <v>19</v>
      </c>
      <c r="L746">
        <f>J746/_xlfn.XLOOKUP(Tabla2[[#This Row],[Unidad de precio]],Tabla3[Medida],Tabla3[Equivalencia en Kg],"ELVIS",0)</f>
        <v>7.2247575757575726</v>
      </c>
      <c r="M746">
        <v>4807.32</v>
      </c>
      <c r="N746" s="2">
        <f>(Tabla2[[#This Row],[Productividad (kg/TAS)]]*Tabla2[[#This Row],[Precio por kg]]-Tabla2[[#This Row],[Costos (En RD$/Tarea)]])</f>
        <v>-3947.2171753718462</v>
      </c>
      <c r="O746" s="6">
        <f>IF(Tabla2[[#This Row],[Costos (En RD$/Tarea)]]=0,0,Tabla2[[#This Row],[Beneficio Neto  (En RD$/Tarea)]]/Tabla2[[#This Row],[Costos (En RD$/Tarea)]])</f>
        <v>-0.82108475728094787</v>
      </c>
      <c r="P746" s="4">
        <f>Tabla2[[#This Row],[Rentabilidad (%)]]/12</f>
        <v>-6.8423729773412323E-2</v>
      </c>
    </row>
    <row r="747" spans="1:16" x14ac:dyDescent="0.35">
      <c r="A747" s="1">
        <v>38412</v>
      </c>
      <c r="B747" t="s">
        <v>20</v>
      </c>
      <c r="C747" s="2">
        <v>18692</v>
      </c>
      <c r="D747" s="5" t="s">
        <v>17</v>
      </c>
      <c r="E747" s="2">
        <f>IF(Tabla2[[#This Row],[Frecuencia]]="Annual", Tabla2[[#This Row],[Cosecha/Tarea]]/12,Tabla2[[#This Row],[Cosecha/Tarea]])</f>
        <v>18692</v>
      </c>
      <c r="F747" s="2">
        <v>31074</v>
      </c>
      <c r="G747" t="s">
        <v>18</v>
      </c>
      <c r="H747">
        <f>F747/Tabla2[[#This Row],[Cosecha Mensual]]</f>
        <v>1.6624224267066126</v>
      </c>
      <c r="I747">
        <f>H747*_xlfn.XLOOKUP(Tabla2[[#This Row],[Unidad de producción]],Tabla3[Medida],Tabla3[Equivalencia en Kg],"ELVIS",0)</f>
        <v>75.407481275411939</v>
      </c>
      <c r="J747">
        <v>403.46333333333303</v>
      </c>
      <c r="K747" t="s">
        <v>18</v>
      </c>
      <c r="L747">
        <f>J747/_xlfn.XLOOKUP(Tabla2[[#This Row],[Unidad de precio]],Tabla3[Medida],Tabla3[Equivalencia en Kg],"ELVIS",0)</f>
        <v>8.8946942974720677</v>
      </c>
      <c r="M747">
        <v>1327.7</v>
      </c>
      <c r="N747" s="2">
        <f>(Tabla2[[#This Row],[Productividad (kg/TAS)]]*Tabla2[[#This Row],[Precio por kg]]-Tabla2[[#This Row],[Costos (En RD$/Tarea)]])</f>
        <v>-656.97350631286179</v>
      </c>
      <c r="O747" s="6">
        <f>IF(Tabla2[[#This Row],[Costos (En RD$/Tarea)]]=0,0,Tabla2[[#This Row],[Beneficio Neto  (En RD$/Tarea)]]/Tabla2[[#This Row],[Costos (En RD$/Tarea)]])</f>
        <v>-0.49482074739237913</v>
      </c>
      <c r="P747" s="4">
        <f>Tabla2[[#This Row],[Rentabilidad (%)]]/12</f>
        <v>-4.1235062282698264E-2</v>
      </c>
    </row>
    <row r="748" spans="1:16" x14ac:dyDescent="0.35">
      <c r="A748" s="1">
        <v>38412</v>
      </c>
      <c r="B748" t="s">
        <v>21</v>
      </c>
      <c r="C748" s="2">
        <v>8333</v>
      </c>
      <c r="D748" s="5" t="s">
        <v>17</v>
      </c>
      <c r="E748" s="2">
        <f>IF(Tabla2[[#This Row],[Frecuencia]]="Annual", Tabla2[[#This Row],[Cosecha/Tarea]]/12,Tabla2[[#This Row],[Cosecha/Tarea]])</f>
        <v>8333</v>
      </c>
      <c r="F748" s="2">
        <v>74724</v>
      </c>
      <c r="G748" t="s">
        <v>18</v>
      </c>
      <c r="H748">
        <f>F748/Tabla2[[#This Row],[Cosecha Mensual]]</f>
        <v>8.9672386895475817</v>
      </c>
      <c r="I748">
        <f>H748*_xlfn.XLOOKUP(Tabla2[[#This Row],[Unidad de producción]],Tabla3[Medida],Tabla3[Equivalencia en Kg],"ELVIS",0)</f>
        <v>406.75394695787833</v>
      </c>
      <c r="J748">
        <v>408.04599999999999</v>
      </c>
      <c r="K748" t="s">
        <v>18</v>
      </c>
      <c r="L748">
        <f>J748/_xlfn.XLOOKUP(Tabla2[[#This Row],[Unidad de precio]],Tabla3[Medida],Tabla3[Equivalencia en Kg],"ELVIS",0)</f>
        <v>8.995723104056438</v>
      </c>
      <c r="M748">
        <v>2092.86</v>
      </c>
      <c r="N748" s="2">
        <f>(Tabla2[[#This Row],[Productividad (kg/TAS)]]*Tabla2[[#This Row],[Precio por kg]]-Tabla2[[#This Row],[Costos (En RD$/Tarea)]])</f>
        <v>1566.1858783151329</v>
      </c>
      <c r="O748" s="6">
        <f>IF(Tabla2[[#This Row],[Costos (En RD$/Tarea)]]=0,0,Tabla2[[#This Row],[Beneficio Neto  (En RD$/Tarea)]]/Tabla2[[#This Row],[Costos (En RD$/Tarea)]])</f>
        <v>0.74834717960835062</v>
      </c>
      <c r="P748" s="4">
        <f>Tabla2[[#This Row],[Rentabilidad (%)]]/12</f>
        <v>6.2362264967362552E-2</v>
      </c>
    </row>
    <row r="749" spans="1:16" x14ac:dyDescent="0.35">
      <c r="A749" s="1">
        <v>38412</v>
      </c>
      <c r="B749" t="s">
        <v>22</v>
      </c>
      <c r="C749" s="2">
        <v>6199</v>
      </c>
      <c r="D749" s="5" t="s">
        <v>17</v>
      </c>
      <c r="E749" s="2">
        <f>IF(Tabla2[[#This Row],[Frecuencia]]="Annual", Tabla2[[#This Row],[Cosecha/Tarea]]/12,Tabla2[[#This Row],[Cosecha/Tarea]])</f>
        <v>6199</v>
      </c>
      <c r="F749" s="2">
        <v>50169</v>
      </c>
      <c r="G749" t="s">
        <v>18</v>
      </c>
      <c r="H749">
        <f>F749/Tabla2[[#This Row],[Cosecha Mensual]]</f>
        <v>8.0930795289562827</v>
      </c>
      <c r="I749">
        <f>H749*_xlfn.XLOOKUP(Tabla2[[#This Row],[Unidad de producción]],Tabla3[Medida],Tabla3[Equivalencia en Kg],"ELVIS",0)</f>
        <v>367.10208743345697</v>
      </c>
      <c r="J749">
        <v>622</v>
      </c>
      <c r="K749" t="s">
        <v>18</v>
      </c>
      <c r="L749">
        <f>J749/_xlfn.XLOOKUP(Tabla2[[#This Row],[Unidad de precio]],Tabla3[Medida],Tabla3[Equivalencia en Kg],"ELVIS",0)</f>
        <v>13.71252204585538</v>
      </c>
      <c r="M749">
        <v>5853.83</v>
      </c>
      <c r="N749" s="2">
        <f>(Tabla2[[#This Row],[Productividad (kg/TAS)]]*Tabla2[[#This Row],[Precio por kg]]-Tabla2[[#This Row],[Costos (En RD$/Tarea)]])</f>
        <v>-819.93453298919212</v>
      </c>
      <c r="O749" s="6">
        <f>IF(Tabla2[[#This Row],[Costos (En RD$/Tarea)]]=0,0,Tabla2[[#This Row],[Beneficio Neto  (En RD$/Tarea)]]/Tabla2[[#This Row],[Costos (En RD$/Tarea)]])</f>
        <v>-0.14006804655912319</v>
      </c>
      <c r="P749" s="4">
        <f>Tabla2[[#This Row],[Rentabilidad (%)]]/12</f>
        <v>-1.1672337213260267E-2</v>
      </c>
    </row>
    <row r="750" spans="1:16" x14ac:dyDescent="0.35">
      <c r="A750" s="1">
        <v>38412</v>
      </c>
      <c r="B750" t="s">
        <v>23</v>
      </c>
      <c r="C750" s="2">
        <v>4004</v>
      </c>
      <c r="D750" s="5" t="s">
        <v>17</v>
      </c>
      <c r="E750" s="2">
        <f>IF(Tabla2[[#This Row],[Frecuencia]]="Annual", Tabla2[[#This Row],[Cosecha/Tarea]]/12,Tabla2[[#This Row],[Cosecha/Tarea]])</f>
        <v>4004</v>
      </c>
      <c r="F750" s="2">
        <v>126635</v>
      </c>
      <c r="G750" t="s">
        <v>18</v>
      </c>
      <c r="H750">
        <f>F750/Tabla2[[#This Row],[Cosecha Mensual]]</f>
        <v>31.627122877122876</v>
      </c>
      <c r="I750">
        <f>H750*_xlfn.XLOOKUP(Tabla2[[#This Row],[Unidad de producción]],Tabla3[Medida],Tabla3[Equivalencia en Kg],"ELVIS",0)</f>
        <v>1434.6062937062936</v>
      </c>
      <c r="J750">
        <v>543.125</v>
      </c>
      <c r="K750" t="s">
        <v>18</v>
      </c>
      <c r="L750">
        <f>J750/_xlfn.XLOOKUP(Tabla2[[#This Row],[Unidad de precio]],Tabla3[Medida],Tabla3[Equivalencia en Kg],"ELVIS",0)</f>
        <v>11.97365520282187</v>
      </c>
      <c r="M750">
        <v>10163.530000000001</v>
      </c>
      <c r="N750" s="2">
        <f>(Tabla2[[#This Row],[Productividad (kg/TAS)]]*Tabla2[[#This Row],[Precio por kg]]-Tabla2[[#This Row],[Costos (En RD$/Tarea)]])</f>
        <v>7013.9511126373636</v>
      </c>
      <c r="O750" s="6">
        <f>IF(Tabla2[[#This Row],[Costos (En RD$/Tarea)]]=0,0,Tabla2[[#This Row],[Beneficio Neto  (En RD$/Tarea)]]/Tabla2[[#This Row],[Costos (En RD$/Tarea)]])</f>
        <v>0.6901097465779471</v>
      </c>
      <c r="P750" s="4">
        <f>Tabla2[[#This Row],[Rentabilidad (%)]]/12</f>
        <v>5.7509145548162256E-2</v>
      </c>
    </row>
    <row r="751" spans="1:16" x14ac:dyDescent="0.35">
      <c r="A751" s="1">
        <v>38412</v>
      </c>
      <c r="B751" t="s">
        <v>24</v>
      </c>
      <c r="C751" s="2">
        <v>9343</v>
      </c>
      <c r="D751" s="5" t="s">
        <v>17</v>
      </c>
      <c r="E751" s="2">
        <f>IF(Tabla2[[#This Row],[Frecuencia]]="Annual", Tabla2[[#This Row],[Cosecha/Tarea]]/12,Tabla2[[#This Row],[Cosecha/Tarea]])</f>
        <v>9343</v>
      </c>
      <c r="F751" s="2">
        <v>86156</v>
      </c>
      <c r="G751" t="s">
        <v>18</v>
      </c>
      <c r="H751">
        <f>F751/Tabla2[[#This Row],[Cosecha Mensual]]</f>
        <v>9.2214492133147807</v>
      </c>
      <c r="I751">
        <f>H751*_xlfn.XLOOKUP(Tabla2[[#This Row],[Unidad de producción]],Tabla3[Medida],Tabla3[Equivalencia en Kg],"ELVIS",0)</f>
        <v>418.28493631595848</v>
      </c>
      <c r="J751">
        <v>859.75</v>
      </c>
      <c r="K751" t="s">
        <v>18</v>
      </c>
      <c r="L751">
        <f>J751/_xlfn.XLOOKUP(Tabla2[[#This Row],[Unidad de precio]],Tabla3[Medida],Tabla3[Equivalencia en Kg],"ELVIS",0)</f>
        <v>18.953924162257497</v>
      </c>
      <c r="M751">
        <v>4680.83</v>
      </c>
      <c r="N751" s="2">
        <f>(Tabla2[[#This Row],[Productividad (kg/TAS)]]*Tabla2[[#This Row],[Precio por kg]]-Tabla2[[#This Row],[Costos (En RD$/Tarea)]])</f>
        <v>3247.3109611473838</v>
      </c>
      <c r="O751" s="6">
        <f>IF(Tabla2[[#This Row],[Costos (En RD$/Tarea)]]=0,0,Tabla2[[#This Row],[Beneficio Neto  (En RD$/Tarea)]]/Tabla2[[#This Row],[Costos (En RD$/Tarea)]])</f>
        <v>0.6937468271967544</v>
      </c>
      <c r="P751" s="4">
        <f>Tabla2[[#This Row],[Rentabilidad (%)]]/12</f>
        <v>5.7812235599729533E-2</v>
      </c>
    </row>
    <row r="752" spans="1:16" x14ac:dyDescent="0.35">
      <c r="A752" s="1">
        <v>38412</v>
      </c>
      <c r="B752" t="s">
        <v>25</v>
      </c>
      <c r="C752" s="2">
        <v>19394</v>
      </c>
      <c r="D752" s="5" t="s">
        <v>17</v>
      </c>
      <c r="E752" s="2">
        <f>IF(Tabla2[[#This Row],[Frecuencia]]="Annual", Tabla2[[#This Row],[Cosecha/Tarea]]/12,Tabla2[[#This Row],[Cosecha/Tarea]])</f>
        <v>19394</v>
      </c>
      <c r="F752" s="2">
        <v>177871</v>
      </c>
      <c r="G752" t="s">
        <v>18</v>
      </c>
      <c r="H752">
        <f>F752/Tabla2[[#This Row],[Cosecha Mensual]]</f>
        <v>9.171444776735072</v>
      </c>
      <c r="I752">
        <f>H752*_xlfn.XLOOKUP(Tabla2[[#This Row],[Unidad de producción]],Tabla3[Medida],Tabla3[Equivalencia en Kg],"ELVIS",0)</f>
        <v>416.01673507270289</v>
      </c>
      <c r="J752">
        <v>463.31875000000002</v>
      </c>
      <c r="K752" t="s">
        <v>18</v>
      </c>
      <c r="L752">
        <f>J752/_xlfn.XLOOKUP(Tabla2[[#This Row],[Unidad de precio]],Tabla3[Medida],Tabla3[Equivalencia en Kg],"ELVIS",0)</f>
        <v>10.214258156966491</v>
      </c>
      <c r="M752">
        <v>2314.2150000000001</v>
      </c>
      <c r="N752" s="2">
        <f>(Tabla2[[#This Row],[Productividad (kg/TAS)]]*Tabla2[[#This Row],[Precio por kg]]-Tabla2[[#This Row],[Costos (En RD$/Tarea)]])</f>
        <v>1935.0873296509226</v>
      </c>
      <c r="O752" s="6">
        <f>IF(Tabla2[[#This Row],[Costos (En RD$/Tarea)]]=0,0,Tabla2[[#This Row],[Beneficio Neto  (En RD$/Tarea)]]/Tabla2[[#This Row],[Costos (En RD$/Tarea)]])</f>
        <v>0.83617439591866893</v>
      </c>
      <c r="P752" s="4">
        <f>Tabla2[[#This Row],[Rentabilidad (%)]]/12</f>
        <v>6.9681199659889073E-2</v>
      </c>
    </row>
    <row r="753" spans="1:16" x14ac:dyDescent="0.35">
      <c r="A753" s="1">
        <v>38412</v>
      </c>
      <c r="B753" t="s">
        <v>26</v>
      </c>
      <c r="C753" s="2">
        <v>12312</v>
      </c>
      <c r="D753" s="5" t="s">
        <v>17</v>
      </c>
      <c r="E753" s="2">
        <f>IF(Tabla2[[#This Row],[Frecuencia]]="Annual", Tabla2[[#This Row],[Cosecha/Tarea]]/12,Tabla2[[#This Row],[Cosecha/Tarea]])</f>
        <v>12312</v>
      </c>
      <c r="F753" s="2">
        <v>97534</v>
      </c>
      <c r="G753" t="s">
        <v>18</v>
      </c>
      <c r="H753">
        <f>F753/Tabla2[[#This Row],[Cosecha Mensual]]</f>
        <v>7.9218648473034436</v>
      </c>
      <c r="I753">
        <f>H753*_xlfn.XLOOKUP(Tabla2[[#This Row],[Unidad de producción]],Tabla3[Medida],Tabla3[Equivalencia en Kg],"ELVIS",0)</f>
        <v>359.3357894736842</v>
      </c>
      <c r="J753">
        <v>394.79</v>
      </c>
      <c r="K753" t="s">
        <v>18</v>
      </c>
      <c r="L753">
        <f>J753/_xlfn.XLOOKUP(Tabla2[[#This Row],[Unidad de precio]],Tabla3[Medida],Tabla3[Equivalencia en Kg],"ELVIS",0)</f>
        <v>8.7034832451499131</v>
      </c>
      <c r="M753">
        <v>906.4</v>
      </c>
      <c r="N753" s="2">
        <f>(Tabla2[[#This Row],[Productividad (kg/TAS)]]*Tabla2[[#This Row],[Precio por kg]]-Tabla2[[#This Row],[Costos (En RD$/Tarea)]])</f>
        <v>2221.0730230669269</v>
      </c>
      <c r="O753" s="6">
        <f>IF(Tabla2[[#This Row],[Costos (En RD$/Tarea)]]=0,0,Tabla2[[#This Row],[Beneficio Neto  (En RD$/Tarea)]]/Tabla2[[#This Row],[Costos (En RD$/Tarea)]])</f>
        <v>2.4504336088558327</v>
      </c>
      <c r="P753" s="4">
        <f>Tabla2[[#This Row],[Rentabilidad (%)]]/12</f>
        <v>0.20420280073798605</v>
      </c>
    </row>
    <row r="754" spans="1:16" x14ac:dyDescent="0.35">
      <c r="A754" s="1">
        <v>38412</v>
      </c>
      <c r="B754" t="s">
        <v>27</v>
      </c>
      <c r="C754" s="2">
        <v>4727</v>
      </c>
      <c r="D754" s="5" t="s">
        <v>17</v>
      </c>
      <c r="E754" s="2">
        <f>IF(Tabla2[[#This Row],[Frecuencia]]="Annual", Tabla2[[#This Row],[Cosecha/Tarea]]/12,Tabla2[[#This Row],[Cosecha/Tarea]])</f>
        <v>4727</v>
      </c>
      <c r="F754" s="2">
        <v>36132</v>
      </c>
      <c r="G754" t="s">
        <v>18</v>
      </c>
      <c r="H754">
        <f>F754/Tabla2[[#This Row],[Cosecha Mensual]]</f>
        <v>7.6437486778083352</v>
      </c>
      <c r="I754">
        <f>H754*_xlfn.XLOOKUP(Tabla2[[#This Row],[Unidad de producción]],Tabla3[Medida],Tabla3[Equivalencia en Kg],"ELVIS",0)</f>
        <v>346.7204400253861</v>
      </c>
      <c r="J754">
        <v>290.76900000000001</v>
      </c>
      <c r="K754" t="s">
        <v>18</v>
      </c>
      <c r="L754">
        <f>J754/_xlfn.XLOOKUP(Tabla2[[#This Row],[Unidad de precio]],Tabla3[Medida],Tabla3[Equivalencia en Kg],"ELVIS",0)</f>
        <v>6.4102513227513231</v>
      </c>
      <c r="M754">
        <v>5157.3900000000003</v>
      </c>
      <c r="N754" s="2">
        <f>(Tabla2[[#This Row],[Productividad (kg/TAS)]]*Tabla2[[#This Row],[Precio por kg]]-Tabla2[[#This Row],[Costos (En RD$/Tarea)]])</f>
        <v>-2934.8248407023484</v>
      </c>
      <c r="O754" s="6">
        <f>IF(Tabla2[[#This Row],[Costos (En RD$/Tarea)]]=0,0,Tabla2[[#This Row],[Beneficio Neto  (En RD$/Tarea)]]/Tabla2[[#This Row],[Costos (En RD$/Tarea)]])</f>
        <v>-0.56905233862522486</v>
      </c>
      <c r="P754" s="4">
        <f>Tabla2[[#This Row],[Rentabilidad (%)]]/12</f>
        <v>-4.7421028218768736E-2</v>
      </c>
    </row>
    <row r="755" spans="1:16" x14ac:dyDescent="0.35">
      <c r="A755" s="1">
        <v>38412</v>
      </c>
      <c r="B755" t="s">
        <v>28</v>
      </c>
      <c r="C755" s="2">
        <v>2796</v>
      </c>
      <c r="D755" s="5" t="s">
        <v>17</v>
      </c>
      <c r="E755" s="2">
        <f>IF(Tabla2[[#This Row],[Frecuencia]]="Annual", Tabla2[[#This Row],[Cosecha/Tarea]]/12,Tabla2[[#This Row],[Cosecha/Tarea]])</f>
        <v>2796</v>
      </c>
      <c r="F755" s="2">
        <v>1651</v>
      </c>
      <c r="G755" t="s">
        <v>29</v>
      </c>
      <c r="H755">
        <f>F755/Tabla2[[#This Row],[Cosecha Mensual]]</f>
        <v>0.59048640915593709</v>
      </c>
      <c r="I755">
        <f>H755*_xlfn.XLOOKUP(Tabla2[[#This Row],[Unidad de producción]],Tabla3[Medida],Tabla3[Equivalencia en Kg],"ELVIS",0)</f>
        <v>332.05412732474969</v>
      </c>
      <c r="J755">
        <v>3219.0166666666701</v>
      </c>
      <c r="K755" t="s">
        <v>29</v>
      </c>
      <c r="L755">
        <f>J755/_xlfn.XLOOKUP(Tabla2[[#This Row],[Unidad de precio]],Tabla3[Medida],Tabla3[Equivalencia en Kg],"ELVIS",0)</f>
        <v>5.7243245486123522</v>
      </c>
      <c r="M755">
        <v>9027.66</v>
      </c>
      <c r="N755" s="2">
        <f>(Tabla2[[#This Row],[Productividad (kg/TAS)]]*Tabla2[[#This Row],[Precio por kg]]-Tabla2[[#This Row],[Costos (En RD$/Tarea)]])</f>
        <v>-7126.8744074868837</v>
      </c>
      <c r="O755" s="6">
        <f>IF(Tabla2[[#This Row],[Costos (En RD$/Tarea)]]=0,0,Tabla2[[#This Row],[Beneficio Neto  (En RD$/Tarea)]]/Tabla2[[#This Row],[Costos (En RD$/Tarea)]])</f>
        <v>-0.78944869517537031</v>
      </c>
      <c r="P755" s="4">
        <f>Tabla2[[#This Row],[Rentabilidad (%)]]/12</f>
        <v>-6.5787391264614192E-2</v>
      </c>
    </row>
    <row r="756" spans="1:16" x14ac:dyDescent="0.35">
      <c r="A756" s="1">
        <v>38412</v>
      </c>
      <c r="B756" t="s">
        <v>30</v>
      </c>
      <c r="C756" s="2">
        <v>264942</v>
      </c>
      <c r="D756" s="2" t="s">
        <v>31</v>
      </c>
      <c r="E756" s="2">
        <f>IF(Tabla2[[#This Row],[Frecuencia]]="Annual", Tabla2[[#This Row],[Cosecha/Tarea]]/12,Tabla2[[#This Row],[Cosecha/Tarea]])</f>
        <v>22078.5</v>
      </c>
      <c r="F756" s="2">
        <v>1744269</v>
      </c>
      <c r="G756" t="s">
        <v>32</v>
      </c>
      <c r="H756">
        <f>F756/Tabla2[[#This Row],[Cosecha Mensual]]</f>
        <v>79.003057272912557</v>
      </c>
      <c r="I756">
        <f>H756*_xlfn.XLOOKUP(Tabla2[[#This Row],[Unidad de producción]],Tabla3[Medida],Tabla3[Equivalencia en Kg],"ELVIS",0)</f>
        <v>2149.6731883959505</v>
      </c>
      <c r="J756">
        <v>70.0416666666667</v>
      </c>
      <c r="K756" t="s">
        <v>32</v>
      </c>
      <c r="L756">
        <f>J756/_xlfn.XLOOKUP(Tabla2[[#This Row],[Unidad de precio]],Tabla3[Medida],Tabla3[Equivalencia en Kg],"ELVIS",0)</f>
        <v>2.574114908734535</v>
      </c>
      <c r="M756" s="2">
        <v>7918.62</v>
      </c>
      <c r="N756" s="2">
        <f>(Tabla2[[#This Row],[Productividad (kg/TAS)]]*Tabla2[[#This Row],[Precio por kg]]-Tabla2[[#This Row],[Costos (En RD$/Tarea)]])</f>
        <v>-2385.1141968430811</v>
      </c>
      <c r="O756" s="6">
        <f>IF(Tabla2[[#This Row],[Costos (En RD$/Tarea)]]=0,0,Tabla2[[#This Row],[Beneficio Neto  (En RD$/Tarea)]]/Tabla2[[#This Row],[Costos (En RD$/Tarea)]])</f>
        <v>-0.30120326481673337</v>
      </c>
      <c r="P756" s="4">
        <f>Tabla2[[#This Row],[Rentabilidad (%)]]/12</f>
        <v>-2.5100272068061116E-2</v>
      </c>
    </row>
    <row r="757" spans="1:16" x14ac:dyDescent="0.35">
      <c r="A757" s="1">
        <v>38412</v>
      </c>
      <c r="B757" t="s">
        <v>33</v>
      </c>
      <c r="C757" s="2">
        <v>615956</v>
      </c>
      <c r="D757" s="2" t="s">
        <v>31</v>
      </c>
      <c r="E757" s="2">
        <f>IF(Tabla2[[#This Row],[Frecuencia]]="Annual", Tabla2[[#This Row],[Cosecha/Tarea]]/12,Tabla2[[#This Row],[Cosecha/Tarea]])</f>
        <v>51329.666666666664</v>
      </c>
      <c r="F757" s="2">
        <v>91086</v>
      </c>
      <c r="G757" t="s">
        <v>34</v>
      </c>
      <c r="H757">
        <f>F757/Tabla2[[#This Row],[Cosecha Mensual]]</f>
        <v>1.7745293494989902</v>
      </c>
      <c r="I757">
        <f>H757*_xlfn.XLOOKUP(Tabla2[[#This Row],[Unidad de producción]],Tabla3[Medida],Tabla3[Equivalencia en Kg],"ELVIS",0)</f>
        <v>724.27415399801282</v>
      </c>
      <c r="J757">
        <v>3364.1466666666702</v>
      </c>
      <c r="K757" t="s">
        <v>34</v>
      </c>
      <c r="L757">
        <f>J757/_xlfn.XLOOKUP(Tabla2[[#This Row],[Unidad de precio]],Tabla3[Medida],Tabla3[Equivalencia en Kg],"ELVIS",0)</f>
        <v>8.2424272122177396</v>
      </c>
      <c r="M757" s="2">
        <v>9928.24</v>
      </c>
      <c r="N757" s="2">
        <f>(Tabla2[[#This Row],[Productividad (kg/TAS)]]*Tabla2[[#This Row],[Precio por kg]]-Tabla2[[#This Row],[Costos (En RD$/Tarea)]])</f>
        <v>-3958.4630039807971</v>
      </c>
      <c r="O757" s="6">
        <f>IF(Tabla2[[#This Row],[Costos (En RD$/Tarea)]]=0,0,Tabla2[[#This Row],[Beneficio Neto  (En RD$/Tarea)]]/Tabla2[[#This Row],[Costos (En RD$/Tarea)]])</f>
        <v>-0.39870742487901151</v>
      </c>
      <c r="P757" s="4">
        <f>Tabla2[[#This Row],[Rentabilidad (%)]]/12</f>
        <v>-3.3225618739917626E-2</v>
      </c>
    </row>
    <row r="758" spans="1:16" x14ac:dyDescent="0.35">
      <c r="A758" s="1">
        <v>38443</v>
      </c>
      <c r="B758" t="s">
        <v>16</v>
      </c>
      <c r="C758" s="2">
        <v>33891</v>
      </c>
      <c r="D758" s="5" t="s">
        <v>17</v>
      </c>
      <c r="E758" s="2">
        <f>IF(Tabla2[[#This Row],[Frecuencia]]="Annual", Tabla2[[#This Row],[Cosecha/Tarea]]/12,Tabla2[[#This Row],[Cosecha/Tarea]])</f>
        <v>33891</v>
      </c>
      <c r="F758" s="2">
        <v>171291</v>
      </c>
      <c r="G758" t="s">
        <v>18</v>
      </c>
      <c r="H758">
        <f>F758/Tabla2[[#This Row],[Cosecha Mensual]]</f>
        <v>5.0541736744268393</v>
      </c>
      <c r="I758">
        <f>H758*_xlfn.XLOOKUP(Tabla2[[#This Row],[Unidad de producción]],Tabla3[Medida],Tabla3[Equivalencia en Kg],"ELVIS",0)</f>
        <v>229.25731787200144</v>
      </c>
      <c r="J758">
        <v>1090</v>
      </c>
      <c r="K758" t="s">
        <v>19</v>
      </c>
      <c r="L758">
        <f>J758/_xlfn.XLOOKUP(Tabla2[[#This Row],[Unidad de precio]],Tabla3[Medida],Tabla3[Equivalencia en Kg],"ELVIS",0)</f>
        <v>9.9090909090909083</v>
      </c>
      <c r="M758">
        <v>4807.32</v>
      </c>
      <c r="N758" s="2">
        <f>(Tabla2[[#This Row],[Productividad (kg/TAS)]]*Tabla2[[#This Row],[Precio por kg]]-Tabla2[[#This Row],[Costos (En RD$/Tarea)]])</f>
        <v>-2535.5883956319858</v>
      </c>
      <c r="O758" s="6">
        <f>IF(Tabla2[[#This Row],[Costos (En RD$/Tarea)]]=0,0,Tabla2[[#This Row],[Beneficio Neto  (En RD$/Tarea)]]/Tabla2[[#This Row],[Costos (En RD$/Tarea)]])</f>
        <v>-0.52744323149530004</v>
      </c>
      <c r="P758" s="4">
        <f>Tabla2[[#This Row],[Rentabilidad (%)]]/12</f>
        <v>-4.3953602624608339E-2</v>
      </c>
    </row>
    <row r="759" spans="1:16" x14ac:dyDescent="0.35">
      <c r="A759" s="1">
        <v>38443</v>
      </c>
      <c r="B759" t="s">
        <v>20</v>
      </c>
      <c r="C759" s="2">
        <v>28784</v>
      </c>
      <c r="D759" s="5" t="s">
        <v>17</v>
      </c>
      <c r="E759" s="2">
        <f>IF(Tabla2[[#This Row],[Frecuencia]]="Annual", Tabla2[[#This Row],[Cosecha/Tarea]]/12,Tabla2[[#This Row],[Cosecha/Tarea]])</f>
        <v>28784</v>
      </c>
      <c r="F759" s="2">
        <v>50913</v>
      </c>
      <c r="G759" t="s">
        <v>18</v>
      </c>
      <c r="H759">
        <f>F759/Tabla2[[#This Row],[Cosecha Mensual]]</f>
        <v>1.7687951639799888</v>
      </c>
      <c r="I759">
        <f>H759*_xlfn.XLOOKUP(Tabla2[[#This Row],[Unidad de producción]],Tabla3[Medida],Tabla3[Equivalencia en Kg],"ELVIS",0)</f>
        <v>80.232548638132286</v>
      </c>
      <c r="J759">
        <v>429.6</v>
      </c>
      <c r="K759" t="s">
        <v>18</v>
      </c>
      <c r="L759">
        <f>J759/_xlfn.XLOOKUP(Tabla2[[#This Row],[Unidad de precio]],Tabla3[Medida],Tabla3[Equivalencia en Kg],"ELVIS",0)</f>
        <v>9.4708994708994716</v>
      </c>
      <c r="M759">
        <v>1327.7</v>
      </c>
      <c r="N759" s="2">
        <f>(Tabla2[[#This Row],[Productividad (kg/TAS)]]*Tabla2[[#This Row],[Precio por kg]]-Tabla2[[#This Row],[Costos (En RD$/Tarea)]])</f>
        <v>-567.82559755419686</v>
      </c>
      <c r="O759" s="6">
        <f>IF(Tabla2[[#This Row],[Costos (En RD$/Tarea)]]=0,0,Tabla2[[#This Row],[Beneficio Neto  (En RD$/Tarea)]]/Tabla2[[#This Row],[Costos (En RD$/Tarea)]])</f>
        <v>-0.42767612981411224</v>
      </c>
      <c r="P759" s="4">
        <f>Tabla2[[#This Row],[Rentabilidad (%)]]/12</f>
        <v>-3.5639677484509351E-2</v>
      </c>
    </row>
    <row r="760" spans="1:16" x14ac:dyDescent="0.35">
      <c r="A760" s="1">
        <v>38443</v>
      </c>
      <c r="B760" t="s">
        <v>21</v>
      </c>
      <c r="C760" s="2">
        <v>10746</v>
      </c>
      <c r="D760" s="5" t="s">
        <v>17</v>
      </c>
      <c r="E760" s="2">
        <f>IF(Tabla2[[#This Row],[Frecuencia]]="Annual", Tabla2[[#This Row],[Cosecha/Tarea]]/12,Tabla2[[#This Row],[Cosecha/Tarea]])</f>
        <v>10746</v>
      </c>
      <c r="F760" s="2">
        <v>87655</v>
      </c>
      <c r="G760" t="s">
        <v>18</v>
      </c>
      <c r="H760">
        <f>F760/Tabla2[[#This Row],[Cosecha Mensual]]</f>
        <v>8.1569886469383963</v>
      </c>
      <c r="I760">
        <f>H760*_xlfn.XLOOKUP(Tabla2[[#This Row],[Unidad de producción]],Tabla3[Medida],Tabla3[Equivalencia en Kg],"ELVIS",0)</f>
        <v>370.00100502512566</v>
      </c>
      <c r="J760">
        <v>271.90649999999999</v>
      </c>
      <c r="K760" t="s">
        <v>18</v>
      </c>
      <c r="L760">
        <f>J760/_xlfn.XLOOKUP(Tabla2[[#This Row],[Unidad de precio]],Tabla3[Medida],Tabla3[Equivalencia en Kg],"ELVIS",0)</f>
        <v>5.9944113756613753</v>
      </c>
      <c r="M760">
        <v>2092.86</v>
      </c>
      <c r="N760" s="2">
        <f>(Tabla2[[#This Row],[Productividad (kg/TAS)]]*Tabla2[[#This Row],[Precio por kg]]-Tabla2[[#This Row],[Costos (En RD$/Tarea)]])</f>
        <v>125.07823352875494</v>
      </c>
      <c r="O760" s="6">
        <f>IF(Tabla2[[#This Row],[Costos (En RD$/Tarea)]]=0,0,Tabla2[[#This Row],[Beneficio Neto  (En RD$/Tarea)]]/Tabla2[[#This Row],[Costos (En RD$/Tarea)]])</f>
        <v>5.9764262076180408E-2</v>
      </c>
      <c r="P760" s="4">
        <f>Tabla2[[#This Row],[Rentabilidad (%)]]/12</f>
        <v>4.9803551730150343E-3</v>
      </c>
    </row>
    <row r="761" spans="1:16" x14ac:dyDescent="0.35">
      <c r="A761" s="1">
        <v>38443</v>
      </c>
      <c r="B761" t="s">
        <v>22</v>
      </c>
      <c r="C761" s="2">
        <v>4327</v>
      </c>
      <c r="D761" s="5" t="s">
        <v>17</v>
      </c>
      <c r="E761" s="2">
        <f>IF(Tabla2[[#This Row],[Frecuencia]]="Annual", Tabla2[[#This Row],[Cosecha/Tarea]]/12,Tabla2[[#This Row],[Cosecha/Tarea]])</f>
        <v>4327</v>
      </c>
      <c r="F761" s="2">
        <v>33096</v>
      </c>
      <c r="G761" t="s">
        <v>18</v>
      </c>
      <c r="H761">
        <f>F761/Tabla2[[#This Row],[Cosecha Mensual]]</f>
        <v>7.648717356135891</v>
      </c>
      <c r="I761">
        <f>H761*_xlfn.XLOOKUP(Tabla2[[#This Row],[Unidad de producción]],Tabla3[Medida],Tabla3[Equivalencia en Kg],"ELVIS",0)</f>
        <v>346.94581927432404</v>
      </c>
      <c r="J761">
        <v>656.25</v>
      </c>
      <c r="K761" t="s">
        <v>18</v>
      </c>
      <c r="L761">
        <f>J761/_xlfn.XLOOKUP(Tabla2[[#This Row],[Unidad de precio]],Tabla3[Medida],Tabla3[Equivalencia en Kg],"ELVIS",0)</f>
        <v>14.467592592592593</v>
      </c>
      <c r="M761">
        <v>5853.83</v>
      </c>
      <c r="N761" s="2">
        <f>(Tabla2[[#This Row],[Productividad (kg/TAS)]]*Tabla2[[#This Row],[Precio por kg]]-Tabla2[[#This Row],[Costos (En RD$/Tarea)]])</f>
        <v>-834.35923503582126</v>
      </c>
      <c r="O761" s="6">
        <f>IF(Tabla2[[#This Row],[Costos (En RD$/Tarea)]]=0,0,Tabla2[[#This Row],[Beneficio Neto  (En RD$/Tarea)]]/Tabla2[[#This Row],[Costos (En RD$/Tarea)]])</f>
        <v>-0.14253219431309438</v>
      </c>
      <c r="P761" s="4">
        <f>Tabla2[[#This Row],[Rentabilidad (%)]]/12</f>
        <v>-1.1877682859424532E-2</v>
      </c>
    </row>
    <row r="762" spans="1:16" x14ac:dyDescent="0.35">
      <c r="A762" s="1">
        <v>38443</v>
      </c>
      <c r="B762" t="s">
        <v>23</v>
      </c>
      <c r="C762" s="2">
        <v>2582</v>
      </c>
      <c r="D762" s="5" t="s">
        <v>17</v>
      </c>
      <c r="E762" s="2">
        <f>IF(Tabla2[[#This Row],[Frecuencia]]="Annual", Tabla2[[#This Row],[Cosecha/Tarea]]/12,Tabla2[[#This Row],[Cosecha/Tarea]])</f>
        <v>2582</v>
      </c>
      <c r="F762" s="2">
        <v>82767</v>
      </c>
      <c r="G762" t="s">
        <v>18</v>
      </c>
      <c r="H762">
        <f>F762/Tabla2[[#This Row],[Cosecha Mensual]]</f>
        <v>32.055383423702558</v>
      </c>
      <c r="I762">
        <f>H762*_xlfn.XLOOKUP(Tabla2[[#This Row],[Unidad de producción]],Tabla3[Medida],Tabla3[Equivalencia en Kg],"ELVIS",0)</f>
        <v>1454.032192099148</v>
      </c>
      <c r="J762">
        <v>525</v>
      </c>
      <c r="K762" t="s">
        <v>18</v>
      </c>
      <c r="L762">
        <f>J762/_xlfn.XLOOKUP(Tabla2[[#This Row],[Unidad de precio]],Tabla3[Medida],Tabla3[Equivalencia en Kg],"ELVIS",0)</f>
        <v>11.574074074074074</v>
      </c>
      <c r="M762">
        <v>10163.530000000001</v>
      </c>
      <c r="N762" s="2">
        <f>(Tabla2[[#This Row],[Productividad (kg/TAS)]]*Tabla2[[#This Row],[Precio por kg]]-Tabla2[[#This Row],[Costos (En RD$/Tarea)]])</f>
        <v>6665.5462974438433</v>
      </c>
      <c r="O762" s="6">
        <f>IF(Tabla2[[#This Row],[Costos (En RD$/Tarea)]]=0,0,Tabla2[[#This Row],[Beneficio Neto  (En RD$/Tarea)]]/Tabla2[[#This Row],[Costos (En RD$/Tarea)]])</f>
        <v>0.65582984430053759</v>
      </c>
      <c r="P762" s="4">
        <f>Tabla2[[#This Row],[Rentabilidad (%)]]/12</f>
        <v>5.4652487025044799E-2</v>
      </c>
    </row>
    <row r="763" spans="1:16" x14ac:dyDescent="0.35">
      <c r="A763" s="1">
        <v>38443</v>
      </c>
      <c r="B763" t="s">
        <v>24</v>
      </c>
      <c r="C763" s="2">
        <v>6932</v>
      </c>
      <c r="D763" s="5" t="s">
        <v>17</v>
      </c>
      <c r="E763" s="2">
        <f>IF(Tabla2[[#This Row],[Frecuencia]]="Annual", Tabla2[[#This Row],[Cosecha/Tarea]]/12,Tabla2[[#This Row],[Cosecha/Tarea]])</f>
        <v>6932</v>
      </c>
      <c r="F763" s="2">
        <v>83964</v>
      </c>
      <c r="G763" t="s">
        <v>18</v>
      </c>
      <c r="H763">
        <f>F763/Tabla2[[#This Row],[Cosecha Mensual]]</f>
        <v>12.112521638776688</v>
      </c>
      <c r="I763">
        <f>H763*_xlfn.XLOOKUP(Tabla2[[#This Row],[Unidad de producción]],Tabla3[Medida],Tabla3[Equivalencia en Kg],"ELVIS",0)</f>
        <v>549.42398153491058</v>
      </c>
      <c r="J763">
        <v>720.4375</v>
      </c>
      <c r="K763" t="s">
        <v>18</v>
      </c>
      <c r="L763">
        <f>J763/_xlfn.XLOOKUP(Tabla2[[#This Row],[Unidad de precio]],Tabla3[Medida],Tabla3[Equivalencia en Kg],"ELVIS",0)</f>
        <v>15.882660934744269</v>
      </c>
      <c r="M763">
        <v>4680.83</v>
      </c>
      <c r="N763" s="2">
        <f>(Tabla2[[#This Row],[Productividad (kg/TAS)]]*Tabla2[[#This Row],[Precio por kg]]-Tabla2[[#This Row],[Costos (En RD$/Tarea)]])</f>
        <v>4045.4848081361815</v>
      </c>
      <c r="O763" s="6">
        <f>IF(Tabla2[[#This Row],[Costos (En RD$/Tarea)]]=0,0,Tabla2[[#This Row],[Beneficio Neto  (En RD$/Tarea)]]/Tabla2[[#This Row],[Costos (En RD$/Tarea)]])</f>
        <v>0.86426655275585351</v>
      </c>
      <c r="P763" s="4">
        <f>Tabla2[[#This Row],[Rentabilidad (%)]]/12</f>
        <v>7.2022212729654464E-2</v>
      </c>
    </row>
    <row r="764" spans="1:16" x14ac:dyDescent="0.35">
      <c r="A764" s="1">
        <v>38443</v>
      </c>
      <c r="B764" t="s">
        <v>25</v>
      </c>
      <c r="C764" s="2">
        <v>20560</v>
      </c>
      <c r="D764" s="5" t="s">
        <v>17</v>
      </c>
      <c r="E764" s="2">
        <f>IF(Tabla2[[#This Row],[Frecuencia]]="Annual", Tabla2[[#This Row],[Cosecha/Tarea]]/12,Tabla2[[#This Row],[Cosecha/Tarea]])</f>
        <v>20560</v>
      </c>
      <c r="F764" s="2">
        <v>160216</v>
      </c>
      <c r="G764" t="s">
        <v>18</v>
      </c>
      <c r="H764">
        <f>F764/Tabla2[[#This Row],[Cosecha Mensual]]</f>
        <v>7.7926070038910504</v>
      </c>
      <c r="I764">
        <f>H764*_xlfn.XLOOKUP(Tabla2[[#This Row],[Unidad de producción]],Tabla3[Medida],Tabla3[Equivalencia en Kg],"ELVIS",0)</f>
        <v>353.47265369649807</v>
      </c>
      <c r="J764">
        <v>371.99587500000001</v>
      </c>
      <c r="K764" t="s">
        <v>18</v>
      </c>
      <c r="L764">
        <f>J764/_xlfn.XLOOKUP(Tabla2[[#This Row],[Unidad de precio]],Tabla3[Medida],Tabla3[Equivalencia en Kg],"ELVIS",0)</f>
        <v>8.2009672619047631</v>
      </c>
      <c r="M764">
        <v>2314.2150000000001</v>
      </c>
      <c r="N764" s="2">
        <f>(Tabla2[[#This Row],[Productividad (kg/TAS)]]*Tabla2[[#This Row],[Precio por kg]]-Tabla2[[#This Row],[Costos (En RD$/Tarea)]])</f>
        <v>584.6026609435803</v>
      </c>
      <c r="O764" s="6">
        <f>IF(Tabla2[[#This Row],[Costos (En RD$/Tarea)]]=0,0,Tabla2[[#This Row],[Beneficio Neto  (En RD$/Tarea)]]/Tabla2[[#This Row],[Costos (En RD$/Tarea)]])</f>
        <v>0.25261380681724915</v>
      </c>
      <c r="P764" s="4">
        <f>Tabla2[[#This Row],[Rentabilidad (%)]]/12</f>
        <v>2.1051150568104096E-2</v>
      </c>
    </row>
    <row r="765" spans="1:16" x14ac:dyDescent="0.35">
      <c r="A765" s="1">
        <v>38443</v>
      </c>
      <c r="B765" t="s">
        <v>26</v>
      </c>
      <c r="C765" s="2">
        <v>11735</v>
      </c>
      <c r="D765" s="5" t="s">
        <v>17</v>
      </c>
      <c r="E765" s="2">
        <f>IF(Tabla2[[#This Row],[Frecuencia]]="Annual", Tabla2[[#This Row],[Cosecha/Tarea]]/12,Tabla2[[#This Row],[Cosecha/Tarea]])</f>
        <v>11735</v>
      </c>
      <c r="F765" s="2">
        <v>78071</v>
      </c>
      <c r="G765" t="s">
        <v>18</v>
      </c>
      <c r="H765">
        <f>F765/Tabla2[[#This Row],[Cosecha Mensual]]</f>
        <v>6.6528334043459738</v>
      </c>
      <c r="I765">
        <f>H765*_xlfn.XLOOKUP(Tabla2[[#This Row],[Unidad de producción]],Tabla3[Medida],Tabla3[Equivalencia en Kg],"ELVIS",0)</f>
        <v>301.77252322113338</v>
      </c>
      <c r="J765">
        <v>296.66666666666703</v>
      </c>
      <c r="K765" t="s">
        <v>18</v>
      </c>
      <c r="L765">
        <f>J765/_xlfn.XLOOKUP(Tabla2[[#This Row],[Unidad de precio]],Tabla3[Medida],Tabla3[Equivalencia en Kg],"ELVIS",0)</f>
        <v>6.5402704291593263</v>
      </c>
      <c r="M765">
        <v>906.4</v>
      </c>
      <c r="N765" s="2">
        <f>(Tabla2[[#This Row],[Productividad (kg/TAS)]]*Tabla2[[#This Row],[Precio por kg]]-Tabla2[[#This Row],[Costos (En RD$/Tarea)]])</f>
        <v>1067.2739099559749</v>
      </c>
      <c r="O765" s="6">
        <f>IF(Tabla2[[#This Row],[Costos (En RD$/Tarea)]]=0,0,Tabla2[[#This Row],[Beneficio Neto  (En RD$/Tarea)]]/Tabla2[[#This Row],[Costos (En RD$/Tarea)]])</f>
        <v>1.1774866614695223</v>
      </c>
      <c r="P765" s="4">
        <f>Tabla2[[#This Row],[Rentabilidad (%)]]/12</f>
        <v>9.812388845579352E-2</v>
      </c>
    </row>
    <row r="766" spans="1:16" x14ac:dyDescent="0.35">
      <c r="A766" s="1">
        <v>38443</v>
      </c>
      <c r="B766" t="s">
        <v>27</v>
      </c>
      <c r="C766" s="2">
        <v>4223</v>
      </c>
      <c r="D766" s="5" t="s">
        <v>17</v>
      </c>
      <c r="E766" s="2">
        <f>IF(Tabla2[[#This Row],[Frecuencia]]="Annual", Tabla2[[#This Row],[Cosecha/Tarea]]/12,Tabla2[[#This Row],[Cosecha/Tarea]])</f>
        <v>4223</v>
      </c>
      <c r="F766" s="2">
        <v>37122</v>
      </c>
      <c r="G766" t="s">
        <v>18</v>
      </c>
      <c r="H766">
        <f>F766/Tabla2[[#This Row],[Cosecha Mensual]]</f>
        <v>8.7904333412266169</v>
      </c>
      <c r="I766">
        <f>H766*_xlfn.XLOOKUP(Tabla2[[#This Row],[Unidad de producción]],Tabla3[Medida],Tabla3[Equivalencia en Kg],"ELVIS",0)</f>
        <v>398.73405635803931</v>
      </c>
      <c r="J766">
        <v>123.149133333333</v>
      </c>
      <c r="K766" t="s">
        <v>18</v>
      </c>
      <c r="L766">
        <f>J766/_xlfn.XLOOKUP(Tabla2[[#This Row],[Unidad de precio]],Tabla3[Medida],Tabla3[Equivalencia en Kg],"ELVIS",0)</f>
        <v>2.7149279835390874</v>
      </c>
      <c r="M766">
        <v>5157.3900000000003</v>
      </c>
      <c r="N766" s="2">
        <f>(Tabla2[[#This Row],[Productividad (kg/TAS)]]*Tabla2[[#This Row],[Precio por kg]]-Tabla2[[#This Row],[Costos (En RD$/Tarea)]])</f>
        <v>-4074.8557524035077</v>
      </c>
      <c r="O766" s="6">
        <f>IF(Tabla2[[#This Row],[Costos (En RD$/Tarea)]]=0,0,Tabla2[[#This Row],[Beneficio Neto  (En RD$/Tarea)]]/Tabla2[[#This Row],[Costos (En RD$/Tarea)]])</f>
        <v>-0.79010037100229136</v>
      </c>
      <c r="P766" s="4">
        <f>Tabla2[[#This Row],[Rentabilidad (%)]]/12</f>
        <v>-6.5841697583524275E-2</v>
      </c>
    </row>
    <row r="767" spans="1:16" x14ac:dyDescent="0.35">
      <c r="A767" s="1">
        <v>38443</v>
      </c>
      <c r="B767" t="s">
        <v>28</v>
      </c>
      <c r="C767" s="2">
        <v>293</v>
      </c>
      <c r="D767" s="5" t="s">
        <v>17</v>
      </c>
      <c r="E767" s="2">
        <f>IF(Tabla2[[#This Row],[Frecuencia]]="Annual", Tabla2[[#This Row],[Cosecha/Tarea]]/12,Tabla2[[#This Row],[Cosecha/Tarea]])</f>
        <v>293</v>
      </c>
      <c r="F767" s="2">
        <v>73</v>
      </c>
      <c r="G767" t="s">
        <v>29</v>
      </c>
      <c r="H767">
        <f>F767/Tabla2[[#This Row],[Cosecha Mensual]]</f>
        <v>0.24914675767918087</v>
      </c>
      <c r="I767">
        <f>H767*_xlfn.XLOOKUP(Tabla2[[#This Row],[Unidad de producción]],Tabla3[Medida],Tabla3[Equivalencia en Kg],"ELVIS",0)</f>
        <v>140.10518771331058</v>
      </c>
      <c r="J767">
        <v>3708.15</v>
      </c>
      <c r="K767" t="s">
        <v>29</v>
      </c>
      <c r="L767">
        <f>J767/_xlfn.XLOOKUP(Tabla2[[#This Row],[Unidad de precio]],Tabla3[Medida],Tabla3[Equivalencia en Kg],"ELVIS",0)</f>
        <v>6.5941423338193976</v>
      </c>
      <c r="M767">
        <v>9027.66</v>
      </c>
      <c r="N767" s="2">
        <f>(Tabla2[[#This Row],[Productividad (kg/TAS)]]*Tabla2[[#This Row],[Precio por kg]]-Tabla2[[#This Row],[Costos (En RD$/Tarea)]])</f>
        <v>-8103.7864505119451</v>
      </c>
      <c r="O767" s="6">
        <f>IF(Tabla2[[#This Row],[Costos (En RD$/Tarea)]]=0,0,Tabla2[[#This Row],[Beneficio Neto  (En RD$/Tarea)]]/Tabla2[[#This Row],[Costos (En RD$/Tarea)]])</f>
        <v>-0.89766190247660471</v>
      </c>
      <c r="P767" s="4">
        <f>Tabla2[[#This Row],[Rentabilidad (%)]]/12</f>
        <v>-7.4805158539717059E-2</v>
      </c>
    </row>
    <row r="768" spans="1:16" x14ac:dyDescent="0.35">
      <c r="A768" s="1">
        <v>38443</v>
      </c>
      <c r="B768" t="s">
        <v>30</v>
      </c>
      <c r="C768" s="2">
        <v>278088</v>
      </c>
      <c r="D768" s="2" t="s">
        <v>31</v>
      </c>
      <c r="E768" s="2">
        <f>IF(Tabla2[[#This Row],[Frecuencia]]="Annual", Tabla2[[#This Row],[Cosecha/Tarea]]/12,Tabla2[[#This Row],[Cosecha/Tarea]])</f>
        <v>23174</v>
      </c>
      <c r="F768" s="2">
        <v>1505181</v>
      </c>
      <c r="G768" t="s">
        <v>32</v>
      </c>
      <c r="H768">
        <f>F768/Tabla2[[#This Row],[Cosecha Mensual]]</f>
        <v>64.951281608699404</v>
      </c>
      <c r="I768">
        <f>H768*_xlfn.XLOOKUP(Tabla2[[#This Row],[Unidad de producción]],Tabla3[Medida],Tabla3[Equivalencia en Kg],"ELVIS",0)</f>
        <v>1767.3243725727109</v>
      </c>
      <c r="J768">
        <v>66.522000000000006</v>
      </c>
      <c r="K768" t="s">
        <v>32</v>
      </c>
      <c r="L768">
        <f>J768/_xlfn.XLOOKUP(Tabla2[[#This Row],[Unidad de precio]],Tabla3[Medida],Tabla3[Equivalencia en Kg],"ELVIS",0)</f>
        <v>2.444762954796031</v>
      </c>
      <c r="M768" s="2">
        <v>7918.62</v>
      </c>
      <c r="N768" s="2">
        <f>(Tabla2[[#This Row],[Productividad (kg/TAS)]]*Tabla2[[#This Row],[Precio por kg]]-Tabla2[[#This Row],[Costos (En RD$/Tarea)]])</f>
        <v>-3597.9308448260972</v>
      </c>
      <c r="O768" s="6">
        <f>IF(Tabla2[[#This Row],[Costos (En RD$/Tarea)]]=0,0,Tabla2[[#This Row],[Beneficio Neto  (En RD$/Tarea)]]/Tabla2[[#This Row],[Costos (En RD$/Tarea)]])</f>
        <v>-0.45436336695359764</v>
      </c>
      <c r="P768" s="4">
        <f>Tabla2[[#This Row],[Rentabilidad (%)]]/12</f>
        <v>-3.7863613912799805E-2</v>
      </c>
    </row>
    <row r="769" spans="1:16" x14ac:dyDescent="0.35">
      <c r="A769" s="1">
        <v>38443</v>
      </c>
      <c r="B769" t="s">
        <v>33</v>
      </c>
      <c r="C769" s="2">
        <v>624261</v>
      </c>
      <c r="D769" s="2" t="s">
        <v>31</v>
      </c>
      <c r="E769" s="2">
        <f>IF(Tabla2[[#This Row],[Frecuencia]]="Annual", Tabla2[[#This Row],[Cosecha/Tarea]]/12,Tabla2[[#This Row],[Cosecha/Tarea]])</f>
        <v>52021.75</v>
      </c>
      <c r="F769" s="2">
        <v>124564</v>
      </c>
      <c r="G769" t="s">
        <v>34</v>
      </c>
      <c r="H769">
        <f>F769/Tabla2[[#This Row],[Cosecha Mensual]]</f>
        <v>2.3944600095152508</v>
      </c>
      <c r="I769">
        <f>H769*_xlfn.XLOOKUP(Tabla2[[#This Row],[Unidad de producción]],Tabla3[Medida],Tabla3[Equivalencia en Kg],"ELVIS",0)</f>
        <v>977.2988528836496</v>
      </c>
      <c r="J769">
        <v>2412.3339999999998</v>
      </c>
      <c r="K769" t="s">
        <v>34</v>
      </c>
      <c r="L769">
        <f>J769/_xlfn.XLOOKUP(Tabla2[[#This Row],[Unidad de precio]],Tabla3[Medida],Tabla3[Equivalencia en Kg],"ELVIS",0)</f>
        <v>5.9104103883376213</v>
      </c>
      <c r="M769" s="2">
        <v>9928.24</v>
      </c>
      <c r="N769" s="2">
        <f>(Tabla2[[#This Row],[Productividad (kg/TAS)]]*Tabla2[[#This Row],[Precio por kg]]-Tabla2[[#This Row],[Costos (En RD$/Tarea)]])</f>
        <v>-4152.0027074060363</v>
      </c>
      <c r="O769" s="6">
        <f>IF(Tabla2[[#This Row],[Costos (En RD$/Tarea)]]=0,0,Tabla2[[#This Row],[Beneficio Neto  (En RD$/Tarea)]]/Tabla2[[#This Row],[Costos (En RD$/Tarea)]])</f>
        <v>-0.4182012831484771</v>
      </c>
      <c r="P769" s="4">
        <f>Tabla2[[#This Row],[Rentabilidad (%)]]/12</f>
        <v>-3.4850106929039761E-2</v>
      </c>
    </row>
    <row r="770" spans="1:16" x14ac:dyDescent="0.35">
      <c r="A770" s="1">
        <v>38473</v>
      </c>
      <c r="B770" t="s">
        <v>16</v>
      </c>
      <c r="C770" s="2">
        <v>104899</v>
      </c>
      <c r="D770" s="5" t="s">
        <v>17</v>
      </c>
      <c r="E770" s="2">
        <f>IF(Tabla2[[#This Row],[Frecuencia]]="Annual", Tabla2[[#This Row],[Cosecha/Tarea]]/12,Tabla2[[#This Row],[Cosecha/Tarea]])</f>
        <v>104899</v>
      </c>
      <c r="F770" s="2">
        <v>480990</v>
      </c>
      <c r="G770" t="s">
        <v>18</v>
      </c>
      <c r="H770">
        <f>F770/Tabla2[[#This Row],[Cosecha Mensual]]</f>
        <v>4.5852677337248213</v>
      </c>
      <c r="I770">
        <f>H770*_xlfn.XLOOKUP(Tabla2[[#This Row],[Unidad de producción]],Tabla3[Medida],Tabla3[Equivalencia en Kg],"ELVIS",0)</f>
        <v>207.98774440175788</v>
      </c>
      <c r="J770">
        <v>1196.6666666666699</v>
      </c>
      <c r="K770" t="s">
        <v>19</v>
      </c>
      <c r="L770">
        <f>J770/_xlfn.XLOOKUP(Tabla2[[#This Row],[Unidad de precio]],Tabla3[Medida],Tabla3[Equivalencia en Kg],"ELVIS",0)</f>
        <v>10.878787878787909</v>
      </c>
      <c r="M770">
        <v>4807.32</v>
      </c>
      <c r="N770" s="2">
        <f>(Tabla2[[#This Row],[Productividad (kg/TAS)]]*Tabla2[[#This Row],[Precio por kg]]-Tabla2[[#This Row],[Costos (En RD$/Tarea)]])</f>
        <v>-2544.6654472657183</v>
      </c>
      <c r="O770" s="6">
        <f>IF(Tabla2[[#This Row],[Costos (En RD$/Tarea)]]=0,0,Tabla2[[#This Row],[Beneficio Neto  (En RD$/Tarea)]]/Tabla2[[#This Row],[Costos (En RD$/Tarea)]])</f>
        <v>-0.52933140445523041</v>
      </c>
      <c r="P770" s="4">
        <f>Tabla2[[#This Row],[Rentabilidad (%)]]/12</f>
        <v>-4.4110950371269199E-2</v>
      </c>
    </row>
    <row r="771" spans="1:16" x14ac:dyDescent="0.35">
      <c r="A771" s="1">
        <v>38473</v>
      </c>
      <c r="B771" t="s">
        <v>20</v>
      </c>
      <c r="C771" s="2">
        <v>18861</v>
      </c>
      <c r="D771" s="5" t="s">
        <v>17</v>
      </c>
      <c r="E771" s="2">
        <f>IF(Tabla2[[#This Row],[Frecuencia]]="Annual", Tabla2[[#This Row],[Cosecha/Tarea]]/12,Tabla2[[#This Row],[Cosecha/Tarea]])</f>
        <v>18861</v>
      </c>
      <c r="F771" s="2">
        <v>37022</v>
      </c>
      <c r="G771" t="s">
        <v>18</v>
      </c>
      <c r="H771">
        <f>F771/Tabla2[[#This Row],[Cosecha Mensual]]</f>
        <v>1.9628863793012035</v>
      </c>
      <c r="I771">
        <f>H771*_xlfn.XLOOKUP(Tabla2[[#This Row],[Unidad de producción]],Tabla3[Medida],Tabla3[Equivalencia en Kg],"ELVIS",0)</f>
        <v>89.036526165102586</v>
      </c>
      <c r="J771">
        <v>383.05439999999999</v>
      </c>
      <c r="K771" t="s">
        <v>18</v>
      </c>
      <c r="L771">
        <f>J771/_xlfn.XLOOKUP(Tabla2[[#This Row],[Unidad de precio]],Tabla3[Medida],Tabla3[Equivalencia en Kg],"ELVIS",0)</f>
        <v>8.4447619047619042</v>
      </c>
      <c r="M771">
        <v>1327.7</v>
      </c>
      <c r="N771" s="2">
        <f>(Tabla2[[#This Row],[Productividad (kg/TAS)]]*Tabla2[[#This Row],[Precio por kg]]-Tabla2[[#This Row],[Costos (En RD$/Tarea)]])</f>
        <v>-575.80773570860515</v>
      </c>
      <c r="O771" s="6">
        <f>IF(Tabla2[[#This Row],[Costos (En RD$/Tarea)]]=0,0,Tabla2[[#This Row],[Beneficio Neto  (En RD$/Tarea)]]/Tabla2[[#This Row],[Costos (En RD$/Tarea)]])</f>
        <v>-0.4336881341482301</v>
      </c>
      <c r="P771" s="4">
        <f>Tabla2[[#This Row],[Rentabilidad (%)]]/12</f>
        <v>-3.6140677845685844E-2</v>
      </c>
    </row>
    <row r="772" spans="1:16" x14ac:dyDescent="0.35">
      <c r="A772" s="1">
        <v>38473</v>
      </c>
      <c r="B772" t="s">
        <v>21</v>
      </c>
      <c r="C772" s="2">
        <v>8020</v>
      </c>
      <c r="D772" s="5" t="s">
        <v>17</v>
      </c>
      <c r="E772" s="2">
        <f>IF(Tabla2[[#This Row],[Frecuencia]]="Annual", Tabla2[[#This Row],[Cosecha/Tarea]]/12,Tabla2[[#This Row],[Cosecha/Tarea]])</f>
        <v>8020</v>
      </c>
      <c r="F772" s="2">
        <v>79690</v>
      </c>
      <c r="G772" t="s">
        <v>18</v>
      </c>
      <c r="H772">
        <f>F772/Tabla2[[#This Row],[Cosecha Mensual]]</f>
        <v>9.9364089775561091</v>
      </c>
      <c r="I772">
        <f>H772*_xlfn.XLOOKUP(Tabla2[[#This Row],[Unidad de producción]],Tabla3[Medida],Tabla3[Equivalencia en Kg],"ELVIS",0)</f>
        <v>450.71551122194512</v>
      </c>
      <c r="J772">
        <v>295.8</v>
      </c>
      <c r="K772" t="s">
        <v>18</v>
      </c>
      <c r="L772">
        <f>J772/_xlfn.XLOOKUP(Tabla2[[#This Row],[Unidad de precio]],Tabla3[Medida],Tabla3[Equivalencia en Kg],"ELVIS",0)</f>
        <v>6.5211640211640214</v>
      </c>
      <c r="M772">
        <v>2092.86</v>
      </c>
      <c r="N772" s="2">
        <f>(Tabla2[[#This Row],[Productividad (kg/TAS)]]*Tabla2[[#This Row],[Precio por kg]]-Tabla2[[#This Row],[Costos (En RD$/Tarea)]])</f>
        <v>846.32977556109699</v>
      </c>
      <c r="O772" s="6">
        <f>IF(Tabla2[[#This Row],[Costos (En RD$/Tarea)]]=0,0,Tabla2[[#This Row],[Beneficio Neto  (En RD$/Tarea)]]/Tabla2[[#This Row],[Costos (En RD$/Tarea)]])</f>
        <v>0.40438910178468551</v>
      </c>
      <c r="P772" s="4">
        <f>Tabla2[[#This Row],[Rentabilidad (%)]]/12</f>
        <v>3.3699091815390457E-2</v>
      </c>
    </row>
    <row r="773" spans="1:16" x14ac:dyDescent="0.35">
      <c r="A773" s="1">
        <v>38473</v>
      </c>
      <c r="B773" t="s">
        <v>22</v>
      </c>
      <c r="C773" s="2">
        <v>4965</v>
      </c>
      <c r="D773" s="5" t="s">
        <v>17</v>
      </c>
      <c r="E773" s="2">
        <f>IF(Tabla2[[#This Row],[Frecuencia]]="Annual", Tabla2[[#This Row],[Cosecha/Tarea]]/12,Tabla2[[#This Row],[Cosecha/Tarea]])</f>
        <v>4965</v>
      </c>
      <c r="F773" s="2">
        <v>45220</v>
      </c>
      <c r="G773" t="s">
        <v>18</v>
      </c>
      <c r="H773">
        <f>F773/Tabla2[[#This Row],[Cosecha Mensual]]</f>
        <v>9.1077542799597175</v>
      </c>
      <c r="I773">
        <f>H773*_xlfn.XLOOKUP(Tabla2[[#This Row],[Unidad de producción]],Tabla3[Medida],Tabla3[Equivalencia en Kg],"ELVIS",0)</f>
        <v>413.12773413897276</v>
      </c>
      <c r="J773">
        <v>716</v>
      </c>
      <c r="K773" t="s">
        <v>18</v>
      </c>
      <c r="L773">
        <f>J773/_xlfn.XLOOKUP(Tabla2[[#This Row],[Unidad de precio]],Tabla3[Medida],Tabla3[Equivalencia en Kg],"ELVIS",0)</f>
        <v>15.784832451499119</v>
      </c>
      <c r="M773">
        <v>5853.83</v>
      </c>
      <c r="N773" s="2">
        <f>(Tabla2[[#This Row],[Productividad (kg/TAS)]]*Tabla2[[#This Row],[Precio por kg]]-Tabla2[[#This Row],[Costos (En RD$/Tarea)]])</f>
        <v>667.32206445115753</v>
      </c>
      <c r="O773" s="6">
        <f>IF(Tabla2[[#This Row],[Costos (En RD$/Tarea)]]=0,0,Tabla2[[#This Row],[Beneficio Neto  (En RD$/Tarea)]]/Tabla2[[#This Row],[Costos (En RD$/Tarea)]])</f>
        <v>0.11399751349990647</v>
      </c>
      <c r="P773" s="4">
        <f>Tabla2[[#This Row],[Rentabilidad (%)]]/12</f>
        <v>9.4997927916588721E-3</v>
      </c>
    </row>
    <row r="774" spans="1:16" x14ac:dyDescent="0.35">
      <c r="A774" s="1">
        <v>38473</v>
      </c>
      <c r="B774" t="s">
        <v>23</v>
      </c>
      <c r="C774" s="2">
        <v>3773</v>
      </c>
      <c r="D774" s="5" t="s">
        <v>17</v>
      </c>
      <c r="E774" s="2">
        <f>IF(Tabla2[[#This Row],[Frecuencia]]="Annual", Tabla2[[#This Row],[Cosecha/Tarea]]/12,Tabla2[[#This Row],[Cosecha/Tarea]])</f>
        <v>3773</v>
      </c>
      <c r="F774" s="2">
        <v>128930</v>
      </c>
      <c r="G774" t="s">
        <v>18</v>
      </c>
      <c r="H774">
        <f>F774/Tabla2[[#This Row],[Cosecha Mensual]]</f>
        <v>34.171746620726211</v>
      </c>
      <c r="I774">
        <f>H774*_xlfn.XLOOKUP(Tabla2[[#This Row],[Unidad de producción]],Tabla3[Medida],Tabla3[Equivalencia en Kg],"ELVIS",0)</f>
        <v>1550.0304267161409</v>
      </c>
      <c r="J774">
        <v>480</v>
      </c>
      <c r="K774" t="s">
        <v>18</v>
      </c>
      <c r="L774">
        <f>J774/_xlfn.XLOOKUP(Tabla2[[#This Row],[Unidad de precio]],Tabla3[Medida],Tabla3[Equivalencia en Kg],"ELVIS",0)</f>
        <v>10.582010582010582</v>
      </c>
      <c r="M774">
        <v>10163.530000000001</v>
      </c>
      <c r="N774" s="2">
        <f>(Tabla2[[#This Row],[Productividad (kg/TAS)]]*Tabla2[[#This Row],[Precio por kg]]-Tabla2[[#This Row],[Costos (En RD$/Tarea)]])</f>
        <v>6238.9083779485827</v>
      </c>
      <c r="O774" s="6">
        <f>IF(Tabla2[[#This Row],[Costos (En RD$/Tarea)]]=0,0,Tabla2[[#This Row],[Beneficio Neto  (En RD$/Tarea)]]/Tabla2[[#This Row],[Costos (En RD$/Tarea)]])</f>
        <v>0.61385250773585376</v>
      </c>
      <c r="P774" s="4">
        <f>Tabla2[[#This Row],[Rentabilidad (%)]]/12</f>
        <v>5.1154375644654478E-2</v>
      </c>
    </row>
    <row r="775" spans="1:16" x14ac:dyDescent="0.35">
      <c r="A775" s="1">
        <v>38473</v>
      </c>
      <c r="B775" t="s">
        <v>24</v>
      </c>
      <c r="C775" s="2">
        <v>4624</v>
      </c>
      <c r="D775" s="5" t="s">
        <v>17</v>
      </c>
      <c r="E775" s="2">
        <f>IF(Tabla2[[#This Row],[Frecuencia]]="Annual", Tabla2[[#This Row],[Cosecha/Tarea]]/12,Tabla2[[#This Row],[Cosecha/Tarea]])</f>
        <v>4624</v>
      </c>
      <c r="F775" s="2">
        <v>40400</v>
      </c>
      <c r="G775" t="s">
        <v>18</v>
      </c>
      <c r="H775">
        <f>F775/Tabla2[[#This Row],[Cosecha Mensual]]</f>
        <v>8.7370242214532876</v>
      </c>
      <c r="I775">
        <f>H775*_xlfn.XLOOKUP(Tabla2[[#This Row],[Unidad de producción]],Tabla3[Medida],Tabla3[Equivalencia en Kg],"ELVIS",0)</f>
        <v>396.31141868512111</v>
      </c>
      <c r="J775">
        <v>919.75</v>
      </c>
      <c r="K775" t="s">
        <v>18</v>
      </c>
      <c r="L775">
        <f>J775/_xlfn.XLOOKUP(Tabla2[[#This Row],[Unidad de precio]],Tabla3[Medida],Tabla3[Equivalencia en Kg],"ELVIS",0)</f>
        <v>20.27667548500882</v>
      </c>
      <c r="M775">
        <v>4680.83</v>
      </c>
      <c r="N775" s="2">
        <f>(Tabla2[[#This Row],[Productividad (kg/TAS)]]*Tabla2[[#This Row],[Precio por kg]]-Tabla2[[#This Row],[Costos (En RD$/Tarea)]])</f>
        <v>3355.0480276816616</v>
      </c>
      <c r="O775" s="6">
        <f>IF(Tabla2[[#This Row],[Costos (En RD$/Tarea)]]=0,0,Tabla2[[#This Row],[Beneficio Neto  (En RD$/Tarea)]]/Tabla2[[#This Row],[Costos (En RD$/Tarea)]])</f>
        <v>0.71676348589495065</v>
      </c>
      <c r="P775" s="4">
        <f>Tabla2[[#This Row],[Rentabilidad (%)]]/12</f>
        <v>5.973029049124589E-2</v>
      </c>
    </row>
    <row r="776" spans="1:16" x14ac:dyDescent="0.35">
      <c r="A776" s="1">
        <v>38473</v>
      </c>
      <c r="B776" t="s">
        <v>25</v>
      </c>
      <c r="C776" s="2">
        <v>13162</v>
      </c>
      <c r="D776" s="5" t="s">
        <v>17</v>
      </c>
      <c r="E776" s="2">
        <f>IF(Tabla2[[#This Row],[Frecuencia]]="Annual", Tabla2[[#This Row],[Cosecha/Tarea]]/12,Tabla2[[#This Row],[Cosecha/Tarea]])</f>
        <v>13162</v>
      </c>
      <c r="F776" s="2">
        <v>119587</v>
      </c>
      <c r="G776" t="s">
        <v>18</v>
      </c>
      <c r="H776">
        <f>F776/Tabla2[[#This Row],[Cosecha Mensual]]</f>
        <v>9.0857772375018993</v>
      </c>
      <c r="I776">
        <f>H776*_xlfn.XLOOKUP(Tabla2[[#This Row],[Unidad de producción]],Tabla3[Medida],Tabla3[Equivalencia en Kg],"ELVIS",0)</f>
        <v>412.13085549308613</v>
      </c>
      <c r="J776">
        <v>621.9375</v>
      </c>
      <c r="K776" t="s">
        <v>18</v>
      </c>
      <c r="L776">
        <f>J776/_xlfn.XLOOKUP(Tabla2[[#This Row],[Unidad de precio]],Tabla3[Medida],Tabla3[Equivalencia en Kg],"ELVIS",0)</f>
        <v>13.71114417989418</v>
      </c>
      <c r="M776">
        <v>2314.2150000000001</v>
      </c>
      <c r="N776" s="2">
        <f>(Tabla2[[#This Row],[Productividad (kg/TAS)]]*Tabla2[[#This Row],[Precio por kg]]-Tabla2[[#This Row],[Costos (En RD$/Tarea)]])</f>
        <v>3336.5705806488377</v>
      </c>
      <c r="O776" s="6">
        <f>IF(Tabla2[[#This Row],[Costos (En RD$/Tarea)]]=0,0,Tabla2[[#This Row],[Beneficio Neto  (En RD$/Tarea)]]/Tabla2[[#This Row],[Costos (En RD$/Tarea)]])</f>
        <v>1.4417720828223988</v>
      </c>
      <c r="P776" s="4">
        <f>Tabla2[[#This Row],[Rentabilidad (%)]]/12</f>
        <v>0.12014767356853323</v>
      </c>
    </row>
    <row r="777" spans="1:16" x14ac:dyDescent="0.35">
      <c r="A777" s="1">
        <v>38473</v>
      </c>
      <c r="B777" t="s">
        <v>26</v>
      </c>
      <c r="C777" s="2">
        <v>3914</v>
      </c>
      <c r="D777" s="5" t="s">
        <v>17</v>
      </c>
      <c r="E777" s="2">
        <f>IF(Tabla2[[#This Row],[Frecuencia]]="Annual", Tabla2[[#This Row],[Cosecha/Tarea]]/12,Tabla2[[#This Row],[Cosecha/Tarea]])</f>
        <v>3914</v>
      </c>
      <c r="F777" s="2">
        <v>25396</v>
      </c>
      <c r="G777" t="s">
        <v>18</v>
      </c>
      <c r="H777">
        <f>F777/Tabla2[[#This Row],[Cosecha Mensual]]</f>
        <v>6.4885028104241185</v>
      </c>
      <c r="I777">
        <f>H777*_xlfn.XLOOKUP(Tabla2[[#This Row],[Unidad de producción]],Tabla3[Medida],Tabla3[Equivalencia en Kg],"ELVIS",0)</f>
        <v>294.31848748083803</v>
      </c>
      <c r="J777">
        <v>522</v>
      </c>
      <c r="K777" t="s">
        <v>18</v>
      </c>
      <c r="L777">
        <f>J777/_xlfn.XLOOKUP(Tabla2[[#This Row],[Unidad de precio]],Tabla3[Medida],Tabla3[Equivalencia en Kg],"ELVIS",0)</f>
        <v>11.507936507936508</v>
      </c>
      <c r="M777">
        <v>906.4</v>
      </c>
      <c r="N777" s="2">
        <f>(Tabla2[[#This Row],[Productividad (kg/TAS)]]*Tabla2[[#This Row],[Precio por kg]]-Tabla2[[#This Row],[Costos (En RD$/Tarea)]])</f>
        <v>2480.59846704139</v>
      </c>
      <c r="O777" s="6">
        <f>IF(Tabla2[[#This Row],[Costos (En RD$/Tarea)]]=0,0,Tabla2[[#This Row],[Beneficio Neto  (En RD$/Tarea)]]/Tabla2[[#This Row],[Costos (En RD$/Tarea)]])</f>
        <v>2.7367591207429283</v>
      </c>
      <c r="P777" s="4">
        <f>Tabla2[[#This Row],[Rentabilidad (%)]]/12</f>
        <v>0.22806326006191069</v>
      </c>
    </row>
    <row r="778" spans="1:16" x14ac:dyDescent="0.35">
      <c r="A778" s="1">
        <v>38473</v>
      </c>
      <c r="B778" t="s">
        <v>27</v>
      </c>
      <c r="C778" s="2">
        <v>4642</v>
      </c>
      <c r="D778" s="5" t="s">
        <v>17</v>
      </c>
      <c r="E778" s="2">
        <f>IF(Tabla2[[#This Row],[Frecuencia]]="Annual", Tabla2[[#This Row],[Cosecha/Tarea]]/12,Tabla2[[#This Row],[Cosecha/Tarea]])</f>
        <v>4642</v>
      </c>
      <c r="F778" s="2">
        <v>37784</v>
      </c>
      <c r="G778" t="s">
        <v>18</v>
      </c>
      <c r="H778">
        <f>F778/Tabla2[[#This Row],[Cosecha Mensual]]</f>
        <v>8.1395950021542447</v>
      </c>
      <c r="I778">
        <f>H778*_xlfn.XLOOKUP(Tabla2[[#This Row],[Unidad de producción]],Tabla3[Medida],Tabla3[Equivalencia en Kg],"ELVIS",0)</f>
        <v>369.21202929771653</v>
      </c>
      <c r="J778">
        <v>169.039866666667</v>
      </c>
      <c r="K778" t="s">
        <v>18</v>
      </c>
      <c r="L778">
        <f>J778/_xlfn.XLOOKUP(Tabla2[[#This Row],[Unidad de precio]],Tabla3[Medida],Tabla3[Equivalencia en Kg],"ELVIS",0)</f>
        <v>3.7266284538506835</v>
      </c>
      <c r="M778">
        <v>5157.3900000000003</v>
      </c>
      <c r="N778" s="2">
        <f>(Tabla2[[#This Row],[Productividad (kg/TAS)]]*Tabla2[[#This Row],[Precio por kg]]-Tabla2[[#This Row],[Costos (En RD$/Tarea)]])</f>
        <v>-3781.4739461151776</v>
      </c>
      <c r="O778" s="6">
        <f>IF(Tabla2[[#This Row],[Costos (En RD$/Tarea)]]=0,0,Tabla2[[#This Row],[Beneficio Neto  (En RD$/Tarea)]]/Tabla2[[#This Row],[Costos (En RD$/Tarea)]])</f>
        <v>-0.73321465821184306</v>
      </c>
      <c r="P778" s="4">
        <f>Tabla2[[#This Row],[Rentabilidad (%)]]/12</f>
        <v>-6.1101221517653591E-2</v>
      </c>
    </row>
    <row r="779" spans="1:16" x14ac:dyDescent="0.35">
      <c r="A779" s="1">
        <v>38473</v>
      </c>
      <c r="B779" t="s">
        <v>28</v>
      </c>
      <c r="C779" s="2">
        <v>357</v>
      </c>
      <c r="D779" s="5" t="s">
        <v>17</v>
      </c>
      <c r="E779" s="2">
        <f>IF(Tabla2[[#This Row],[Frecuencia]]="Annual", Tabla2[[#This Row],[Cosecha/Tarea]]/12,Tabla2[[#This Row],[Cosecha/Tarea]])</f>
        <v>357</v>
      </c>
      <c r="F779" s="2">
        <v>110</v>
      </c>
      <c r="G779" t="s">
        <v>29</v>
      </c>
      <c r="H779">
        <f>F779/Tabla2[[#This Row],[Cosecha Mensual]]</f>
        <v>0.3081232492997199</v>
      </c>
      <c r="I779">
        <f>H779*_xlfn.XLOOKUP(Tabla2[[#This Row],[Unidad de producción]],Tabla3[Medida],Tabla3[Equivalencia en Kg],"ELVIS",0)</f>
        <v>173.27002801120449</v>
      </c>
      <c r="J779">
        <v>3632.2</v>
      </c>
      <c r="K779" t="s">
        <v>29</v>
      </c>
      <c r="L779">
        <f>J779/_xlfn.XLOOKUP(Tabla2[[#This Row],[Unidad de precio]],Tabla3[Medida],Tabla3[Equivalencia en Kg],"ELVIS",0)</f>
        <v>6.4590816943486145</v>
      </c>
      <c r="M779">
        <v>9027.66</v>
      </c>
      <c r="N779" s="2">
        <f>(Tabla2[[#This Row],[Productividad (kg/TAS)]]*Tabla2[[#This Row],[Precio por kg]]-Tabla2[[#This Row],[Costos (En RD$/Tarea)]])</f>
        <v>-7908.4947338935572</v>
      </c>
      <c r="O779" s="6">
        <f>IF(Tabla2[[#This Row],[Costos (En RD$/Tarea)]]=0,0,Tabla2[[#This Row],[Beneficio Neto  (En RD$/Tarea)]]/Tabla2[[#This Row],[Costos (En RD$/Tarea)]])</f>
        <v>-0.87602930702901494</v>
      </c>
      <c r="P779" s="4">
        <f>Tabla2[[#This Row],[Rentabilidad (%)]]/12</f>
        <v>-7.3002442252417907E-2</v>
      </c>
    </row>
    <row r="780" spans="1:16" x14ac:dyDescent="0.35">
      <c r="A780" s="1">
        <v>38473</v>
      </c>
      <c r="B780" t="s">
        <v>30</v>
      </c>
      <c r="C780" s="2">
        <v>286723</v>
      </c>
      <c r="D780" s="2" t="s">
        <v>31</v>
      </c>
      <c r="E780" s="2">
        <f>IF(Tabla2[[#This Row],[Frecuencia]]="Annual", Tabla2[[#This Row],[Cosecha/Tarea]]/12,Tabla2[[#This Row],[Cosecha/Tarea]])</f>
        <v>23893.583333333332</v>
      </c>
      <c r="F780" s="2">
        <v>1756478</v>
      </c>
      <c r="G780" t="s">
        <v>32</v>
      </c>
      <c r="H780">
        <f>F780/Tabla2[[#This Row],[Cosecha Mensual]]</f>
        <v>73.512539977609052</v>
      </c>
      <c r="I780">
        <f>H780*_xlfn.XLOOKUP(Tabla2[[#This Row],[Unidad de producción]],Tabla3[Medida],Tabla3[Equivalencia en Kg],"ELVIS",0)</f>
        <v>2000.2762127907424</v>
      </c>
      <c r="J780">
        <v>65.44</v>
      </c>
      <c r="K780" t="s">
        <v>32</v>
      </c>
      <c r="L780">
        <f>J780/_xlfn.XLOOKUP(Tabla2[[#This Row],[Unidad de precio]],Tabla3[Medida],Tabla3[Equivalencia en Kg],"ELVIS",0)</f>
        <v>2.404998162440279</v>
      </c>
      <c r="M780" s="2">
        <v>7918.62</v>
      </c>
      <c r="N780" s="2">
        <f>(Tabla2[[#This Row],[Productividad (kg/TAS)]]*Tabla2[[#This Row],[Precio por kg]]-Tabla2[[#This Row],[Costos (En RD$/Tarea)]])</f>
        <v>-3107.9593838652636</v>
      </c>
      <c r="O780" s="6">
        <f>IF(Tabla2[[#This Row],[Costos (En RD$/Tarea)]]=0,0,Tabla2[[#This Row],[Beneficio Neto  (En RD$/Tarea)]]/Tabla2[[#This Row],[Costos (En RD$/Tarea)]])</f>
        <v>-0.39248750209825245</v>
      </c>
      <c r="P780" s="4">
        <f>Tabla2[[#This Row],[Rentabilidad (%)]]/12</f>
        <v>-3.270729184152104E-2</v>
      </c>
    </row>
    <row r="781" spans="1:16" x14ac:dyDescent="0.35">
      <c r="A781" s="1">
        <v>38473</v>
      </c>
      <c r="B781" t="s">
        <v>33</v>
      </c>
      <c r="C781" s="2">
        <v>647505</v>
      </c>
      <c r="D781" s="2" t="s">
        <v>31</v>
      </c>
      <c r="E781" s="2">
        <f>IF(Tabla2[[#This Row],[Frecuencia]]="Annual", Tabla2[[#This Row],[Cosecha/Tarea]]/12,Tabla2[[#This Row],[Cosecha/Tarea]])</f>
        <v>53958.75</v>
      </c>
      <c r="F781" s="2">
        <v>118228</v>
      </c>
      <c r="G781" t="s">
        <v>34</v>
      </c>
      <c r="H781">
        <f>F781/Tabla2[[#This Row],[Cosecha Mensual]]</f>
        <v>2.19108114995251</v>
      </c>
      <c r="I781">
        <f>H781*_xlfn.XLOOKUP(Tabla2[[#This Row],[Unidad de producción]],Tabla3[Medida],Tabla3[Equivalencia en Kg],"ELVIS",0)</f>
        <v>894.28977135311686</v>
      </c>
      <c r="J781">
        <v>2288.5</v>
      </c>
      <c r="K781" t="s">
        <v>34</v>
      </c>
      <c r="L781">
        <f>J781/_xlfn.XLOOKUP(Tabla2[[#This Row],[Unidad de precio]],Tabla3[Medida],Tabla3[Equivalencia en Kg],"ELVIS",0)</f>
        <v>5.6070072277349015</v>
      </c>
      <c r="M781" s="2">
        <v>9928.24</v>
      </c>
      <c r="N781" s="2">
        <f>(Tabla2[[#This Row],[Productividad (kg/TAS)]]*Tabla2[[#This Row],[Precio por kg]]-Tabla2[[#This Row],[Costos (En RD$/Tarea)]])</f>
        <v>-4913.950788333681</v>
      </c>
      <c r="O781" s="6">
        <f>IF(Tabla2[[#This Row],[Costos (En RD$/Tarea)]]=0,0,Tabla2[[#This Row],[Beneficio Neto  (En RD$/Tarea)]]/Tabla2[[#This Row],[Costos (En RD$/Tarea)]])</f>
        <v>-0.49494681719354899</v>
      </c>
      <c r="P781" s="4">
        <f>Tabla2[[#This Row],[Rentabilidad (%)]]/12</f>
        <v>-4.1245568099462414E-2</v>
      </c>
    </row>
    <row r="782" spans="1:16" x14ac:dyDescent="0.35">
      <c r="A782" s="1">
        <v>38504</v>
      </c>
      <c r="B782" t="s">
        <v>16</v>
      </c>
      <c r="C782" s="2">
        <v>376900</v>
      </c>
      <c r="D782" s="5" t="s">
        <v>17</v>
      </c>
      <c r="E782" s="2">
        <f>IF(Tabla2[[#This Row],[Frecuencia]]="Annual", Tabla2[[#This Row],[Cosecha/Tarea]]/12,Tabla2[[#This Row],[Cosecha/Tarea]])</f>
        <v>376900</v>
      </c>
      <c r="F782" s="2">
        <v>1756962</v>
      </c>
      <c r="G782" t="s">
        <v>18</v>
      </c>
      <c r="H782">
        <f>F782/Tabla2[[#This Row],[Cosecha Mensual]]</f>
        <v>4.6616131599893871</v>
      </c>
      <c r="I782">
        <f>H782*_xlfn.XLOOKUP(Tabla2[[#This Row],[Unidad de producción]],Tabla3[Medida],Tabla3[Equivalencia en Kg],"ELVIS",0)</f>
        <v>211.45077293711859</v>
      </c>
      <c r="J782">
        <v>1015.918</v>
      </c>
      <c r="K782" t="s">
        <v>19</v>
      </c>
      <c r="L782">
        <f>J782/_xlfn.XLOOKUP(Tabla2[[#This Row],[Unidad de precio]],Tabla3[Medida],Tabla3[Equivalencia en Kg],"ELVIS",0)</f>
        <v>9.2356181818181824</v>
      </c>
      <c r="M782">
        <v>4807.32</v>
      </c>
      <c r="N782" s="2">
        <f>(Tabla2[[#This Row],[Productividad (kg/TAS)]]*Tabla2[[#This Row],[Precio por kg]]-Tabla2[[#This Row],[Costos (En RD$/Tarea)]])</f>
        <v>-2854.441396902439</v>
      </c>
      <c r="O782" s="6">
        <f>IF(Tabla2[[#This Row],[Costos (En RD$/Tarea)]]=0,0,Tabla2[[#This Row],[Beneficio Neto  (En RD$/Tarea)]]/Tabla2[[#This Row],[Costos (En RD$/Tarea)]])</f>
        <v>-0.59376979208840663</v>
      </c>
      <c r="P782" s="4">
        <f>Tabla2[[#This Row],[Rentabilidad (%)]]/12</f>
        <v>-4.9480816007367222E-2</v>
      </c>
    </row>
    <row r="783" spans="1:16" x14ac:dyDescent="0.35">
      <c r="A783" s="1">
        <v>38504</v>
      </c>
      <c r="B783" t="s">
        <v>20</v>
      </c>
      <c r="C783" s="2">
        <v>26009</v>
      </c>
      <c r="D783" s="5" t="s">
        <v>17</v>
      </c>
      <c r="E783" s="2">
        <f>IF(Tabla2[[#This Row],[Frecuencia]]="Annual", Tabla2[[#This Row],[Cosecha/Tarea]]/12,Tabla2[[#This Row],[Cosecha/Tarea]])</f>
        <v>26009</v>
      </c>
      <c r="F783" s="2">
        <v>63631</v>
      </c>
      <c r="G783" t="s">
        <v>18</v>
      </c>
      <c r="H783">
        <f>F783/Tabla2[[#This Row],[Cosecha Mensual]]</f>
        <v>2.4464992887077548</v>
      </c>
      <c r="I783">
        <f>H783*_xlfn.XLOOKUP(Tabla2[[#This Row],[Unidad de producción]],Tabla3[Medida],Tabla3[Equivalencia en Kg],"ELVIS",0)</f>
        <v>110.97320773578376</v>
      </c>
      <c r="J783">
        <v>399.68166666666701</v>
      </c>
      <c r="K783" t="s">
        <v>18</v>
      </c>
      <c r="L783">
        <f>J783/_xlfn.XLOOKUP(Tabla2[[#This Row],[Unidad de precio]],Tabla3[Medida],Tabla3[Equivalencia en Kg],"ELVIS",0)</f>
        <v>8.8113242210464513</v>
      </c>
      <c r="M783">
        <v>1327.7</v>
      </c>
      <c r="N783" s="2">
        <f>(Tabla2[[#This Row],[Productividad (kg/TAS)]]*Tabla2[[#This Row],[Precio por kg]]-Tabla2[[#This Row],[Costos (En RD$/Tarea)]])</f>
        <v>-349.87908679046916</v>
      </c>
      <c r="O783" s="6">
        <f>IF(Tabla2[[#This Row],[Costos (En RD$/Tarea)]]=0,0,Tabla2[[#This Row],[Beneficio Neto  (En RD$/Tarea)]]/Tabla2[[#This Row],[Costos (En RD$/Tarea)]])</f>
        <v>-0.26352269849398896</v>
      </c>
      <c r="P783" s="4">
        <f>Tabla2[[#This Row],[Rentabilidad (%)]]/12</f>
        <v>-2.1960224874499081E-2</v>
      </c>
    </row>
    <row r="784" spans="1:16" x14ac:dyDescent="0.35">
      <c r="A784" s="1">
        <v>38504</v>
      </c>
      <c r="B784" t="s">
        <v>21</v>
      </c>
      <c r="C784" s="2">
        <v>7572</v>
      </c>
      <c r="D784" s="5" t="s">
        <v>17</v>
      </c>
      <c r="E784" s="2">
        <f>IF(Tabla2[[#This Row],[Frecuencia]]="Annual", Tabla2[[#This Row],[Cosecha/Tarea]]/12,Tabla2[[#This Row],[Cosecha/Tarea]])</f>
        <v>7572</v>
      </c>
      <c r="F784" s="2">
        <v>73082</v>
      </c>
      <c r="G784" t="s">
        <v>18</v>
      </c>
      <c r="H784">
        <f>F784/Tabla2[[#This Row],[Cosecha Mensual]]</f>
        <v>9.6516111991547806</v>
      </c>
      <c r="I784">
        <f>H784*_xlfn.XLOOKUP(Tabla2[[#This Row],[Unidad de producción]],Tabla3[Medida],Tabla3[Equivalencia en Kg],"ELVIS",0)</f>
        <v>437.79708399366086</v>
      </c>
      <c r="J784">
        <v>278.39999999999998</v>
      </c>
      <c r="K784" t="s">
        <v>18</v>
      </c>
      <c r="L784">
        <f>J784/_xlfn.XLOOKUP(Tabla2[[#This Row],[Unidad de precio]],Tabla3[Medida],Tabla3[Equivalencia en Kg],"ELVIS",0)</f>
        <v>6.1375661375661368</v>
      </c>
      <c r="M784">
        <v>2092.86</v>
      </c>
      <c r="N784" s="2">
        <f>(Tabla2[[#This Row],[Productividad (kg/TAS)]]*Tabla2[[#This Row],[Precio por kg]]-Tabla2[[#This Row],[Costos (En RD$/Tarea)]])</f>
        <v>594.14855784469046</v>
      </c>
      <c r="O784" s="6">
        <f>IF(Tabla2[[#This Row],[Costos (En RD$/Tarea)]]=0,0,Tabla2[[#This Row],[Beneficio Neto  (En RD$/Tarea)]]/Tabla2[[#This Row],[Costos (En RD$/Tarea)]])</f>
        <v>0.28389312130036909</v>
      </c>
      <c r="P784" s="4">
        <f>Tabla2[[#This Row],[Rentabilidad (%)]]/12</f>
        <v>2.3657760108364092E-2</v>
      </c>
    </row>
    <row r="785" spans="1:16" x14ac:dyDescent="0.35">
      <c r="A785" s="1">
        <v>38504</v>
      </c>
      <c r="B785" t="s">
        <v>22</v>
      </c>
      <c r="C785" s="2">
        <v>2733</v>
      </c>
      <c r="D785" s="5" t="s">
        <v>17</v>
      </c>
      <c r="E785" s="2">
        <f>IF(Tabla2[[#This Row],[Frecuencia]]="Annual", Tabla2[[#This Row],[Cosecha/Tarea]]/12,Tabla2[[#This Row],[Cosecha/Tarea]])</f>
        <v>2733</v>
      </c>
      <c r="F785" s="2">
        <v>24293</v>
      </c>
      <c r="G785" t="s">
        <v>18</v>
      </c>
      <c r="H785">
        <f>F785/Tabla2[[#This Row],[Cosecha Mensual]]</f>
        <v>8.8887669227954635</v>
      </c>
      <c r="I785">
        <f>H785*_xlfn.XLOOKUP(Tabla2[[#This Row],[Unidad de producción]],Tabla3[Medida],Tabla3[Equivalencia en Kg],"ELVIS",0)</f>
        <v>403.19446761800219</v>
      </c>
      <c r="J785">
        <v>780.5</v>
      </c>
      <c r="K785" t="s">
        <v>18</v>
      </c>
      <c r="L785">
        <f>J785/_xlfn.XLOOKUP(Tabla2[[#This Row],[Unidad de precio]],Tabla3[Medida],Tabla3[Equivalencia en Kg],"ELVIS",0)</f>
        <v>17.206790123456791</v>
      </c>
      <c r="M785">
        <v>5853.83</v>
      </c>
      <c r="N785" s="2">
        <f>(Tabla2[[#This Row],[Productividad (kg/TAS)]]*Tabla2[[#This Row],[Precio por kg]]-Tabla2[[#This Row],[Costos (En RD$/Tarea)]])</f>
        <v>1083.8525832418591</v>
      </c>
      <c r="O785" s="6">
        <f>IF(Tabla2[[#This Row],[Costos (En RD$/Tarea)]]=0,0,Tabla2[[#This Row],[Beneficio Neto  (En RD$/Tarea)]]/Tabla2[[#This Row],[Costos (En RD$/Tarea)]])</f>
        <v>0.1851527262052125</v>
      </c>
      <c r="P785" s="4">
        <f>Tabla2[[#This Row],[Rentabilidad (%)]]/12</f>
        <v>1.5429393850434375E-2</v>
      </c>
    </row>
    <row r="786" spans="1:16" x14ac:dyDescent="0.35">
      <c r="A786" s="1">
        <v>38504</v>
      </c>
      <c r="B786" t="s">
        <v>23</v>
      </c>
      <c r="C786" s="2">
        <v>2193</v>
      </c>
      <c r="D786" s="5" t="s">
        <v>17</v>
      </c>
      <c r="E786" s="2">
        <f>IF(Tabla2[[#This Row],[Frecuencia]]="Annual", Tabla2[[#This Row],[Cosecha/Tarea]]/12,Tabla2[[#This Row],[Cosecha/Tarea]])</f>
        <v>2193</v>
      </c>
      <c r="F786" s="2">
        <v>70535</v>
      </c>
      <c r="G786" t="s">
        <v>18</v>
      </c>
      <c r="H786">
        <f>F786/Tabla2[[#This Row],[Cosecha Mensual]]</f>
        <v>32.163702690378479</v>
      </c>
      <c r="I786">
        <f>H786*_xlfn.XLOOKUP(Tabla2[[#This Row],[Unidad de producción]],Tabla3[Medida],Tabla3[Equivalencia en Kg],"ELVIS",0)</f>
        <v>1458.9455540355677</v>
      </c>
      <c r="J786">
        <v>480</v>
      </c>
      <c r="K786" t="s">
        <v>18</v>
      </c>
      <c r="L786">
        <f>J786/_xlfn.XLOOKUP(Tabla2[[#This Row],[Unidad de precio]],Tabla3[Medida],Tabla3[Equivalencia en Kg],"ELVIS",0)</f>
        <v>10.582010582010582</v>
      </c>
      <c r="M786">
        <v>10163.530000000001</v>
      </c>
      <c r="N786" s="2">
        <f>(Tabla2[[#This Row],[Productividad (kg/TAS)]]*Tabla2[[#This Row],[Precio por kg]]-Tabla2[[#This Row],[Costos (En RD$/Tarea)]])</f>
        <v>5275.0472913816684</v>
      </c>
      <c r="O786" s="6">
        <f>IF(Tabla2[[#This Row],[Costos (En RD$/Tarea)]]=0,0,Tabla2[[#This Row],[Beneficio Neto  (En RD$/Tarea)]]/Tabla2[[#This Row],[Costos (En RD$/Tarea)]])</f>
        <v>0.51901724020902851</v>
      </c>
      <c r="P786" s="4">
        <f>Tabla2[[#This Row],[Rentabilidad (%)]]/12</f>
        <v>4.3251436684085709E-2</v>
      </c>
    </row>
    <row r="787" spans="1:16" x14ac:dyDescent="0.35">
      <c r="A787" s="1">
        <v>38504</v>
      </c>
      <c r="B787" t="s">
        <v>24</v>
      </c>
      <c r="C787" s="2">
        <v>5643</v>
      </c>
      <c r="D787" s="5" t="s">
        <v>17</v>
      </c>
      <c r="E787" s="2">
        <f>IF(Tabla2[[#This Row],[Frecuencia]]="Annual", Tabla2[[#This Row],[Cosecha/Tarea]]/12,Tabla2[[#This Row],[Cosecha/Tarea]])</f>
        <v>5643</v>
      </c>
      <c r="F787" s="2">
        <v>40060</v>
      </c>
      <c r="G787" t="s">
        <v>18</v>
      </c>
      <c r="H787">
        <f>F787/Tabla2[[#This Row],[Cosecha Mensual]]</f>
        <v>7.0990607832713097</v>
      </c>
      <c r="I787">
        <f>H787*_xlfn.XLOOKUP(Tabla2[[#This Row],[Unidad de producción]],Tabla3[Medida],Tabla3[Equivalencia en Kg],"ELVIS",0)</f>
        <v>322.01339712918661</v>
      </c>
      <c r="J787">
        <v>992.1875</v>
      </c>
      <c r="K787" t="s">
        <v>18</v>
      </c>
      <c r="L787">
        <f>J787/_xlfn.XLOOKUP(Tabla2[[#This Row],[Unidad de precio]],Tabla3[Medida],Tabla3[Equivalencia en Kg],"ELVIS",0)</f>
        <v>21.873622134038801</v>
      </c>
      <c r="M787">
        <v>4680.83</v>
      </c>
      <c r="N787" s="2">
        <f>(Tabla2[[#This Row],[Productividad (kg/TAS)]]*Tabla2[[#This Row],[Precio por kg]]-Tabla2[[#This Row],[Costos (En RD$/Tarea)]])</f>
        <v>2362.7693709020032</v>
      </c>
      <c r="O787" s="6">
        <f>IF(Tabla2[[#This Row],[Costos (En RD$/Tarea)]]=0,0,Tabla2[[#This Row],[Beneficio Neto  (En RD$/Tarea)]]/Tabla2[[#This Row],[Costos (En RD$/Tarea)]])</f>
        <v>0.50477572800165849</v>
      </c>
      <c r="P787" s="4">
        <f>Tabla2[[#This Row],[Rentabilidad (%)]]/12</f>
        <v>4.2064644000138207E-2</v>
      </c>
    </row>
    <row r="788" spans="1:16" x14ac:dyDescent="0.35">
      <c r="A788" s="1">
        <v>38504</v>
      </c>
      <c r="B788" t="s">
        <v>25</v>
      </c>
      <c r="C788" s="2">
        <v>13074</v>
      </c>
      <c r="D788" s="5" t="s">
        <v>17</v>
      </c>
      <c r="E788" s="2">
        <f>IF(Tabla2[[#This Row],[Frecuencia]]="Annual", Tabla2[[#This Row],[Cosecha/Tarea]]/12,Tabla2[[#This Row],[Cosecha/Tarea]])</f>
        <v>13074</v>
      </c>
      <c r="F788" s="2">
        <v>114138</v>
      </c>
      <c r="G788" t="s">
        <v>18</v>
      </c>
      <c r="H788">
        <f>F788/Tabla2[[#This Row],[Cosecha Mensual]]</f>
        <v>8.7301514456172562</v>
      </c>
      <c r="I788">
        <f>H788*_xlfn.XLOOKUP(Tabla2[[#This Row],[Unidad de producción]],Tabla3[Medida],Tabla3[Equivalencia en Kg],"ELVIS",0)</f>
        <v>395.99966957319873</v>
      </c>
      <c r="J788">
        <v>706.50444444444395</v>
      </c>
      <c r="K788" t="s">
        <v>18</v>
      </c>
      <c r="L788">
        <f>J788/_xlfn.XLOOKUP(Tabla2[[#This Row],[Unidad de precio]],Tabla3[Medida],Tabla3[Equivalencia en Kg],"ELVIS",0)</f>
        <v>15.575494806976277</v>
      </c>
      <c r="M788">
        <v>2314.2150000000001</v>
      </c>
      <c r="N788" s="2">
        <f>(Tabla2[[#This Row],[Productividad (kg/TAS)]]*Tabla2[[#This Row],[Precio por kg]]-Tabla2[[#This Row],[Costos (En RD$/Tarea)]])</f>
        <v>3853.6757970016779</v>
      </c>
      <c r="O788" s="6">
        <f>IF(Tabla2[[#This Row],[Costos (En RD$/Tarea)]]=0,0,Tabla2[[#This Row],[Beneficio Neto  (En RD$/Tarea)]]/Tabla2[[#This Row],[Costos (En RD$/Tarea)]])</f>
        <v>1.6652194359649719</v>
      </c>
      <c r="P788" s="4">
        <f>Tabla2[[#This Row],[Rentabilidad (%)]]/12</f>
        <v>0.13876828633041433</v>
      </c>
    </row>
    <row r="789" spans="1:16" x14ac:dyDescent="0.35">
      <c r="A789" s="1">
        <v>38504</v>
      </c>
      <c r="B789" t="s">
        <v>26</v>
      </c>
      <c r="C789" s="2">
        <v>5643</v>
      </c>
      <c r="D789" s="5" t="s">
        <v>17</v>
      </c>
      <c r="E789" s="2">
        <f>IF(Tabla2[[#This Row],[Frecuencia]]="Annual", Tabla2[[#This Row],[Cosecha/Tarea]]/12,Tabla2[[#This Row],[Cosecha/Tarea]])</f>
        <v>5643</v>
      </c>
      <c r="F789" s="2">
        <v>43096</v>
      </c>
      <c r="G789" t="s">
        <v>18</v>
      </c>
      <c r="H789">
        <f>F789/Tabla2[[#This Row],[Cosecha Mensual]]</f>
        <v>7.6370724791777427</v>
      </c>
      <c r="I789">
        <f>H789*_xlfn.XLOOKUP(Tabla2[[#This Row],[Unidad de producción]],Tabla3[Medida],Tabla3[Equivalencia en Kg],"ELVIS",0)</f>
        <v>346.41760765550242</v>
      </c>
      <c r="J789">
        <v>538.25</v>
      </c>
      <c r="K789" t="s">
        <v>18</v>
      </c>
      <c r="L789">
        <f>J789/_xlfn.XLOOKUP(Tabla2[[#This Row],[Unidad de precio]],Tabla3[Medida],Tabla3[Equivalencia en Kg],"ELVIS",0)</f>
        <v>11.866181657848324</v>
      </c>
      <c r="M789">
        <v>906.4</v>
      </c>
      <c r="N789" s="2">
        <f>(Tabla2[[#This Row],[Productividad (kg/TAS)]]*Tabla2[[#This Row],[Precio por kg]]-Tabla2[[#This Row],[Costos (En RD$/Tarea)]])</f>
        <v>3204.2542619174196</v>
      </c>
      <c r="O789" s="6">
        <f>IF(Tabla2[[#This Row],[Costos (En RD$/Tarea)]]=0,0,Tabla2[[#This Row],[Beneficio Neto  (En RD$/Tarea)]]/Tabla2[[#This Row],[Costos (En RD$/Tarea)]])</f>
        <v>3.535143713501125</v>
      </c>
      <c r="P789" s="4">
        <f>Tabla2[[#This Row],[Rentabilidad (%)]]/12</f>
        <v>0.2945953094584271</v>
      </c>
    </row>
    <row r="790" spans="1:16" x14ac:dyDescent="0.35">
      <c r="A790" s="1">
        <v>38504</v>
      </c>
      <c r="B790" t="s">
        <v>27</v>
      </c>
      <c r="C790" s="2">
        <v>4165</v>
      </c>
      <c r="D790" s="5" t="s">
        <v>17</v>
      </c>
      <c r="E790" s="2">
        <f>IF(Tabla2[[#This Row],[Frecuencia]]="Annual", Tabla2[[#This Row],[Cosecha/Tarea]]/12,Tabla2[[#This Row],[Cosecha/Tarea]])</f>
        <v>4165</v>
      </c>
      <c r="F790" s="2">
        <v>32167</v>
      </c>
      <c r="G790" t="s">
        <v>18</v>
      </c>
      <c r="H790">
        <f>F790/Tabla2[[#This Row],[Cosecha Mensual]]</f>
        <v>7.7231692677070827</v>
      </c>
      <c r="I790">
        <f>H790*_xlfn.XLOOKUP(Tabla2[[#This Row],[Unidad de producción]],Tabla3[Medida],Tabla3[Equivalencia en Kg],"ELVIS",0)</f>
        <v>350.32295798319325</v>
      </c>
      <c r="J790">
        <v>293.46899999999999</v>
      </c>
      <c r="K790" t="s">
        <v>18</v>
      </c>
      <c r="L790">
        <f>J790/_xlfn.XLOOKUP(Tabla2[[#This Row],[Unidad de precio]],Tabla3[Medida],Tabla3[Equivalencia en Kg],"ELVIS",0)</f>
        <v>6.4697751322751325</v>
      </c>
      <c r="M790">
        <v>5157.3900000000003</v>
      </c>
      <c r="N790" s="2">
        <f>(Tabla2[[#This Row],[Productividad (kg/TAS)]]*Tabla2[[#This Row],[Precio por kg]]-Tabla2[[#This Row],[Costos (En RD$/Tarea)]])</f>
        <v>-2890.8792381752705</v>
      </c>
      <c r="O790" s="6">
        <f>IF(Tabla2[[#This Row],[Costos (En RD$/Tarea)]]=0,0,Tabla2[[#This Row],[Beneficio Neto  (En RD$/Tarea)]]/Tabla2[[#This Row],[Costos (En RD$/Tarea)]])</f>
        <v>-0.56053143899826663</v>
      </c>
      <c r="P790" s="4">
        <f>Tabla2[[#This Row],[Rentabilidad (%)]]/12</f>
        <v>-4.6710953249855552E-2</v>
      </c>
    </row>
    <row r="791" spans="1:16" x14ac:dyDescent="0.35">
      <c r="A791" s="1">
        <v>38504</v>
      </c>
      <c r="B791" t="s">
        <v>28</v>
      </c>
      <c r="C791" s="2">
        <v>8297</v>
      </c>
      <c r="D791" s="5" t="s">
        <v>17</v>
      </c>
      <c r="E791" s="2">
        <f>IF(Tabla2[[#This Row],[Frecuencia]]="Annual", Tabla2[[#This Row],[Cosecha/Tarea]]/12,Tabla2[[#This Row],[Cosecha/Tarea]])</f>
        <v>8297</v>
      </c>
      <c r="F791" s="2">
        <v>12257</v>
      </c>
      <c r="G791" t="s">
        <v>29</v>
      </c>
      <c r="H791">
        <f>F791/Tabla2[[#This Row],[Cosecha Mensual]]</f>
        <v>1.4772809449198505</v>
      </c>
      <c r="I791">
        <f>H791*_xlfn.XLOOKUP(Tabla2[[#This Row],[Unidad de producción]],Tabla3[Medida],Tabla3[Equivalencia en Kg],"ELVIS",0)</f>
        <v>830.73416656622874</v>
      </c>
      <c r="J791">
        <v>2500</v>
      </c>
      <c r="K791" t="s">
        <v>29</v>
      </c>
      <c r="L791">
        <f>J791/_xlfn.XLOOKUP(Tabla2[[#This Row],[Unidad de precio]],Tabla3[Medida],Tabla3[Equivalencia en Kg],"ELVIS",0)</f>
        <v>4.4457090016715863</v>
      </c>
      <c r="M791">
        <v>9027.66</v>
      </c>
      <c r="N791" s="2">
        <f>(Tabla2[[#This Row],[Productividad (kg/TAS)]]*Tabla2[[#This Row],[Precio por kg]]-Tabla2[[#This Row],[Costos (En RD$/Tarea)]])</f>
        <v>-5334.4576377003741</v>
      </c>
      <c r="O791" s="6">
        <f>IF(Tabla2[[#This Row],[Costos (En RD$/Tarea)]]=0,0,Tabla2[[#This Row],[Beneficio Neto  (En RD$/Tarea)]]/Tabla2[[#This Row],[Costos (En RD$/Tarea)]])</f>
        <v>-0.59090147809070948</v>
      </c>
      <c r="P791" s="4">
        <f>Tabla2[[#This Row],[Rentabilidad (%)]]/12</f>
        <v>-4.9241789840892454E-2</v>
      </c>
    </row>
    <row r="792" spans="1:16" x14ac:dyDescent="0.35">
      <c r="A792" s="1">
        <v>38504</v>
      </c>
      <c r="B792" t="s">
        <v>30</v>
      </c>
      <c r="C792" s="2">
        <v>283440</v>
      </c>
      <c r="D792" s="2" t="s">
        <v>31</v>
      </c>
      <c r="E792" s="2">
        <f>IF(Tabla2[[#This Row],[Frecuencia]]="Annual", Tabla2[[#This Row],[Cosecha/Tarea]]/12,Tabla2[[#This Row],[Cosecha/Tarea]])</f>
        <v>23620</v>
      </c>
      <c r="F792" s="2">
        <v>1862951</v>
      </c>
      <c r="G792" t="s">
        <v>32</v>
      </c>
      <c r="H792">
        <f>F792/Tabla2[[#This Row],[Cosecha Mensual]]</f>
        <v>78.871761219305668</v>
      </c>
      <c r="I792">
        <f>H792*_xlfn.XLOOKUP(Tabla2[[#This Row],[Unidad de producción]],Tabla3[Medida],Tabla3[Equivalencia en Kg],"ELVIS",0)</f>
        <v>2146.1006227773073</v>
      </c>
      <c r="J792">
        <v>63.665999999999997</v>
      </c>
      <c r="K792" t="s">
        <v>32</v>
      </c>
      <c r="L792">
        <f>J792/_xlfn.XLOOKUP(Tabla2[[#This Row],[Unidad de precio]],Tabla3[Medida],Tabla3[Equivalencia en Kg],"ELVIS",0)</f>
        <v>2.3398015435501653</v>
      </c>
      <c r="M792" s="2">
        <v>7918.62</v>
      </c>
      <c r="N792" s="2">
        <f>(Tabla2[[#This Row],[Productividad (kg/TAS)]]*Tabla2[[#This Row],[Precio por kg]]-Tabla2[[#This Row],[Costos (En RD$/Tarea)]])</f>
        <v>-2897.1704502116854</v>
      </c>
      <c r="O792" s="6">
        <f>IF(Tabla2[[#This Row],[Costos (En RD$/Tarea)]]=0,0,Tabla2[[#This Row],[Beneficio Neto  (En RD$/Tarea)]]/Tabla2[[#This Row],[Costos (En RD$/Tarea)]])</f>
        <v>-0.36586809951881583</v>
      </c>
      <c r="P792" s="4">
        <f>Tabla2[[#This Row],[Rentabilidad (%)]]/12</f>
        <v>-3.0489008293234653E-2</v>
      </c>
    </row>
    <row r="793" spans="1:16" x14ac:dyDescent="0.35">
      <c r="A793" s="1">
        <v>38504</v>
      </c>
      <c r="B793" t="s">
        <v>33</v>
      </c>
      <c r="C793" s="2">
        <v>651849</v>
      </c>
      <c r="D793" s="2" t="s">
        <v>31</v>
      </c>
      <c r="E793" s="2">
        <f>IF(Tabla2[[#This Row],[Frecuencia]]="Annual", Tabla2[[#This Row],[Cosecha/Tarea]]/12,Tabla2[[#This Row],[Cosecha/Tarea]])</f>
        <v>54320.75</v>
      </c>
      <c r="F793" s="2">
        <v>156422</v>
      </c>
      <c r="G793" t="s">
        <v>34</v>
      </c>
      <c r="H793">
        <f>F793/Tabla2[[#This Row],[Cosecha Mensual]]</f>
        <v>2.8795994164292651</v>
      </c>
      <c r="I793">
        <f>H793*_xlfn.XLOOKUP(Tabla2[[#This Row],[Unidad de producción]],Tabla3[Medida],Tabla3[Equivalencia en Kg],"ELVIS",0)</f>
        <v>1175.3085018156046</v>
      </c>
      <c r="J793">
        <v>2222.3966666666702</v>
      </c>
      <c r="K793" t="s">
        <v>34</v>
      </c>
      <c r="L793">
        <f>J793/_xlfn.XLOOKUP(Tabla2[[#This Row],[Unidad de precio]],Tabla3[Medida],Tabla3[Equivalencia en Kg],"ELVIS",0)</f>
        <v>5.4450487974192585</v>
      </c>
      <c r="M793" s="2">
        <v>9928.24</v>
      </c>
      <c r="N793" s="2">
        <f>(Tabla2[[#This Row],[Productividad (kg/TAS)]]*Tabla2[[#This Row],[Precio por kg]]-Tabla2[[#This Row],[Costos (En RD$/Tarea)]])</f>
        <v>-3528.6278555923118</v>
      </c>
      <c r="O793" s="6">
        <f>IF(Tabla2[[#This Row],[Costos (En RD$/Tarea)]]=0,0,Tabla2[[#This Row],[Beneficio Neto  (En RD$/Tarea)]]/Tabla2[[#This Row],[Costos (En RD$/Tarea)]])</f>
        <v>-0.35541323090419974</v>
      </c>
      <c r="P793" s="4">
        <f>Tabla2[[#This Row],[Rentabilidad (%)]]/12</f>
        <v>-2.9617769242016645E-2</v>
      </c>
    </row>
    <row r="794" spans="1:16" x14ac:dyDescent="0.35">
      <c r="A794" s="1">
        <v>38534</v>
      </c>
      <c r="B794" t="s">
        <v>16</v>
      </c>
      <c r="C794" s="2">
        <v>469194</v>
      </c>
      <c r="D794" s="5" t="s">
        <v>17</v>
      </c>
      <c r="E794" s="2">
        <f>IF(Tabla2[[#This Row],[Frecuencia]]="Annual", Tabla2[[#This Row],[Cosecha/Tarea]]/12,Tabla2[[#This Row],[Cosecha/Tarea]])</f>
        <v>469194</v>
      </c>
      <c r="F794" s="2">
        <v>2272554</v>
      </c>
      <c r="G794" t="s">
        <v>18</v>
      </c>
      <c r="H794">
        <f>F794/Tabla2[[#This Row],[Cosecha Mensual]]</f>
        <v>4.8435274108364554</v>
      </c>
      <c r="I794">
        <f>H794*_xlfn.XLOOKUP(Tabla2[[#This Row],[Unidad de producción]],Tabla3[Medida],Tabla3[Equivalencia en Kg],"ELVIS",0)</f>
        <v>219.70240335554161</v>
      </c>
      <c r="J794">
        <v>988.846</v>
      </c>
      <c r="K794" t="s">
        <v>19</v>
      </c>
      <c r="L794">
        <f>J794/_xlfn.XLOOKUP(Tabla2[[#This Row],[Unidad de precio]],Tabla3[Medida],Tabla3[Equivalencia en Kg],"ELVIS",0)</f>
        <v>8.9895090909090918</v>
      </c>
      <c r="M794">
        <v>4807.32</v>
      </c>
      <c r="N794" s="2">
        <f>(Tabla2[[#This Row],[Productividad (kg/TAS)]]*Tabla2[[#This Row],[Precio por kg]]-Tabla2[[#This Row],[Costos (En RD$/Tarea)]])</f>
        <v>-2832.3032477407824</v>
      </c>
      <c r="O794" s="6">
        <f>IF(Tabla2[[#This Row],[Costos (En RD$/Tarea)]]=0,0,Tabla2[[#This Row],[Beneficio Neto  (En RD$/Tarea)]]/Tabla2[[#This Row],[Costos (En RD$/Tarea)]])</f>
        <v>-0.58916470044448521</v>
      </c>
      <c r="P794" s="4">
        <f>Tabla2[[#This Row],[Rentabilidad (%)]]/12</f>
        <v>-4.9097058370373765E-2</v>
      </c>
    </row>
    <row r="795" spans="1:16" x14ac:dyDescent="0.35">
      <c r="A795" s="1">
        <v>38534</v>
      </c>
      <c r="B795" t="s">
        <v>20</v>
      </c>
      <c r="C795" s="2">
        <v>23847</v>
      </c>
      <c r="D795" s="5" t="s">
        <v>17</v>
      </c>
      <c r="E795" s="2">
        <f>IF(Tabla2[[#This Row],[Frecuencia]]="Annual", Tabla2[[#This Row],[Cosecha/Tarea]]/12,Tabla2[[#This Row],[Cosecha/Tarea]])</f>
        <v>23847</v>
      </c>
      <c r="F795" s="2">
        <v>52659</v>
      </c>
      <c r="G795" t="s">
        <v>18</v>
      </c>
      <c r="H795">
        <f>F795/Tabla2[[#This Row],[Cosecha Mensual]]</f>
        <v>2.2082022895961755</v>
      </c>
      <c r="I795">
        <f>H795*_xlfn.XLOOKUP(Tabla2[[#This Row],[Unidad de producción]],Tabla3[Medida],Tabla3[Equivalencia en Kg],"ELVIS",0)</f>
        <v>100.16405585608251</v>
      </c>
      <c r="J795">
        <v>386.65649999999999</v>
      </c>
      <c r="K795" t="s">
        <v>18</v>
      </c>
      <c r="L795">
        <f>J795/_xlfn.XLOOKUP(Tabla2[[#This Row],[Unidad de precio]],Tabla3[Medida],Tabla3[Equivalencia en Kg],"ELVIS",0)</f>
        <v>8.5241732804232804</v>
      </c>
      <c r="M795">
        <v>1327.7</v>
      </c>
      <c r="N795" s="2">
        <f>(Tabla2[[#This Row],[Productividad (kg/TAS)]]*Tabla2[[#This Row],[Precio por kg]]-Tabla2[[#This Row],[Costos (En RD$/Tarea)]])</f>
        <v>-473.88423141275644</v>
      </c>
      <c r="O795" s="6">
        <f>IF(Tabla2[[#This Row],[Costos (En RD$/Tarea)]]=0,0,Tabla2[[#This Row],[Beneficio Neto  (En RD$/Tarea)]]/Tabla2[[#This Row],[Costos (En RD$/Tarea)]])</f>
        <v>-0.35692116548373609</v>
      </c>
      <c r="P795" s="4">
        <f>Tabla2[[#This Row],[Rentabilidad (%)]]/12</f>
        <v>-2.9743430456978009E-2</v>
      </c>
    </row>
    <row r="796" spans="1:16" x14ac:dyDescent="0.35">
      <c r="A796" s="1">
        <v>38534</v>
      </c>
      <c r="B796" t="s">
        <v>21</v>
      </c>
      <c r="C796" s="2">
        <v>7297</v>
      </c>
      <c r="D796" s="5" t="s">
        <v>17</v>
      </c>
      <c r="E796" s="2">
        <f>IF(Tabla2[[#This Row],[Frecuencia]]="Annual", Tabla2[[#This Row],[Cosecha/Tarea]]/12,Tabla2[[#This Row],[Cosecha/Tarea]])</f>
        <v>7297</v>
      </c>
      <c r="F796" s="2">
        <v>72733</v>
      </c>
      <c r="G796" t="s">
        <v>18</v>
      </c>
      <c r="H796">
        <f>F796/Tabla2[[#This Row],[Cosecha Mensual]]</f>
        <v>9.967520898999588</v>
      </c>
      <c r="I796">
        <f>H796*_xlfn.XLOOKUP(Tabla2[[#This Row],[Unidad de producción]],Tabla3[Medida],Tabla3[Equivalencia en Kg],"ELVIS",0)</f>
        <v>452.12674797862132</v>
      </c>
      <c r="J796">
        <v>284.12099999999998</v>
      </c>
      <c r="K796" t="s">
        <v>18</v>
      </c>
      <c r="L796">
        <f>J796/_xlfn.XLOOKUP(Tabla2[[#This Row],[Unidad de precio]],Tabla3[Medida],Tabla3[Equivalencia en Kg],"ELVIS",0)</f>
        <v>6.2636904761904759</v>
      </c>
      <c r="M796">
        <v>2092.86</v>
      </c>
      <c r="N796" s="2">
        <f>(Tabla2[[#This Row],[Productividad (kg/TAS)]]*Tabla2[[#This Row],[Precio por kg]]-Tabla2[[#This Row],[Costos (En RD$/Tarea)]])</f>
        <v>739.12200534466183</v>
      </c>
      <c r="O796" s="6">
        <f>IF(Tabla2[[#This Row],[Costos (En RD$/Tarea)]]=0,0,Tabla2[[#This Row],[Beneficio Neto  (En RD$/Tarea)]]/Tabla2[[#This Row],[Costos (En RD$/Tarea)]])</f>
        <v>0.35316361598227392</v>
      </c>
      <c r="P796" s="4">
        <f>Tabla2[[#This Row],[Rentabilidad (%)]]/12</f>
        <v>2.943030133185616E-2</v>
      </c>
    </row>
    <row r="797" spans="1:16" x14ac:dyDescent="0.35">
      <c r="A797" s="1">
        <v>38534</v>
      </c>
      <c r="B797" t="s">
        <v>22</v>
      </c>
      <c r="C797" s="2">
        <v>1877</v>
      </c>
      <c r="D797" s="5" t="s">
        <v>17</v>
      </c>
      <c r="E797" s="2">
        <f>IF(Tabla2[[#This Row],[Frecuencia]]="Annual", Tabla2[[#This Row],[Cosecha/Tarea]]/12,Tabla2[[#This Row],[Cosecha/Tarea]])</f>
        <v>1877</v>
      </c>
      <c r="F797" s="2">
        <v>17141</v>
      </c>
      <c r="G797" t="s">
        <v>18</v>
      </c>
      <c r="H797">
        <f>F797/Tabla2[[#This Row],[Cosecha Mensual]]</f>
        <v>9.1321257325519447</v>
      </c>
      <c r="I797">
        <f>H797*_xlfn.XLOOKUP(Tabla2[[#This Row],[Unidad de producción]],Tabla3[Medida],Tabla3[Equivalencia en Kg],"ELVIS",0)</f>
        <v>414.2332232285562</v>
      </c>
      <c r="J797">
        <v>820</v>
      </c>
      <c r="K797" t="s">
        <v>18</v>
      </c>
      <c r="L797">
        <f>J797/_xlfn.XLOOKUP(Tabla2[[#This Row],[Unidad de precio]],Tabla3[Medida],Tabla3[Equivalencia en Kg],"ELVIS",0)</f>
        <v>18.077601410934744</v>
      </c>
      <c r="M797">
        <v>5853.83</v>
      </c>
      <c r="N797" s="2">
        <f>(Tabla2[[#This Row],[Productividad (kg/TAS)]]*Tabla2[[#This Row],[Precio por kg]]-Tabla2[[#This Row],[Costos (En RD$/Tarea)]])</f>
        <v>1634.513100692594</v>
      </c>
      <c r="O797" s="6">
        <f>IF(Tabla2[[#This Row],[Costos (En RD$/Tarea)]]=0,0,Tabla2[[#This Row],[Beneficio Neto  (En RD$/Tarea)]]/Tabla2[[#This Row],[Costos (En RD$/Tarea)]])</f>
        <v>0.27922114251568531</v>
      </c>
      <c r="P797" s="4">
        <f>Tabla2[[#This Row],[Rentabilidad (%)]]/12</f>
        <v>2.3268428542973774E-2</v>
      </c>
    </row>
    <row r="798" spans="1:16" x14ac:dyDescent="0.35">
      <c r="A798" s="1">
        <v>38534</v>
      </c>
      <c r="B798" t="s">
        <v>23</v>
      </c>
      <c r="C798" s="2">
        <v>2380</v>
      </c>
      <c r="D798" s="5" t="s">
        <v>17</v>
      </c>
      <c r="E798" s="2">
        <f>IF(Tabla2[[#This Row],[Frecuencia]]="Annual", Tabla2[[#This Row],[Cosecha/Tarea]]/12,Tabla2[[#This Row],[Cosecha/Tarea]])</f>
        <v>2380</v>
      </c>
      <c r="F798" s="2">
        <v>72465</v>
      </c>
      <c r="G798" t="s">
        <v>18</v>
      </c>
      <c r="H798">
        <f>F798/Tabla2[[#This Row],[Cosecha Mensual]]</f>
        <v>30.44747899159664</v>
      </c>
      <c r="I798">
        <f>H798*_xlfn.XLOOKUP(Tabla2[[#This Row],[Unidad de producción]],Tabla3[Medida],Tabla3[Equivalencia en Kg],"ELVIS",0)</f>
        <v>1381.0976470588237</v>
      </c>
      <c r="J798">
        <v>569.04166666666697</v>
      </c>
      <c r="K798" t="s">
        <v>18</v>
      </c>
      <c r="L798">
        <f>J798/_xlfn.XLOOKUP(Tabla2[[#This Row],[Unidad de precio]],Tabla3[Medida],Tabla3[Equivalencia en Kg],"ELVIS",0)</f>
        <v>12.54501028806585</v>
      </c>
      <c r="M798">
        <v>10163.530000000001</v>
      </c>
      <c r="N798" s="2">
        <f>(Tabla2[[#This Row],[Productividad (kg/TAS)]]*Tabla2[[#This Row],[Precio por kg]]-Tabla2[[#This Row],[Costos (En RD$/Tarea)]])</f>
        <v>7162.3541911764787</v>
      </c>
      <c r="O798" s="6">
        <f>IF(Tabla2[[#This Row],[Costos (En RD$/Tarea)]]=0,0,Tabla2[[#This Row],[Beneficio Neto  (En RD$/Tarea)]]/Tabla2[[#This Row],[Costos (En RD$/Tarea)]])</f>
        <v>0.70471127562731439</v>
      </c>
      <c r="P798" s="4">
        <f>Tabla2[[#This Row],[Rentabilidad (%)]]/12</f>
        <v>5.8725939635609535E-2</v>
      </c>
    </row>
    <row r="799" spans="1:16" x14ac:dyDescent="0.35">
      <c r="A799" s="1">
        <v>38534</v>
      </c>
      <c r="B799" t="s">
        <v>24</v>
      </c>
      <c r="C799" s="2">
        <v>4964</v>
      </c>
      <c r="D799" s="5" t="s">
        <v>17</v>
      </c>
      <c r="E799" s="2">
        <f>IF(Tabla2[[#This Row],[Frecuencia]]="Annual", Tabla2[[#This Row],[Cosecha/Tarea]]/12,Tabla2[[#This Row],[Cosecha/Tarea]])</f>
        <v>4964</v>
      </c>
      <c r="F799" s="2">
        <v>45194</v>
      </c>
      <c r="G799" t="s">
        <v>18</v>
      </c>
      <c r="H799">
        <f>F799/Tabla2[[#This Row],[Cosecha Mensual]]</f>
        <v>9.1043513295729248</v>
      </c>
      <c r="I799">
        <f>H799*_xlfn.XLOOKUP(Tabla2[[#This Row],[Unidad de producción]],Tabla3[Medida],Tabla3[Equivalencia en Kg],"ELVIS",0)</f>
        <v>412.97337630942786</v>
      </c>
      <c r="J799">
        <v>790.5</v>
      </c>
      <c r="K799" t="s">
        <v>18</v>
      </c>
      <c r="L799">
        <f>J799/_xlfn.XLOOKUP(Tabla2[[#This Row],[Unidad de precio]],Tabla3[Medida],Tabla3[Equivalencia en Kg],"ELVIS",0)</f>
        <v>17.427248677248677</v>
      </c>
      <c r="M799">
        <v>4680.83</v>
      </c>
      <c r="N799" s="2">
        <f>(Tabla2[[#This Row],[Productividad (kg/TAS)]]*Tabla2[[#This Row],[Precio por kg]]-Tabla2[[#This Row],[Costos (En RD$/Tarea)]])</f>
        <v>2516.1597260273966</v>
      </c>
      <c r="O799" s="6">
        <f>IF(Tabla2[[#This Row],[Costos (En RD$/Tarea)]]=0,0,Tabla2[[#This Row],[Beneficio Neto  (En RD$/Tarea)]]/Tabla2[[#This Row],[Costos (En RD$/Tarea)]])</f>
        <v>0.53754563315211124</v>
      </c>
      <c r="P799" s="4">
        <f>Tabla2[[#This Row],[Rentabilidad (%)]]/12</f>
        <v>4.4795469429342601E-2</v>
      </c>
    </row>
    <row r="800" spans="1:16" x14ac:dyDescent="0.35">
      <c r="A800" s="1">
        <v>38534</v>
      </c>
      <c r="B800" t="s">
        <v>25</v>
      </c>
      <c r="C800" s="2">
        <v>15326</v>
      </c>
      <c r="D800" s="5" t="s">
        <v>17</v>
      </c>
      <c r="E800" s="2">
        <f>IF(Tabla2[[#This Row],[Frecuencia]]="Annual", Tabla2[[#This Row],[Cosecha/Tarea]]/12,Tabla2[[#This Row],[Cosecha/Tarea]])</f>
        <v>15326</v>
      </c>
      <c r="F800" s="2">
        <v>145279</v>
      </c>
      <c r="G800" t="s">
        <v>18</v>
      </c>
      <c r="H800">
        <f>F800/Tabla2[[#This Row],[Cosecha Mensual]]</f>
        <v>9.4792509461046581</v>
      </c>
      <c r="I800">
        <f>H800*_xlfn.XLOOKUP(Tabla2[[#This Row],[Unidad de producción]],Tabla3[Medida],Tabla3[Equivalencia en Kg],"ELVIS",0)</f>
        <v>429.97882291530726</v>
      </c>
      <c r="J800">
        <v>524.53499999999997</v>
      </c>
      <c r="K800" t="s">
        <v>18</v>
      </c>
      <c r="L800">
        <f>J800/_xlfn.XLOOKUP(Tabla2[[#This Row],[Unidad de precio]],Tabla3[Medida],Tabla3[Equivalencia en Kg],"ELVIS",0)</f>
        <v>11.563822751322752</v>
      </c>
      <c r="M800">
        <v>2314.2150000000001</v>
      </c>
      <c r="N800" s="2">
        <f>(Tabla2[[#This Row],[Productividad (kg/TAS)]]*Tabla2[[#This Row],[Precio por kg]]-Tabla2[[#This Row],[Costos (En RD$/Tarea)]])</f>
        <v>2657.9838950150061</v>
      </c>
      <c r="O800" s="6">
        <f>IF(Tabla2[[#This Row],[Costos (En RD$/Tarea)]]=0,0,Tabla2[[#This Row],[Beneficio Neto  (En RD$/Tarea)]]/Tabla2[[#This Row],[Costos (En RD$/Tarea)]])</f>
        <v>1.1485466540554814</v>
      </c>
      <c r="P800" s="4">
        <f>Tabla2[[#This Row],[Rentabilidad (%)]]/12</f>
        <v>9.5712221171290121E-2</v>
      </c>
    </row>
    <row r="801" spans="1:16" x14ac:dyDescent="0.35">
      <c r="A801" s="1">
        <v>38534</v>
      </c>
      <c r="B801" t="s">
        <v>26</v>
      </c>
      <c r="C801" s="2">
        <v>7234</v>
      </c>
      <c r="D801" s="5" t="s">
        <v>17</v>
      </c>
      <c r="E801" s="2">
        <f>IF(Tabla2[[#This Row],[Frecuencia]]="Annual", Tabla2[[#This Row],[Cosecha/Tarea]]/12,Tabla2[[#This Row],[Cosecha/Tarea]])</f>
        <v>7234</v>
      </c>
      <c r="F801" s="2">
        <v>35053</v>
      </c>
      <c r="G801" t="s">
        <v>18</v>
      </c>
      <c r="H801">
        <f>F801/Tabla2[[#This Row],[Cosecha Mensual]]</f>
        <v>4.8455902681780483</v>
      </c>
      <c r="I801">
        <f>H801*_xlfn.XLOOKUP(Tabla2[[#This Row],[Unidad de producción]],Tabla3[Medida],Tabla3[Equivalencia en Kg],"ELVIS",0)</f>
        <v>219.79597456455627</v>
      </c>
      <c r="J801">
        <v>734.01</v>
      </c>
      <c r="K801" t="s">
        <v>18</v>
      </c>
      <c r="L801">
        <f>J801/_xlfn.XLOOKUP(Tabla2[[#This Row],[Unidad de precio]],Tabla3[Medida],Tabla3[Equivalencia en Kg],"ELVIS",0)</f>
        <v>16.181878306878307</v>
      </c>
      <c r="M801">
        <v>906.4</v>
      </c>
      <c r="N801" s="2">
        <f>(Tabla2[[#This Row],[Productividad (kg/TAS)]]*Tabla2[[#This Row],[Precio por kg]]-Tabla2[[#This Row],[Costos (En RD$/Tarea)]])</f>
        <v>2650.3117127453693</v>
      </c>
      <c r="O801" s="6">
        <f>IF(Tabla2[[#This Row],[Costos (En RD$/Tarea)]]=0,0,Tabla2[[#This Row],[Beneficio Neto  (En RD$/Tarea)]]/Tabla2[[#This Row],[Costos (En RD$/Tarea)]])</f>
        <v>2.9239979178567621</v>
      </c>
      <c r="P801" s="4">
        <f>Tabla2[[#This Row],[Rentabilidad (%)]]/12</f>
        <v>0.24366649315473018</v>
      </c>
    </row>
    <row r="802" spans="1:16" x14ac:dyDescent="0.35">
      <c r="A802" s="1">
        <v>38534</v>
      </c>
      <c r="B802" t="s">
        <v>27</v>
      </c>
      <c r="C802" s="2">
        <v>4541</v>
      </c>
      <c r="D802" s="5" t="s">
        <v>17</v>
      </c>
      <c r="E802" s="2">
        <f>IF(Tabla2[[#This Row],[Frecuencia]]="Annual", Tabla2[[#This Row],[Cosecha/Tarea]]/12,Tabla2[[#This Row],[Cosecha/Tarea]])</f>
        <v>4541</v>
      </c>
      <c r="F802" s="2">
        <v>31487</v>
      </c>
      <c r="G802" t="s">
        <v>18</v>
      </c>
      <c r="H802">
        <f>F802/Tabla2[[#This Row],[Cosecha Mensual]]</f>
        <v>6.9339352565514201</v>
      </c>
      <c r="I802">
        <f>H802*_xlfn.XLOOKUP(Tabla2[[#This Row],[Unidad de producción]],Tabla3[Medida],Tabla3[Equivalencia en Kg],"ELVIS",0)</f>
        <v>314.5233032371724</v>
      </c>
      <c r="J802">
        <v>299.00959999999998</v>
      </c>
      <c r="K802" t="s">
        <v>18</v>
      </c>
      <c r="L802">
        <f>J802/_xlfn.XLOOKUP(Tabla2[[#This Row],[Unidad de precio]],Tabla3[Medida],Tabla3[Equivalencia en Kg],"ELVIS",0)</f>
        <v>6.5919223985890651</v>
      </c>
      <c r="M802">
        <v>5157.3900000000003</v>
      </c>
      <c r="N802" s="2">
        <f>(Tabla2[[#This Row],[Productividad (kg/TAS)]]*Tabla2[[#This Row],[Precio por kg]]-Tabla2[[#This Row],[Costos (En RD$/Tarea)]])</f>
        <v>-3084.0767925126629</v>
      </c>
      <c r="O802" s="6">
        <f>IF(Tabla2[[#This Row],[Costos (En RD$/Tarea)]]=0,0,Tabla2[[#This Row],[Beneficio Neto  (En RD$/Tarea)]]/Tabla2[[#This Row],[Costos (En RD$/Tarea)]])</f>
        <v>-0.59799177345763321</v>
      </c>
      <c r="P802" s="4">
        <f>Tabla2[[#This Row],[Rentabilidad (%)]]/12</f>
        <v>-4.9832647788136099E-2</v>
      </c>
    </row>
    <row r="803" spans="1:16" x14ac:dyDescent="0.35">
      <c r="A803" s="1">
        <v>38534</v>
      </c>
      <c r="B803" t="s">
        <v>28</v>
      </c>
      <c r="C803" s="2">
        <v>24119</v>
      </c>
      <c r="D803" s="5" t="s">
        <v>17</v>
      </c>
      <c r="E803" s="2">
        <f>IF(Tabla2[[#This Row],[Frecuencia]]="Annual", Tabla2[[#This Row],[Cosecha/Tarea]]/12,Tabla2[[#This Row],[Cosecha/Tarea]])</f>
        <v>24119</v>
      </c>
      <c r="F803" s="2">
        <v>11854</v>
      </c>
      <c r="G803" t="s">
        <v>29</v>
      </c>
      <c r="H803">
        <f>F803/Tabla2[[#This Row],[Cosecha Mensual]]</f>
        <v>0.49147974625813673</v>
      </c>
      <c r="I803">
        <f>H803*_xlfn.XLOOKUP(Tabla2[[#This Row],[Unidad de producción]],Tabla3[Medida],Tabla3[Equivalencia en Kg],"ELVIS",0)</f>
        <v>276.37872051080063</v>
      </c>
      <c r="J803">
        <v>1756.25</v>
      </c>
      <c r="K803" t="s">
        <v>29</v>
      </c>
      <c r="L803">
        <f>J803/_xlfn.XLOOKUP(Tabla2[[#This Row],[Unidad de precio]],Tabla3[Medida],Tabla3[Equivalencia en Kg],"ELVIS",0)</f>
        <v>3.1231105736742895</v>
      </c>
      <c r="M803">
        <v>9027.66</v>
      </c>
      <c r="N803" s="2">
        <f>(Tabla2[[#This Row],[Productividad (kg/TAS)]]*Tabla2[[#This Row],[Precio por kg]]-Tabla2[[#This Row],[Costos (En RD$/Tarea)]])</f>
        <v>-8164.4986956341472</v>
      </c>
      <c r="O803" s="6">
        <f>IF(Tabla2[[#This Row],[Costos (En RD$/Tarea)]]=0,0,Tabla2[[#This Row],[Beneficio Neto  (En RD$/Tarea)]]/Tabla2[[#This Row],[Costos (En RD$/Tarea)]])</f>
        <v>-0.90438703890422845</v>
      </c>
      <c r="P803" s="4">
        <f>Tabla2[[#This Row],[Rentabilidad (%)]]/12</f>
        <v>-7.5365586575352375E-2</v>
      </c>
    </row>
    <row r="804" spans="1:16" x14ac:dyDescent="0.35">
      <c r="A804" s="1">
        <v>38534</v>
      </c>
      <c r="B804" t="s">
        <v>30</v>
      </c>
      <c r="C804" s="2">
        <v>273065</v>
      </c>
      <c r="D804" s="2" t="s">
        <v>31</v>
      </c>
      <c r="E804" s="2">
        <f>IF(Tabla2[[#This Row],[Frecuencia]]="Annual", Tabla2[[#This Row],[Cosecha/Tarea]]/12,Tabla2[[#This Row],[Cosecha/Tarea]])</f>
        <v>22755.416666666668</v>
      </c>
      <c r="F804" s="2">
        <v>1833820</v>
      </c>
      <c r="G804" t="s">
        <v>32</v>
      </c>
      <c r="H804">
        <f>F804/Tabla2[[#This Row],[Cosecha Mensual]]</f>
        <v>80.588284840605709</v>
      </c>
      <c r="I804">
        <f>H804*_xlfn.XLOOKUP(Tabla2[[#This Row],[Unidad de producción]],Tabla3[Medida],Tabla3[Equivalencia en Kg],"ELVIS",0)</f>
        <v>2192.8072305128812</v>
      </c>
      <c r="J804">
        <v>73.653333333333293</v>
      </c>
      <c r="K804" t="s">
        <v>32</v>
      </c>
      <c r="L804">
        <f>J804/_xlfn.XLOOKUP(Tabla2[[#This Row],[Unidad de precio]],Tabla3[Medida],Tabla3[Equivalencia en Kg],"ELVIS",0)</f>
        <v>2.7068479725591068</v>
      </c>
      <c r="M804" s="2">
        <v>7918.62</v>
      </c>
      <c r="N804" s="2">
        <f>(Tabla2[[#This Row],[Productividad (kg/TAS)]]*Tabla2[[#This Row],[Precio por kg]]-Tabla2[[#This Row],[Costos (En RD$/Tarea)]])</f>
        <v>-1983.024193873257</v>
      </c>
      <c r="O804" s="6">
        <f>IF(Tabla2[[#This Row],[Costos (En RD$/Tarea)]]=0,0,Tabla2[[#This Row],[Beneficio Neto  (En RD$/Tarea)]]/Tabla2[[#This Row],[Costos (En RD$/Tarea)]])</f>
        <v>-0.25042547740303955</v>
      </c>
      <c r="P804" s="4">
        <f>Tabla2[[#This Row],[Rentabilidad (%)]]/12</f>
        <v>-2.0868789783586628E-2</v>
      </c>
    </row>
    <row r="805" spans="1:16" x14ac:dyDescent="0.35">
      <c r="A805" s="1">
        <v>38534</v>
      </c>
      <c r="B805" t="s">
        <v>33</v>
      </c>
      <c r="C805" s="2">
        <v>621507</v>
      </c>
      <c r="D805" s="2" t="s">
        <v>31</v>
      </c>
      <c r="E805" s="2">
        <f>IF(Tabla2[[#This Row],[Frecuencia]]="Annual", Tabla2[[#This Row],[Cosecha/Tarea]]/12,Tabla2[[#This Row],[Cosecha/Tarea]])</f>
        <v>51792.25</v>
      </c>
      <c r="F805" s="2">
        <v>159976</v>
      </c>
      <c r="G805" t="s">
        <v>34</v>
      </c>
      <c r="H805">
        <f>F805/Tabla2[[#This Row],[Cosecha Mensual]]</f>
        <v>3.0888018960365691</v>
      </c>
      <c r="I805">
        <f>H805*_xlfn.XLOOKUP(Tabla2[[#This Row],[Unidad de producción]],Tabla3[Medida],Tabla3[Equivalencia en Kg],"ELVIS",0)</f>
        <v>1260.6944938673255</v>
      </c>
      <c r="J805">
        <v>2350.8416666666699</v>
      </c>
      <c r="K805" t="s">
        <v>34</v>
      </c>
      <c r="L805">
        <f>J805/_xlfn.XLOOKUP(Tabla2[[#This Row],[Unidad de precio]],Tabla3[Medida],Tabla3[Equivalencia en Kg],"ELVIS",0)</f>
        <v>5.7597492751847854</v>
      </c>
      <c r="M805" s="2">
        <v>9928.24</v>
      </c>
      <c r="N805" s="2">
        <f>(Tabla2[[#This Row],[Productividad (kg/TAS)]]*Tabla2[[#This Row],[Precio por kg]]-Tabla2[[#This Row],[Costos (En RD$/Tarea)]])</f>
        <v>-2666.955802718222</v>
      </c>
      <c r="O805" s="6">
        <f>IF(Tabla2[[#This Row],[Costos (En RD$/Tarea)]]=0,0,Tabla2[[#This Row],[Beneficio Neto  (En RD$/Tarea)]]/Tabla2[[#This Row],[Costos (En RD$/Tarea)]])</f>
        <v>-0.2686232205021456</v>
      </c>
      <c r="P805" s="4">
        <f>Tabla2[[#This Row],[Rentabilidad (%)]]/12</f>
        <v>-2.2385268375178801E-2</v>
      </c>
    </row>
    <row r="806" spans="1:16" x14ac:dyDescent="0.35">
      <c r="A806" s="1">
        <v>38565</v>
      </c>
      <c r="B806" t="s">
        <v>16</v>
      </c>
      <c r="C806" s="2">
        <v>148608</v>
      </c>
      <c r="D806" s="5" t="s">
        <v>17</v>
      </c>
      <c r="E806" s="2">
        <f>IF(Tabla2[[#This Row],[Frecuencia]]="Annual", Tabla2[[#This Row],[Cosecha/Tarea]]/12,Tabla2[[#This Row],[Cosecha/Tarea]])</f>
        <v>148608</v>
      </c>
      <c r="F806" s="2">
        <v>625842</v>
      </c>
      <c r="G806" t="s">
        <v>18</v>
      </c>
      <c r="H806">
        <f>F806/Tabla2[[#This Row],[Cosecha Mensual]]</f>
        <v>4.211361434108527</v>
      </c>
      <c r="I806">
        <f>H806*_xlfn.XLOOKUP(Tabla2[[#This Row],[Unidad de producción]],Tabla3[Medida],Tabla3[Equivalencia en Kg],"ELVIS",0)</f>
        <v>191.0273546511628</v>
      </c>
      <c r="J806">
        <v>1185.625</v>
      </c>
      <c r="K806" t="s">
        <v>19</v>
      </c>
      <c r="L806">
        <f>J806/_xlfn.XLOOKUP(Tabla2[[#This Row],[Unidad de precio]],Tabla3[Medida],Tabla3[Equivalencia en Kg],"ELVIS",0)</f>
        <v>10.778409090909092</v>
      </c>
      <c r="M806">
        <v>4807.32</v>
      </c>
      <c r="N806" s="2">
        <f>(Tabla2[[#This Row],[Productividad (kg/TAS)]]*Tabla2[[#This Row],[Precio por kg]]-Tabla2[[#This Row],[Costos (En RD$/Tarea)]])</f>
        <v>-2748.3490240155916</v>
      </c>
      <c r="O806" s="6">
        <f>IF(Tabla2[[#This Row],[Costos (En RD$/Tarea)]]=0,0,Tabla2[[#This Row],[Beneficio Neto  (En RD$/Tarea)]]/Tabla2[[#This Row],[Costos (En RD$/Tarea)]])</f>
        <v>-0.57170086951057797</v>
      </c>
      <c r="P806" s="4">
        <f>Tabla2[[#This Row],[Rentabilidad (%)]]/12</f>
        <v>-4.7641739125881495E-2</v>
      </c>
    </row>
    <row r="807" spans="1:16" x14ac:dyDescent="0.35">
      <c r="A807" s="1">
        <v>38565</v>
      </c>
      <c r="B807" t="s">
        <v>20</v>
      </c>
      <c r="C807" s="2">
        <v>44706</v>
      </c>
      <c r="D807" s="5" t="s">
        <v>17</v>
      </c>
      <c r="E807" s="2">
        <f>IF(Tabla2[[#This Row],[Frecuencia]]="Annual", Tabla2[[#This Row],[Cosecha/Tarea]]/12,Tabla2[[#This Row],[Cosecha/Tarea]])</f>
        <v>44706</v>
      </c>
      <c r="F807" s="2">
        <v>90342</v>
      </c>
      <c r="G807" t="s">
        <v>18</v>
      </c>
      <c r="H807">
        <f>F807/Tabla2[[#This Row],[Cosecha Mensual]]</f>
        <v>2.0208025768353242</v>
      </c>
      <c r="I807">
        <f>H807*_xlfn.XLOOKUP(Tabla2[[#This Row],[Unidad de producción]],Tabla3[Medida],Tabla3[Equivalencia en Kg],"ELVIS",0)</f>
        <v>91.663604885250308</v>
      </c>
      <c r="J807">
        <v>297.01037500000001</v>
      </c>
      <c r="K807" t="s">
        <v>18</v>
      </c>
      <c r="L807">
        <f>J807/_xlfn.XLOOKUP(Tabla2[[#This Row],[Unidad de precio]],Tabla3[Medida],Tabla3[Equivalencia en Kg],"ELVIS",0)</f>
        <v>6.5478477733686073</v>
      </c>
      <c r="M807">
        <v>1327.7</v>
      </c>
      <c r="N807" s="2">
        <f>(Tabla2[[#This Row],[Productividad (kg/TAS)]]*Tabla2[[#This Row],[Precio por kg]]-Tabla2[[#This Row],[Costos (En RD$/Tarea)]])</f>
        <v>-727.50066885317403</v>
      </c>
      <c r="O807" s="6">
        <f>IF(Tabla2[[#This Row],[Costos (En RD$/Tarea)]]=0,0,Tabla2[[#This Row],[Beneficio Neto  (En RD$/Tarea)]]/Tabla2[[#This Row],[Costos (En RD$/Tarea)]])</f>
        <v>-0.54794055046559764</v>
      </c>
      <c r="P807" s="4">
        <f>Tabla2[[#This Row],[Rentabilidad (%)]]/12</f>
        <v>-4.5661712538799804E-2</v>
      </c>
    </row>
    <row r="808" spans="1:16" x14ac:dyDescent="0.35">
      <c r="A808" s="1">
        <v>38565</v>
      </c>
      <c r="B808" t="s">
        <v>21</v>
      </c>
      <c r="C808" s="2">
        <v>6633</v>
      </c>
      <c r="D808" s="5" t="s">
        <v>17</v>
      </c>
      <c r="E808" s="2">
        <f>IF(Tabla2[[#This Row],[Frecuencia]]="Annual", Tabla2[[#This Row],[Cosecha/Tarea]]/12,Tabla2[[#This Row],[Cosecha/Tarea]])</f>
        <v>6633</v>
      </c>
      <c r="F808" s="2">
        <v>59864</v>
      </c>
      <c r="G808" t="s">
        <v>18</v>
      </c>
      <c r="H808">
        <f>F808/Tabla2[[#This Row],[Cosecha Mensual]]</f>
        <v>9.0251771445801303</v>
      </c>
      <c r="I808">
        <f>H808*_xlfn.XLOOKUP(Tabla2[[#This Row],[Unidad de producción]],Tabla3[Medida],Tabla3[Equivalencia en Kg],"ELVIS",0)</f>
        <v>409.38203527815472</v>
      </c>
      <c r="J808">
        <v>375.41950000000003</v>
      </c>
      <c r="K808" t="s">
        <v>18</v>
      </c>
      <c r="L808">
        <f>J808/_xlfn.XLOOKUP(Tabla2[[#This Row],[Unidad de precio]],Tabla3[Medida],Tabla3[Equivalencia en Kg],"ELVIS",0)</f>
        <v>8.2764440035273381</v>
      </c>
      <c r="M808">
        <v>2092.86</v>
      </c>
      <c r="N808" s="2">
        <f>(Tabla2[[#This Row],[Productividad (kg/TAS)]]*Tabla2[[#This Row],[Precio por kg]]-Tabla2[[#This Row],[Costos (En RD$/Tarea)]])</f>
        <v>1295.3674910297009</v>
      </c>
      <c r="O808" s="6">
        <f>IF(Tabla2[[#This Row],[Costos (En RD$/Tarea)]]=0,0,Tabla2[[#This Row],[Beneficio Neto  (En RD$/Tarea)]]/Tabla2[[#This Row],[Costos (En RD$/Tarea)]])</f>
        <v>0.61894607906391297</v>
      </c>
      <c r="P808" s="4">
        <f>Tabla2[[#This Row],[Rentabilidad (%)]]/12</f>
        <v>5.1578839921992747E-2</v>
      </c>
    </row>
    <row r="809" spans="1:16" x14ac:dyDescent="0.35">
      <c r="A809" s="1">
        <v>38565</v>
      </c>
      <c r="B809" t="s">
        <v>22</v>
      </c>
      <c r="C809" s="2">
        <v>2223</v>
      </c>
      <c r="D809" s="5" t="s">
        <v>17</v>
      </c>
      <c r="E809" s="2">
        <f>IF(Tabla2[[#This Row],[Frecuencia]]="Annual", Tabla2[[#This Row],[Cosecha/Tarea]]/12,Tabla2[[#This Row],[Cosecha/Tarea]])</f>
        <v>2223</v>
      </c>
      <c r="F809" s="2">
        <v>15667</v>
      </c>
      <c r="G809" t="s">
        <v>18</v>
      </c>
      <c r="H809">
        <f>F809/Tabla2[[#This Row],[Cosecha Mensual]]</f>
        <v>7.0476833108412054</v>
      </c>
      <c r="I809">
        <f>H809*_xlfn.XLOOKUP(Tabla2[[#This Row],[Unidad de producción]],Tabla3[Medida],Tabla3[Equivalencia en Kg],"ELVIS",0)</f>
        <v>319.68291497975707</v>
      </c>
      <c r="J809">
        <v>750</v>
      </c>
      <c r="K809" t="s">
        <v>18</v>
      </c>
      <c r="L809">
        <f>J809/_xlfn.XLOOKUP(Tabla2[[#This Row],[Unidad de precio]],Tabla3[Medida],Tabla3[Equivalencia en Kg],"ELVIS",0)</f>
        <v>16.534391534391535</v>
      </c>
      <c r="M809">
        <v>5853.83</v>
      </c>
      <c r="N809" s="2">
        <f>(Tabla2[[#This Row],[Productividad (kg/TAS)]]*Tabla2[[#This Row],[Precio por kg]]-Tabla2[[#This Row],[Costos (En RD$/Tarea)]])</f>
        <v>-568.06751686909593</v>
      </c>
      <c r="O809" s="6">
        <f>IF(Tabla2[[#This Row],[Costos (En RD$/Tarea)]]=0,0,Tabla2[[#This Row],[Beneficio Neto  (En RD$/Tarea)]]/Tabla2[[#This Row],[Costos (En RD$/Tarea)]])</f>
        <v>-9.7042024942489952E-2</v>
      </c>
      <c r="P809" s="4">
        <f>Tabla2[[#This Row],[Rentabilidad (%)]]/12</f>
        <v>-8.0868354118741621E-3</v>
      </c>
    </row>
    <row r="810" spans="1:16" x14ac:dyDescent="0.35">
      <c r="A810" s="1">
        <v>38565</v>
      </c>
      <c r="B810" t="s">
        <v>23</v>
      </c>
      <c r="C810" s="2">
        <v>3331</v>
      </c>
      <c r="D810" s="5" t="s">
        <v>17</v>
      </c>
      <c r="E810" s="2">
        <f>IF(Tabla2[[#This Row],[Frecuencia]]="Annual", Tabla2[[#This Row],[Cosecha/Tarea]]/12,Tabla2[[#This Row],[Cosecha/Tarea]])</f>
        <v>3331</v>
      </c>
      <c r="F810" s="2">
        <v>131375</v>
      </c>
      <c r="G810" t="s">
        <v>18</v>
      </c>
      <c r="H810">
        <f>F810/Tabla2[[#This Row],[Cosecha Mensual]]</f>
        <v>39.440108075652958</v>
      </c>
      <c r="I810">
        <f>H810*_xlfn.XLOOKUP(Tabla2[[#This Row],[Unidad de producción]],Tabla3[Medida],Tabla3[Equivalencia en Kg],"ELVIS",0)</f>
        <v>1789.0033023116182</v>
      </c>
      <c r="J810">
        <v>691.05</v>
      </c>
      <c r="K810" t="s">
        <v>18</v>
      </c>
      <c r="L810">
        <f>J810/_xlfn.XLOOKUP(Tabla2[[#This Row],[Unidad de precio]],Tabla3[Medida],Tabla3[Equivalencia en Kg],"ELVIS",0)</f>
        <v>15.234788359788359</v>
      </c>
      <c r="M810">
        <v>10163.530000000001</v>
      </c>
      <c r="N810" s="2">
        <f>(Tabla2[[#This Row],[Productividad (kg/TAS)]]*Tabla2[[#This Row],[Precio por kg]]-Tabla2[[#This Row],[Costos (En RD$/Tarea)]])</f>
        <v>17091.556685679978</v>
      </c>
      <c r="O810" s="6">
        <f>IF(Tabla2[[#This Row],[Costos (En RD$/Tarea)]]=0,0,Tabla2[[#This Row],[Beneficio Neto  (En RD$/Tarea)]]/Tabla2[[#This Row],[Costos (En RD$/Tarea)]])</f>
        <v>1.6816555552726244</v>
      </c>
      <c r="P810" s="4">
        <f>Tabla2[[#This Row],[Rentabilidad (%)]]/12</f>
        <v>0.14013796293938538</v>
      </c>
    </row>
    <row r="811" spans="1:16" x14ac:dyDescent="0.35">
      <c r="A811" s="1">
        <v>38565</v>
      </c>
      <c r="B811" t="s">
        <v>24</v>
      </c>
      <c r="C811" s="2">
        <v>4864</v>
      </c>
      <c r="D811" s="5" t="s">
        <v>17</v>
      </c>
      <c r="E811" s="2">
        <f>IF(Tabla2[[#This Row],[Frecuencia]]="Annual", Tabla2[[#This Row],[Cosecha/Tarea]]/12,Tabla2[[#This Row],[Cosecha/Tarea]])</f>
        <v>4864</v>
      </c>
      <c r="F811" s="2">
        <v>42827</v>
      </c>
      <c r="G811" t="s">
        <v>18</v>
      </c>
      <c r="H811">
        <f>F811/Tabla2[[#This Row],[Cosecha Mensual]]</f>
        <v>8.8048930921052637</v>
      </c>
      <c r="I811">
        <f>H811*_xlfn.XLOOKUP(Tabla2[[#This Row],[Unidad de producción]],Tabla3[Medida],Tabla3[Equivalencia en Kg],"ELVIS",0)</f>
        <v>399.38995065789476</v>
      </c>
      <c r="J811">
        <v>870.66666666666697</v>
      </c>
      <c r="K811" t="s">
        <v>18</v>
      </c>
      <c r="L811">
        <f>J811/_xlfn.XLOOKUP(Tabla2[[#This Row],[Unidad de precio]],Tabla3[Medida],Tabla3[Equivalencia en Kg],"ELVIS",0)</f>
        <v>19.194591416813648</v>
      </c>
      <c r="M811">
        <v>4680.83</v>
      </c>
      <c r="N811" s="2">
        <f>(Tabla2[[#This Row],[Productividad (kg/TAS)]]*Tabla2[[#This Row],[Precio por kg]]-Tabla2[[#This Row],[Costos (En RD$/Tarea)]])</f>
        <v>2985.2969188596526</v>
      </c>
      <c r="O811" s="6">
        <f>IF(Tabla2[[#This Row],[Costos (En RD$/Tarea)]]=0,0,Tabla2[[#This Row],[Beneficio Neto  (En RD$/Tarea)]]/Tabla2[[#This Row],[Costos (En RD$/Tarea)]])</f>
        <v>0.63777084808883311</v>
      </c>
      <c r="P811" s="4">
        <f>Tabla2[[#This Row],[Rentabilidad (%)]]/12</f>
        <v>5.3147570674069423E-2</v>
      </c>
    </row>
    <row r="812" spans="1:16" x14ac:dyDescent="0.35">
      <c r="A812" s="1">
        <v>38565</v>
      </c>
      <c r="B812" t="s">
        <v>25</v>
      </c>
      <c r="C812" s="2">
        <v>15691</v>
      </c>
      <c r="D812" s="5" t="s">
        <v>17</v>
      </c>
      <c r="E812" s="2">
        <f>IF(Tabla2[[#This Row],[Frecuencia]]="Annual", Tabla2[[#This Row],[Cosecha/Tarea]]/12,Tabla2[[#This Row],[Cosecha/Tarea]])</f>
        <v>15691</v>
      </c>
      <c r="F812" s="2">
        <v>139086</v>
      </c>
      <c r="G812" t="s">
        <v>18</v>
      </c>
      <c r="H812">
        <f>F812/Tabla2[[#This Row],[Cosecha Mensual]]</f>
        <v>8.8640622012618699</v>
      </c>
      <c r="I812">
        <f>H812*_xlfn.XLOOKUP(Tabla2[[#This Row],[Unidad de producción]],Tabla3[Medida],Tabla3[Equivalencia en Kg],"ELVIS",0)</f>
        <v>402.07386144923839</v>
      </c>
      <c r="J812">
        <v>519.93799999999999</v>
      </c>
      <c r="K812" t="s">
        <v>18</v>
      </c>
      <c r="L812">
        <f>J812/_xlfn.XLOOKUP(Tabla2[[#This Row],[Unidad de precio]],Tabla3[Medida],Tabla3[Equivalencia en Kg],"ELVIS",0)</f>
        <v>11.462477954144621</v>
      </c>
      <c r="M812">
        <v>2314.2150000000001</v>
      </c>
      <c r="N812" s="2">
        <f>(Tabla2[[#This Row],[Productividad (kg/TAS)]]*Tabla2[[#This Row],[Precio por kg]]-Tabla2[[#This Row],[Costos (En RD$/Tarea)]])</f>
        <v>2294.547772799694</v>
      </c>
      <c r="O812" s="6">
        <f>IF(Tabla2[[#This Row],[Costos (En RD$/Tarea)]]=0,0,Tabla2[[#This Row],[Beneficio Neto  (En RD$/Tarea)]]/Tabla2[[#This Row],[Costos (En RD$/Tarea)]])</f>
        <v>0.99150155573258913</v>
      </c>
      <c r="P812" s="4">
        <f>Tabla2[[#This Row],[Rentabilidad (%)]]/12</f>
        <v>8.2625129644382428E-2</v>
      </c>
    </row>
    <row r="813" spans="1:16" x14ac:dyDescent="0.35">
      <c r="A813" s="1">
        <v>38565</v>
      </c>
      <c r="B813" t="s">
        <v>26</v>
      </c>
      <c r="C813" s="2">
        <v>15093</v>
      </c>
      <c r="D813" s="5" t="s">
        <v>17</v>
      </c>
      <c r="E813" s="2">
        <f>IF(Tabla2[[#This Row],[Frecuencia]]="Annual", Tabla2[[#This Row],[Cosecha/Tarea]]/12,Tabla2[[#This Row],[Cosecha/Tarea]])</f>
        <v>15093</v>
      </c>
      <c r="F813" s="2">
        <v>68969</v>
      </c>
      <c r="G813" t="s">
        <v>18</v>
      </c>
      <c r="H813">
        <f>F813/Tabla2[[#This Row],[Cosecha Mensual]]</f>
        <v>4.5696018021599416</v>
      </c>
      <c r="I813">
        <f>H813*_xlfn.XLOOKUP(Tabla2[[#This Row],[Unidad de producción]],Tabla3[Medida],Tabla3[Equivalencia en Kg],"ELVIS",0)</f>
        <v>207.27713774597495</v>
      </c>
      <c r="J813">
        <v>480</v>
      </c>
      <c r="K813" t="s">
        <v>18</v>
      </c>
      <c r="L813">
        <f>J813/_xlfn.XLOOKUP(Tabla2[[#This Row],[Unidad de precio]],Tabla3[Medida],Tabla3[Equivalencia en Kg],"ELVIS",0)</f>
        <v>10.582010582010582</v>
      </c>
      <c r="M813">
        <v>906.4</v>
      </c>
      <c r="N813" s="2">
        <f>(Tabla2[[#This Row],[Productividad (kg/TAS)]]*Tabla2[[#This Row],[Precio por kg]]-Tabla2[[#This Row],[Costos (En RD$/Tarea)]])</f>
        <v>1287.008865036772</v>
      </c>
      <c r="O813" s="6">
        <f>IF(Tabla2[[#This Row],[Costos (En RD$/Tarea)]]=0,0,Tabla2[[#This Row],[Beneficio Neto  (En RD$/Tarea)]]/Tabla2[[#This Row],[Costos (En RD$/Tarea)]])</f>
        <v>1.4199126931120609</v>
      </c>
      <c r="P813" s="4">
        <f>Tabla2[[#This Row],[Rentabilidad (%)]]/12</f>
        <v>0.11832605775933841</v>
      </c>
    </row>
    <row r="814" spans="1:16" x14ac:dyDescent="0.35">
      <c r="A814" s="1">
        <v>38565</v>
      </c>
      <c r="B814" t="s">
        <v>27</v>
      </c>
      <c r="C814" s="2">
        <v>4563</v>
      </c>
      <c r="D814" s="5" t="s">
        <v>17</v>
      </c>
      <c r="E814" s="2">
        <f>IF(Tabla2[[#This Row],[Frecuencia]]="Annual", Tabla2[[#This Row],[Cosecha/Tarea]]/12,Tabla2[[#This Row],[Cosecha/Tarea]])</f>
        <v>4563</v>
      </c>
      <c r="F814" s="2">
        <v>29391</v>
      </c>
      <c r="G814" t="s">
        <v>18</v>
      </c>
      <c r="H814">
        <f>F814/Tabla2[[#This Row],[Cosecha Mensual]]</f>
        <v>6.4411571334648254</v>
      </c>
      <c r="I814">
        <f>H814*_xlfn.XLOOKUP(Tabla2[[#This Row],[Unidad de producción]],Tabla3[Medida],Tabla3[Equivalencia en Kg],"ELVIS",0)</f>
        <v>292.17088757396448</v>
      </c>
      <c r="J814">
        <v>266</v>
      </c>
      <c r="K814" t="s">
        <v>18</v>
      </c>
      <c r="L814">
        <f>J814/_xlfn.XLOOKUP(Tabla2[[#This Row],[Unidad de precio]],Tabla3[Medida],Tabla3[Equivalencia en Kg],"ELVIS",0)</f>
        <v>5.8641975308641978</v>
      </c>
      <c r="M814">
        <v>5157.3900000000003</v>
      </c>
      <c r="N814" s="2">
        <f>(Tabla2[[#This Row],[Productividad (kg/TAS)]]*Tabla2[[#This Row],[Precio por kg]]-Tabla2[[#This Row],[Costos (En RD$/Tarea)]])</f>
        <v>-3444.0422024983568</v>
      </c>
      <c r="O814" s="6">
        <f>IF(Tabla2[[#This Row],[Costos (En RD$/Tarea)]]=0,0,Tabla2[[#This Row],[Beneficio Neto  (En RD$/Tarea)]]/Tabla2[[#This Row],[Costos (En RD$/Tarea)]])</f>
        <v>-0.66778781563898726</v>
      </c>
      <c r="P814" s="4">
        <f>Tabla2[[#This Row],[Rentabilidad (%)]]/12</f>
        <v>-5.5648984636582272E-2</v>
      </c>
    </row>
    <row r="815" spans="1:16" x14ac:dyDescent="0.35">
      <c r="A815" s="1">
        <v>38565</v>
      </c>
      <c r="B815" t="s">
        <v>28</v>
      </c>
      <c r="C815" s="2">
        <v>25185</v>
      </c>
      <c r="D815" s="5" t="s">
        <v>17</v>
      </c>
      <c r="E815" s="2">
        <f>IF(Tabla2[[#This Row],[Frecuencia]]="Annual", Tabla2[[#This Row],[Cosecha/Tarea]]/12,Tabla2[[#This Row],[Cosecha/Tarea]])</f>
        <v>25185</v>
      </c>
      <c r="F815" s="2">
        <v>13751</v>
      </c>
      <c r="G815" t="s">
        <v>29</v>
      </c>
      <c r="H815">
        <f>F815/Tabla2[[#This Row],[Cosecha Mensual]]</f>
        <v>0.54599960293825689</v>
      </c>
      <c r="I815">
        <f>H815*_xlfn.XLOOKUP(Tabla2[[#This Row],[Unidad de producción]],Tabla3[Medida],Tabla3[Equivalencia en Kg],"ELVIS",0)</f>
        <v>307.03741671629939</v>
      </c>
      <c r="J815">
        <v>2000</v>
      </c>
      <c r="K815" t="s">
        <v>29</v>
      </c>
      <c r="L815">
        <f>J815/_xlfn.XLOOKUP(Tabla2[[#This Row],[Unidad de precio]],Tabla3[Medida],Tabla3[Equivalencia en Kg],"ELVIS",0)</f>
        <v>3.5565672013372689</v>
      </c>
      <c r="M815">
        <v>9027.66</v>
      </c>
      <c r="N815" s="2">
        <f>(Tabla2[[#This Row],[Productividad (kg/TAS)]]*Tabla2[[#This Row],[Precio por kg]]-Tabla2[[#This Row],[Costos (En RD$/Tarea)]])</f>
        <v>-7935.6607941234861</v>
      </c>
      <c r="O815" s="6">
        <f>IF(Tabla2[[#This Row],[Costos (En RD$/Tarea)]]=0,0,Tabla2[[#This Row],[Beneficio Neto  (En RD$/Tarea)]]/Tabla2[[#This Row],[Costos (En RD$/Tarea)]])</f>
        <v>-0.87903850988223819</v>
      </c>
      <c r="P815" s="4">
        <f>Tabla2[[#This Row],[Rentabilidad (%)]]/12</f>
        <v>-7.3253209156853183E-2</v>
      </c>
    </row>
    <row r="816" spans="1:16" x14ac:dyDescent="0.35">
      <c r="A816" s="1">
        <v>38565</v>
      </c>
      <c r="B816" t="s">
        <v>30</v>
      </c>
      <c r="C816" s="2">
        <v>290316</v>
      </c>
      <c r="D816" s="2" t="s">
        <v>31</v>
      </c>
      <c r="E816" s="2">
        <f>IF(Tabla2[[#This Row],[Frecuencia]]="Annual", Tabla2[[#This Row],[Cosecha/Tarea]]/12,Tabla2[[#This Row],[Cosecha/Tarea]])</f>
        <v>24193</v>
      </c>
      <c r="F816" s="2">
        <v>2075068</v>
      </c>
      <c r="G816" t="s">
        <v>32</v>
      </c>
      <c r="H816">
        <f>F816/Tabla2[[#This Row],[Cosecha Mensual]]</f>
        <v>85.771421485553674</v>
      </c>
      <c r="I816">
        <f>H816*_xlfn.XLOOKUP(Tabla2[[#This Row],[Unidad de producción]],Tabla3[Medida],Tabla3[Equivalencia en Kg],"ELVIS",0)</f>
        <v>2333.8403786219155</v>
      </c>
      <c r="J816">
        <v>52.5</v>
      </c>
      <c r="K816" t="s">
        <v>32</v>
      </c>
      <c r="L816">
        <f>J816/_xlfn.XLOOKUP(Tabla2[[#This Row],[Unidad de precio]],Tabla3[Medida],Tabla3[Equivalencia en Kg],"ELVIS",0)</f>
        <v>1.9294377067254684</v>
      </c>
      <c r="M816" s="2">
        <v>7918.62</v>
      </c>
      <c r="N816" s="2">
        <f>(Tabla2[[#This Row],[Productividad (kg/TAS)]]*Tabla2[[#This Row],[Precio por kg]]-Tabla2[[#This Row],[Costos (En RD$/Tarea)]])</f>
        <v>-3415.6203720084322</v>
      </c>
      <c r="O816" s="6">
        <f>IF(Tabla2[[#This Row],[Costos (En RD$/Tarea)]]=0,0,Tabla2[[#This Row],[Beneficio Neto  (En RD$/Tarea)]]/Tabla2[[#This Row],[Costos (En RD$/Tarea)]])</f>
        <v>-0.43134035627526418</v>
      </c>
      <c r="P816" s="4">
        <f>Tabla2[[#This Row],[Rentabilidad (%)]]/12</f>
        <v>-3.5945029689605348E-2</v>
      </c>
    </row>
    <row r="817" spans="1:16" x14ac:dyDescent="0.35">
      <c r="A817" s="1">
        <v>38565</v>
      </c>
      <c r="B817" t="s">
        <v>33</v>
      </c>
      <c r="C817" s="2">
        <v>629655</v>
      </c>
      <c r="D817" s="2" t="s">
        <v>31</v>
      </c>
      <c r="E817" s="2">
        <f>IF(Tabla2[[#This Row],[Frecuencia]]="Annual", Tabla2[[#This Row],[Cosecha/Tarea]]/12,Tabla2[[#This Row],[Cosecha/Tarea]])</f>
        <v>52471.25</v>
      </c>
      <c r="F817" s="2">
        <v>172027</v>
      </c>
      <c r="G817" t="s">
        <v>34</v>
      </c>
      <c r="H817">
        <f>F817/Tabla2[[#This Row],[Cosecha Mensual]]</f>
        <v>3.2785001310241322</v>
      </c>
      <c r="I817">
        <f>H817*_xlfn.XLOOKUP(Tabla2[[#This Row],[Unidad de producción]],Tabla3[Medida],Tabla3[Equivalencia en Kg],"ELVIS",0)</f>
        <v>1338.1198284774994</v>
      </c>
      <c r="J817">
        <v>1833</v>
      </c>
      <c r="K817" t="s">
        <v>34</v>
      </c>
      <c r="L817">
        <f>J817/_xlfn.XLOOKUP(Tabla2[[#This Row],[Unidad de precio]],Tabla3[Medida],Tabla3[Equivalencia en Kg],"ELVIS",0)</f>
        <v>4.4909959573686145</v>
      </c>
      <c r="M817" s="2">
        <v>9928.24</v>
      </c>
      <c r="N817" s="2">
        <f>(Tabla2[[#This Row],[Productividad (kg/TAS)]]*Tabla2[[#This Row],[Precio por kg]]-Tabla2[[#This Row],[Costos (En RD$/Tarea)]])</f>
        <v>-3918.7492598327663</v>
      </c>
      <c r="O817" s="6">
        <f>IF(Tabla2[[#This Row],[Costos (En RD$/Tarea)]]=0,0,Tabla2[[#This Row],[Beneficio Neto  (En RD$/Tarea)]]/Tabla2[[#This Row],[Costos (En RD$/Tarea)]])</f>
        <v>-0.39470734589743661</v>
      </c>
      <c r="P817" s="4">
        <f>Tabla2[[#This Row],[Rentabilidad (%)]]/12</f>
        <v>-3.2892278824786382E-2</v>
      </c>
    </row>
    <row r="818" spans="1:16" x14ac:dyDescent="0.35">
      <c r="A818" s="1">
        <v>38596</v>
      </c>
      <c r="B818" t="s">
        <v>16</v>
      </c>
      <c r="C818" s="2">
        <v>152010</v>
      </c>
      <c r="D818" s="5" t="s">
        <v>17</v>
      </c>
      <c r="E818" s="2">
        <f>IF(Tabla2[[#This Row],[Frecuencia]]="Annual", Tabla2[[#This Row],[Cosecha/Tarea]]/12,Tabla2[[#This Row],[Cosecha/Tarea]])</f>
        <v>152010</v>
      </c>
      <c r="F818" s="2">
        <v>480974</v>
      </c>
      <c r="G818" t="s">
        <v>18</v>
      </c>
      <c r="H818">
        <f>F818/Tabla2[[#This Row],[Cosecha Mensual]]</f>
        <v>3.1640944674692455</v>
      </c>
      <c r="I818">
        <f>H818*_xlfn.XLOOKUP(Tabla2[[#This Row],[Unidad de producción]],Tabla3[Medida],Tabla3[Equivalencia en Kg],"ELVIS",0)</f>
        <v>143.52332504440497</v>
      </c>
      <c r="J818">
        <v>1168.6666666666699</v>
      </c>
      <c r="K818" t="s">
        <v>19</v>
      </c>
      <c r="L818">
        <f>J818/_xlfn.XLOOKUP(Tabla2[[#This Row],[Unidad de precio]],Tabla3[Medida],Tabla3[Equivalencia en Kg],"ELVIS",0)</f>
        <v>10.624242424242453</v>
      </c>
      <c r="M818">
        <v>4807.32</v>
      </c>
      <c r="N818" s="2">
        <f>(Tabla2[[#This Row],[Productividad (kg/TAS)]]*Tabla2[[#This Row],[Precio por kg]]-Tabla2[[#This Row],[Costos (En RD$/Tarea)]])</f>
        <v>-3282.4934011948931</v>
      </c>
      <c r="O818" s="6">
        <f>IF(Tabla2[[#This Row],[Costos (En RD$/Tarea)]]=0,0,Tabla2[[#This Row],[Beneficio Neto  (En RD$/Tarea)]]/Tabla2[[#This Row],[Costos (En RD$/Tarea)]])</f>
        <v>-0.68281150437143634</v>
      </c>
      <c r="P818" s="4">
        <f>Tabla2[[#This Row],[Rentabilidad (%)]]/12</f>
        <v>-5.6900958697619693E-2</v>
      </c>
    </row>
    <row r="819" spans="1:16" x14ac:dyDescent="0.35">
      <c r="A819" s="1">
        <v>38596</v>
      </c>
      <c r="B819" t="s">
        <v>20</v>
      </c>
      <c r="C819" s="2">
        <v>82296</v>
      </c>
      <c r="D819" s="5" t="s">
        <v>17</v>
      </c>
      <c r="E819" s="2">
        <f>IF(Tabla2[[#This Row],[Frecuencia]]="Annual", Tabla2[[#This Row],[Cosecha/Tarea]]/12,Tabla2[[#This Row],[Cosecha/Tarea]])</f>
        <v>82296</v>
      </c>
      <c r="F819" s="2">
        <v>153583</v>
      </c>
      <c r="G819" t="s">
        <v>18</v>
      </c>
      <c r="H819">
        <f>F819/Tabla2[[#This Row],[Cosecha Mensual]]</f>
        <v>1.8662267910955574</v>
      </c>
      <c r="I819">
        <f>H819*_xlfn.XLOOKUP(Tabla2[[#This Row],[Unidad de producción]],Tabla3[Medida],Tabla3[Equivalencia en Kg],"ELVIS",0)</f>
        <v>84.65204724409449</v>
      </c>
      <c r="J819">
        <v>284.62548888888898</v>
      </c>
      <c r="K819" t="s">
        <v>18</v>
      </c>
      <c r="L819">
        <f>J819/_xlfn.XLOOKUP(Tabla2[[#This Row],[Unidad de precio]],Tabla3[Medida],Tabla3[Equivalencia en Kg],"ELVIS",0)</f>
        <v>6.2748123652753307</v>
      </c>
      <c r="M819">
        <v>1327.7</v>
      </c>
      <c r="N819" s="2">
        <f>(Tabla2[[#This Row],[Productividad (kg/TAS)]]*Tabla2[[#This Row],[Precio por kg]]-Tabla2[[#This Row],[Costos (En RD$/Tarea)]])</f>
        <v>-796.52428720688442</v>
      </c>
      <c r="O819" s="6">
        <f>IF(Tabla2[[#This Row],[Costos (En RD$/Tarea)]]=0,0,Tabla2[[#This Row],[Beneficio Neto  (En RD$/Tarea)]]/Tabla2[[#This Row],[Costos (En RD$/Tarea)]])</f>
        <v>-0.59992791082841335</v>
      </c>
      <c r="P819" s="4">
        <f>Tabla2[[#This Row],[Rentabilidad (%)]]/12</f>
        <v>-4.9993992569034446E-2</v>
      </c>
    </row>
    <row r="820" spans="1:16" x14ac:dyDescent="0.35">
      <c r="A820" s="1">
        <v>38596</v>
      </c>
      <c r="B820" t="s">
        <v>21</v>
      </c>
      <c r="C820" s="2">
        <v>6241</v>
      </c>
      <c r="D820" s="5" t="s">
        <v>17</v>
      </c>
      <c r="E820" s="2">
        <f>IF(Tabla2[[#This Row],[Frecuencia]]="Annual", Tabla2[[#This Row],[Cosecha/Tarea]]/12,Tabla2[[#This Row],[Cosecha/Tarea]])</f>
        <v>6241</v>
      </c>
      <c r="F820" s="2">
        <v>56805</v>
      </c>
      <c r="G820" t="s">
        <v>18</v>
      </c>
      <c r="H820">
        <f>F820/Tabla2[[#This Row],[Cosecha Mensual]]</f>
        <v>9.1019067457138281</v>
      </c>
      <c r="I820">
        <f>H820*_xlfn.XLOOKUP(Tabla2[[#This Row],[Unidad de producción]],Tabla3[Medida],Tabla3[Equivalencia en Kg],"ELVIS",0)</f>
        <v>412.86248998557926</v>
      </c>
      <c r="J820">
        <v>289.42066666666699</v>
      </c>
      <c r="K820" t="s">
        <v>18</v>
      </c>
      <c r="L820">
        <f>J820/_xlfn.XLOOKUP(Tabla2[[#This Row],[Unidad de precio]],Tabla3[Medida],Tabla3[Equivalencia en Kg],"ELVIS",0)</f>
        <v>6.3805261610817237</v>
      </c>
      <c r="M820">
        <v>2092.86</v>
      </c>
      <c r="N820" s="2">
        <f>(Tabla2[[#This Row],[Productividad (kg/TAS)]]*Tabla2[[#This Row],[Precio por kg]]-Tabla2[[#This Row],[Costos (En RD$/Tarea)]])</f>
        <v>541.41991828232949</v>
      </c>
      <c r="O820" s="6">
        <f>IF(Tabla2[[#This Row],[Costos (En RD$/Tarea)]]=0,0,Tabla2[[#This Row],[Beneficio Neto  (En RD$/Tarea)]]/Tabla2[[#This Row],[Costos (En RD$/Tarea)]])</f>
        <v>0.2586985838911009</v>
      </c>
      <c r="P820" s="4">
        <f>Tabla2[[#This Row],[Rentabilidad (%)]]/12</f>
        <v>2.1558215324258407E-2</v>
      </c>
    </row>
    <row r="821" spans="1:16" x14ac:dyDescent="0.35">
      <c r="A821" s="1">
        <v>38596</v>
      </c>
      <c r="B821" t="s">
        <v>22</v>
      </c>
      <c r="C821" s="2">
        <v>3147</v>
      </c>
      <c r="D821" s="5" t="s">
        <v>17</v>
      </c>
      <c r="E821" s="2">
        <f>IF(Tabla2[[#This Row],[Frecuencia]]="Annual", Tabla2[[#This Row],[Cosecha/Tarea]]/12,Tabla2[[#This Row],[Cosecha/Tarea]])</f>
        <v>3147</v>
      </c>
      <c r="F821" s="2">
        <v>23073</v>
      </c>
      <c r="G821" t="s">
        <v>18</v>
      </c>
      <c r="H821">
        <f>F821/Tabla2[[#This Row],[Cosecha Mensual]]</f>
        <v>7.3317445185891321</v>
      </c>
      <c r="I821">
        <f>H821*_xlfn.XLOOKUP(Tabla2[[#This Row],[Unidad de producción]],Tabla3[Medida],Tabla3[Equivalencia en Kg],"ELVIS",0)</f>
        <v>332.567931363203</v>
      </c>
      <c r="J821">
        <v>620.5</v>
      </c>
      <c r="K821" t="s">
        <v>18</v>
      </c>
      <c r="L821">
        <f>J821/_xlfn.XLOOKUP(Tabla2[[#This Row],[Unidad de precio]],Tabla3[Medida],Tabla3[Equivalencia en Kg],"ELVIS",0)</f>
        <v>13.679453262786597</v>
      </c>
      <c r="M821">
        <v>5853.83</v>
      </c>
      <c r="N821" s="2">
        <f>(Tabla2[[#This Row],[Productividad (kg/TAS)]]*Tabla2[[#This Row],[Precio por kg]]-Tabla2[[#This Row],[Costos (En RD$/Tarea)]])</f>
        <v>-1304.4825262154436</v>
      </c>
      <c r="O821" s="6">
        <f>IF(Tabla2[[#This Row],[Costos (En RD$/Tarea)]]=0,0,Tabla2[[#This Row],[Beneficio Neto  (En RD$/Tarea)]]/Tabla2[[#This Row],[Costos (En RD$/Tarea)]])</f>
        <v>-0.22284257079816866</v>
      </c>
      <c r="P821" s="4">
        <f>Tabla2[[#This Row],[Rentabilidad (%)]]/12</f>
        <v>-1.8570214233180723E-2</v>
      </c>
    </row>
    <row r="822" spans="1:16" x14ac:dyDescent="0.35">
      <c r="A822" s="1">
        <v>38596</v>
      </c>
      <c r="B822" t="s">
        <v>23</v>
      </c>
      <c r="C822" s="2">
        <v>3964</v>
      </c>
      <c r="D822" s="5" t="s">
        <v>17</v>
      </c>
      <c r="E822" s="2">
        <f>IF(Tabla2[[#This Row],[Frecuencia]]="Annual", Tabla2[[#This Row],[Cosecha/Tarea]]/12,Tabla2[[#This Row],[Cosecha/Tarea]])</f>
        <v>3964</v>
      </c>
      <c r="F822" s="2">
        <v>87000</v>
      </c>
      <c r="G822" t="s">
        <v>18</v>
      </c>
      <c r="H822">
        <f>F822/Tabla2[[#This Row],[Cosecha Mensual]]</f>
        <v>21.947527749747728</v>
      </c>
      <c r="I822">
        <f>H822*_xlfn.XLOOKUP(Tabla2[[#This Row],[Unidad de producción]],Tabla3[Medida],Tabla3[Equivalencia en Kg],"ELVIS",0)</f>
        <v>995.53985872855696</v>
      </c>
      <c r="J822">
        <v>726.60762499999998</v>
      </c>
      <c r="K822" t="s">
        <v>18</v>
      </c>
      <c r="L822">
        <f>J822/_xlfn.XLOOKUP(Tabla2[[#This Row],[Unidad de precio]],Tabla3[Medida],Tabla3[Equivalencia en Kg],"ELVIS",0)</f>
        <v>16.018686618165784</v>
      </c>
      <c r="M822">
        <v>10163.530000000001</v>
      </c>
      <c r="N822" s="2">
        <f>(Tabla2[[#This Row],[Productividad (kg/TAS)]]*Tabla2[[#This Row],[Precio por kg]]-Tabla2[[#This Row],[Costos (En RD$/Tarea)]])</f>
        <v>5783.7110128657896</v>
      </c>
      <c r="O822" s="6">
        <f>IF(Tabla2[[#This Row],[Costos (En RD$/Tarea)]]=0,0,Tabla2[[#This Row],[Beneficio Neto  (En RD$/Tarea)]]/Tabla2[[#This Row],[Costos (En RD$/Tarea)]])</f>
        <v>0.56906517842381432</v>
      </c>
      <c r="P822" s="4">
        <f>Tabla2[[#This Row],[Rentabilidad (%)]]/12</f>
        <v>4.7422098201984529E-2</v>
      </c>
    </row>
    <row r="823" spans="1:16" x14ac:dyDescent="0.35">
      <c r="A823" s="1">
        <v>38596</v>
      </c>
      <c r="B823" t="s">
        <v>24</v>
      </c>
      <c r="C823" s="2">
        <v>3888</v>
      </c>
      <c r="D823" s="5" t="s">
        <v>17</v>
      </c>
      <c r="E823" s="2">
        <f>IF(Tabla2[[#This Row],[Frecuencia]]="Annual", Tabla2[[#This Row],[Cosecha/Tarea]]/12,Tabla2[[#This Row],[Cosecha/Tarea]])</f>
        <v>3888</v>
      </c>
      <c r="F823" s="2">
        <v>27751</v>
      </c>
      <c r="G823" t="s">
        <v>18</v>
      </c>
      <c r="H823">
        <f>F823/Tabla2[[#This Row],[Cosecha Mensual]]</f>
        <v>7.1376028806584362</v>
      </c>
      <c r="I823">
        <f>H823*_xlfn.XLOOKUP(Tabla2[[#This Row],[Unidad de producción]],Tabla3[Medida],Tabla3[Equivalencia en Kg],"ELVIS",0)</f>
        <v>323.76166666666666</v>
      </c>
      <c r="J823">
        <v>945</v>
      </c>
      <c r="K823" t="s">
        <v>18</v>
      </c>
      <c r="L823">
        <f>J823/_xlfn.XLOOKUP(Tabla2[[#This Row],[Unidad de precio]],Tabla3[Medida],Tabla3[Equivalencia en Kg],"ELVIS",0)</f>
        <v>20.833333333333332</v>
      </c>
      <c r="M823">
        <v>4680.83</v>
      </c>
      <c r="N823" s="2">
        <f>(Tabla2[[#This Row],[Productividad (kg/TAS)]]*Tabla2[[#This Row],[Precio por kg]]-Tabla2[[#This Row],[Costos (En RD$/Tarea)]])</f>
        <v>2064.2047222222218</v>
      </c>
      <c r="O823" s="6">
        <f>IF(Tabla2[[#This Row],[Costos (En RD$/Tarea)]]=0,0,Tabla2[[#This Row],[Beneficio Neto  (En RD$/Tarea)]]/Tabla2[[#This Row],[Costos (En RD$/Tarea)]])</f>
        <v>0.4409911751168536</v>
      </c>
      <c r="P823" s="4">
        <f>Tabla2[[#This Row],[Rentabilidad (%)]]/12</f>
        <v>3.6749264593071131E-2</v>
      </c>
    </row>
    <row r="824" spans="1:16" x14ac:dyDescent="0.35">
      <c r="A824" s="1">
        <v>38596</v>
      </c>
      <c r="B824" t="s">
        <v>25</v>
      </c>
      <c r="C824" s="2">
        <v>19885</v>
      </c>
      <c r="D824" s="5" t="s">
        <v>17</v>
      </c>
      <c r="E824" s="2">
        <f>IF(Tabla2[[#This Row],[Frecuencia]]="Annual", Tabla2[[#This Row],[Cosecha/Tarea]]/12,Tabla2[[#This Row],[Cosecha/Tarea]])</f>
        <v>19885</v>
      </c>
      <c r="F824" s="2">
        <v>217826</v>
      </c>
      <c r="G824" t="s">
        <v>18</v>
      </c>
      <c r="H824">
        <f>F824/Tabla2[[#This Row],[Cosecha Mensual]]</f>
        <v>10.954287151118933</v>
      </c>
      <c r="I824">
        <f>H824*_xlfn.XLOOKUP(Tabla2[[#This Row],[Unidad de producción]],Tabla3[Medida],Tabla3[Equivalencia en Kg],"ELVIS",0)</f>
        <v>496.88646517475479</v>
      </c>
      <c r="J824">
        <v>553.037222222222</v>
      </c>
      <c r="K824" t="s">
        <v>18</v>
      </c>
      <c r="L824">
        <f>J824/_xlfn.XLOOKUP(Tabla2[[#This Row],[Unidad de precio]],Tabla3[Medida],Tabla3[Equivalencia en Kg],"ELVIS",0)</f>
        <v>12.192178620419357</v>
      </c>
      <c r="M824">
        <v>2314.2150000000001</v>
      </c>
      <c r="N824" s="2">
        <f>(Tabla2[[#This Row],[Productividad (kg/TAS)]]*Tabla2[[#This Row],[Precio por kg]]-Tabla2[[#This Row],[Costos (En RD$/Tarea)]])</f>
        <v>3743.9135374793923</v>
      </c>
      <c r="O824" s="6">
        <f>IF(Tabla2[[#This Row],[Costos (En RD$/Tarea)]]=0,0,Tabla2[[#This Row],[Beneficio Neto  (En RD$/Tarea)]]/Tabla2[[#This Row],[Costos (En RD$/Tarea)]])</f>
        <v>1.6177898498970027</v>
      </c>
      <c r="P824" s="4">
        <f>Tabla2[[#This Row],[Rentabilidad (%)]]/12</f>
        <v>0.13481582082475022</v>
      </c>
    </row>
    <row r="825" spans="1:16" x14ac:dyDescent="0.35">
      <c r="A825" s="1">
        <v>38596</v>
      </c>
      <c r="B825" t="s">
        <v>26</v>
      </c>
      <c r="C825" s="2">
        <v>16251</v>
      </c>
      <c r="D825" s="5" t="s">
        <v>17</v>
      </c>
      <c r="E825" s="2">
        <f>IF(Tabla2[[#This Row],[Frecuencia]]="Annual", Tabla2[[#This Row],[Cosecha/Tarea]]/12,Tabla2[[#This Row],[Cosecha/Tarea]])</f>
        <v>16251</v>
      </c>
      <c r="F825" s="2">
        <v>105183</v>
      </c>
      <c r="G825" t="s">
        <v>18</v>
      </c>
      <c r="H825">
        <f>F825/Tabla2[[#This Row],[Cosecha Mensual]]</f>
        <v>6.4724016983570243</v>
      </c>
      <c r="I825">
        <f>H825*_xlfn.XLOOKUP(Tabla2[[#This Row],[Unidad de producción]],Tabla3[Medida],Tabla3[Equivalencia en Kg],"ELVIS",0)</f>
        <v>293.5881410374746</v>
      </c>
      <c r="J825">
        <v>345.21</v>
      </c>
      <c r="K825" t="s">
        <v>18</v>
      </c>
      <c r="L825">
        <f>J825/_xlfn.XLOOKUP(Tabla2[[#This Row],[Unidad de precio]],Tabla3[Medida],Tabla3[Equivalencia en Kg],"ELVIS",0)</f>
        <v>7.6104497354497349</v>
      </c>
      <c r="M825">
        <v>906.4</v>
      </c>
      <c r="N825" s="2">
        <f>(Tabla2[[#This Row],[Productividad (kg/TAS)]]*Tabla2[[#This Row],[Precio por kg]]-Tabla2[[#This Row],[Costos (En RD$/Tarea)]])</f>
        <v>1327.9377902898277</v>
      </c>
      <c r="O825" s="6">
        <f>IF(Tabla2[[#This Row],[Costos (En RD$/Tarea)]]=0,0,Tabla2[[#This Row],[Beneficio Neto  (En RD$/Tarea)]]/Tabla2[[#This Row],[Costos (En RD$/Tarea)]])</f>
        <v>1.4650681711052822</v>
      </c>
      <c r="P825" s="4">
        <f>Tabla2[[#This Row],[Rentabilidad (%)]]/12</f>
        <v>0.12208901425877351</v>
      </c>
    </row>
    <row r="826" spans="1:16" x14ac:dyDescent="0.35">
      <c r="A826" s="1">
        <v>38596</v>
      </c>
      <c r="B826" t="s">
        <v>27</v>
      </c>
      <c r="C826" s="2">
        <v>4154</v>
      </c>
      <c r="D826" s="5" t="s">
        <v>17</v>
      </c>
      <c r="E826" s="2">
        <f>IF(Tabla2[[#This Row],[Frecuencia]]="Annual", Tabla2[[#This Row],[Cosecha/Tarea]]/12,Tabla2[[#This Row],[Cosecha/Tarea]])</f>
        <v>4154</v>
      </c>
      <c r="F826" s="2">
        <v>29045</v>
      </c>
      <c r="G826" t="s">
        <v>18</v>
      </c>
      <c r="H826">
        <f>F826/Tabla2[[#This Row],[Cosecha Mensual]]</f>
        <v>6.9920558497833412</v>
      </c>
      <c r="I826">
        <f>H826*_xlfn.XLOOKUP(Tabla2[[#This Row],[Unidad de producción]],Tabla3[Medida],Tabla3[Equivalencia en Kg],"ELVIS",0)</f>
        <v>317.15965334617238</v>
      </c>
      <c r="J826">
        <v>253.08</v>
      </c>
      <c r="K826" t="s">
        <v>18</v>
      </c>
      <c r="L826">
        <f>J826/_xlfn.XLOOKUP(Tabla2[[#This Row],[Unidad de precio]],Tabla3[Medida],Tabla3[Equivalencia en Kg],"ELVIS",0)</f>
        <v>5.57936507936508</v>
      </c>
      <c r="M826">
        <v>5157.3900000000003</v>
      </c>
      <c r="N826" s="2">
        <f>(Tabla2[[#This Row],[Productividad (kg/TAS)]]*Tabla2[[#This Row],[Precio por kg]]-Tabla2[[#This Row],[Costos (En RD$/Tarea)]])</f>
        <v>-3387.8405055368321</v>
      </c>
      <c r="O826" s="6">
        <f>IF(Tabla2[[#This Row],[Costos (En RD$/Tarea)]]=0,0,Tabla2[[#This Row],[Beneficio Neto  (En RD$/Tarea)]]/Tabla2[[#This Row],[Costos (En RD$/Tarea)]])</f>
        <v>-0.6568905018889073</v>
      </c>
      <c r="P826" s="4">
        <f>Tabla2[[#This Row],[Rentabilidad (%)]]/12</f>
        <v>-5.4740875157408941E-2</v>
      </c>
    </row>
    <row r="827" spans="1:16" x14ac:dyDescent="0.35">
      <c r="A827" s="1">
        <v>38596</v>
      </c>
      <c r="B827" t="s">
        <v>28</v>
      </c>
      <c r="C827" s="2">
        <v>36581</v>
      </c>
      <c r="D827" s="5" t="s">
        <v>17</v>
      </c>
      <c r="E827" s="2">
        <f>IF(Tabla2[[#This Row],[Frecuencia]]="Annual", Tabla2[[#This Row],[Cosecha/Tarea]]/12,Tabla2[[#This Row],[Cosecha/Tarea]])</f>
        <v>36581</v>
      </c>
      <c r="F827" s="2">
        <v>28541</v>
      </c>
      <c r="G827" t="s">
        <v>29</v>
      </c>
      <c r="H827">
        <f>F827/Tabla2[[#This Row],[Cosecha Mensual]]</f>
        <v>0.78021377217681309</v>
      </c>
      <c r="I827">
        <f>H827*_xlfn.XLOOKUP(Tabla2[[#This Row],[Unidad de producción]],Tabla3[Medida],Tabla3[Equivalencia en Kg],"ELVIS",0)</f>
        <v>438.74541264590908</v>
      </c>
      <c r="J827">
        <v>2662.2</v>
      </c>
      <c r="K827" t="s">
        <v>29</v>
      </c>
      <c r="L827">
        <f>J827/_xlfn.XLOOKUP(Tabla2[[#This Row],[Unidad de precio]],Tabla3[Medida],Tabla3[Equivalencia en Kg],"ELVIS",0)</f>
        <v>4.7341466017000382</v>
      </c>
      <c r="M827">
        <v>9027.66</v>
      </c>
      <c r="N827" s="2">
        <f>(Tabla2[[#This Row],[Productividad (kg/TAS)]]*Tabla2[[#This Row],[Precio por kg]]-Tabla2[[#This Row],[Costos (En RD$/Tarea)]])</f>
        <v>-6950.5748957108881</v>
      </c>
      <c r="O827" s="6">
        <f>IF(Tabla2[[#This Row],[Costos (En RD$/Tarea)]]=0,0,Tabla2[[#This Row],[Beneficio Neto  (En RD$/Tarea)]]/Tabla2[[#This Row],[Costos (En RD$/Tarea)]])</f>
        <v>-0.76991987909501336</v>
      </c>
      <c r="P827" s="4">
        <f>Tabla2[[#This Row],[Rentabilidad (%)]]/12</f>
        <v>-6.4159989924584451E-2</v>
      </c>
    </row>
    <row r="828" spans="1:16" x14ac:dyDescent="0.35">
      <c r="A828" s="1">
        <v>38596</v>
      </c>
      <c r="B828" t="s">
        <v>30</v>
      </c>
      <c r="C828" s="2">
        <v>299465</v>
      </c>
      <c r="D828" s="2" t="s">
        <v>31</v>
      </c>
      <c r="E828" s="2">
        <f>IF(Tabla2[[#This Row],[Frecuencia]]="Annual", Tabla2[[#This Row],[Cosecha/Tarea]]/12,Tabla2[[#This Row],[Cosecha/Tarea]])</f>
        <v>24955.416666666668</v>
      </c>
      <c r="F828" s="2">
        <v>2198981</v>
      </c>
      <c r="G828" t="s">
        <v>32</v>
      </c>
      <c r="H828">
        <f>F828/Tabla2[[#This Row],[Cosecha Mensual]]</f>
        <v>88.116380879234626</v>
      </c>
      <c r="I828">
        <f>H828*_xlfn.XLOOKUP(Tabla2[[#This Row],[Unidad de producción]],Tabla3[Medida],Tabla3[Equivalencia en Kg],"ELVIS",0)</f>
        <v>2397.6467237239744</v>
      </c>
      <c r="J828">
        <v>56.353888888888903</v>
      </c>
      <c r="K828" t="s">
        <v>32</v>
      </c>
      <c r="L828">
        <f>J828/_xlfn.XLOOKUP(Tabla2[[#This Row],[Unidad de precio]],Tabla3[Medida],Tabla3[Equivalencia en Kg],"ELVIS",0)</f>
        <v>2.0710727265302795</v>
      </c>
      <c r="M828" s="2">
        <v>7918.62</v>
      </c>
      <c r="N828" s="2">
        <f>(Tabla2[[#This Row],[Productividad (kg/TAS)]]*Tabla2[[#This Row],[Precio por kg]]-Tabla2[[#This Row],[Costos (En RD$/Tarea)]])</f>
        <v>-2952.9192626405966</v>
      </c>
      <c r="O828" s="6">
        <f>IF(Tabla2[[#This Row],[Costos (En RD$/Tarea)]]=0,0,Tabla2[[#This Row],[Beneficio Neto  (En RD$/Tarea)]]/Tabla2[[#This Row],[Costos (En RD$/Tarea)]])</f>
        <v>-0.37290831769179433</v>
      </c>
      <c r="P828" s="4">
        <f>Tabla2[[#This Row],[Rentabilidad (%)]]/12</f>
        <v>-3.1075693140982862E-2</v>
      </c>
    </row>
    <row r="829" spans="1:16" x14ac:dyDescent="0.35">
      <c r="A829" s="1">
        <v>38596</v>
      </c>
      <c r="B829" t="s">
        <v>33</v>
      </c>
      <c r="C829" s="2">
        <v>664894</v>
      </c>
      <c r="D829" s="2" t="s">
        <v>31</v>
      </c>
      <c r="E829" s="2">
        <f>IF(Tabla2[[#This Row],[Frecuencia]]="Annual", Tabla2[[#This Row],[Cosecha/Tarea]]/12,Tabla2[[#This Row],[Cosecha/Tarea]])</f>
        <v>55407.833333333336</v>
      </c>
      <c r="F829" s="2">
        <v>170513</v>
      </c>
      <c r="G829" t="s">
        <v>34</v>
      </c>
      <c r="H829">
        <f>F829/Tabla2[[#This Row],[Cosecha Mensual]]</f>
        <v>3.0774168514078934</v>
      </c>
      <c r="I829">
        <f>H829*_xlfn.XLOOKUP(Tabla2[[#This Row],[Unidad de producción]],Tabla3[Medida],Tabla3[Equivalencia en Kg],"ELVIS",0)</f>
        <v>1256.0476879021317</v>
      </c>
      <c r="J829">
        <v>2389.8755555555599</v>
      </c>
      <c r="K829" t="s">
        <v>34</v>
      </c>
      <c r="L829">
        <f>J829/_xlfn.XLOOKUP(Tabla2[[#This Row],[Unidad de precio]],Tabla3[Medida],Tabla3[Equivalencia en Kg],"ELVIS",0)</f>
        <v>5.8553854111369841</v>
      </c>
      <c r="M829" s="2">
        <v>9928.24</v>
      </c>
      <c r="N829" s="2">
        <f>(Tabla2[[#This Row],[Productividad (kg/TAS)]]*Tabla2[[#This Row],[Precio por kg]]-Tabla2[[#This Row],[Costos (En RD$/Tarea)]])</f>
        <v>-2573.5966925655184</v>
      </c>
      <c r="O829" s="6">
        <f>IF(Tabla2[[#This Row],[Costos (En RD$/Tarea)]]=0,0,Tabla2[[#This Row],[Beneficio Neto  (En RD$/Tarea)]]/Tabla2[[#This Row],[Costos (En RD$/Tarea)]])</f>
        <v>-0.2592198307621007</v>
      </c>
      <c r="P829" s="4">
        <f>Tabla2[[#This Row],[Rentabilidad (%)]]/12</f>
        <v>-2.1601652563508392E-2</v>
      </c>
    </row>
    <row r="830" spans="1:16" x14ac:dyDescent="0.35">
      <c r="A830" s="1">
        <v>38626</v>
      </c>
      <c r="B830" t="s">
        <v>16</v>
      </c>
      <c r="C830" s="2">
        <v>326540</v>
      </c>
      <c r="D830" s="5" t="s">
        <v>17</v>
      </c>
      <c r="E830" s="2">
        <f>IF(Tabla2[[#This Row],[Frecuencia]]="Annual", Tabla2[[#This Row],[Cosecha/Tarea]]/12,Tabla2[[#This Row],[Cosecha/Tarea]])</f>
        <v>326540</v>
      </c>
      <c r="F830" s="2">
        <v>1030427</v>
      </c>
      <c r="G830" t="s">
        <v>18</v>
      </c>
      <c r="H830">
        <f>F830/Tabla2[[#This Row],[Cosecha Mensual]]</f>
        <v>3.1555919642310282</v>
      </c>
      <c r="I830">
        <f>H830*_xlfn.XLOOKUP(Tabla2[[#This Row],[Unidad de producción]],Tabla3[Medida],Tabla3[Equivalencia en Kg],"ELVIS",0)</f>
        <v>143.13765149751944</v>
      </c>
      <c r="J830">
        <v>1142.6600000000001</v>
      </c>
      <c r="K830" t="s">
        <v>19</v>
      </c>
      <c r="L830">
        <f>J830/_xlfn.XLOOKUP(Tabla2[[#This Row],[Unidad de precio]],Tabla3[Medida],Tabla3[Equivalencia en Kg],"ELVIS",0)</f>
        <v>10.387818181818183</v>
      </c>
      <c r="M830">
        <v>4807.32</v>
      </c>
      <c r="N830" s="2">
        <f>(Tabla2[[#This Row],[Productividad (kg/TAS)]]*Tabla2[[#This Row],[Precio por kg]]-Tabla2[[#This Row],[Costos (En RD$/Tarea)]])</f>
        <v>-3320.4321012713126</v>
      </c>
      <c r="O830" s="6">
        <f>IF(Tabla2[[#This Row],[Costos (En RD$/Tarea)]]=0,0,Tabla2[[#This Row],[Beneficio Neto  (En RD$/Tarea)]]/Tabla2[[#This Row],[Costos (En RD$/Tarea)]])</f>
        <v>-0.69070336513302899</v>
      </c>
      <c r="P830" s="4">
        <f>Tabla2[[#This Row],[Rentabilidad (%)]]/12</f>
        <v>-5.7558613761085752E-2</v>
      </c>
    </row>
    <row r="831" spans="1:16" x14ac:dyDescent="0.35">
      <c r="A831" s="1">
        <v>38626</v>
      </c>
      <c r="B831" t="s">
        <v>20</v>
      </c>
      <c r="C831" s="2">
        <v>38504</v>
      </c>
      <c r="D831" s="5" t="s">
        <v>17</v>
      </c>
      <c r="E831" s="2">
        <f>IF(Tabla2[[#This Row],[Frecuencia]]="Annual", Tabla2[[#This Row],[Cosecha/Tarea]]/12,Tabla2[[#This Row],[Cosecha/Tarea]])</f>
        <v>38504</v>
      </c>
      <c r="F831" s="2">
        <v>98616</v>
      </c>
      <c r="G831" t="s">
        <v>18</v>
      </c>
      <c r="H831">
        <f>F831/Tabla2[[#This Row],[Cosecha Mensual]]</f>
        <v>2.5611884479534592</v>
      </c>
      <c r="I831">
        <f>H831*_xlfn.XLOOKUP(Tabla2[[#This Row],[Unidad de producción]],Tabla3[Medida],Tabla3[Equivalencia en Kg],"ELVIS",0)</f>
        <v>116.17550799916891</v>
      </c>
      <c r="J831">
        <v>286.8492</v>
      </c>
      <c r="K831" t="s">
        <v>18</v>
      </c>
      <c r="L831">
        <f>J831/_xlfn.XLOOKUP(Tabla2[[#This Row],[Unidad de precio]],Tabla3[Medida],Tabla3[Equivalencia en Kg],"ELVIS",0)</f>
        <v>6.3238359788359793</v>
      </c>
      <c r="M831">
        <v>1327.7</v>
      </c>
      <c r="N831" s="2">
        <f>(Tabla2[[#This Row],[Productividad (kg/TAS)]]*Tabla2[[#This Row],[Precio por kg]]-Tabla2[[#This Row],[Costos (En RD$/Tarea)]])</f>
        <v>-593.02514265530851</v>
      </c>
      <c r="O831" s="6">
        <f>IF(Tabla2[[#This Row],[Costos (En RD$/Tarea)]]=0,0,Tabla2[[#This Row],[Beneficio Neto  (En RD$/Tarea)]]/Tabla2[[#This Row],[Costos (En RD$/Tarea)]])</f>
        <v>-0.44665597850064659</v>
      </c>
      <c r="P831" s="4">
        <f>Tabla2[[#This Row],[Rentabilidad (%)]]/12</f>
        <v>-3.7221331541720547E-2</v>
      </c>
    </row>
    <row r="832" spans="1:16" x14ac:dyDescent="0.35">
      <c r="A832" s="1">
        <v>38626</v>
      </c>
      <c r="B832" t="s">
        <v>21</v>
      </c>
      <c r="C832" s="2">
        <v>10508</v>
      </c>
      <c r="D832" s="5" t="s">
        <v>17</v>
      </c>
      <c r="E832" s="2">
        <f>IF(Tabla2[[#This Row],[Frecuencia]]="Annual", Tabla2[[#This Row],[Cosecha/Tarea]]/12,Tabla2[[#This Row],[Cosecha/Tarea]])</f>
        <v>10508</v>
      </c>
      <c r="F832" s="2">
        <v>81590</v>
      </c>
      <c r="G832" t="s">
        <v>18</v>
      </c>
      <c r="H832">
        <f>F832/Tabla2[[#This Row],[Cosecha Mensual]]</f>
        <v>7.7645603349828702</v>
      </c>
      <c r="I832">
        <f>H832*_xlfn.XLOOKUP(Tabla2[[#This Row],[Unidad de producción]],Tabla3[Medida],Tabla3[Equivalencia en Kg],"ELVIS",0)</f>
        <v>352.20045679482297</v>
      </c>
      <c r="J832">
        <v>309.64666666666699</v>
      </c>
      <c r="K832" t="s">
        <v>18</v>
      </c>
      <c r="L832">
        <f>J832/_xlfn.XLOOKUP(Tabla2[[#This Row],[Unidad de precio]],Tabla3[Medida],Tabla3[Equivalencia en Kg],"ELVIS",0)</f>
        <v>6.8264256319811949</v>
      </c>
      <c r="M832">
        <v>2092.86</v>
      </c>
      <c r="N832" s="2">
        <f>(Tabla2[[#This Row],[Productividad (kg/TAS)]]*Tabla2[[#This Row],[Precio por kg]]-Tabla2[[#This Row],[Costos (En RD$/Tarea)]])</f>
        <v>311.41022585966493</v>
      </c>
      <c r="O832" s="6">
        <f>IF(Tabla2[[#This Row],[Costos (En RD$/Tarea)]]=0,0,Tabla2[[#This Row],[Beneficio Neto  (En RD$/Tarea)]]/Tabla2[[#This Row],[Costos (En RD$/Tarea)]])</f>
        <v>0.14879649181486812</v>
      </c>
      <c r="P832" s="4">
        <f>Tabla2[[#This Row],[Rentabilidad (%)]]/12</f>
        <v>1.239970765123901E-2</v>
      </c>
    </row>
    <row r="833" spans="1:16" x14ac:dyDescent="0.35">
      <c r="A833" s="1">
        <v>38626</v>
      </c>
      <c r="B833" t="s">
        <v>22</v>
      </c>
      <c r="C833" s="2">
        <v>3079</v>
      </c>
      <c r="D833" s="5" t="s">
        <v>17</v>
      </c>
      <c r="E833" s="2">
        <f>IF(Tabla2[[#This Row],[Frecuencia]]="Annual", Tabla2[[#This Row],[Cosecha/Tarea]]/12,Tabla2[[#This Row],[Cosecha/Tarea]])</f>
        <v>3079</v>
      </c>
      <c r="F833" s="2">
        <v>24629</v>
      </c>
      <c r="G833" t="s">
        <v>18</v>
      </c>
      <c r="H833">
        <f>F833/Tabla2[[#This Row],[Cosecha Mensual]]</f>
        <v>7.9990256576810657</v>
      </c>
      <c r="I833">
        <f>H833*_xlfn.XLOOKUP(Tabla2[[#This Row],[Unidad de producción]],Tabla3[Medida],Tabla3[Equivalencia en Kg],"ELVIS",0)</f>
        <v>362.83580383241315</v>
      </c>
      <c r="J833">
        <v>900</v>
      </c>
      <c r="K833" t="s">
        <v>18</v>
      </c>
      <c r="L833">
        <f>J833/_xlfn.XLOOKUP(Tabla2[[#This Row],[Unidad de precio]],Tabla3[Medida],Tabla3[Equivalencia en Kg],"ELVIS",0)</f>
        <v>19.841269841269842</v>
      </c>
      <c r="M833">
        <v>5853.83</v>
      </c>
      <c r="N833" s="2">
        <f>(Tabla2[[#This Row],[Productividad (kg/TAS)]]*Tabla2[[#This Row],[Precio por kg]]-Tabla2[[#This Row],[Costos (En RD$/Tarea)]])</f>
        <v>1345.2930919129594</v>
      </c>
      <c r="O833" s="6">
        <f>IF(Tabla2[[#This Row],[Costos (En RD$/Tarea)]]=0,0,Tabla2[[#This Row],[Beneficio Neto  (En RD$/Tarea)]]/Tabla2[[#This Row],[Costos (En RD$/Tarea)]])</f>
        <v>0.22981417156168857</v>
      </c>
      <c r="P833" s="4">
        <f>Tabla2[[#This Row],[Rentabilidad (%)]]/12</f>
        <v>1.9151180963474047E-2</v>
      </c>
    </row>
    <row r="834" spans="1:16" x14ac:dyDescent="0.35">
      <c r="A834" s="1">
        <v>38626</v>
      </c>
      <c r="B834" t="s">
        <v>23</v>
      </c>
      <c r="C834" s="2">
        <v>3196</v>
      </c>
      <c r="D834" s="5" t="s">
        <v>17</v>
      </c>
      <c r="E834" s="2">
        <f>IF(Tabla2[[#This Row],[Frecuencia]]="Annual", Tabla2[[#This Row],[Cosecha/Tarea]]/12,Tabla2[[#This Row],[Cosecha/Tarea]])</f>
        <v>3196</v>
      </c>
      <c r="F834" s="2">
        <v>89380</v>
      </c>
      <c r="G834" t="s">
        <v>18</v>
      </c>
      <c r="H834">
        <f>F834/Tabla2[[#This Row],[Cosecha Mensual]]</f>
        <v>27.966207759699625</v>
      </c>
      <c r="I834">
        <f>H834*_xlfn.XLOOKUP(Tabla2[[#This Row],[Unidad de producción]],Tabla3[Medida],Tabla3[Equivalencia en Kg],"ELVIS",0)</f>
        <v>1268.547183979975</v>
      </c>
      <c r="J834">
        <v>736.66949999999997</v>
      </c>
      <c r="K834" t="s">
        <v>18</v>
      </c>
      <c r="L834">
        <f>J834/_xlfn.XLOOKUP(Tabla2[[#This Row],[Unidad de precio]],Tabla3[Medida],Tabla3[Equivalencia en Kg],"ELVIS",0)</f>
        <v>16.240509259259259</v>
      </c>
      <c r="M834">
        <v>10163.530000000001</v>
      </c>
      <c r="N834" s="2">
        <f>(Tabla2[[#This Row],[Productividad (kg/TAS)]]*Tabla2[[#This Row],[Precio por kg]]-Tabla2[[#This Row],[Costos (En RD$/Tarea)]])</f>
        <v>10438.322287234043</v>
      </c>
      <c r="O834" s="6">
        <f>IF(Tabla2[[#This Row],[Costos (En RD$/Tarea)]]=0,0,Tabla2[[#This Row],[Beneficio Neto  (En RD$/Tarea)]]/Tabla2[[#This Row],[Costos (En RD$/Tarea)]])</f>
        <v>1.027037091171477</v>
      </c>
      <c r="P834" s="4">
        <f>Tabla2[[#This Row],[Rentabilidad (%)]]/12</f>
        <v>8.5586424264289751E-2</v>
      </c>
    </row>
    <row r="835" spans="1:16" x14ac:dyDescent="0.35">
      <c r="A835" s="1">
        <v>38626</v>
      </c>
      <c r="B835" t="s">
        <v>24</v>
      </c>
      <c r="C835" s="2">
        <v>7651</v>
      </c>
      <c r="D835" s="5" t="s">
        <v>17</v>
      </c>
      <c r="E835" s="2">
        <f>IF(Tabla2[[#This Row],[Frecuencia]]="Annual", Tabla2[[#This Row],[Cosecha/Tarea]]/12,Tabla2[[#This Row],[Cosecha/Tarea]])</f>
        <v>7651</v>
      </c>
      <c r="F835" s="2">
        <v>63130</v>
      </c>
      <c r="G835" t="s">
        <v>18</v>
      </c>
      <c r="H835">
        <f>F835/Tabla2[[#This Row],[Cosecha Mensual]]</f>
        <v>8.2512089922885892</v>
      </c>
      <c r="I835">
        <f>H835*_xlfn.XLOOKUP(Tabla2[[#This Row],[Unidad de producción]],Tabla3[Medida],Tabla3[Equivalencia en Kg],"ELVIS",0)</f>
        <v>374.27483989021039</v>
      </c>
      <c r="J835">
        <v>995.625</v>
      </c>
      <c r="K835" t="s">
        <v>18</v>
      </c>
      <c r="L835">
        <f>J835/_xlfn.XLOOKUP(Tabla2[[#This Row],[Unidad de precio]],Tabla3[Medida],Tabla3[Equivalencia en Kg],"ELVIS",0)</f>
        <v>21.949404761904763</v>
      </c>
      <c r="M835">
        <v>4680.83</v>
      </c>
      <c r="N835" s="2">
        <f>(Tabla2[[#This Row],[Productividad (kg/TAS)]]*Tabla2[[#This Row],[Precio por kg]]-Tabla2[[#This Row],[Costos (En RD$/Tarea)]])</f>
        <v>3534.2799529473268</v>
      </c>
      <c r="O835" s="6">
        <f>IF(Tabla2[[#This Row],[Costos (En RD$/Tarea)]]=0,0,Tabla2[[#This Row],[Beneficio Neto  (En RD$/Tarea)]]/Tabla2[[#This Row],[Costos (En RD$/Tarea)]])</f>
        <v>0.75505411496408259</v>
      </c>
      <c r="P835" s="4">
        <f>Tabla2[[#This Row],[Rentabilidad (%)]]/12</f>
        <v>6.2921176247006882E-2</v>
      </c>
    </row>
    <row r="836" spans="1:16" x14ac:dyDescent="0.35">
      <c r="A836" s="1">
        <v>38626</v>
      </c>
      <c r="B836" t="s">
        <v>25</v>
      </c>
      <c r="C836" s="2">
        <v>23596</v>
      </c>
      <c r="D836" s="5" t="s">
        <v>17</v>
      </c>
      <c r="E836" s="2">
        <f>IF(Tabla2[[#This Row],[Frecuencia]]="Annual", Tabla2[[#This Row],[Cosecha/Tarea]]/12,Tabla2[[#This Row],[Cosecha/Tarea]])</f>
        <v>23596</v>
      </c>
      <c r="F836" s="2">
        <v>198800</v>
      </c>
      <c r="G836" t="s">
        <v>18</v>
      </c>
      <c r="H836">
        <f>F836/Tabla2[[#This Row],[Cosecha Mensual]]</f>
        <v>8.4251568062383448</v>
      </c>
      <c r="I836">
        <f>H836*_xlfn.XLOOKUP(Tabla2[[#This Row],[Unidad de producción]],Tabla3[Medida],Tabla3[Equivalencia en Kg],"ELVIS",0)</f>
        <v>382.16511273097132</v>
      </c>
      <c r="J836">
        <v>501.74</v>
      </c>
      <c r="K836" t="s">
        <v>18</v>
      </c>
      <c r="L836">
        <f>J836/_xlfn.XLOOKUP(Tabla2[[#This Row],[Unidad de precio]],Tabla3[Medida],Tabla3[Equivalencia en Kg],"ELVIS",0)</f>
        <v>11.061287477954146</v>
      </c>
      <c r="M836">
        <v>2314.2150000000001</v>
      </c>
      <c r="N836" s="2">
        <f>(Tabla2[[#This Row],[Productividad (kg/TAS)]]*Tabla2[[#This Row],[Precio por kg]]-Tabla2[[#This Row],[Costos (En RD$/Tarea)]])</f>
        <v>1913.0231759620274</v>
      </c>
      <c r="O836" s="6">
        <f>IF(Tabla2[[#This Row],[Costos (En RD$/Tarea)]]=0,0,Tabla2[[#This Row],[Beneficio Neto  (En RD$/Tarea)]]/Tabla2[[#This Row],[Costos (En RD$/Tarea)]])</f>
        <v>0.82664021102707708</v>
      </c>
      <c r="P836" s="4">
        <f>Tabla2[[#This Row],[Rentabilidad (%)]]/12</f>
        <v>6.8886684252256428E-2</v>
      </c>
    </row>
    <row r="837" spans="1:16" x14ac:dyDescent="0.35">
      <c r="A837" s="1">
        <v>38626</v>
      </c>
      <c r="B837" t="s">
        <v>26</v>
      </c>
      <c r="C837" s="2">
        <v>17680</v>
      </c>
      <c r="D837" s="5" t="s">
        <v>17</v>
      </c>
      <c r="E837" s="2">
        <f>IF(Tabla2[[#This Row],[Frecuencia]]="Annual", Tabla2[[#This Row],[Cosecha/Tarea]]/12,Tabla2[[#This Row],[Cosecha/Tarea]])</f>
        <v>17680</v>
      </c>
      <c r="F837" s="2">
        <v>105538</v>
      </c>
      <c r="G837" t="s">
        <v>18</v>
      </c>
      <c r="H837">
        <f>F837/Tabla2[[#This Row],[Cosecha Mensual]]</f>
        <v>5.9693438914027146</v>
      </c>
      <c r="I837">
        <f>H837*_xlfn.XLOOKUP(Tabla2[[#This Row],[Unidad de producción]],Tabla3[Medida],Tabla3[Equivalencia en Kg],"ELVIS",0)</f>
        <v>270.76943891402715</v>
      </c>
      <c r="J837">
        <v>399.27666666666698</v>
      </c>
      <c r="K837" t="s">
        <v>18</v>
      </c>
      <c r="L837">
        <f>J837/_xlfn.XLOOKUP(Tabla2[[#This Row],[Unidad de precio]],Tabla3[Medida],Tabla3[Equivalencia en Kg],"ELVIS",0)</f>
        <v>8.8023956496178783</v>
      </c>
      <c r="M837">
        <v>906.4</v>
      </c>
      <c r="N837" s="2">
        <f>(Tabla2[[#This Row],[Productividad (kg/TAS)]]*Tabla2[[#This Row],[Precio por kg]]-Tabla2[[#This Row],[Costos (En RD$/Tarea)]])</f>
        <v>1477.0197311463062</v>
      </c>
      <c r="O837" s="6">
        <f>IF(Tabla2[[#This Row],[Costos (En RD$/Tarea)]]=0,0,Tabla2[[#This Row],[Beneficio Neto  (En RD$/Tarea)]]/Tabla2[[#This Row],[Costos (En RD$/Tarea)]])</f>
        <v>1.6295451579284048</v>
      </c>
      <c r="P837" s="4">
        <f>Tabla2[[#This Row],[Rentabilidad (%)]]/12</f>
        <v>0.13579542982736706</v>
      </c>
    </row>
    <row r="838" spans="1:16" x14ac:dyDescent="0.35">
      <c r="A838" s="1">
        <v>38626</v>
      </c>
      <c r="B838" t="s">
        <v>27</v>
      </c>
      <c r="C838" s="2">
        <v>3790</v>
      </c>
      <c r="D838" s="5" t="s">
        <v>17</v>
      </c>
      <c r="E838" s="2">
        <f>IF(Tabla2[[#This Row],[Frecuencia]]="Annual", Tabla2[[#This Row],[Cosecha/Tarea]]/12,Tabla2[[#This Row],[Cosecha/Tarea]])</f>
        <v>3790</v>
      </c>
      <c r="F838" s="2">
        <v>27483</v>
      </c>
      <c r="G838" t="s">
        <v>18</v>
      </c>
      <c r="H838">
        <f>F838/Tabla2[[#This Row],[Cosecha Mensual]]</f>
        <v>7.2514511873350926</v>
      </c>
      <c r="I838">
        <f>H838*_xlfn.XLOOKUP(Tabla2[[#This Row],[Unidad de producción]],Tabla3[Medida],Tabla3[Equivalencia en Kg],"ELVIS",0)</f>
        <v>328.92582585751978</v>
      </c>
      <c r="J838">
        <v>304.76112499999999</v>
      </c>
      <c r="K838" t="s">
        <v>18</v>
      </c>
      <c r="L838">
        <f>J838/_xlfn.XLOOKUP(Tabla2[[#This Row],[Unidad de precio]],Tabla3[Medida],Tabla3[Equivalencia en Kg],"ELVIS",0)</f>
        <v>6.7187196869488535</v>
      </c>
      <c r="M838">
        <v>5157.3900000000003</v>
      </c>
      <c r="N838" s="2">
        <f>(Tabla2[[#This Row],[Productividad (kg/TAS)]]*Tabla2[[#This Row],[Precio por kg]]-Tabla2[[#This Row],[Costos (En RD$/Tarea)]])</f>
        <v>-2947.429578265172</v>
      </c>
      <c r="O838" s="6">
        <f>IF(Tabla2[[#This Row],[Costos (En RD$/Tarea)]]=0,0,Tabla2[[#This Row],[Beneficio Neto  (En RD$/Tarea)]]/Tabla2[[#This Row],[Costos (En RD$/Tarea)]])</f>
        <v>-0.57149635343946681</v>
      </c>
      <c r="P838" s="4">
        <f>Tabla2[[#This Row],[Rentabilidad (%)]]/12</f>
        <v>-4.7624696119955567E-2</v>
      </c>
    </row>
    <row r="839" spans="1:16" x14ac:dyDescent="0.35">
      <c r="A839" s="1">
        <v>38626</v>
      </c>
      <c r="B839" t="s">
        <v>28</v>
      </c>
      <c r="C839" s="2">
        <v>19326</v>
      </c>
      <c r="D839" s="5" t="s">
        <v>17</v>
      </c>
      <c r="E839" s="2">
        <f>IF(Tabla2[[#This Row],[Frecuencia]]="Annual", Tabla2[[#This Row],[Cosecha/Tarea]]/12,Tabla2[[#This Row],[Cosecha/Tarea]])</f>
        <v>19326</v>
      </c>
      <c r="F839" s="2">
        <v>50938</v>
      </c>
      <c r="G839" t="s">
        <v>29</v>
      </c>
      <c r="H839">
        <f>F839/Tabla2[[#This Row],[Cosecha Mensual]]</f>
        <v>2.6357238952706199</v>
      </c>
      <c r="I839">
        <f>H839*_xlfn.XLOOKUP(Tabla2[[#This Row],[Unidad de producción]],Tabla3[Medida],Tabla3[Equivalencia en Kg],"ELVIS",0)</f>
        <v>1482.1729752664805</v>
      </c>
      <c r="J839">
        <v>2720.3125</v>
      </c>
      <c r="K839" t="s">
        <v>29</v>
      </c>
      <c r="L839">
        <f>J839/_xlfn.XLOOKUP(Tabla2[[#This Row],[Unidad de precio]],Tabla3[Medida],Tabla3[Equivalencia en Kg],"ELVIS",0)</f>
        <v>4.837487107443895</v>
      </c>
      <c r="M839">
        <v>9027.66</v>
      </c>
      <c r="N839" s="2">
        <f>(Tabla2[[#This Row],[Productividad (kg/TAS)]]*Tabla2[[#This Row],[Precio por kg]]-Tabla2[[#This Row],[Costos (En RD$/Tarea)]])</f>
        <v>-1857.6673411466409</v>
      </c>
      <c r="O839" s="6">
        <f>IF(Tabla2[[#This Row],[Costos (En RD$/Tarea)]]=0,0,Tabla2[[#This Row],[Beneficio Neto  (En RD$/Tarea)]]/Tabla2[[#This Row],[Costos (En RD$/Tarea)]])</f>
        <v>-0.20577506697711709</v>
      </c>
      <c r="P839" s="4">
        <f>Tabla2[[#This Row],[Rentabilidad (%)]]/12</f>
        <v>-1.7147922248093091E-2</v>
      </c>
    </row>
    <row r="840" spans="1:16" x14ac:dyDescent="0.35">
      <c r="A840" s="1">
        <v>38626</v>
      </c>
      <c r="B840" t="s">
        <v>30</v>
      </c>
      <c r="C840" s="2">
        <v>294832</v>
      </c>
      <c r="D840" s="2" t="s">
        <v>31</v>
      </c>
      <c r="E840" s="2">
        <f>IF(Tabla2[[#This Row],[Frecuencia]]="Annual", Tabla2[[#This Row],[Cosecha/Tarea]]/12,Tabla2[[#This Row],[Cosecha/Tarea]])</f>
        <v>24569.333333333332</v>
      </c>
      <c r="F840" s="2">
        <v>2000928</v>
      </c>
      <c r="G840" t="s">
        <v>32</v>
      </c>
      <c r="H840">
        <f>F840/Tabla2[[#This Row],[Cosecha Mensual]]</f>
        <v>81.440060780376626</v>
      </c>
      <c r="I840">
        <f>H840*_xlfn.XLOOKUP(Tabla2[[#This Row],[Unidad de producción]],Tabla3[Medida],Tabla3[Equivalencia en Kg],"ELVIS",0)</f>
        <v>2215.9840538340482</v>
      </c>
      <c r="J840">
        <v>58.3125</v>
      </c>
      <c r="K840" t="s">
        <v>32</v>
      </c>
      <c r="L840">
        <f>J840/_xlfn.XLOOKUP(Tabla2[[#This Row],[Unidad de precio]],Tabla3[Medida],Tabla3[Equivalencia en Kg],"ELVIS",0)</f>
        <v>2.1430540242557883</v>
      </c>
      <c r="M840" s="2">
        <v>7918.62</v>
      </c>
      <c r="N840" s="2">
        <f>(Tabla2[[#This Row],[Productividad (kg/TAS)]]*Tabla2[[#This Row],[Precio por kg]]-Tabla2[[#This Row],[Costos (En RD$/Tarea)]])</f>
        <v>-3169.6464557442878</v>
      </c>
      <c r="O840" s="6">
        <f>IF(Tabla2[[#This Row],[Costos (En RD$/Tarea)]]=0,0,Tabla2[[#This Row],[Beneficio Neto  (En RD$/Tarea)]]/Tabla2[[#This Row],[Costos (En RD$/Tarea)]])</f>
        <v>-0.40027763117112425</v>
      </c>
      <c r="P840" s="4">
        <f>Tabla2[[#This Row],[Rentabilidad (%)]]/12</f>
        <v>-3.3356469264260356E-2</v>
      </c>
    </row>
    <row r="841" spans="1:16" x14ac:dyDescent="0.35">
      <c r="A841" s="1">
        <v>38626</v>
      </c>
      <c r="B841" t="s">
        <v>33</v>
      </c>
      <c r="C841" s="2">
        <v>671649</v>
      </c>
      <c r="D841" s="2" t="s">
        <v>31</v>
      </c>
      <c r="E841" s="2">
        <f>IF(Tabla2[[#This Row],[Frecuencia]]="Annual", Tabla2[[#This Row],[Cosecha/Tarea]]/12,Tabla2[[#This Row],[Cosecha/Tarea]])</f>
        <v>55970.75</v>
      </c>
      <c r="F841" s="2">
        <v>132929</v>
      </c>
      <c r="G841" t="s">
        <v>34</v>
      </c>
      <c r="H841">
        <f>F841/Tabla2[[#This Row],[Cosecha Mensual]]</f>
        <v>2.3749726419603094</v>
      </c>
      <c r="I841">
        <f>H841*_xlfn.XLOOKUP(Tabla2[[#This Row],[Unidad de producción]],Tabla3[Medida],Tabla3[Equivalencia en Kg],"ELVIS",0)</f>
        <v>969.34508381610021</v>
      </c>
      <c r="J841">
        <v>1967.5825</v>
      </c>
      <c r="K841" t="s">
        <v>34</v>
      </c>
      <c r="L841">
        <f>J841/_xlfn.XLOOKUP(Tabla2[[#This Row],[Unidad de precio]],Tabla3[Medida],Tabla3[Equivalencia en Kg],"ELVIS",0)</f>
        <v>4.8207337988484626</v>
      </c>
      <c r="M841" s="2">
        <v>9928.24</v>
      </c>
      <c r="N841" s="2">
        <f>(Tabla2[[#This Row],[Productividad (kg/TAS)]]*Tabla2[[#This Row],[Precio por kg]]-Tabla2[[#This Row],[Costos (En RD$/Tarea)]])</f>
        <v>-5255.2853917001294</v>
      </c>
      <c r="O841" s="6">
        <f>IF(Tabla2[[#This Row],[Costos (En RD$/Tarea)]]=0,0,Tabla2[[#This Row],[Beneficio Neto  (En RD$/Tarea)]]/Tabla2[[#This Row],[Costos (En RD$/Tarea)]])</f>
        <v>-0.52932698964772507</v>
      </c>
      <c r="P841" s="4">
        <f>Tabla2[[#This Row],[Rentabilidad (%)]]/12</f>
        <v>-4.4110582470643755E-2</v>
      </c>
    </row>
    <row r="842" spans="1:16" x14ac:dyDescent="0.35">
      <c r="A842" s="1">
        <v>38657</v>
      </c>
      <c r="B842" t="s">
        <v>16</v>
      </c>
      <c r="C842" s="2">
        <v>611994</v>
      </c>
      <c r="D842" s="5" t="s">
        <v>17</v>
      </c>
      <c r="E842" s="2">
        <f>IF(Tabla2[[#This Row],[Frecuencia]]="Annual", Tabla2[[#This Row],[Cosecha/Tarea]]/12,Tabla2[[#This Row],[Cosecha/Tarea]])</f>
        <v>611994</v>
      </c>
      <c r="F842" s="2">
        <v>1862391</v>
      </c>
      <c r="G842" t="s">
        <v>18</v>
      </c>
      <c r="H842">
        <f>F842/Tabla2[[#This Row],[Cosecha Mensual]]</f>
        <v>3.0431523838469006</v>
      </c>
      <c r="I842">
        <f>H842*_xlfn.XLOOKUP(Tabla2[[#This Row],[Unidad de producción]],Tabla3[Medida],Tabla3[Equivalencia en Kg],"ELVIS",0)</f>
        <v>138.03739213129541</v>
      </c>
      <c r="J842">
        <v>1183.9839999999999</v>
      </c>
      <c r="K842" t="s">
        <v>19</v>
      </c>
      <c r="L842">
        <f>J842/_xlfn.XLOOKUP(Tabla2[[#This Row],[Unidad de precio]],Tabla3[Medida],Tabla3[Equivalencia en Kg],"ELVIS",0)</f>
        <v>10.763490909090908</v>
      </c>
      <c r="M842">
        <v>4807.32</v>
      </c>
      <c r="N842" s="2">
        <f>(Tabla2[[#This Row],[Productividad (kg/TAS)]]*Tabla2[[#This Row],[Precio por kg]]-Tabla2[[#This Row],[Costos (En RD$/Tarea)]])</f>
        <v>-3321.5557846801848</v>
      </c>
      <c r="O842" s="6">
        <f>IF(Tabla2[[#This Row],[Costos (En RD$/Tarea)]]=0,0,Tabla2[[#This Row],[Beneficio Neto  (En RD$/Tarea)]]/Tabla2[[#This Row],[Costos (En RD$/Tarea)]])</f>
        <v>-0.69093710938322916</v>
      </c>
      <c r="P842" s="4">
        <f>Tabla2[[#This Row],[Rentabilidad (%)]]/12</f>
        <v>-5.757809244860243E-2</v>
      </c>
    </row>
    <row r="843" spans="1:16" x14ac:dyDescent="0.35">
      <c r="A843" s="1">
        <v>38657</v>
      </c>
      <c r="B843" t="s">
        <v>20</v>
      </c>
      <c r="C843" s="2">
        <v>36006</v>
      </c>
      <c r="D843" s="5" t="s">
        <v>17</v>
      </c>
      <c r="E843" s="2">
        <f>IF(Tabla2[[#This Row],[Frecuencia]]="Annual", Tabla2[[#This Row],[Cosecha/Tarea]]/12,Tabla2[[#This Row],[Cosecha/Tarea]])</f>
        <v>36006</v>
      </c>
      <c r="F843" s="2">
        <v>66196</v>
      </c>
      <c r="G843" t="s">
        <v>18</v>
      </c>
      <c r="H843">
        <f>F843/Tabla2[[#This Row],[Cosecha Mensual]]</f>
        <v>1.8384713658834639</v>
      </c>
      <c r="I843">
        <f>H843*_xlfn.XLOOKUP(Tabla2[[#This Row],[Unidad de producción]],Tabla3[Medida],Tabla3[Equivalencia en Kg],"ELVIS",0)</f>
        <v>83.393061156473919</v>
      </c>
      <c r="J843">
        <v>297.09693333333303</v>
      </c>
      <c r="K843" t="s">
        <v>18</v>
      </c>
      <c r="L843">
        <f>J843/_xlfn.XLOOKUP(Tabla2[[#This Row],[Unidad de precio]],Tabla3[Medida],Tabla3[Equivalencia en Kg],"ELVIS",0)</f>
        <v>6.5497560258671301</v>
      </c>
      <c r="M843">
        <v>1327.7</v>
      </c>
      <c r="N843" s="2">
        <f>(Tabla2[[#This Row],[Productividad (kg/TAS)]]*Tabla2[[#This Row],[Precio por kg]]-Tabla2[[#This Row],[Costos (En RD$/Tarea)]])</f>
        <v>-781.49579517487894</v>
      </c>
      <c r="O843" s="6">
        <f>IF(Tabla2[[#This Row],[Costos (En RD$/Tarea)]]=0,0,Tabla2[[#This Row],[Beneficio Neto  (En RD$/Tarea)]]/Tabla2[[#This Row],[Costos (En RD$/Tarea)]])</f>
        <v>-0.58860871821562022</v>
      </c>
      <c r="P843" s="4">
        <f>Tabla2[[#This Row],[Rentabilidad (%)]]/12</f>
        <v>-4.9050726517968352E-2</v>
      </c>
    </row>
    <row r="844" spans="1:16" x14ac:dyDescent="0.35">
      <c r="A844" s="1">
        <v>38657</v>
      </c>
      <c r="B844" t="s">
        <v>21</v>
      </c>
      <c r="C844" s="2">
        <v>9293</v>
      </c>
      <c r="D844" s="5" t="s">
        <v>17</v>
      </c>
      <c r="E844" s="2">
        <f>IF(Tabla2[[#This Row],[Frecuencia]]="Annual", Tabla2[[#This Row],[Cosecha/Tarea]]/12,Tabla2[[#This Row],[Cosecha/Tarea]])</f>
        <v>9293</v>
      </c>
      <c r="F844" s="2">
        <v>68028</v>
      </c>
      <c r="G844" t="s">
        <v>18</v>
      </c>
      <c r="H844">
        <f>F844/Tabla2[[#This Row],[Cosecha Mensual]]</f>
        <v>7.3203486495211454</v>
      </c>
      <c r="I844">
        <f>H844*_xlfn.XLOOKUP(Tabla2[[#This Row],[Unidad de producción]],Tabla3[Medida],Tabla3[Equivalencia en Kg],"ELVIS",0)</f>
        <v>332.05101474227916</v>
      </c>
      <c r="J844">
        <v>285.07499999999999</v>
      </c>
      <c r="K844" t="s">
        <v>18</v>
      </c>
      <c r="L844">
        <f>J844/_xlfn.XLOOKUP(Tabla2[[#This Row],[Unidad de precio]],Tabla3[Medida],Tabla3[Equivalencia en Kg],"ELVIS",0)</f>
        <v>6.2847222222222223</v>
      </c>
      <c r="M844">
        <v>2092.86</v>
      </c>
      <c r="N844" s="2">
        <f>(Tabla2[[#This Row],[Productividad (kg/TAS)]]*Tabla2[[#This Row],[Precio por kg]]-Tabla2[[#This Row],[Costos (En RD$/Tarea)]])</f>
        <v>-6.0116087377596159</v>
      </c>
      <c r="O844" s="6">
        <f>IF(Tabla2[[#This Row],[Costos (En RD$/Tarea)]]=0,0,Tabla2[[#This Row],[Beneficio Neto  (En RD$/Tarea)]]/Tabla2[[#This Row],[Costos (En RD$/Tarea)]])</f>
        <v>-2.8724371136911288E-3</v>
      </c>
      <c r="P844" s="4">
        <f>Tabla2[[#This Row],[Rentabilidad (%)]]/12</f>
        <v>-2.3936975947426073E-4</v>
      </c>
    </row>
    <row r="845" spans="1:16" x14ac:dyDescent="0.35">
      <c r="A845" s="1">
        <v>38657</v>
      </c>
      <c r="B845" t="s">
        <v>22</v>
      </c>
      <c r="C845" s="2">
        <v>4111</v>
      </c>
      <c r="D845" s="5" t="s">
        <v>17</v>
      </c>
      <c r="E845" s="2">
        <f>IF(Tabla2[[#This Row],[Frecuencia]]="Annual", Tabla2[[#This Row],[Cosecha/Tarea]]/12,Tabla2[[#This Row],[Cosecha/Tarea]])</f>
        <v>4111</v>
      </c>
      <c r="F845" s="2">
        <v>22388</v>
      </c>
      <c r="G845" t="s">
        <v>18</v>
      </c>
      <c r="H845">
        <f>F845/Tabla2[[#This Row],[Cosecha Mensual]]</f>
        <v>5.4458769155923132</v>
      </c>
      <c r="I845">
        <f>H845*_xlfn.XLOOKUP(Tabla2[[#This Row],[Unidad de producción]],Tabla3[Medida],Tabla3[Equivalencia en Kg],"ELVIS",0)</f>
        <v>247.02497689126733</v>
      </c>
      <c r="J845">
        <v>866.66666666666697</v>
      </c>
      <c r="K845" t="s">
        <v>18</v>
      </c>
      <c r="L845">
        <f>J845/_xlfn.XLOOKUP(Tabla2[[#This Row],[Unidad de precio]],Tabla3[Medida],Tabla3[Equivalencia en Kg],"ELVIS",0)</f>
        <v>19.106407995296891</v>
      </c>
      <c r="M845">
        <v>5853.83</v>
      </c>
      <c r="N845" s="2">
        <f>(Tabla2[[#This Row],[Productividad (kg/TAS)]]*Tabla2[[#This Row],[Precio por kg]]-Tabla2[[#This Row],[Costos (En RD$/Tarea)]])</f>
        <v>-1134.0700064866605</v>
      </c>
      <c r="O845" s="6">
        <f>IF(Tabla2[[#This Row],[Costos (En RD$/Tarea)]]=0,0,Tabla2[[#This Row],[Beneficio Neto  (En RD$/Tarea)]]/Tabla2[[#This Row],[Costos (En RD$/Tarea)]])</f>
        <v>-0.19373128472925599</v>
      </c>
      <c r="P845" s="4">
        <f>Tabla2[[#This Row],[Rentabilidad (%)]]/12</f>
        <v>-1.6144273727437999E-2</v>
      </c>
    </row>
    <row r="846" spans="1:16" x14ac:dyDescent="0.35">
      <c r="A846" s="1">
        <v>38657</v>
      </c>
      <c r="B846" t="s">
        <v>23</v>
      </c>
      <c r="C846" s="2">
        <v>2506</v>
      </c>
      <c r="D846" s="5" t="s">
        <v>17</v>
      </c>
      <c r="E846" s="2">
        <f>IF(Tabla2[[#This Row],[Frecuencia]]="Annual", Tabla2[[#This Row],[Cosecha/Tarea]]/12,Tabla2[[#This Row],[Cosecha/Tarea]])</f>
        <v>2506</v>
      </c>
      <c r="F846" s="2">
        <v>66560</v>
      </c>
      <c r="G846" t="s">
        <v>18</v>
      </c>
      <c r="H846">
        <f>F846/Tabla2[[#This Row],[Cosecha Mensual]]</f>
        <v>26.560255387071031</v>
      </c>
      <c r="I846">
        <f>H846*_xlfn.XLOOKUP(Tabla2[[#This Row],[Unidad de producción]],Tabla3[Medida],Tabla3[Equivalencia en Kg],"ELVIS",0)</f>
        <v>1204.773184357542</v>
      </c>
      <c r="J846">
        <v>700</v>
      </c>
      <c r="K846" t="s">
        <v>18</v>
      </c>
      <c r="L846">
        <f>J846/_xlfn.XLOOKUP(Tabla2[[#This Row],[Unidad de precio]],Tabla3[Medida],Tabla3[Equivalencia en Kg],"ELVIS",0)</f>
        <v>15.4320987654321</v>
      </c>
      <c r="M846">
        <v>10163.530000000001</v>
      </c>
      <c r="N846" s="2">
        <f>(Tabla2[[#This Row],[Productividad (kg/TAS)]]*Tabla2[[#This Row],[Precio por kg]]-Tabla2[[#This Row],[Costos (En RD$/Tarea)]])</f>
        <v>8428.6487709497251</v>
      </c>
      <c r="O846" s="6">
        <f>IF(Tabla2[[#This Row],[Costos (En RD$/Tarea)]]=0,0,Tabla2[[#This Row],[Beneficio Neto  (En RD$/Tarea)]]/Tabla2[[#This Row],[Costos (En RD$/Tarea)]])</f>
        <v>0.82930328054816826</v>
      </c>
      <c r="P846" s="4">
        <f>Tabla2[[#This Row],[Rentabilidad (%)]]/12</f>
        <v>6.9108606712347351E-2</v>
      </c>
    </row>
    <row r="847" spans="1:16" x14ac:dyDescent="0.35">
      <c r="A847" s="1">
        <v>38657</v>
      </c>
      <c r="B847" t="s">
        <v>24</v>
      </c>
      <c r="C847" s="2">
        <v>5115</v>
      </c>
      <c r="D847" s="5" t="s">
        <v>17</v>
      </c>
      <c r="E847" s="2">
        <f>IF(Tabla2[[#This Row],[Frecuencia]]="Annual", Tabla2[[#This Row],[Cosecha/Tarea]]/12,Tabla2[[#This Row],[Cosecha/Tarea]])</f>
        <v>5115</v>
      </c>
      <c r="F847" s="2">
        <v>35379</v>
      </c>
      <c r="G847" t="s">
        <v>18</v>
      </c>
      <c r="H847">
        <f>F847/Tabla2[[#This Row],[Cosecha Mensual]]</f>
        <v>6.9167155425219944</v>
      </c>
      <c r="I847">
        <f>H847*_xlfn.XLOOKUP(Tabla2[[#This Row],[Unidad de producción]],Tabla3[Medida],Tabla3[Equivalencia en Kg],"ELVIS",0)</f>
        <v>313.74221700879764</v>
      </c>
      <c r="J847">
        <v>940.3125</v>
      </c>
      <c r="K847" t="s">
        <v>18</v>
      </c>
      <c r="L847">
        <f>J847/_xlfn.XLOOKUP(Tabla2[[#This Row],[Unidad de precio]],Tabla3[Medida],Tabla3[Equivalencia en Kg],"ELVIS",0)</f>
        <v>20.729993386243386</v>
      </c>
      <c r="M847">
        <v>4680.83</v>
      </c>
      <c r="N847" s="2">
        <f>(Tabla2[[#This Row],[Productividad (kg/TAS)]]*Tabla2[[#This Row],[Precio por kg]]-Tabla2[[#This Row],[Costos (En RD$/Tarea)]])</f>
        <v>1823.0440835777126</v>
      </c>
      <c r="O847" s="6">
        <f>IF(Tabla2[[#This Row],[Costos (En RD$/Tarea)]]=0,0,Tabla2[[#This Row],[Beneficio Neto  (En RD$/Tarea)]]/Tabla2[[#This Row],[Costos (En RD$/Tarea)]])</f>
        <v>0.38947026138050572</v>
      </c>
      <c r="P847" s="4">
        <f>Tabla2[[#This Row],[Rentabilidad (%)]]/12</f>
        <v>3.2455855115042141E-2</v>
      </c>
    </row>
    <row r="848" spans="1:16" x14ac:dyDescent="0.35">
      <c r="A848" s="1">
        <v>38657</v>
      </c>
      <c r="B848" t="s">
        <v>25</v>
      </c>
      <c r="C848" s="2">
        <v>26278</v>
      </c>
      <c r="D848" s="5" t="s">
        <v>17</v>
      </c>
      <c r="E848" s="2">
        <f>IF(Tabla2[[#This Row],[Frecuencia]]="Annual", Tabla2[[#This Row],[Cosecha/Tarea]]/12,Tabla2[[#This Row],[Cosecha/Tarea]])</f>
        <v>26278</v>
      </c>
      <c r="F848" s="2">
        <v>265179</v>
      </c>
      <c r="G848" t="s">
        <v>18</v>
      </c>
      <c r="H848">
        <f>F848/Tabla2[[#This Row],[Cosecha Mensual]]</f>
        <v>10.09129309688713</v>
      </c>
      <c r="I848">
        <f>H848*_xlfn.XLOOKUP(Tabla2[[#This Row],[Unidad de producción]],Tabla3[Medida],Tabla3[Equivalencia en Kg],"ELVIS",0)</f>
        <v>457.74105487480017</v>
      </c>
      <c r="J848">
        <v>375.57600000000002</v>
      </c>
      <c r="K848" t="s">
        <v>18</v>
      </c>
      <c r="L848">
        <f>J848/_xlfn.XLOOKUP(Tabla2[[#This Row],[Unidad de precio]],Tabla3[Medida],Tabla3[Equivalencia en Kg],"ELVIS",0)</f>
        <v>8.2798941798941801</v>
      </c>
      <c r="M848">
        <v>2314.2150000000001</v>
      </c>
      <c r="N848" s="2">
        <f>(Tabla2[[#This Row],[Productividad (kg/TAS)]]*Tabla2[[#This Row],[Precio por kg]]-Tabla2[[#This Row],[Costos (En RD$/Tarea)]])</f>
        <v>1475.8324961564804</v>
      </c>
      <c r="O848" s="6">
        <f>IF(Tabla2[[#This Row],[Costos (En RD$/Tarea)]]=0,0,Tabla2[[#This Row],[Beneficio Neto  (En RD$/Tarea)]]/Tabla2[[#This Row],[Costos (En RD$/Tarea)]])</f>
        <v>0.63772488561195928</v>
      </c>
      <c r="P848" s="4">
        <f>Tabla2[[#This Row],[Rentabilidad (%)]]/12</f>
        <v>5.3143740467663271E-2</v>
      </c>
    </row>
    <row r="849" spans="1:16" x14ac:dyDescent="0.35">
      <c r="A849" s="1">
        <v>38657</v>
      </c>
      <c r="B849" t="s">
        <v>26</v>
      </c>
      <c r="C849" s="2">
        <v>14305</v>
      </c>
      <c r="D849" s="5" t="s">
        <v>17</v>
      </c>
      <c r="E849" s="2">
        <f>IF(Tabla2[[#This Row],[Frecuencia]]="Annual", Tabla2[[#This Row],[Cosecha/Tarea]]/12,Tabla2[[#This Row],[Cosecha/Tarea]])</f>
        <v>14305</v>
      </c>
      <c r="F849" s="2">
        <v>86355</v>
      </c>
      <c r="G849" t="s">
        <v>18</v>
      </c>
      <c r="H849">
        <f>F849/Tabla2[[#This Row],[Cosecha Mensual]]</f>
        <v>6.0367004543865779</v>
      </c>
      <c r="I849">
        <f>H849*_xlfn.XLOOKUP(Tabla2[[#This Row],[Unidad de producción]],Tabla3[Medida],Tabla3[Equivalencia en Kg],"ELVIS",0)</f>
        <v>273.82473261097516</v>
      </c>
      <c r="J849">
        <v>357.25</v>
      </c>
      <c r="K849" t="s">
        <v>18</v>
      </c>
      <c r="L849">
        <f>J849/_xlfn.XLOOKUP(Tabla2[[#This Row],[Unidad de precio]],Tabla3[Medida],Tabla3[Equivalencia en Kg],"ELVIS",0)</f>
        <v>7.8758818342151677</v>
      </c>
      <c r="M849">
        <v>906.4</v>
      </c>
      <c r="N849" s="2">
        <f>(Tabla2[[#This Row],[Productividad (kg/TAS)]]*Tabla2[[#This Row],[Precio por kg]]-Tabla2[[#This Row],[Costos (En RD$/Tarea)]])</f>
        <v>1250.211237329605</v>
      </c>
      <c r="O849" s="6">
        <f>IF(Tabla2[[#This Row],[Costos (En RD$/Tarea)]]=0,0,Tabla2[[#This Row],[Beneficio Neto  (En RD$/Tarea)]]/Tabla2[[#This Row],[Costos (En RD$/Tarea)]])</f>
        <v>1.3793151338587875</v>
      </c>
      <c r="P849" s="4">
        <f>Tabla2[[#This Row],[Rentabilidad (%)]]/12</f>
        <v>0.11494292782156562</v>
      </c>
    </row>
    <row r="850" spans="1:16" x14ac:dyDescent="0.35">
      <c r="A850" s="1">
        <v>38657</v>
      </c>
      <c r="B850" t="s">
        <v>27</v>
      </c>
      <c r="C850" s="2">
        <v>5016</v>
      </c>
      <c r="D850" s="5" t="s">
        <v>17</v>
      </c>
      <c r="E850" s="2">
        <f>IF(Tabla2[[#This Row],[Frecuencia]]="Annual", Tabla2[[#This Row],[Cosecha/Tarea]]/12,Tabla2[[#This Row],[Cosecha/Tarea]])</f>
        <v>5016</v>
      </c>
      <c r="F850" s="2">
        <v>38728</v>
      </c>
      <c r="G850" t="s">
        <v>18</v>
      </c>
      <c r="H850">
        <f>F850/Tabla2[[#This Row],[Cosecha Mensual]]</f>
        <v>7.7208931419457736</v>
      </c>
      <c r="I850">
        <f>H850*_xlfn.XLOOKUP(Tabla2[[#This Row],[Unidad de producción]],Tabla3[Medida],Tabla3[Equivalencia en Kg],"ELVIS",0)</f>
        <v>350.21971291866026</v>
      </c>
      <c r="J850">
        <v>293.10590000000002</v>
      </c>
      <c r="K850" t="s">
        <v>18</v>
      </c>
      <c r="L850">
        <f>J850/_xlfn.XLOOKUP(Tabla2[[#This Row],[Unidad de precio]],Tabla3[Medida],Tabla3[Equivalencia en Kg],"ELVIS",0)</f>
        <v>6.4617702821869489</v>
      </c>
      <c r="M850">
        <v>5157.3900000000003</v>
      </c>
      <c r="N850" s="2">
        <f>(Tabla2[[#This Row],[Productividad (kg/TAS)]]*Tabla2[[#This Row],[Precio por kg]]-Tabla2[[#This Row],[Costos (En RD$/Tarea)]])</f>
        <v>-2894.3506668261566</v>
      </c>
      <c r="O850" s="6">
        <f>IF(Tabla2[[#This Row],[Costos (En RD$/Tarea)]]=0,0,Tabla2[[#This Row],[Beneficio Neto  (En RD$/Tarea)]]/Tabla2[[#This Row],[Costos (En RD$/Tarea)]])</f>
        <v>-0.56120453695108508</v>
      </c>
      <c r="P850" s="4">
        <f>Tabla2[[#This Row],[Rentabilidad (%)]]/12</f>
        <v>-4.6767044745923754E-2</v>
      </c>
    </row>
    <row r="851" spans="1:16" x14ac:dyDescent="0.35">
      <c r="A851" s="1">
        <v>38657</v>
      </c>
      <c r="B851" t="s">
        <v>28</v>
      </c>
      <c r="C851" s="2">
        <v>44680</v>
      </c>
      <c r="D851" s="5" t="s">
        <v>17</v>
      </c>
      <c r="E851" s="2">
        <f>IF(Tabla2[[#This Row],[Frecuencia]]="Annual", Tabla2[[#This Row],[Cosecha/Tarea]]/12,Tabla2[[#This Row],[Cosecha/Tarea]])</f>
        <v>44680</v>
      </c>
      <c r="F851" s="2">
        <v>48507</v>
      </c>
      <c r="G851" t="s">
        <v>29</v>
      </c>
      <c r="H851">
        <f>F851/Tabla2[[#This Row],[Cosecha Mensual]]</f>
        <v>1.0856535362578335</v>
      </c>
      <c r="I851">
        <f>H851*_xlfn.XLOOKUP(Tabla2[[#This Row],[Unidad de producción]],Tabla3[Medida],Tabla3[Equivalencia en Kg],"ELVIS",0)</f>
        <v>610.50640957923008</v>
      </c>
      <c r="J851">
        <v>3058.3333333333298</v>
      </c>
      <c r="K851" t="s">
        <v>29</v>
      </c>
      <c r="L851">
        <f>J851/_xlfn.XLOOKUP(Tabla2[[#This Row],[Unidad de precio]],Tabla3[Medida],Tabla3[Equivalencia en Kg],"ELVIS",0)</f>
        <v>5.4385840120449007</v>
      </c>
      <c r="M851">
        <v>9027.66</v>
      </c>
      <c r="N851" s="2">
        <f>(Tabla2[[#This Row],[Productividad (kg/TAS)]]*Tabla2[[#This Row],[Precio por kg]]-Tabla2[[#This Row],[Costos (En RD$/Tarea)]])</f>
        <v>-5707.3696016114627</v>
      </c>
      <c r="O851" s="6">
        <f>IF(Tabla2[[#This Row],[Costos (En RD$/Tarea)]]=0,0,Tabla2[[#This Row],[Beneficio Neto  (En RD$/Tarea)]]/Tabla2[[#This Row],[Costos (En RD$/Tarea)]])</f>
        <v>-0.63220918838452744</v>
      </c>
      <c r="P851" s="4">
        <f>Tabla2[[#This Row],[Rentabilidad (%)]]/12</f>
        <v>-5.2684099032043956E-2</v>
      </c>
    </row>
    <row r="852" spans="1:16" x14ac:dyDescent="0.35">
      <c r="A852" s="1">
        <v>38657</v>
      </c>
      <c r="B852" t="s">
        <v>30</v>
      </c>
      <c r="C852" s="2">
        <v>296342</v>
      </c>
      <c r="D852" s="2" t="s">
        <v>31</v>
      </c>
      <c r="E852" s="2">
        <f>IF(Tabla2[[#This Row],[Frecuencia]]="Annual", Tabla2[[#This Row],[Cosecha/Tarea]]/12,Tabla2[[#This Row],[Cosecha/Tarea]])</f>
        <v>24695.166666666668</v>
      </c>
      <c r="F852" s="2">
        <v>1842393</v>
      </c>
      <c r="G852" t="s">
        <v>32</v>
      </c>
      <c r="H852">
        <f>F852/Tabla2[[#This Row],[Cosecha Mensual]]</f>
        <v>74.605408615721018</v>
      </c>
      <c r="I852">
        <f>H852*_xlfn.XLOOKUP(Tabla2[[#This Row],[Unidad de producción]],Tabla3[Medida],Tabla3[Equivalencia en Kg],"ELVIS",0)</f>
        <v>2030.0131684337689</v>
      </c>
      <c r="J852">
        <v>64.488</v>
      </c>
      <c r="K852" t="s">
        <v>32</v>
      </c>
      <c r="L852">
        <f>J852/_xlfn.XLOOKUP(Tabla2[[#This Row],[Unidad de precio]],Tabla3[Medida],Tabla3[Equivalencia en Kg],"ELVIS",0)</f>
        <v>2.3700110253583242</v>
      </c>
      <c r="M852" s="2">
        <v>7918.62</v>
      </c>
      <c r="N852" s="2">
        <f>(Tabla2[[#This Row],[Productividad (kg/TAS)]]*Tabla2[[#This Row],[Precio por kg]]-Tabla2[[#This Row],[Costos (En RD$/Tarea)]])</f>
        <v>-3107.4664091893828</v>
      </c>
      <c r="O852" s="6">
        <f>IF(Tabla2[[#This Row],[Costos (En RD$/Tarea)]]=0,0,Tabla2[[#This Row],[Beneficio Neto  (En RD$/Tarea)]]/Tabla2[[#This Row],[Costos (En RD$/Tarea)]])</f>
        <v>-0.39242524697351089</v>
      </c>
      <c r="P852" s="4">
        <f>Tabla2[[#This Row],[Rentabilidad (%)]]/12</f>
        <v>-3.2702103914459241E-2</v>
      </c>
    </row>
    <row r="853" spans="1:16" x14ac:dyDescent="0.35">
      <c r="A853" s="1">
        <v>38657</v>
      </c>
      <c r="B853" t="s">
        <v>33</v>
      </c>
      <c r="C853" s="2">
        <v>661723</v>
      </c>
      <c r="D853" s="2" t="s">
        <v>31</v>
      </c>
      <c r="E853" s="2">
        <f>IF(Tabla2[[#This Row],[Frecuencia]]="Annual", Tabla2[[#This Row],[Cosecha/Tarea]]/12,Tabla2[[#This Row],[Cosecha/Tarea]])</f>
        <v>55143.583333333336</v>
      </c>
      <c r="F853" s="2">
        <v>109503</v>
      </c>
      <c r="G853" t="s">
        <v>34</v>
      </c>
      <c r="H853">
        <f>F853/Tabla2[[#This Row],[Cosecha Mensual]]</f>
        <v>1.9857795482399734</v>
      </c>
      <c r="I853">
        <f>H853*_xlfn.XLOOKUP(Tabla2[[#This Row],[Unidad de producción]],Tabla3[Medida],Tabla3[Equivalencia en Kg],"ELVIS",0)</f>
        <v>810.49592261414512</v>
      </c>
      <c r="J853">
        <v>2464.6660000000002</v>
      </c>
      <c r="K853" t="s">
        <v>34</v>
      </c>
      <c r="L853">
        <f>J853/_xlfn.XLOOKUP(Tabla2[[#This Row],[Unidad de precio]],Tabla3[Medida],Tabla3[Equivalencia en Kg],"ELVIS",0)</f>
        <v>6.0386279554085514</v>
      </c>
      <c r="M853" s="2">
        <v>9928.24</v>
      </c>
      <c r="N853" s="2">
        <f>(Tabla2[[#This Row],[Productividad (kg/TAS)]]*Tabla2[[#This Row],[Precio por kg]]-Tabla2[[#This Row],[Costos (En RD$/Tarea)]])</f>
        <v>-5033.9566639575769</v>
      </c>
      <c r="O853" s="6">
        <f>IF(Tabla2[[#This Row],[Costos (En RD$/Tarea)]]=0,0,Tabla2[[#This Row],[Beneficio Neto  (En RD$/Tarea)]]/Tabla2[[#This Row],[Costos (En RD$/Tarea)]])</f>
        <v>-0.50703414340885966</v>
      </c>
      <c r="P853" s="4">
        <f>Tabla2[[#This Row],[Rentabilidad (%)]]/12</f>
        <v>-4.2252845284071638E-2</v>
      </c>
    </row>
    <row r="854" spans="1:16" x14ac:dyDescent="0.35">
      <c r="A854" s="1">
        <v>38687</v>
      </c>
      <c r="B854" t="s">
        <v>16</v>
      </c>
      <c r="C854" s="2">
        <v>90914</v>
      </c>
      <c r="D854" s="5" t="s">
        <v>17</v>
      </c>
      <c r="E854" s="2">
        <f>IF(Tabla2[[#This Row],[Frecuencia]]="Annual", Tabla2[[#This Row],[Cosecha/Tarea]]/12,Tabla2[[#This Row],[Cosecha/Tarea]])</f>
        <v>90914</v>
      </c>
      <c r="F854" s="2">
        <v>328051</v>
      </c>
      <c r="G854" t="s">
        <v>18</v>
      </c>
      <c r="H854">
        <f>F854/Tabla2[[#This Row],[Cosecha Mensual]]</f>
        <v>3.6083661482279958</v>
      </c>
      <c r="I854">
        <f>H854*_xlfn.XLOOKUP(Tabla2[[#This Row],[Unidad de producción]],Tabla3[Medida],Tabla3[Equivalencia en Kg],"ELVIS",0)</f>
        <v>163.67548848362188</v>
      </c>
      <c r="J854">
        <v>1102.8716666666701</v>
      </c>
      <c r="K854" t="s">
        <v>19</v>
      </c>
      <c r="L854">
        <f>J854/_xlfn.XLOOKUP(Tabla2[[#This Row],[Unidad de precio]],Tabla3[Medida],Tabla3[Equivalencia en Kg],"ELVIS",0)</f>
        <v>10.026106060606091</v>
      </c>
      <c r="M854">
        <v>4807.32</v>
      </c>
      <c r="N854" s="2">
        <f>(Tabla2[[#This Row],[Productividad (kg/TAS)]]*Tabla2[[#This Row],[Precio por kg]]-Tabla2[[#This Row],[Costos (En RD$/Tarea)]])</f>
        <v>-3166.2921929416962</v>
      </c>
      <c r="O854" s="6">
        <f>IF(Tabla2[[#This Row],[Costos (En RD$/Tarea)]]=0,0,Tabla2[[#This Row],[Beneficio Neto  (En RD$/Tarea)]]/Tabla2[[#This Row],[Costos (En RD$/Tarea)]])</f>
        <v>-0.65863978119652866</v>
      </c>
      <c r="P854" s="4">
        <f>Tabla2[[#This Row],[Rentabilidad (%)]]/12</f>
        <v>-5.4886648433044055E-2</v>
      </c>
    </row>
    <row r="855" spans="1:16" x14ac:dyDescent="0.35">
      <c r="A855" s="1">
        <v>38687</v>
      </c>
      <c r="B855" t="s">
        <v>20</v>
      </c>
      <c r="C855" s="2">
        <v>31395</v>
      </c>
      <c r="D855" s="5" t="s">
        <v>17</v>
      </c>
      <c r="E855" s="2">
        <f>IF(Tabla2[[#This Row],[Frecuencia]]="Annual", Tabla2[[#This Row],[Cosecha/Tarea]]/12,Tabla2[[#This Row],[Cosecha/Tarea]])</f>
        <v>31395</v>
      </c>
      <c r="F855" s="2">
        <v>54371</v>
      </c>
      <c r="G855" t="s">
        <v>18</v>
      </c>
      <c r="H855">
        <f>F855/Tabla2[[#This Row],[Cosecha Mensual]]</f>
        <v>1.7318362796623665</v>
      </c>
      <c r="I855">
        <f>H855*_xlfn.XLOOKUP(Tabla2[[#This Row],[Unidad de producción]],Tabla3[Medida],Tabla3[Equivalencia en Kg],"ELVIS",0)</f>
        <v>78.55609364548495</v>
      </c>
      <c r="J855">
        <v>296.25291428571398</v>
      </c>
      <c r="K855" t="s">
        <v>18</v>
      </c>
      <c r="L855">
        <f>J855/_xlfn.XLOOKUP(Tabla2[[#This Row],[Unidad de precio]],Tabla3[Medida],Tabla3[Equivalencia en Kg],"ELVIS",0)</f>
        <v>6.5311489040060406</v>
      </c>
      <c r="M855">
        <v>1327.7</v>
      </c>
      <c r="N855" s="2">
        <f>(Tabla2[[#This Row],[Productividad (kg/TAS)]]*Tabla2[[#This Row],[Precio por kg]]-Tabla2[[#This Row],[Costos (En RD$/Tarea)]])</f>
        <v>-814.63845508429517</v>
      </c>
      <c r="O855" s="6">
        <f>IF(Tabla2[[#This Row],[Costos (En RD$/Tarea)]]=0,0,Tabla2[[#This Row],[Beneficio Neto  (En RD$/Tarea)]]/Tabla2[[#This Row],[Costos (En RD$/Tarea)]])</f>
        <v>-0.61357117954680662</v>
      </c>
      <c r="P855" s="4">
        <f>Tabla2[[#This Row],[Rentabilidad (%)]]/12</f>
        <v>-5.1130931628900554E-2</v>
      </c>
    </row>
    <row r="856" spans="1:16" x14ac:dyDescent="0.35">
      <c r="A856" s="1">
        <v>38687</v>
      </c>
      <c r="B856" t="s">
        <v>21</v>
      </c>
      <c r="C856" s="2">
        <v>5382</v>
      </c>
      <c r="D856" s="5" t="s">
        <v>17</v>
      </c>
      <c r="E856" s="2">
        <f>IF(Tabla2[[#This Row],[Frecuencia]]="Annual", Tabla2[[#This Row],[Cosecha/Tarea]]/12,Tabla2[[#This Row],[Cosecha/Tarea]])</f>
        <v>5382</v>
      </c>
      <c r="F856" s="2">
        <v>43941</v>
      </c>
      <c r="G856" t="s">
        <v>18</v>
      </c>
      <c r="H856">
        <f>F856/Tabla2[[#This Row],[Cosecha Mensual]]</f>
        <v>8.1644370122630985</v>
      </c>
      <c r="I856">
        <f>H856*_xlfn.XLOOKUP(Tabla2[[#This Row],[Unidad de producción]],Tabla3[Medida],Tabla3[Equivalencia en Kg],"ELVIS",0)</f>
        <v>370.33886287625415</v>
      </c>
      <c r="J856">
        <v>284.992166666667</v>
      </c>
      <c r="K856" t="s">
        <v>18</v>
      </c>
      <c r="L856">
        <f>J856/_xlfn.XLOOKUP(Tabla2[[#This Row],[Unidad de precio]],Tabla3[Medida],Tabla3[Equivalencia en Kg],"ELVIS",0)</f>
        <v>6.2828960905349867</v>
      </c>
      <c r="M856">
        <v>2092.86</v>
      </c>
      <c r="N856" s="2">
        <f>(Tabla2[[#This Row],[Productividad (kg/TAS)]]*Tabla2[[#This Row],[Precio por kg]]-Tabla2[[#This Row],[Costos (En RD$/Tarea)]])</f>
        <v>233.94059373838945</v>
      </c>
      <c r="O856" s="6">
        <f>IF(Tabla2[[#This Row],[Costos (En RD$/Tarea)]]=0,0,Tabla2[[#This Row],[Beneficio Neto  (En RD$/Tarea)]]/Tabla2[[#This Row],[Costos (En RD$/Tarea)]])</f>
        <v>0.11178033587453984</v>
      </c>
      <c r="P856" s="4">
        <f>Tabla2[[#This Row],[Rentabilidad (%)]]/12</f>
        <v>9.3150279895449859E-3</v>
      </c>
    </row>
    <row r="857" spans="1:16" x14ac:dyDescent="0.35">
      <c r="A857" s="1">
        <v>38687</v>
      </c>
      <c r="B857" t="s">
        <v>22</v>
      </c>
      <c r="C857" s="2">
        <v>4221</v>
      </c>
      <c r="D857" s="5" t="s">
        <v>17</v>
      </c>
      <c r="E857" s="2">
        <f>IF(Tabla2[[#This Row],[Frecuencia]]="Annual", Tabla2[[#This Row],[Cosecha/Tarea]]/12,Tabla2[[#This Row],[Cosecha/Tarea]])</f>
        <v>4221</v>
      </c>
      <c r="F857" s="2">
        <v>35446</v>
      </c>
      <c r="G857" t="s">
        <v>18</v>
      </c>
      <c r="H857">
        <f>F857/Tabla2[[#This Row],[Cosecha Mensual]]</f>
        <v>8.3975361288794126</v>
      </c>
      <c r="I857">
        <f>H857*_xlfn.XLOOKUP(Tabla2[[#This Row],[Unidad de producción]],Tabla3[Medida],Tabla3[Equivalencia en Kg],"ELVIS",0)</f>
        <v>380.91223880597016</v>
      </c>
      <c r="J857">
        <v>810.41750000000002</v>
      </c>
      <c r="K857" t="s">
        <v>18</v>
      </c>
      <c r="L857">
        <f>J857/_xlfn.XLOOKUP(Tabla2[[#This Row],[Unidad de precio]],Tabla3[Medida],Tabla3[Equivalencia en Kg],"ELVIS",0)</f>
        <v>17.866347001763668</v>
      </c>
      <c r="M857">
        <v>5853.83</v>
      </c>
      <c r="N857" s="2">
        <f>(Tabla2[[#This Row],[Productividad (kg/TAS)]]*Tabla2[[#This Row],[Precio por kg]]-Tabla2[[#This Row],[Costos (En RD$/Tarea)]])</f>
        <v>951.68023572613129</v>
      </c>
      <c r="O857" s="6">
        <f>IF(Tabla2[[#This Row],[Costos (En RD$/Tarea)]]=0,0,Tabla2[[#This Row],[Beneficio Neto  (En RD$/Tarea)]]/Tabla2[[#This Row],[Costos (En RD$/Tarea)]])</f>
        <v>0.16257394487474547</v>
      </c>
      <c r="P857" s="4">
        <f>Tabla2[[#This Row],[Rentabilidad (%)]]/12</f>
        <v>1.3547828739562123E-2</v>
      </c>
    </row>
    <row r="858" spans="1:16" x14ac:dyDescent="0.35">
      <c r="A858" s="1">
        <v>38687</v>
      </c>
      <c r="B858" t="s">
        <v>23</v>
      </c>
      <c r="C858" s="2">
        <v>1317</v>
      </c>
      <c r="D858" s="5" t="s">
        <v>17</v>
      </c>
      <c r="E858" s="2">
        <f>IF(Tabla2[[#This Row],[Frecuencia]]="Annual", Tabla2[[#This Row],[Cosecha/Tarea]]/12,Tabla2[[#This Row],[Cosecha/Tarea]])</f>
        <v>1317</v>
      </c>
      <c r="F858" s="2">
        <v>41005</v>
      </c>
      <c r="G858" t="s">
        <v>18</v>
      </c>
      <c r="H858">
        <f>F858/Tabla2[[#This Row],[Cosecha Mensual]]</f>
        <v>31.135155656795749</v>
      </c>
      <c r="I858">
        <f>H858*_xlfn.XLOOKUP(Tabla2[[#This Row],[Unidad de producción]],Tabla3[Medida],Tabla3[Equivalencia en Kg],"ELVIS",0)</f>
        <v>1412.2906605922551</v>
      </c>
      <c r="J858">
        <v>891.66666666666697</v>
      </c>
      <c r="K858" t="s">
        <v>18</v>
      </c>
      <c r="L858">
        <f>J858/_xlfn.XLOOKUP(Tabla2[[#This Row],[Unidad de precio]],Tabla3[Medida],Tabla3[Equivalencia en Kg],"ELVIS",0)</f>
        <v>19.657554379776609</v>
      </c>
      <c r="M858">
        <v>10163.530000000001</v>
      </c>
      <c r="N858" s="2">
        <f>(Tabla2[[#This Row],[Productividad (kg/TAS)]]*Tabla2[[#This Row],[Precio por kg]]-Tabla2[[#This Row],[Costos (En RD$/Tarea)]])</f>
        <v>17598.650460642886</v>
      </c>
      <c r="O858" s="6">
        <f>IF(Tabla2[[#This Row],[Costos (En RD$/Tarea)]]=0,0,Tabla2[[#This Row],[Beneficio Neto  (En RD$/Tarea)]]/Tabla2[[#This Row],[Costos (En RD$/Tarea)]])</f>
        <v>1.7315490248607408</v>
      </c>
      <c r="P858" s="4">
        <f>Tabla2[[#This Row],[Rentabilidad (%)]]/12</f>
        <v>0.1442957520717284</v>
      </c>
    </row>
    <row r="859" spans="1:16" x14ac:dyDescent="0.35">
      <c r="A859" s="1">
        <v>38687</v>
      </c>
      <c r="B859" t="s">
        <v>24</v>
      </c>
      <c r="C859" s="2">
        <v>6085</v>
      </c>
      <c r="D859" s="5" t="s">
        <v>17</v>
      </c>
      <c r="E859" s="2">
        <f>IF(Tabla2[[#This Row],[Frecuencia]]="Annual", Tabla2[[#This Row],[Cosecha/Tarea]]/12,Tabla2[[#This Row],[Cosecha/Tarea]])</f>
        <v>6085</v>
      </c>
      <c r="F859" s="2">
        <v>60087</v>
      </c>
      <c r="G859" t="s">
        <v>18</v>
      </c>
      <c r="H859">
        <f>F859/Tabla2[[#This Row],[Cosecha Mensual]]</f>
        <v>9.8746096959737066</v>
      </c>
      <c r="I859">
        <f>H859*_xlfn.XLOOKUP(Tabla2[[#This Row],[Unidad de producción]],Tabla3[Medida],Tabla3[Equivalencia en Kg],"ELVIS",0)</f>
        <v>447.91229580936732</v>
      </c>
      <c r="J859">
        <v>924.6</v>
      </c>
      <c r="K859" t="s">
        <v>18</v>
      </c>
      <c r="L859">
        <f>J859/_xlfn.XLOOKUP(Tabla2[[#This Row],[Unidad de precio]],Tabla3[Medida],Tabla3[Equivalencia en Kg],"ELVIS",0)</f>
        <v>20.383597883597883</v>
      </c>
      <c r="M859">
        <v>4680.83</v>
      </c>
      <c r="N859" s="2">
        <f>(Tabla2[[#This Row],[Productividad (kg/TAS)]]*Tabla2[[#This Row],[Precio por kg]]-Tabla2[[#This Row],[Costos (En RD$/Tarea)]])</f>
        <v>4449.234124897288</v>
      </c>
      <c r="O859" s="6">
        <f>IF(Tabla2[[#This Row],[Costos (En RD$/Tarea)]]=0,0,Tabla2[[#This Row],[Beneficio Neto  (En RD$/Tarea)]]/Tabla2[[#This Row],[Costos (En RD$/Tarea)]])</f>
        <v>0.95052247676102064</v>
      </c>
      <c r="P859" s="4">
        <f>Tabla2[[#This Row],[Rentabilidad (%)]]/12</f>
        <v>7.921020639675172E-2</v>
      </c>
    </row>
    <row r="860" spans="1:16" x14ac:dyDescent="0.35">
      <c r="A860" s="1">
        <v>38687</v>
      </c>
      <c r="B860" t="s">
        <v>25</v>
      </c>
      <c r="C860" s="2">
        <v>23727</v>
      </c>
      <c r="D860" s="5" t="s">
        <v>17</v>
      </c>
      <c r="E860" s="2">
        <f>IF(Tabla2[[#This Row],[Frecuencia]]="Annual", Tabla2[[#This Row],[Cosecha/Tarea]]/12,Tabla2[[#This Row],[Cosecha/Tarea]])</f>
        <v>23727</v>
      </c>
      <c r="F860" s="2">
        <v>214155</v>
      </c>
      <c r="G860" t="s">
        <v>18</v>
      </c>
      <c r="H860">
        <f>F860/Tabla2[[#This Row],[Cosecha Mensual]]</f>
        <v>9.0257933999241367</v>
      </c>
      <c r="I860">
        <f>H860*_xlfn.XLOOKUP(Tabla2[[#This Row],[Unidad de producción]],Tabla3[Medida],Tabla3[Equivalencia en Kg],"ELVIS",0)</f>
        <v>409.40998862055881</v>
      </c>
      <c r="J860">
        <v>278.97257142857097</v>
      </c>
      <c r="K860" t="s">
        <v>18</v>
      </c>
      <c r="L860">
        <f>J860/_xlfn.XLOOKUP(Tabla2[[#This Row],[Unidad de precio]],Tabla3[Medida],Tabla3[Equivalencia en Kg],"ELVIS",0)</f>
        <v>6.150188964474669</v>
      </c>
      <c r="M860">
        <v>2314.2150000000001</v>
      </c>
      <c r="N860" s="2">
        <f>(Tabla2[[#This Row],[Productividad (kg/TAS)]]*Tabla2[[#This Row],[Precio por kg]]-Tabla2[[#This Row],[Costos (En RD$/Tarea)]])</f>
        <v>203.73379395986058</v>
      </c>
      <c r="O860" s="6">
        <f>IF(Tabla2[[#This Row],[Costos (En RD$/Tarea)]]=0,0,Tabla2[[#This Row],[Beneficio Neto  (En RD$/Tarea)]]/Tabla2[[#This Row],[Costos (En RD$/Tarea)]])</f>
        <v>8.8035810829962022E-2</v>
      </c>
      <c r="P860" s="4">
        <f>Tabla2[[#This Row],[Rentabilidad (%)]]/12</f>
        <v>7.3363175691635021E-3</v>
      </c>
    </row>
    <row r="861" spans="1:16" x14ac:dyDescent="0.35">
      <c r="A861" s="1">
        <v>38687</v>
      </c>
      <c r="B861" t="s">
        <v>26</v>
      </c>
      <c r="C861" s="2">
        <v>12880</v>
      </c>
      <c r="D861" s="5" t="s">
        <v>17</v>
      </c>
      <c r="E861" s="2">
        <f>IF(Tabla2[[#This Row],[Frecuencia]]="Annual", Tabla2[[#This Row],[Cosecha/Tarea]]/12,Tabla2[[#This Row],[Cosecha/Tarea]])</f>
        <v>12880</v>
      </c>
      <c r="F861" s="2">
        <v>68630</v>
      </c>
      <c r="G861" t="s">
        <v>18</v>
      </c>
      <c r="H861">
        <f>F861/Tabla2[[#This Row],[Cosecha Mensual]]</f>
        <v>5.3284161490683228</v>
      </c>
      <c r="I861">
        <f>H861*_xlfn.XLOOKUP(Tabla2[[#This Row],[Unidad de producción]],Tabla3[Medida],Tabla3[Equivalencia en Kg],"ELVIS",0)</f>
        <v>241.69695652173911</v>
      </c>
      <c r="J861">
        <v>404.75</v>
      </c>
      <c r="K861" t="s">
        <v>18</v>
      </c>
      <c r="L861">
        <f>J861/_xlfn.XLOOKUP(Tabla2[[#This Row],[Unidad de precio]],Tabla3[Medida],Tabla3[Equivalencia en Kg],"ELVIS",0)</f>
        <v>8.9230599647266313</v>
      </c>
      <c r="M861">
        <v>906.4</v>
      </c>
      <c r="N861" s="2">
        <f>(Tabla2[[#This Row],[Productividad (kg/TAS)]]*Tabla2[[#This Row],[Precio por kg]]-Tabla2[[#This Row],[Costos (En RD$/Tarea)]])</f>
        <v>1250.2764363354036</v>
      </c>
      <c r="O861" s="6">
        <f>IF(Tabla2[[#This Row],[Costos (En RD$/Tarea)]]=0,0,Tabla2[[#This Row],[Beneficio Neto  (En RD$/Tarea)]]/Tabla2[[#This Row],[Costos (En RD$/Tarea)]])</f>
        <v>1.3793870656833667</v>
      </c>
      <c r="P861" s="4">
        <f>Tabla2[[#This Row],[Rentabilidad (%)]]/12</f>
        <v>0.11494892214028056</v>
      </c>
    </row>
    <row r="862" spans="1:16" x14ac:dyDescent="0.35">
      <c r="A862" s="1">
        <v>38687</v>
      </c>
      <c r="B862" t="s">
        <v>27</v>
      </c>
      <c r="C862" s="2">
        <v>5407</v>
      </c>
      <c r="D862" s="5" t="s">
        <v>17</v>
      </c>
      <c r="E862" s="2">
        <f>IF(Tabla2[[#This Row],[Frecuencia]]="Annual", Tabla2[[#This Row],[Cosecha/Tarea]]/12,Tabla2[[#This Row],[Cosecha/Tarea]])</f>
        <v>5407</v>
      </c>
      <c r="F862" s="2">
        <v>36132</v>
      </c>
      <c r="G862" t="s">
        <v>18</v>
      </c>
      <c r="H862">
        <f>F862/Tabla2[[#This Row],[Cosecha Mensual]]</f>
        <v>6.682448677640096</v>
      </c>
      <c r="I862">
        <f>H862*_xlfn.XLOOKUP(Tabla2[[#This Row],[Unidad de producción]],Tabla3[Medida],Tabla3[Equivalencia en Kg],"ELVIS",0)</f>
        <v>303.11587201775473</v>
      </c>
      <c r="J862">
        <v>280.77249999999998</v>
      </c>
      <c r="K862" t="s">
        <v>18</v>
      </c>
      <c r="L862">
        <f>J862/_xlfn.XLOOKUP(Tabla2[[#This Row],[Unidad de precio]],Tabla3[Medida],Tabla3[Equivalencia en Kg],"ELVIS",0)</f>
        <v>6.1898699294532626</v>
      </c>
      <c r="M862">
        <v>5157.3900000000003</v>
      </c>
      <c r="N862" s="2">
        <f>(Tabla2[[#This Row],[Productividad (kg/TAS)]]*Tabla2[[#This Row],[Precio por kg]]-Tabla2[[#This Row],[Costos (En RD$/Tarea)]])</f>
        <v>-3281.1421786572964</v>
      </c>
      <c r="O862" s="6">
        <f>IF(Tabla2[[#This Row],[Costos (En RD$/Tarea)]]=0,0,Tabla2[[#This Row],[Beneficio Neto  (En RD$/Tarea)]]/Tabla2[[#This Row],[Costos (En RD$/Tarea)]])</f>
        <v>-0.63620206706440585</v>
      </c>
      <c r="P862" s="4">
        <f>Tabla2[[#This Row],[Rentabilidad (%)]]/12</f>
        <v>-5.3016838922033821E-2</v>
      </c>
    </row>
    <row r="863" spans="1:16" x14ac:dyDescent="0.35">
      <c r="A863" s="1">
        <v>38687</v>
      </c>
      <c r="B863" t="s">
        <v>28</v>
      </c>
      <c r="C863" s="2">
        <v>39291</v>
      </c>
      <c r="D863" s="5" t="s">
        <v>17</v>
      </c>
      <c r="E863" s="2">
        <f>IF(Tabla2[[#This Row],[Frecuencia]]="Annual", Tabla2[[#This Row],[Cosecha/Tarea]]/12,Tabla2[[#This Row],[Cosecha/Tarea]])</f>
        <v>39291</v>
      </c>
      <c r="F863" s="2">
        <v>38502</v>
      </c>
      <c r="G863" t="s">
        <v>29</v>
      </c>
      <c r="H863">
        <f>F863/Tabla2[[#This Row],[Cosecha Mensual]]</f>
        <v>0.97991906543483243</v>
      </c>
      <c r="I863">
        <f>H863*_xlfn.XLOOKUP(Tabla2[[#This Row],[Unidad de producción]],Tabla3[Medida],Tabla3[Equivalencia en Kg],"ELVIS",0)</f>
        <v>551.0476872566237</v>
      </c>
      <c r="J863">
        <v>4449.5</v>
      </c>
      <c r="K863" t="s">
        <v>29</v>
      </c>
      <c r="L863">
        <f>J863/_xlfn.XLOOKUP(Tabla2[[#This Row],[Unidad de precio]],Tabla3[Medida],Tabla3[Equivalencia en Kg],"ELVIS",0)</f>
        <v>7.9124728811750895</v>
      </c>
      <c r="M863">
        <v>9027.66</v>
      </c>
      <c r="N863" s="2">
        <f>(Tabla2[[#This Row],[Productividad (kg/TAS)]]*Tabla2[[#This Row],[Precio por kg]]-Tabla2[[#This Row],[Costos (En RD$/Tarea)]])</f>
        <v>-4667.5101183477127</v>
      </c>
      <c r="O863" s="6">
        <f>IF(Tabla2[[#This Row],[Costos (En RD$/Tarea)]]=0,0,Tabla2[[#This Row],[Beneficio Neto  (En RD$/Tarea)]]/Tabla2[[#This Row],[Costos (En RD$/Tarea)]])</f>
        <v>-0.51702325058184651</v>
      </c>
      <c r="P863" s="4">
        <f>Tabla2[[#This Row],[Rentabilidad (%)]]/12</f>
        <v>-4.3085270881820542E-2</v>
      </c>
    </row>
    <row r="864" spans="1:16" x14ac:dyDescent="0.35">
      <c r="A864" s="1">
        <v>38687</v>
      </c>
      <c r="B864" t="s">
        <v>30</v>
      </c>
      <c r="C864" s="2">
        <v>299058</v>
      </c>
      <c r="D864" s="2" t="s">
        <v>31</v>
      </c>
      <c r="E864" s="2">
        <f>IF(Tabla2[[#This Row],[Frecuencia]]="Annual", Tabla2[[#This Row],[Cosecha/Tarea]]/12,Tabla2[[#This Row],[Cosecha/Tarea]])</f>
        <v>24921.5</v>
      </c>
      <c r="F864" s="2">
        <v>1839455</v>
      </c>
      <c r="G864" t="s">
        <v>32</v>
      </c>
      <c r="H864">
        <f>F864/Tabla2[[#This Row],[Cosecha Mensual]]</f>
        <v>73.809963284714001</v>
      </c>
      <c r="I864">
        <f>H864*_xlfn.XLOOKUP(Tabla2[[#This Row],[Unidad de producción]],Tabla3[Medida],Tabla3[Equivalencia en Kg],"ELVIS",0)</f>
        <v>2008.369100977068</v>
      </c>
      <c r="J864">
        <v>67.101428571428599</v>
      </c>
      <c r="K864" t="s">
        <v>32</v>
      </c>
      <c r="L864">
        <f>J864/_xlfn.XLOOKUP(Tabla2[[#This Row],[Unidad de precio]],Tabla3[Medida],Tabla3[Equivalencia en Kg],"ELVIS",0)</f>
        <v>2.4660576468735242</v>
      </c>
      <c r="M864" s="2">
        <v>7918.62</v>
      </c>
      <c r="N864" s="2">
        <f>(Tabla2[[#This Row],[Productividad (kg/TAS)]]*Tabla2[[#This Row],[Precio por kg]]-Tabla2[[#This Row],[Costos (En RD$/Tarea)]])</f>
        <v>-2965.8660207909961</v>
      </c>
      <c r="O864" s="6">
        <f>IF(Tabla2[[#This Row],[Costos (En RD$/Tarea)]]=0,0,Tabla2[[#This Row],[Beneficio Neto  (En RD$/Tarea)]]/Tabla2[[#This Row],[Costos (En RD$/Tarea)]])</f>
        <v>-0.37454329425973165</v>
      </c>
      <c r="P864" s="4">
        <f>Tabla2[[#This Row],[Rentabilidad (%)]]/12</f>
        <v>-3.1211941188310971E-2</v>
      </c>
    </row>
    <row r="865" spans="1:16" x14ac:dyDescent="0.35">
      <c r="A865" s="1">
        <v>38687</v>
      </c>
      <c r="B865" t="s">
        <v>33</v>
      </c>
      <c r="C865" s="2">
        <v>660917</v>
      </c>
      <c r="D865" s="2" t="s">
        <v>31</v>
      </c>
      <c r="E865" s="2">
        <f>IF(Tabla2[[#This Row],[Frecuencia]]="Annual", Tabla2[[#This Row],[Cosecha/Tarea]]/12,Tabla2[[#This Row],[Cosecha/Tarea]])</f>
        <v>55076.416666666664</v>
      </c>
      <c r="F865" s="2">
        <v>119748</v>
      </c>
      <c r="G865" t="s">
        <v>34</v>
      </c>
      <c r="H865">
        <f>F865/Tabla2[[#This Row],[Cosecha Mensual]]</f>
        <v>2.1742155217674837</v>
      </c>
      <c r="I865">
        <f>H865*_xlfn.XLOOKUP(Tabla2[[#This Row],[Unidad de producción]],Tabla3[Medida],Tabla3[Equivalencia en Kg],"ELVIS",0)</f>
        <v>887.40606520939843</v>
      </c>
      <c r="J865">
        <v>2583.0714285714298</v>
      </c>
      <c r="K865" t="s">
        <v>34</v>
      </c>
      <c r="L865">
        <f>J865/_xlfn.XLOOKUP(Tabla2[[#This Row],[Unidad de precio]],Tabla3[Medida],Tabla3[Equivalencia en Kg],"ELVIS",0)</f>
        <v>6.3287306837472252</v>
      </c>
      <c r="M865" s="2">
        <v>9928.24</v>
      </c>
      <c r="N865" s="2">
        <f>(Tabla2[[#This Row],[Productividad (kg/TAS)]]*Tabla2[[#This Row],[Precio por kg]]-Tabla2[[#This Row],[Costos (En RD$/Tarea)]])</f>
        <v>-4312.0860061658886</v>
      </c>
      <c r="O865" s="6">
        <f>IF(Tabla2[[#This Row],[Costos (En RD$/Tarea)]]=0,0,Tabla2[[#This Row],[Beneficio Neto  (En RD$/Tarea)]]/Tabla2[[#This Row],[Costos (En RD$/Tarea)]])</f>
        <v>-0.43432531910649708</v>
      </c>
      <c r="P865" s="4">
        <f>Tabla2[[#This Row],[Rentabilidad (%)]]/12</f>
        <v>-3.6193776592208092E-2</v>
      </c>
    </row>
    <row r="866" spans="1:16" x14ac:dyDescent="0.35">
      <c r="A866" s="1">
        <v>38718</v>
      </c>
      <c r="B866" t="s">
        <v>16</v>
      </c>
      <c r="C866" s="2">
        <v>24389</v>
      </c>
      <c r="D866" s="5" t="s">
        <v>17</v>
      </c>
      <c r="E866" s="2">
        <f>IF(Tabla2[[#This Row],[Frecuencia]]="Annual", Tabla2[[#This Row],[Cosecha/Tarea]]/12,Tabla2[[#This Row],[Cosecha/Tarea]])</f>
        <v>24389</v>
      </c>
      <c r="F866" s="2">
        <v>81152</v>
      </c>
      <c r="G866" t="s">
        <v>18</v>
      </c>
      <c r="H866">
        <f>F866/Tabla2[[#This Row],[Cosecha Mensual]]</f>
        <v>3.3274016974865717</v>
      </c>
      <c r="I866">
        <f>H866*_xlfn.XLOOKUP(Tabla2[[#This Row],[Unidad de producción]],Tabla3[Medida],Tabla3[Equivalencia en Kg],"ELVIS",0)</f>
        <v>150.93094099799089</v>
      </c>
      <c r="J866">
        <v>913</v>
      </c>
      <c r="K866" t="s">
        <v>19</v>
      </c>
      <c r="L866">
        <f>J866/_xlfn.XLOOKUP(Tabla2[[#This Row],[Unidad de precio]],Tabla3[Medida],Tabla3[Equivalencia en Kg],"ELVIS",0)</f>
        <v>8.3000000000000007</v>
      </c>
      <c r="M866">
        <v>4756.7749999999996</v>
      </c>
      <c r="N866" s="2">
        <f>(Tabla2[[#This Row],[Productividad (kg/TAS)]]*Tabla2[[#This Row],[Precio por kg]]-Tabla2[[#This Row],[Costos (En RD$/Tarea)]])</f>
        <v>-3504.0481897166751</v>
      </c>
      <c r="O866" s="6">
        <f>IF(Tabla2[[#This Row],[Costos (En RD$/Tarea)]]=0,0,Tabla2[[#This Row],[Beneficio Neto  (En RD$/Tarea)]]/Tabla2[[#This Row],[Costos (En RD$/Tarea)]])</f>
        <v>-0.73664366923318325</v>
      </c>
      <c r="P866" s="4">
        <f>Tabla2[[#This Row],[Rentabilidad (%)]]/12</f>
        <v>-6.1386972436098607E-2</v>
      </c>
    </row>
    <row r="867" spans="1:16" x14ac:dyDescent="0.35">
      <c r="A867" s="1">
        <v>38718</v>
      </c>
      <c r="B867" t="s">
        <v>20</v>
      </c>
      <c r="C867" s="2">
        <v>32790</v>
      </c>
      <c r="D867" s="5" t="s">
        <v>17</v>
      </c>
      <c r="E867" s="2">
        <f>IF(Tabla2[[#This Row],[Frecuencia]]="Annual", Tabla2[[#This Row],[Cosecha/Tarea]]/12,Tabla2[[#This Row],[Cosecha/Tarea]])</f>
        <v>32790</v>
      </c>
      <c r="F867" s="2">
        <v>48772</v>
      </c>
      <c r="G867" t="s">
        <v>18</v>
      </c>
      <c r="H867">
        <f>F867/Tabla2[[#This Row],[Cosecha Mensual]]</f>
        <v>1.4874046965538275</v>
      </c>
      <c r="I867">
        <f>H867*_xlfn.XLOOKUP(Tabla2[[#This Row],[Unidad de producción]],Tabla3[Medida],Tabla3[Equivalencia en Kg],"ELVIS",0)</f>
        <v>67.468677035681608</v>
      </c>
      <c r="J867">
        <v>310.32119999999998</v>
      </c>
      <c r="K867" t="s">
        <v>18</v>
      </c>
      <c r="L867">
        <f>J867/_xlfn.XLOOKUP(Tabla2[[#This Row],[Unidad de precio]],Tabla3[Medida],Tabla3[Equivalencia en Kg],"ELVIS",0)</f>
        <v>6.8412962962962958</v>
      </c>
      <c r="M867">
        <v>1341.48</v>
      </c>
      <c r="N867" s="2">
        <f>(Tabla2[[#This Row],[Productividad (kg/TAS)]]*Tabla2[[#This Row],[Precio por kg]]-Tabla2[[#This Row],[Costos (En RD$/Tarea)]])</f>
        <v>-879.90678967978056</v>
      </c>
      <c r="O867" s="6">
        <f>IF(Tabla2[[#This Row],[Costos (En RD$/Tarea)]]=0,0,Tabla2[[#This Row],[Beneficio Neto  (En RD$/Tarea)]]/Tabla2[[#This Row],[Costos (En RD$/Tarea)]])</f>
        <v>-0.65592240635699417</v>
      </c>
      <c r="P867" s="4">
        <f>Tabla2[[#This Row],[Rentabilidad (%)]]/12</f>
        <v>-5.4660200529749514E-2</v>
      </c>
    </row>
    <row r="868" spans="1:16" x14ac:dyDescent="0.35">
      <c r="A868" s="1">
        <v>38718</v>
      </c>
      <c r="B868" t="s">
        <v>21</v>
      </c>
      <c r="C868" s="2">
        <v>6119</v>
      </c>
      <c r="D868" s="5" t="s">
        <v>17</v>
      </c>
      <c r="E868" s="2">
        <f>IF(Tabla2[[#This Row],[Frecuencia]]="Annual", Tabla2[[#This Row],[Cosecha/Tarea]]/12,Tabla2[[#This Row],[Cosecha/Tarea]])</f>
        <v>6119</v>
      </c>
      <c r="F868" s="2">
        <v>57113</v>
      </c>
      <c r="G868" t="s">
        <v>18</v>
      </c>
      <c r="H868">
        <f>F868/Tabla2[[#This Row],[Cosecha Mensual]]</f>
        <v>9.3337146592580496</v>
      </c>
      <c r="I868">
        <f>H868*_xlfn.XLOOKUP(Tabla2[[#This Row],[Unidad de producción]],Tabla3[Medida],Tabla3[Equivalencia en Kg],"ELVIS",0)</f>
        <v>423.37729694394511</v>
      </c>
      <c r="J868">
        <v>226.10005000000001</v>
      </c>
      <c r="K868" t="s">
        <v>18</v>
      </c>
      <c r="L868">
        <f>J868/_xlfn.XLOOKUP(Tabla2[[#This Row],[Unidad de precio]],Tabla3[Medida],Tabla3[Equivalencia en Kg],"ELVIS",0)</f>
        <v>4.9845690035273371</v>
      </c>
      <c r="M868">
        <v>2058.7550000000001</v>
      </c>
      <c r="N868" s="2">
        <f>(Tabla2[[#This Row],[Productividad (kg/TAS)]]*Tabla2[[#This Row],[Precio por kg]]-Tabla2[[#This Row],[Costos (En RD$/Tarea)]])</f>
        <v>51.598351143978107</v>
      </c>
      <c r="O868" s="6">
        <f>IF(Tabla2[[#This Row],[Costos (En RD$/Tarea)]]=0,0,Tabla2[[#This Row],[Beneficio Neto  (En RD$/Tarea)]]/Tabla2[[#This Row],[Costos (En RD$/Tarea)]])</f>
        <v>2.5062890506144783E-2</v>
      </c>
      <c r="P868" s="4">
        <f>Tabla2[[#This Row],[Rentabilidad (%)]]/12</f>
        <v>2.0885742088453986E-3</v>
      </c>
    </row>
    <row r="869" spans="1:16" x14ac:dyDescent="0.35">
      <c r="A869" s="1">
        <v>38718</v>
      </c>
      <c r="B869" t="s">
        <v>22</v>
      </c>
      <c r="C869" s="2">
        <v>12260</v>
      </c>
      <c r="D869" s="5" t="s">
        <v>17</v>
      </c>
      <c r="E869" s="2">
        <f>IF(Tabla2[[#This Row],[Frecuencia]]="Annual", Tabla2[[#This Row],[Cosecha/Tarea]]/12,Tabla2[[#This Row],[Cosecha/Tarea]])</f>
        <v>12260</v>
      </c>
      <c r="F869" s="2">
        <v>112275</v>
      </c>
      <c r="G869" t="s">
        <v>18</v>
      </c>
      <c r="H869">
        <f>F869/Tabla2[[#This Row],[Cosecha Mensual]]</f>
        <v>9.157830342577487</v>
      </c>
      <c r="I869">
        <f>H869*_xlfn.XLOOKUP(Tabla2[[#This Row],[Unidad de producción]],Tabla3[Medida],Tabla3[Equivalencia en Kg],"ELVIS",0)</f>
        <v>415.39918433931479</v>
      </c>
      <c r="J869">
        <v>901.66666666666697</v>
      </c>
      <c r="K869" t="s">
        <v>18</v>
      </c>
      <c r="L869">
        <f>J869/_xlfn.XLOOKUP(Tabla2[[#This Row],[Unidad de precio]],Tabla3[Medida],Tabla3[Equivalencia en Kg],"ELVIS",0)</f>
        <v>19.878012933568495</v>
      </c>
      <c r="M869">
        <v>5691.88</v>
      </c>
      <c r="N869" s="2">
        <f>(Tabla2[[#This Row],[Productividad (kg/TAS)]]*Tabla2[[#This Row],[Precio por kg]]-Tabla2[[#This Row],[Costos (En RD$/Tarea)]])</f>
        <v>2565.4303588907032</v>
      </c>
      <c r="O869" s="6">
        <f>IF(Tabla2[[#This Row],[Costos (En RD$/Tarea)]]=0,0,Tabla2[[#This Row],[Beneficio Neto  (En RD$/Tarea)]]/Tabla2[[#This Row],[Costos (En RD$/Tarea)]])</f>
        <v>0.45071757642302773</v>
      </c>
      <c r="P869" s="4">
        <f>Tabla2[[#This Row],[Rentabilidad (%)]]/12</f>
        <v>3.7559798035252313E-2</v>
      </c>
    </row>
    <row r="870" spans="1:16" x14ac:dyDescent="0.35">
      <c r="A870" s="1">
        <v>38718</v>
      </c>
      <c r="B870" t="s">
        <v>23</v>
      </c>
      <c r="C870" s="2">
        <v>4959</v>
      </c>
      <c r="D870" s="5" t="s">
        <v>17</v>
      </c>
      <c r="E870" s="2">
        <f>IF(Tabla2[[#This Row],[Frecuencia]]="Annual", Tabla2[[#This Row],[Cosecha/Tarea]]/12,Tabla2[[#This Row],[Cosecha/Tarea]])</f>
        <v>4959</v>
      </c>
      <c r="F870" s="2">
        <v>124149</v>
      </c>
      <c r="G870" t="s">
        <v>18</v>
      </c>
      <c r="H870">
        <f>F870/Tabla2[[#This Row],[Cosecha Mensual]]</f>
        <v>25.035087719298247</v>
      </c>
      <c r="I870">
        <f>H870*_xlfn.XLOOKUP(Tabla2[[#This Row],[Unidad de producción]],Tabla3[Medida],Tabla3[Equivalencia en Kg],"ELVIS",0)</f>
        <v>1135.5915789473684</v>
      </c>
      <c r="J870">
        <v>738.79025000000001</v>
      </c>
      <c r="K870" t="s">
        <v>18</v>
      </c>
      <c r="L870">
        <f>J870/_xlfn.XLOOKUP(Tabla2[[#This Row],[Unidad de precio]],Tabla3[Medida],Tabla3[Equivalencia en Kg],"ELVIS",0)</f>
        <v>16.287263007054673</v>
      </c>
      <c r="M870">
        <v>10412.049999999999</v>
      </c>
      <c r="N870" s="2">
        <f>(Tabla2[[#This Row],[Productividad (kg/TAS)]]*Tabla2[[#This Row],[Precio por kg]]-Tabla2[[#This Row],[Costos (En RD$/Tarea)]])</f>
        <v>8083.62871491228</v>
      </c>
      <c r="O870" s="6">
        <f>IF(Tabla2[[#This Row],[Costos (En RD$/Tarea)]]=0,0,Tabla2[[#This Row],[Beneficio Neto  (En RD$/Tarea)]]/Tabla2[[#This Row],[Costos (En RD$/Tarea)]])</f>
        <v>0.77637244489915824</v>
      </c>
      <c r="P870" s="4">
        <f>Tabla2[[#This Row],[Rentabilidad (%)]]/12</f>
        <v>6.4697703741596516E-2</v>
      </c>
    </row>
    <row r="871" spans="1:16" x14ac:dyDescent="0.35">
      <c r="A871" s="1">
        <v>38718</v>
      </c>
      <c r="B871" t="s">
        <v>24</v>
      </c>
      <c r="C871" s="2">
        <v>9044</v>
      </c>
      <c r="D871" s="5" t="s">
        <v>17</v>
      </c>
      <c r="E871" s="2">
        <f>IF(Tabla2[[#This Row],[Frecuencia]]="Annual", Tabla2[[#This Row],[Cosecha/Tarea]]/12,Tabla2[[#This Row],[Cosecha/Tarea]])</f>
        <v>9044</v>
      </c>
      <c r="F871" s="2">
        <v>71787</v>
      </c>
      <c r="G871" t="s">
        <v>18</v>
      </c>
      <c r="H871">
        <f>F871/Tabla2[[#This Row],[Cosecha Mensual]]</f>
        <v>7.9375276426360015</v>
      </c>
      <c r="I871">
        <f>H871*_xlfn.XLOOKUP(Tabla2[[#This Row],[Unidad de producción]],Tabla3[Medida],Tabla3[Equivalencia en Kg],"ELVIS",0)</f>
        <v>360.04625386996901</v>
      </c>
      <c r="J871">
        <v>953.60625000000005</v>
      </c>
      <c r="K871" t="s">
        <v>18</v>
      </c>
      <c r="L871">
        <f>J871/_xlfn.XLOOKUP(Tabla2[[#This Row],[Unidad de precio]],Tabla3[Medida],Tabla3[Equivalencia en Kg],"ELVIS",0)</f>
        <v>21.023065476190478</v>
      </c>
      <c r="M871">
        <v>4593.1000000000004</v>
      </c>
      <c r="N871" s="2">
        <f>(Tabla2[[#This Row],[Productividad (kg/TAS)]]*Tabla2[[#This Row],[Precio por kg]]-Tabla2[[#This Row],[Costos (En RD$/Tarea)]])</f>
        <v>2976.1759695654573</v>
      </c>
      <c r="O871" s="6">
        <f>IF(Tabla2[[#This Row],[Costos (En RD$/Tarea)]]=0,0,Tabla2[[#This Row],[Beneficio Neto  (En RD$/Tarea)]]/Tabla2[[#This Row],[Costos (En RD$/Tarea)]])</f>
        <v>0.6479667260816131</v>
      </c>
      <c r="P871" s="4">
        <f>Tabla2[[#This Row],[Rentabilidad (%)]]/12</f>
        <v>5.3997227173467756E-2</v>
      </c>
    </row>
    <row r="872" spans="1:16" x14ac:dyDescent="0.35">
      <c r="A872" s="1">
        <v>38718</v>
      </c>
      <c r="B872" t="s">
        <v>25</v>
      </c>
      <c r="C872" s="2">
        <v>27129</v>
      </c>
      <c r="D872" s="5" t="s">
        <v>17</v>
      </c>
      <c r="E872" s="2">
        <f>IF(Tabla2[[#This Row],[Frecuencia]]="Annual", Tabla2[[#This Row],[Cosecha/Tarea]]/12,Tabla2[[#This Row],[Cosecha/Tarea]])</f>
        <v>27129</v>
      </c>
      <c r="F872" s="2">
        <v>249658</v>
      </c>
      <c r="G872" t="s">
        <v>18</v>
      </c>
      <c r="H872">
        <f>F872/Tabla2[[#This Row],[Cosecha Mensual]]</f>
        <v>9.2026244977699143</v>
      </c>
      <c r="I872">
        <f>H872*_xlfn.XLOOKUP(Tabla2[[#This Row],[Unidad de producción]],Tabla3[Medida],Tabla3[Equivalencia en Kg],"ELVIS",0)</f>
        <v>417.43104721884333</v>
      </c>
      <c r="J872">
        <v>282.67200000000003</v>
      </c>
      <c r="K872" t="s">
        <v>18</v>
      </c>
      <c r="L872">
        <f>J872/_xlfn.XLOOKUP(Tabla2[[#This Row],[Unidad de precio]],Tabla3[Medida],Tabla3[Equivalencia en Kg],"ELVIS",0)</f>
        <v>6.2317460317460327</v>
      </c>
      <c r="M872">
        <v>2287.145</v>
      </c>
      <c r="N872" s="2">
        <f>(Tabla2[[#This Row],[Productividad (kg/TAS)]]*Tabla2[[#This Row],[Precio por kg]]-Tabla2[[#This Row],[Costos (En RD$/Tarea)]])</f>
        <v>314.17927203361796</v>
      </c>
      <c r="O872" s="6">
        <f>IF(Tabla2[[#This Row],[Costos (En RD$/Tarea)]]=0,0,Tabla2[[#This Row],[Beneficio Neto  (En RD$/Tarea)]]/Tabla2[[#This Row],[Costos (En RD$/Tarea)]])</f>
        <v>0.13736744807767673</v>
      </c>
      <c r="P872" s="4">
        <f>Tabla2[[#This Row],[Rentabilidad (%)]]/12</f>
        <v>1.1447287339806394E-2</v>
      </c>
    </row>
    <row r="873" spans="1:16" x14ac:dyDescent="0.35">
      <c r="A873" s="1">
        <v>38718</v>
      </c>
      <c r="B873" t="s">
        <v>26</v>
      </c>
      <c r="C873" s="2">
        <v>12099</v>
      </c>
      <c r="D873" s="5" t="s">
        <v>17</v>
      </c>
      <c r="E873" s="2">
        <f>IF(Tabla2[[#This Row],[Frecuencia]]="Annual", Tabla2[[#This Row],[Cosecha/Tarea]]/12,Tabla2[[#This Row],[Cosecha/Tarea]])</f>
        <v>12099</v>
      </c>
      <c r="F873" s="2">
        <v>63156</v>
      </c>
      <c r="G873" t="s">
        <v>18</v>
      </c>
      <c r="H873">
        <f>F873/Tabla2[[#This Row],[Cosecha Mensual]]</f>
        <v>5.219935531862137</v>
      </c>
      <c r="I873">
        <f>H873*_xlfn.XLOOKUP(Tabla2[[#This Row],[Unidad de producción]],Tabla3[Medida],Tabla3[Equivalencia en Kg],"ELVIS",0)</f>
        <v>236.77627572526654</v>
      </c>
      <c r="J873">
        <v>458.02833333333302</v>
      </c>
      <c r="K873" t="s">
        <v>18</v>
      </c>
      <c r="L873">
        <f>J873/_xlfn.XLOOKUP(Tabla2[[#This Row],[Unidad de precio]],Tabla3[Medida],Tabla3[Equivalencia en Kg],"ELVIS",0)</f>
        <v>10.097626396237501</v>
      </c>
      <c r="M873">
        <v>864.56</v>
      </c>
      <c r="N873" s="2">
        <f>(Tabla2[[#This Row],[Productividad (kg/TAS)]]*Tabla2[[#This Row],[Precio por kg]]-Tabla2[[#This Row],[Costos (En RD$/Tarea)]])</f>
        <v>1526.31837176626</v>
      </c>
      <c r="O873" s="6">
        <f>IF(Tabla2[[#This Row],[Costos (En RD$/Tarea)]]=0,0,Tabla2[[#This Row],[Beneficio Neto  (En RD$/Tarea)]]/Tabla2[[#This Row],[Costos (En RD$/Tarea)]])</f>
        <v>1.7654279307003102</v>
      </c>
      <c r="P873" s="4">
        <f>Tabla2[[#This Row],[Rentabilidad (%)]]/12</f>
        <v>0.14711899422502586</v>
      </c>
    </row>
    <row r="874" spans="1:16" x14ac:dyDescent="0.35">
      <c r="A874" s="1">
        <v>38718</v>
      </c>
      <c r="B874" t="s">
        <v>27</v>
      </c>
      <c r="C874" s="2">
        <v>6425</v>
      </c>
      <c r="D874" s="5" t="s">
        <v>17</v>
      </c>
      <c r="E874" s="2">
        <f>IF(Tabla2[[#This Row],[Frecuencia]]="Annual", Tabla2[[#This Row],[Cosecha/Tarea]]/12,Tabla2[[#This Row],[Cosecha/Tarea]])</f>
        <v>6425</v>
      </c>
      <c r="F874" s="2">
        <v>35117</v>
      </c>
      <c r="G874" t="s">
        <v>18</v>
      </c>
      <c r="H874">
        <f>F874/Tabla2[[#This Row],[Cosecha Mensual]]</f>
        <v>5.4656809338521404</v>
      </c>
      <c r="I874">
        <f>H874*_xlfn.XLOOKUP(Tabla2[[#This Row],[Unidad de producción]],Tabla3[Medida],Tabla3[Equivalencia en Kg],"ELVIS",0)</f>
        <v>247.92328715953309</v>
      </c>
      <c r="J874">
        <v>277.95999999999998</v>
      </c>
      <c r="K874" t="s">
        <v>18</v>
      </c>
      <c r="L874">
        <f>J874/_xlfn.XLOOKUP(Tabla2[[#This Row],[Unidad de precio]],Tabla3[Medida],Tabla3[Equivalencia en Kg],"ELVIS",0)</f>
        <v>6.1278659611992943</v>
      </c>
      <c r="M874">
        <v>4742.13</v>
      </c>
      <c r="N874" s="2">
        <f>(Tabla2[[#This Row],[Productividad (kg/TAS)]]*Tabla2[[#This Row],[Precio por kg]]-Tabla2[[#This Row],[Costos (En RD$/Tarea)]])</f>
        <v>-3222.8893276264589</v>
      </c>
      <c r="O874" s="6">
        <f>IF(Tabla2[[#This Row],[Costos (En RD$/Tarea)]]=0,0,Tabla2[[#This Row],[Beneficio Neto  (En RD$/Tarea)]]/Tabla2[[#This Row],[Costos (En RD$/Tarea)]])</f>
        <v>-0.67962905437566212</v>
      </c>
      <c r="P874" s="4">
        <f>Tabla2[[#This Row],[Rentabilidad (%)]]/12</f>
        <v>-5.6635754531305177E-2</v>
      </c>
    </row>
    <row r="875" spans="1:16" x14ac:dyDescent="0.35">
      <c r="A875" s="1">
        <v>38718</v>
      </c>
      <c r="B875" t="s">
        <v>28</v>
      </c>
      <c r="C875" s="2">
        <v>36981</v>
      </c>
      <c r="D875" s="5" t="s">
        <v>17</v>
      </c>
      <c r="E875" s="2">
        <f>IF(Tabla2[[#This Row],[Frecuencia]]="Annual", Tabla2[[#This Row],[Cosecha/Tarea]]/12,Tabla2[[#This Row],[Cosecha/Tarea]])</f>
        <v>36981</v>
      </c>
      <c r="F875" s="2">
        <v>63734</v>
      </c>
      <c r="G875" t="s">
        <v>29</v>
      </c>
      <c r="H875">
        <f>F875/Tabla2[[#This Row],[Cosecha Mensual]]</f>
        <v>1.7234255428463265</v>
      </c>
      <c r="I875">
        <f>H875*_xlfn.XLOOKUP(Tabla2[[#This Row],[Unidad de producción]],Tabla3[Medida],Tabla3[Equivalencia en Kg],"ELVIS",0)</f>
        <v>969.15111976420337</v>
      </c>
      <c r="J875">
        <v>5062</v>
      </c>
      <c r="K875" t="s">
        <v>29</v>
      </c>
      <c r="L875">
        <f>J875/_xlfn.XLOOKUP(Tabla2[[#This Row],[Unidad de precio]],Tabla3[Medida],Tabla3[Equivalencia en Kg],"ELVIS",0)</f>
        <v>9.001671586584628</v>
      </c>
      <c r="M875">
        <v>8196.8700000000008</v>
      </c>
      <c r="N875" s="2">
        <f>(Tabla2[[#This Row],[Productividad (kg/TAS)]]*Tabla2[[#This Row],[Precio por kg]]-Tabla2[[#This Row],[Costos (En RD$/Tarea)]])</f>
        <v>527.11009788810406</v>
      </c>
      <c r="O875" s="6">
        <f>IF(Tabla2[[#This Row],[Costos (En RD$/Tarea)]]=0,0,Tabla2[[#This Row],[Beneficio Neto  (En RD$/Tarea)]]/Tabla2[[#This Row],[Costos (En RD$/Tarea)]])</f>
        <v>6.4306265426693848E-2</v>
      </c>
      <c r="P875" s="4">
        <f>Tabla2[[#This Row],[Rentabilidad (%)]]/12</f>
        <v>5.3588554522244871E-3</v>
      </c>
    </row>
    <row r="876" spans="1:16" x14ac:dyDescent="0.35">
      <c r="A876" s="1">
        <v>38718</v>
      </c>
      <c r="B876" t="s">
        <v>30</v>
      </c>
      <c r="C876" s="2">
        <v>325902</v>
      </c>
      <c r="D876" s="2" t="s">
        <v>31</v>
      </c>
      <c r="E876" s="2">
        <f>IF(Tabla2[[#This Row],[Frecuencia]]="Annual", Tabla2[[#This Row],[Cosecha/Tarea]]/12,Tabla2[[#This Row],[Cosecha/Tarea]])</f>
        <v>27158.5</v>
      </c>
      <c r="F876" s="2">
        <v>1819453</v>
      </c>
      <c r="G876" t="s">
        <v>32</v>
      </c>
      <c r="H876">
        <f>F876/Tabla2[[#This Row],[Cosecha Mensual]]</f>
        <v>66.993869322679828</v>
      </c>
      <c r="I876">
        <f>H876*_xlfn.XLOOKUP(Tabla2[[#This Row],[Unidad de producción]],Tabla3[Medida],Tabla3[Equivalencia en Kg],"ELVIS",0)</f>
        <v>1822.9031842701181</v>
      </c>
      <c r="J876">
        <v>66.492500000000007</v>
      </c>
      <c r="K876" t="s">
        <v>32</v>
      </c>
      <c r="L876">
        <f>J876/_xlfn.XLOOKUP(Tabla2[[#This Row],[Unidad de precio]],Tabla3[Medida],Tabla3[Equivalencia en Kg],"ELVIS",0)</f>
        <v>2.4436787945608236</v>
      </c>
      <c r="M876" s="2">
        <v>7154.19</v>
      </c>
      <c r="N876" s="2">
        <f>(Tabla2[[#This Row],[Productividad (kg/TAS)]]*Tabla2[[#This Row],[Precio por kg]]-Tabla2[[#This Row],[Costos (En RD$/Tarea)]])</f>
        <v>-2699.6001440617101</v>
      </c>
      <c r="O876" s="6">
        <f>IF(Tabla2[[#This Row],[Costos (En RD$/Tarea)]]=0,0,Tabla2[[#This Row],[Beneficio Neto  (En RD$/Tarea)]]/Tabla2[[#This Row],[Costos (En RD$/Tarea)]])</f>
        <v>-0.37734532407745813</v>
      </c>
      <c r="P876" s="4">
        <f>Tabla2[[#This Row],[Rentabilidad (%)]]/12</f>
        <v>-3.1445443673121513E-2</v>
      </c>
    </row>
    <row r="877" spans="1:16" x14ac:dyDescent="0.35">
      <c r="A877" s="1">
        <v>38718</v>
      </c>
      <c r="B877" t="s">
        <v>33</v>
      </c>
      <c r="C877" s="2">
        <v>704149</v>
      </c>
      <c r="D877" s="2" t="s">
        <v>31</v>
      </c>
      <c r="E877" s="2">
        <f>IF(Tabla2[[#This Row],[Frecuencia]]="Annual", Tabla2[[#This Row],[Cosecha/Tarea]]/12,Tabla2[[#This Row],[Cosecha/Tarea]])</f>
        <v>58679.083333333336</v>
      </c>
      <c r="F877" s="2">
        <v>151275</v>
      </c>
      <c r="G877" t="s">
        <v>34</v>
      </c>
      <c r="H877">
        <f>F877/Tabla2[[#This Row],[Cosecha Mensual]]</f>
        <v>2.5780055073571075</v>
      </c>
      <c r="I877">
        <f>H877*_xlfn.XLOOKUP(Tabla2[[#This Row],[Unidad de producción]],Tabla3[Medida],Tabla3[Equivalencia en Kg],"ELVIS",0)</f>
        <v>1052.2129478278034</v>
      </c>
      <c r="J877">
        <v>3038.0987500000001</v>
      </c>
      <c r="K877" t="s">
        <v>34</v>
      </c>
      <c r="L877">
        <f>J877/_xlfn.XLOOKUP(Tabla2[[#This Row],[Unidad de precio]],Tabla3[Medida],Tabla3[Equivalencia en Kg],"ELVIS",0)</f>
        <v>7.4435838539752552</v>
      </c>
      <c r="M877" s="2">
        <v>9504.44</v>
      </c>
      <c r="N877" s="2">
        <f>(Tabla2[[#This Row],[Productividad (kg/TAS)]]*Tabla2[[#This Row],[Precio por kg]]-Tabla2[[#This Row],[Costos (En RD$/Tarea)]])</f>
        <v>-1672.2046906052556</v>
      </c>
      <c r="O877" s="6">
        <f>IF(Tabla2[[#This Row],[Costos (En RD$/Tarea)]]=0,0,Tabla2[[#This Row],[Beneficio Neto  (En RD$/Tarea)]]/Tabla2[[#This Row],[Costos (En RD$/Tarea)]])</f>
        <v>-0.17593931789829337</v>
      </c>
      <c r="P877" s="4">
        <f>Tabla2[[#This Row],[Rentabilidad (%)]]/12</f>
        <v>-1.466160982485778E-2</v>
      </c>
    </row>
    <row r="878" spans="1:16" x14ac:dyDescent="0.35">
      <c r="A878" s="1">
        <v>38749</v>
      </c>
      <c r="B878" t="s">
        <v>16</v>
      </c>
      <c r="C878" s="2">
        <v>2259</v>
      </c>
      <c r="D878" s="5" t="s">
        <v>17</v>
      </c>
      <c r="E878" s="2">
        <f>IF(Tabla2[[#This Row],[Frecuencia]]="Annual", Tabla2[[#This Row],[Cosecha/Tarea]]/12,Tabla2[[#This Row],[Cosecha/Tarea]])</f>
        <v>2259</v>
      </c>
      <c r="F878" s="2">
        <v>6682</v>
      </c>
      <c r="G878" t="s">
        <v>18</v>
      </c>
      <c r="H878">
        <f>F878/Tabla2[[#This Row],[Cosecha Mensual]]</f>
        <v>2.9579459938025674</v>
      </c>
      <c r="I878">
        <f>H878*_xlfn.XLOOKUP(Tabla2[[#This Row],[Unidad de producción]],Tabla3[Medida],Tabla3[Equivalencia en Kg],"ELVIS",0)</f>
        <v>134.17243027888446</v>
      </c>
      <c r="J878">
        <v>1000</v>
      </c>
      <c r="K878" t="s">
        <v>19</v>
      </c>
      <c r="L878">
        <f>J878/_xlfn.XLOOKUP(Tabla2[[#This Row],[Unidad de precio]],Tabla3[Medida],Tabla3[Equivalencia en Kg],"ELVIS",0)</f>
        <v>9.0909090909090917</v>
      </c>
      <c r="M878">
        <v>4756.7749999999996</v>
      </c>
      <c r="N878" s="2">
        <f>(Tabla2[[#This Row],[Productividad (kg/TAS)]]*Tabla2[[#This Row],[Precio por kg]]-Tabla2[[#This Row],[Costos (En RD$/Tarea)]])</f>
        <v>-3537.0256338283225</v>
      </c>
      <c r="O878" s="6">
        <f>IF(Tabla2[[#This Row],[Costos (En RD$/Tarea)]]=0,0,Tabla2[[#This Row],[Beneficio Neto  (En RD$/Tarea)]]/Tabla2[[#This Row],[Costos (En RD$/Tarea)]])</f>
        <v>-0.74357640078168985</v>
      </c>
      <c r="P878" s="4">
        <f>Tabla2[[#This Row],[Rentabilidad (%)]]/12</f>
        <v>-6.1964700065140821E-2</v>
      </c>
    </row>
    <row r="879" spans="1:16" x14ac:dyDescent="0.35">
      <c r="A879" s="1">
        <v>38749</v>
      </c>
      <c r="B879" t="s">
        <v>20</v>
      </c>
      <c r="C879" s="2">
        <v>17881</v>
      </c>
      <c r="D879" s="5" t="s">
        <v>17</v>
      </c>
      <c r="E879" s="2">
        <f>IF(Tabla2[[#This Row],[Frecuencia]]="Annual", Tabla2[[#This Row],[Cosecha/Tarea]]/12,Tabla2[[#This Row],[Cosecha/Tarea]])</f>
        <v>17881</v>
      </c>
      <c r="F879" s="2">
        <v>46167</v>
      </c>
      <c r="G879" t="s">
        <v>18</v>
      </c>
      <c r="H879">
        <f>F879/Tabla2[[#This Row],[Cosecha Mensual]]</f>
        <v>2.5819025781555842</v>
      </c>
      <c r="I879">
        <f>H879*_xlfn.XLOOKUP(Tabla2[[#This Row],[Unidad de producción]],Tabla3[Medida],Tabla3[Equivalencia en Kg],"ELVIS",0)</f>
        <v>117.1151009451373</v>
      </c>
      <c r="J879">
        <v>384.78523999999999</v>
      </c>
      <c r="K879" t="s">
        <v>18</v>
      </c>
      <c r="L879">
        <f>J879/_xlfn.XLOOKUP(Tabla2[[#This Row],[Unidad de precio]],Tabla3[Medida],Tabla3[Equivalencia en Kg],"ELVIS",0)</f>
        <v>8.4829197530864189</v>
      </c>
      <c r="M879">
        <v>1341.48</v>
      </c>
      <c r="N879" s="2">
        <f>(Tabla2[[#This Row],[Productividad (kg/TAS)]]*Tabla2[[#This Row],[Precio por kg]]-Tabla2[[#This Row],[Costos (En RD$/Tarea)]])</f>
        <v>-348.00199680778485</v>
      </c>
      <c r="O879" s="6">
        <f>IF(Tabla2[[#This Row],[Costos (En RD$/Tarea)]]=0,0,Tabla2[[#This Row],[Beneficio Neto  (En RD$/Tarea)]]/Tabla2[[#This Row],[Costos (En RD$/Tarea)]])</f>
        <v>-0.25941646301680593</v>
      </c>
      <c r="P879" s="4">
        <f>Tabla2[[#This Row],[Rentabilidad (%)]]/12</f>
        <v>-2.1618038584733826E-2</v>
      </c>
    </row>
    <row r="880" spans="1:16" x14ac:dyDescent="0.35">
      <c r="A880" s="1">
        <v>38749</v>
      </c>
      <c r="B880" t="s">
        <v>21</v>
      </c>
      <c r="C880" s="2">
        <v>5109</v>
      </c>
      <c r="D880" s="5" t="s">
        <v>17</v>
      </c>
      <c r="E880" s="2">
        <f>IF(Tabla2[[#This Row],[Frecuencia]]="Annual", Tabla2[[#This Row],[Cosecha/Tarea]]/12,Tabla2[[#This Row],[Cosecha/Tarea]])</f>
        <v>5109</v>
      </c>
      <c r="F880" s="2">
        <v>46414</v>
      </c>
      <c r="G880" t="s">
        <v>18</v>
      </c>
      <c r="H880">
        <f>F880/Tabla2[[#This Row],[Cosecha Mensual]]</f>
        <v>9.0847523977294973</v>
      </c>
      <c r="I880">
        <f>H880*_xlfn.XLOOKUP(Tabla2[[#This Row],[Unidad de producción]],Tabla3[Medida],Tabla3[Equivalencia en Kg],"ELVIS",0)</f>
        <v>412.08436876101001</v>
      </c>
      <c r="J880">
        <v>234.40236666666701</v>
      </c>
      <c r="K880" t="s">
        <v>18</v>
      </c>
      <c r="L880">
        <f>J880/_xlfn.XLOOKUP(Tabla2[[#This Row],[Unidad de precio]],Tabla3[Medida],Tabla3[Equivalencia en Kg],"ELVIS",0)</f>
        <v>5.1676006760729063</v>
      </c>
      <c r="M880">
        <v>2058.7550000000001</v>
      </c>
      <c r="N880" s="2">
        <f>(Tabla2[[#This Row],[Productividad (kg/TAS)]]*Tabla2[[#This Row],[Precio por kg]]-Tabla2[[#This Row],[Costos (En RD$/Tarea)]])</f>
        <v>70.732462608471906</v>
      </c>
      <c r="O880" s="6">
        <f>IF(Tabla2[[#This Row],[Costos (En RD$/Tarea)]]=0,0,Tabla2[[#This Row],[Beneficio Neto  (En RD$/Tarea)]]/Tabla2[[#This Row],[Costos (En RD$/Tarea)]])</f>
        <v>3.4356911147014529E-2</v>
      </c>
      <c r="P880" s="4">
        <f>Tabla2[[#This Row],[Rentabilidad (%)]]/12</f>
        <v>2.8630759289178776E-3</v>
      </c>
    </row>
    <row r="881" spans="1:16" x14ac:dyDescent="0.35">
      <c r="A881" s="1">
        <v>38749</v>
      </c>
      <c r="B881" t="s">
        <v>22</v>
      </c>
      <c r="C881" s="2">
        <v>9702</v>
      </c>
      <c r="D881" s="5" t="s">
        <v>17</v>
      </c>
      <c r="E881" s="2">
        <f>IF(Tabla2[[#This Row],[Frecuencia]]="Annual", Tabla2[[#This Row],[Cosecha/Tarea]]/12,Tabla2[[#This Row],[Cosecha/Tarea]])</f>
        <v>9702</v>
      </c>
      <c r="F881" s="2">
        <v>80107</v>
      </c>
      <c r="G881" t="s">
        <v>18</v>
      </c>
      <c r="H881">
        <f>F881/Tabla2[[#This Row],[Cosecha Mensual]]</f>
        <v>8.2567511853226137</v>
      </c>
      <c r="I881">
        <f>H881*_xlfn.XLOOKUP(Tabla2[[#This Row],[Unidad de producción]],Tabla3[Medida],Tabla3[Equivalencia en Kg],"ELVIS",0)</f>
        <v>374.52623376623376</v>
      </c>
      <c r="J881">
        <v>880.83333333333303</v>
      </c>
      <c r="K881" t="s">
        <v>18</v>
      </c>
      <c r="L881">
        <f>J881/_xlfn.XLOOKUP(Tabla2[[#This Row],[Unidad de precio]],Tabla3[Medida],Tabla3[Equivalencia en Kg],"ELVIS",0)</f>
        <v>19.418724279835384</v>
      </c>
      <c r="M881">
        <v>5691.88</v>
      </c>
      <c r="N881" s="2">
        <f>(Tabla2[[#This Row],[Productividad (kg/TAS)]]*Tabla2[[#This Row],[Precio por kg]]-Tabla2[[#This Row],[Costos (En RD$/Tarea)]])</f>
        <v>1580.9416690716662</v>
      </c>
      <c r="O881" s="6">
        <f>IF(Tabla2[[#This Row],[Costos (En RD$/Tarea)]]=0,0,Tabla2[[#This Row],[Beneficio Neto  (En RD$/Tarea)]]/Tabla2[[#This Row],[Costos (En RD$/Tarea)]])</f>
        <v>0.27775386499217591</v>
      </c>
      <c r="P881" s="4">
        <f>Tabla2[[#This Row],[Rentabilidad (%)]]/12</f>
        <v>2.3146155416014658E-2</v>
      </c>
    </row>
    <row r="882" spans="1:16" x14ac:dyDescent="0.35">
      <c r="A882" s="1">
        <v>38749</v>
      </c>
      <c r="B882" t="s">
        <v>23</v>
      </c>
      <c r="C882" s="2">
        <v>3264</v>
      </c>
      <c r="D882" s="5" t="s">
        <v>17</v>
      </c>
      <c r="E882" s="2">
        <f>IF(Tabla2[[#This Row],[Frecuencia]]="Annual", Tabla2[[#This Row],[Cosecha/Tarea]]/12,Tabla2[[#This Row],[Cosecha/Tarea]])</f>
        <v>3264</v>
      </c>
      <c r="F882" s="2">
        <v>110075</v>
      </c>
      <c r="G882" t="s">
        <v>18</v>
      </c>
      <c r="H882">
        <f>F882/Tabla2[[#This Row],[Cosecha Mensual]]</f>
        <v>33.723958333333336</v>
      </c>
      <c r="I882">
        <f>H882*_xlfn.XLOOKUP(Tabla2[[#This Row],[Unidad de producción]],Tabla3[Medida],Tabla3[Equivalencia en Kg],"ELVIS",0)</f>
        <v>1529.71875</v>
      </c>
      <c r="J882">
        <v>666.1875</v>
      </c>
      <c r="K882" t="s">
        <v>18</v>
      </c>
      <c r="L882">
        <f>J882/_xlfn.XLOOKUP(Tabla2[[#This Row],[Unidad de precio]],Tabla3[Medida],Tabla3[Equivalencia en Kg],"ELVIS",0)</f>
        <v>14.68667328042328</v>
      </c>
      <c r="M882">
        <v>10412.049999999999</v>
      </c>
      <c r="N882" s="2">
        <f>(Tabla2[[#This Row],[Productividad (kg/TAS)]]*Tabla2[[#This Row],[Precio por kg]]-Tabla2[[#This Row],[Costos (En RD$/Tarea)]])</f>
        <v>12054.429492187501</v>
      </c>
      <c r="O882" s="6">
        <f>IF(Tabla2[[#This Row],[Costos (En RD$/Tarea)]]=0,0,Tabla2[[#This Row],[Beneficio Neto  (En RD$/Tarea)]]/Tabla2[[#This Row],[Costos (En RD$/Tarea)]])</f>
        <v>1.1577383408826794</v>
      </c>
      <c r="P882" s="4">
        <f>Tabla2[[#This Row],[Rentabilidad (%)]]/12</f>
        <v>9.6478195073556608E-2</v>
      </c>
    </row>
    <row r="883" spans="1:16" x14ac:dyDescent="0.35">
      <c r="A883" s="1">
        <v>38749</v>
      </c>
      <c r="B883" t="s">
        <v>24</v>
      </c>
      <c r="C883" s="2">
        <v>9706</v>
      </c>
      <c r="D883" s="5" t="s">
        <v>17</v>
      </c>
      <c r="E883" s="2">
        <f>IF(Tabla2[[#This Row],[Frecuencia]]="Annual", Tabla2[[#This Row],[Cosecha/Tarea]]/12,Tabla2[[#This Row],[Cosecha/Tarea]])</f>
        <v>9706</v>
      </c>
      <c r="F883" s="2">
        <v>77787</v>
      </c>
      <c r="G883" t="s">
        <v>18</v>
      </c>
      <c r="H883">
        <f>F883/Tabla2[[#This Row],[Cosecha Mensual]]</f>
        <v>8.0143210385328665</v>
      </c>
      <c r="I883">
        <f>H883*_xlfn.XLOOKUP(Tabla2[[#This Row],[Unidad de producción]],Tabla3[Medida],Tabla3[Equivalencia en Kg],"ELVIS",0)</f>
        <v>363.52960230785084</v>
      </c>
      <c r="J883">
        <v>897.58333333333303</v>
      </c>
      <c r="K883" t="s">
        <v>18</v>
      </c>
      <c r="L883">
        <f>J883/_xlfn.XLOOKUP(Tabla2[[#This Row],[Unidad de precio]],Tabla3[Medida],Tabla3[Equivalencia en Kg],"ELVIS",0)</f>
        <v>19.787992357436796</v>
      </c>
      <c r="M883">
        <v>4593.1000000000004</v>
      </c>
      <c r="N883" s="2">
        <f>(Tabla2[[#This Row],[Productividad (kg/TAS)]]*Tabla2[[#This Row],[Precio por kg]]-Tabla2[[#This Row],[Costos (En RD$/Tarea)]])</f>
        <v>2600.4209921697893</v>
      </c>
      <c r="O883" s="6">
        <f>IF(Tabla2[[#This Row],[Costos (En RD$/Tarea)]]=0,0,Tabla2[[#This Row],[Beneficio Neto  (En RD$/Tarea)]]/Tabla2[[#This Row],[Costos (En RD$/Tarea)]])</f>
        <v>0.56615814856410462</v>
      </c>
      <c r="P883" s="4">
        <f>Tabla2[[#This Row],[Rentabilidad (%)]]/12</f>
        <v>4.7179845713675388E-2</v>
      </c>
    </row>
    <row r="884" spans="1:16" x14ac:dyDescent="0.35">
      <c r="A884" s="1">
        <v>38749</v>
      </c>
      <c r="B884" t="s">
        <v>25</v>
      </c>
      <c r="C884" s="2">
        <v>32460</v>
      </c>
      <c r="D884" s="5" t="s">
        <v>17</v>
      </c>
      <c r="E884" s="2">
        <f>IF(Tabla2[[#This Row],[Frecuencia]]="Annual", Tabla2[[#This Row],[Cosecha/Tarea]]/12,Tabla2[[#This Row],[Cosecha/Tarea]])</f>
        <v>32460</v>
      </c>
      <c r="F884" s="2">
        <v>348521</v>
      </c>
      <c r="G884" t="s">
        <v>18</v>
      </c>
      <c r="H884">
        <f>F884/Tabla2[[#This Row],[Cosecha Mensual]]</f>
        <v>10.736937769562539</v>
      </c>
      <c r="I884">
        <f>H884*_xlfn.XLOOKUP(Tabla2[[#This Row],[Unidad de producción]],Tabla3[Medida],Tabla3[Equivalencia en Kg],"ELVIS",0)</f>
        <v>487.02749722735678</v>
      </c>
      <c r="J884">
        <v>277.86281250000002</v>
      </c>
      <c r="K884" t="s">
        <v>18</v>
      </c>
      <c r="L884">
        <f>J884/_xlfn.XLOOKUP(Tabla2[[#This Row],[Unidad de precio]],Tabla3[Medida],Tabla3[Equivalencia en Kg],"ELVIS",0)</f>
        <v>6.1257233796296298</v>
      </c>
      <c r="M884">
        <v>2287.145</v>
      </c>
      <c r="N884" s="2">
        <f>(Tabla2[[#This Row],[Productividad (kg/TAS)]]*Tabla2[[#This Row],[Precio por kg]]-Tabla2[[#This Row],[Costos (En RD$/Tarea)]])</f>
        <v>696.25072628812404</v>
      </c>
      <c r="O884" s="6">
        <f>IF(Tabla2[[#This Row],[Costos (En RD$/Tarea)]]=0,0,Tabla2[[#This Row],[Beneficio Neto  (En RD$/Tarea)]]/Tabla2[[#This Row],[Costos (En RD$/Tarea)]])</f>
        <v>0.3044191453922353</v>
      </c>
      <c r="P884" s="4">
        <f>Tabla2[[#This Row],[Rentabilidad (%)]]/12</f>
        <v>2.536826211601961E-2</v>
      </c>
    </row>
    <row r="885" spans="1:16" x14ac:dyDescent="0.35">
      <c r="A885" s="1">
        <v>38749</v>
      </c>
      <c r="B885" t="s">
        <v>26</v>
      </c>
      <c r="C885" s="2">
        <v>11408</v>
      </c>
      <c r="D885" s="5" t="s">
        <v>17</v>
      </c>
      <c r="E885" s="2">
        <f>IF(Tabla2[[#This Row],[Frecuencia]]="Annual", Tabla2[[#This Row],[Cosecha/Tarea]]/12,Tabla2[[#This Row],[Cosecha/Tarea]])</f>
        <v>11408</v>
      </c>
      <c r="F885" s="2">
        <v>66014</v>
      </c>
      <c r="G885" t="s">
        <v>18</v>
      </c>
      <c r="H885">
        <f>F885/Tabla2[[#This Row],[Cosecha Mensual]]</f>
        <v>5.7866409537166899</v>
      </c>
      <c r="I885">
        <f>H885*_xlfn.XLOOKUP(Tabla2[[#This Row],[Unidad de producción]],Tabla3[Medida],Tabla3[Equivalencia en Kg],"ELVIS",0)</f>
        <v>262.48203366058902</v>
      </c>
      <c r="J885">
        <v>516.625</v>
      </c>
      <c r="K885" t="s">
        <v>18</v>
      </c>
      <c r="L885">
        <f>J885/_xlfn.XLOOKUP(Tabla2[[#This Row],[Unidad de precio]],Tabla3[Medida],Tabla3[Equivalencia en Kg],"ELVIS",0)</f>
        <v>11.389440035273369</v>
      </c>
      <c r="M885">
        <v>864.56</v>
      </c>
      <c r="N885" s="2">
        <f>(Tabla2[[#This Row],[Productividad (kg/TAS)]]*Tabla2[[#This Row],[Precio por kg]]-Tabla2[[#This Row],[Costos (En RD$/Tarea)]])</f>
        <v>2124.9633827138846</v>
      </c>
      <c r="O885" s="6">
        <f>IF(Tabla2[[#This Row],[Costos (En RD$/Tarea)]]=0,0,Tabla2[[#This Row],[Beneficio Neto  (En RD$/Tarea)]]/Tabla2[[#This Row],[Costos (En RD$/Tarea)]])</f>
        <v>2.4578553052580325</v>
      </c>
      <c r="P885" s="4">
        <f>Tabla2[[#This Row],[Rentabilidad (%)]]/12</f>
        <v>0.20482127543816939</v>
      </c>
    </row>
    <row r="886" spans="1:16" x14ac:dyDescent="0.35">
      <c r="A886" s="1">
        <v>38749</v>
      </c>
      <c r="B886" t="s">
        <v>27</v>
      </c>
      <c r="C886" s="2">
        <v>5032</v>
      </c>
      <c r="D886" s="5" t="s">
        <v>17</v>
      </c>
      <c r="E886" s="2">
        <f>IF(Tabla2[[#This Row],[Frecuencia]]="Annual", Tabla2[[#This Row],[Cosecha/Tarea]]/12,Tabla2[[#This Row],[Cosecha/Tarea]])</f>
        <v>5032</v>
      </c>
      <c r="F886" s="2">
        <v>43811</v>
      </c>
      <c r="G886" t="s">
        <v>18</v>
      </c>
      <c r="H886">
        <f>F886/Tabla2[[#This Row],[Cosecha Mensual]]</f>
        <v>8.7064785373608906</v>
      </c>
      <c r="I886">
        <f>H886*_xlfn.XLOOKUP(Tabla2[[#This Row],[Unidad de producción]],Tabla3[Medida],Tabla3[Equivalencia en Kg],"ELVIS",0)</f>
        <v>394.92586645468998</v>
      </c>
      <c r="J886">
        <v>256.26205950000002</v>
      </c>
      <c r="K886" t="s">
        <v>18</v>
      </c>
      <c r="L886">
        <f>J886/_xlfn.XLOOKUP(Tabla2[[#This Row],[Unidad de precio]],Tabla3[Medida],Tabla3[Equivalencia en Kg],"ELVIS",0)</f>
        <v>5.6495163029100537</v>
      </c>
      <c r="M886">
        <v>4742.13</v>
      </c>
      <c r="N886" s="2">
        <f>(Tabla2[[#This Row],[Productividad (kg/TAS)]]*Tabla2[[#This Row],[Precio por kg]]-Tabla2[[#This Row],[Costos (En RD$/Tarea)]])</f>
        <v>-2510.9898790233506</v>
      </c>
      <c r="O886" s="6">
        <f>IF(Tabla2[[#This Row],[Costos (En RD$/Tarea)]]=0,0,Tabla2[[#This Row],[Beneficio Neto  (En RD$/Tarea)]]/Tabla2[[#This Row],[Costos (En RD$/Tarea)]])</f>
        <v>-0.52950675730596808</v>
      </c>
      <c r="P886" s="4">
        <f>Tabla2[[#This Row],[Rentabilidad (%)]]/12</f>
        <v>-4.4125563108830673E-2</v>
      </c>
    </row>
    <row r="887" spans="1:16" x14ac:dyDescent="0.35">
      <c r="A887" s="1">
        <v>38749</v>
      </c>
      <c r="B887" t="s">
        <v>28</v>
      </c>
      <c r="C887" s="2">
        <v>11514</v>
      </c>
      <c r="D887" s="5" t="s">
        <v>17</v>
      </c>
      <c r="E887" s="2">
        <f>IF(Tabla2[[#This Row],[Frecuencia]]="Annual", Tabla2[[#This Row],[Cosecha/Tarea]]/12,Tabla2[[#This Row],[Cosecha/Tarea]])</f>
        <v>11514</v>
      </c>
      <c r="F887" s="2">
        <v>6918</v>
      </c>
      <c r="G887" t="s">
        <v>29</v>
      </c>
      <c r="H887">
        <f>F887/Tabla2[[#This Row],[Cosecha Mensual]]</f>
        <v>0.60083376758728502</v>
      </c>
      <c r="I887">
        <f>H887*_xlfn.XLOOKUP(Tabla2[[#This Row],[Unidad de producción]],Tabla3[Medida],Tabla3[Equivalencia en Kg],"ELVIS",0)</f>
        <v>337.87286086503389</v>
      </c>
      <c r="J887">
        <v>3440.5</v>
      </c>
      <c r="K887" t="s">
        <v>29</v>
      </c>
      <c r="L887">
        <f>J887/_xlfn.XLOOKUP(Tabla2[[#This Row],[Unidad de precio]],Tabla3[Medida],Tabla3[Equivalencia en Kg],"ELVIS",0)</f>
        <v>6.1181847281004371</v>
      </c>
      <c r="M887">
        <v>8196.8700000000008</v>
      </c>
      <c r="N887" s="2">
        <f>(Tabla2[[#This Row],[Productividad (kg/TAS)]]*Tabla2[[#This Row],[Precio por kg]]-Tabla2[[#This Row],[Costos (En RD$/Tarea)]])</f>
        <v>-6129.7014226159463</v>
      </c>
      <c r="O887" s="6">
        <f>IF(Tabla2[[#This Row],[Costos (En RD$/Tarea)]]=0,0,Tabla2[[#This Row],[Beneficio Neto  (En RD$/Tarea)]]/Tabla2[[#This Row],[Costos (En RD$/Tarea)]])</f>
        <v>-0.74781000828559507</v>
      </c>
      <c r="P887" s="4">
        <f>Tabla2[[#This Row],[Rentabilidad (%)]]/12</f>
        <v>-6.2317500690466258E-2</v>
      </c>
    </row>
    <row r="888" spans="1:16" x14ac:dyDescent="0.35">
      <c r="A888" s="1">
        <v>38749</v>
      </c>
      <c r="B888" t="s">
        <v>30</v>
      </c>
      <c r="C888" s="2">
        <v>318832</v>
      </c>
      <c r="D888" s="2" t="s">
        <v>31</v>
      </c>
      <c r="E888" s="2">
        <f>IF(Tabla2[[#This Row],[Frecuencia]]="Annual", Tabla2[[#This Row],[Cosecha/Tarea]]/12,Tabla2[[#This Row],[Cosecha/Tarea]])</f>
        <v>26569.333333333332</v>
      </c>
      <c r="F888" s="2">
        <v>1271115</v>
      </c>
      <c r="G888" t="s">
        <v>32</v>
      </c>
      <c r="H888">
        <f>F888/Tabla2[[#This Row],[Cosecha Mensual]]</f>
        <v>47.841433733125911</v>
      </c>
      <c r="I888">
        <f>H888*_xlfn.XLOOKUP(Tabla2[[#This Row],[Unidad de producción]],Tabla3[Medida],Tabla3[Equivalencia en Kg],"ELVIS",0)</f>
        <v>1301.765411878356</v>
      </c>
      <c r="J888">
        <v>67.552499999999995</v>
      </c>
      <c r="K888" t="s">
        <v>32</v>
      </c>
      <c r="L888">
        <f>J888/_xlfn.XLOOKUP(Tabla2[[#This Row],[Unidad de precio]],Tabla3[Medida],Tabla3[Equivalencia en Kg],"ELVIS",0)</f>
        <v>2.4826350606394705</v>
      </c>
      <c r="M888" s="2">
        <v>7154.19</v>
      </c>
      <c r="N888" s="2">
        <f>(Tabla2[[#This Row],[Productividad (kg/TAS)]]*Tabla2[[#This Row],[Precio por kg]]-Tabla2[[#This Row],[Costos (En RD$/Tarea)]])</f>
        <v>-3922.3815477430121</v>
      </c>
      <c r="O888" s="6">
        <f>IF(Tabla2[[#This Row],[Costos (En RD$/Tarea)]]=0,0,Tabla2[[#This Row],[Beneficio Neto  (En RD$/Tarea)]]/Tabla2[[#This Row],[Costos (En RD$/Tarea)]])</f>
        <v>-0.5482635417486833</v>
      </c>
      <c r="P888" s="4">
        <f>Tabla2[[#This Row],[Rentabilidad (%)]]/12</f>
        <v>-4.5688628479056942E-2</v>
      </c>
    </row>
    <row r="889" spans="1:16" x14ac:dyDescent="0.35">
      <c r="A889" s="1">
        <v>38749</v>
      </c>
      <c r="B889" t="s">
        <v>33</v>
      </c>
      <c r="C889" s="2">
        <v>652695</v>
      </c>
      <c r="D889" s="2" t="s">
        <v>31</v>
      </c>
      <c r="E889" s="8">
        <f>IF(Tabla2[[#This Row],[Frecuencia]]="Annual", Tabla2[[#This Row],[Cosecha/Tarea]]/12,Tabla2[[#This Row],[Cosecha/Tarea]])</f>
        <v>54391.25</v>
      </c>
      <c r="F889" s="2">
        <v>178281</v>
      </c>
      <c r="G889" t="s">
        <v>34</v>
      </c>
      <c r="H889">
        <f>F889/Tabla2[[#This Row],[Cosecha Mensual]]</f>
        <v>3.2777514765702205</v>
      </c>
      <c r="I889">
        <f>H889*_xlfn.XLOOKUP(Tabla2[[#This Row],[Unidad de producción]],Tabla3[Medida],Tabla3[Equivalencia en Kg],"ELVIS",0)</f>
        <v>1337.8142651621354</v>
      </c>
      <c r="J889">
        <v>3288.1</v>
      </c>
      <c r="K889" t="s">
        <v>34</v>
      </c>
      <c r="L889">
        <f>J889/_xlfn.XLOOKUP(Tabla2[[#This Row],[Unidad de precio]],Tabla3[Medida],Tabla3[Equivalencia en Kg],"ELVIS",0)</f>
        <v>8.0561068234717634</v>
      </c>
      <c r="M889" s="2">
        <v>9504.44</v>
      </c>
      <c r="N889" s="2">
        <f>(Tabla2[[#This Row],[Productividad (kg/TAS)]]*Tabla2[[#This Row],[Precio por kg]]-Tabla2[[#This Row],[Costos (En RD$/Tarea)]])</f>
        <v>1273.1346301105405</v>
      </c>
      <c r="O889" s="6">
        <f>IF(Tabla2[[#This Row],[Costos (En RD$/Tarea)]]=0,0,Tabla2[[#This Row],[Beneficio Neto  (En RD$/Tarea)]]/Tabla2[[#This Row],[Costos (En RD$/Tarea)]])</f>
        <v>0.13395156685828311</v>
      </c>
      <c r="P889" s="4">
        <f>Tabla2[[#This Row],[Rentabilidad (%)]]/12</f>
        <v>1.1162630571523592E-2</v>
      </c>
    </row>
    <row r="890" spans="1:16" x14ac:dyDescent="0.35">
      <c r="A890" s="1">
        <v>38777</v>
      </c>
      <c r="B890" t="s">
        <v>16</v>
      </c>
      <c r="C890" s="2">
        <v>7222</v>
      </c>
      <c r="D890" s="5" t="s">
        <v>17</v>
      </c>
      <c r="E890" s="2">
        <f>IF(Tabla2[[#This Row],[Frecuencia]]="Annual", Tabla2[[#This Row],[Cosecha/Tarea]]/12,Tabla2[[#This Row],[Cosecha/Tarea]])</f>
        <v>7222</v>
      </c>
      <c r="F890" s="2">
        <v>23534</v>
      </c>
      <c r="G890" t="s">
        <v>18</v>
      </c>
      <c r="H890">
        <f>F890/Tabla2[[#This Row],[Cosecha Mensual]]</f>
        <v>3.2586541124342285</v>
      </c>
      <c r="I890">
        <f>H890*_xlfn.XLOOKUP(Tabla2[[#This Row],[Unidad de producción]],Tabla3[Medida],Tabla3[Equivalencia en Kg],"ELVIS",0)</f>
        <v>147.81255054001662</v>
      </c>
      <c r="J890">
        <v>948</v>
      </c>
      <c r="K890" t="s">
        <v>19</v>
      </c>
      <c r="L890">
        <f>J890/_xlfn.XLOOKUP(Tabla2[[#This Row],[Unidad de precio]],Tabla3[Medida],Tabla3[Equivalencia en Kg],"ELVIS",0)</f>
        <v>8.6181818181818191</v>
      </c>
      <c r="M890">
        <v>4756.7749999999996</v>
      </c>
      <c r="N890" s="2">
        <f>(Tabla2[[#This Row],[Productividad (kg/TAS)]]*Tabla2[[#This Row],[Precio por kg]]-Tabla2[[#This Row],[Costos (En RD$/Tarea)]])</f>
        <v>-3482.899564436947</v>
      </c>
      <c r="O890" s="6">
        <f>IF(Tabla2[[#This Row],[Costos (En RD$/Tarea)]]=0,0,Tabla2[[#This Row],[Beneficio Neto  (En RD$/Tarea)]]/Tabla2[[#This Row],[Costos (En RD$/Tarea)]])</f>
        <v>-0.73219766847011836</v>
      </c>
      <c r="P890" s="4">
        <f>Tabla2[[#This Row],[Rentabilidad (%)]]/12</f>
        <v>-6.1016472372509865E-2</v>
      </c>
    </row>
    <row r="891" spans="1:16" x14ac:dyDescent="0.35">
      <c r="A891" s="1">
        <v>38777</v>
      </c>
      <c r="B891" t="s">
        <v>20</v>
      </c>
      <c r="C891" s="2">
        <v>11130</v>
      </c>
      <c r="D891" s="5" t="s">
        <v>17</v>
      </c>
      <c r="E891" s="2">
        <f>IF(Tabla2[[#This Row],[Frecuencia]]="Annual", Tabla2[[#This Row],[Cosecha/Tarea]]/12,Tabla2[[#This Row],[Cosecha/Tarea]])</f>
        <v>11130</v>
      </c>
      <c r="F891" s="2">
        <v>18628</v>
      </c>
      <c r="G891" t="s">
        <v>18</v>
      </c>
      <c r="H891">
        <f>F891/Tabla2[[#This Row],[Cosecha Mensual]]</f>
        <v>1.673674752920036</v>
      </c>
      <c r="I891">
        <f>H891*_xlfn.XLOOKUP(Tabla2[[#This Row],[Unidad de producción]],Tabla3[Medida],Tabla3[Equivalencia en Kg],"ELVIS",0)</f>
        <v>75.917886792452833</v>
      </c>
      <c r="J891">
        <v>337.92048</v>
      </c>
      <c r="K891" t="s">
        <v>18</v>
      </c>
      <c r="L891">
        <f>J891/_xlfn.XLOOKUP(Tabla2[[#This Row],[Unidad de precio]],Tabla3[Medida],Tabla3[Equivalencia en Kg],"ELVIS",0)</f>
        <v>7.4497460317460318</v>
      </c>
      <c r="M891">
        <v>1341.48</v>
      </c>
      <c r="N891" s="2">
        <f>(Tabla2[[#This Row],[Productividad (kg/TAS)]]*Tabla2[[#This Row],[Precio por kg]]-Tabla2[[#This Row],[Costos (En RD$/Tarea)]])</f>
        <v>-775.91102412938005</v>
      </c>
      <c r="O891" s="6">
        <f>IF(Tabla2[[#This Row],[Costos (En RD$/Tarea)]]=0,0,Tabla2[[#This Row],[Beneficio Neto  (En RD$/Tarea)]]/Tabla2[[#This Row],[Costos (En RD$/Tarea)]])</f>
        <v>-0.5783992486875541</v>
      </c>
      <c r="P891" s="4">
        <f>Tabla2[[#This Row],[Rentabilidad (%)]]/12</f>
        <v>-4.8199937390629506E-2</v>
      </c>
    </row>
    <row r="892" spans="1:16" x14ac:dyDescent="0.35">
      <c r="A892" s="1">
        <v>38777</v>
      </c>
      <c r="B892" t="s">
        <v>21</v>
      </c>
      <c r="C892" s="2">
        <v>6376</v>
      </c>
      <c r="D892" s="5" t="s">
        <v>17</v>
      </c>
      <c r="E892" s="2">
        <f>IF(Tabla2[[#This Row],[Frecuencia]]="Annual", Tabla2[[#This Row],[Cosecha/Tarea]]/12,Tabla2[[#This Row],[Cosecha/Tarea]])</f>
        <v>6376</v>
      </c>
      <c r="F892" s="2">
        <v>62364</v>
      </c>
      <c r="G892" t="s">
        <v>18</v>
      </c>
      <c r="H892">
        <f>F892/Tabla2[[#This Row],[Cosecha Mensual]]</f>
        <v>9.781053952321205</v>
      </c>
      <c r="I892">
        <f>H892*_xlfn.XLOOKUP(Tabla2[[#This Row],[Unidad de producción]],Tabla3[Medida],Tabla3[Equivalencia en Kg],"ELVIS",0)</f>
        <v>443.66860727728988</v>
      </c>
      <c r="J892">
        <v>392.166</v>
      </c>
      <c r="K892" t="s">
        <v>18</v>
      </c>
      <c r="L892">
        <f>J892/_xlfn.XLOOKUP(Tabla2[[#This Row],[Unidad de precio]],Tabla3[Medida],Tabla3[Equivalencia en Kg],"ELVIS",0)</f>
        <v>8.6456349206349206</v>
      </c>
      <c r="M892">
        <v>2058.7550000000001</v>
      </c>
      <c r="N892" s="2">
        <f>(Tabla2[[#This Row],[Productividad (kg/TAS)]]*Tabla2[[#This Row],[Precio por kg]]-Tabla2[[#This Row],[Costos (En RD$/Tarea)]])</f>
        <v>1777.0418042659976</v>
      </c>
      <c r="O892" s="6">
        <f>IF(Tabla2[[#This Row],[Costos (En RD$/Tarea)]]=0,0,Tabla2[[#This Row],[Beneficio Neto  (En RD$/Tarea)]]/Tabla2[[#This Row],[Costos (En RD$/Tarea)]])</f>
        <v>0.86316332165119092</v>
      </c>
      <c r="P892" s="4">
        <f>Tabla2[[#This Row],[Rentabilidad (%)]]/12</f>
        <v>7.1930276804265905E-2</v>
      </c>
    </row>
    <row r="893" spans="1:16" x14ac:dyDescent="0.35">
      <c r="A893" s="1">
        <v>38777</v>
      </c>
      <c r="B893" t="s">
        <v>22</v>
      </c>
      <c r="C893" s="2">
        <v>4820</v>
      </c>
      <c r="D893" s="5" t="s">
        <v>17</v>
      </c>
      <c r="E893" s="2">
        <f>IF(Tabla2[[#This Row],[Frecuencia]]="Annual", Tabla2[[#This Row],[Cosecha/Tarea]]/12,Tabla2[[#This Row],[Cosecha/Tarea]])</f>
        <v>4820</v>
      </c>
      <c r="F893" s="2">
        <v>40490</v>
      </c>
      <c r="G893" t="s">
        <v>18</v>
      </c>
      <c r="H893">
        <f>F893/Tabla2[[#This Row],[Cosecha Mensual]]</f>
        <v>8.4004149377593365</v>
      </c>
      <c r="I893">
        <f>H893*_xlfn.XLOOKUP(Tabla2[[#This Row],[Unidad de producción]],Tabla3[Medida],Tabla3[Equivalencia en Kg],"ELVIS",0)</f>
        <v>381.04282157676352</v>
      </c>
      <c r="J893">
        <v>750.4</v>
      </c>
      <c r="K893" t="s">
        <v>18</v>
      </c>
      <c r="L893">
        <f>J893/_xlfn.XLOOKUP(Tabla2[[#This Row],[Unidad de precio]],Tabla3[Medida],Tabla3[Equivalencia en Kg],"ELVIS",0)</f>
        <v>16.543209876543209</v>
      </c>
      <c r="M893">
        <v>5691.88</v>
      </c>
      <c r="N893" s="2">
        <f>(Tabla2[[#This Row],[Productividad (kg/TAS)]]*Tabla2[[#This Row],[Precio por kg]]-Tabla2[[#This Row],[Costos (En RD$/Tarea)]])</f>
        <v>611.79136929460583</v>
      </c>
      <c r="O893" s="6">
        <f>IF(Tabla2[[#This Row],[Costos (En RD$/Tarea)]]=0,0,Tabla2[[#This Row],[Beneficio Neto  (En RD$/Tarea)]]/Tabla2[[#This Row],[Costos (En RD$/Tarea)]])</f>
        <v>0.10748493806872349</v>
      </c>
      <c r="P893" s="4">
        <f>Tabla2[[#This Row],[Rentabilidad (%)]]/12</f>
        <v>8.9570781723936239E-3</v>
      </c>
    </row>
    <row r="894" spans="1:16" x14ac:dyDescent="0.35">
      <c r="A894" s="1">
        <v>38777</v>
      </c>
      <c r="B894" t="s">
        <v>23</v>
      </c>
      <c r="C894" s="2">
        <v>2733</v>
      </c>
      <c r="D894" s="5" t="s">
        <v>17</v>
      </c>
      <c r="E894" s="2">
        <f>IF(Tabla2[[#This Row],[Frecuencia]]="Annual", Tabla2[[#This Row],[Cosecha/Tarea]]/12,Tabla2[[#This Row],[Cosecha/Tarea]])</f>
        <v>2733</v>
      </c>
      <c r="F894" s="2">
        <v>89445</v>
      </c>
      <c r="G894" t="s">
        <v>18</v>
      </c>
      <c r="H894">
        <f>F894/Tabla2[[#This Row],[Cosecha Mensual]]</f>
        <v>32.727771679473108</v>
      </c>
      <c r="I894">
        <f>H894*_xlfn.XLOOKUP(Tabla2[[#This Row],[Unidad de producción]],Tabla3[Medida],Tabla3[Equivalencia en Kg],"ELVIS",0)</f>
        <v>1484.5317233809001</v>
      </c>
      <c r="J894">
        <v>544.45484999999996</v>
      </c>
      <c r="K894" t="s">
        <v>18</v>
      </c>
      <c r="L894">
        <f>J894/_xlfn.XLOOKUP(Tabla2[[#This Row],[Unidad de precio]],Tabla3[Medida],Tabla3[Equivalencia en Kg],"ELVIS",0)</f>
        <v>12.002972883597883</v>
      </c>
      <c r="M894">
        <v>10412.049999999999</v>
      </c>
      <c r="N894" s="2">
        <f>(Tabla2[[#This Row],[Productividad (kg/TAS)]]*Tabla2[[#This Row],[Precio por kg]]-Tabla2[[#This Row],[Costos (En RD$/Tarea)]])</f>
        <v>7406.7440205817766</v>
      </c>
      <c r="O894" s="6">
        <f>IF(Tabla2[[#This Row],[Costos (En RD$/Tarea)]]=0,0,Tabla2[[#This Row],[Beneficio Neto  (En RD$/Tarea)]]/Tabla2[[#This Row],[Costos (En RD$/Tarea)]])</f>
        <v>0.7113627019253439</v>
      </c>
      <c r="P894" s="4">
        <f>Tabla2[[#This Row],[Rentabilidad (%)]]/12</f>
        <v>5.9280225160445323E-2</v>
      </c>
    </row>
    <row r="895" spans="1:16" x14ac:dyDescent="0.35">
      <c r="A895" s="1">
        <v>38777</v>
      </c>
      <c r="B895" t="s">
        <v>24</v>
      </c>
      <c r="C895" s="2">
        <v>5983</v>
      </c>
      <c r="D895" s="5" t="s">
        <v>17</v>
      </c>
      <c r="E895" s="2">
        <f>IF(Tabla2[[#This Row],[Frecuencia]]="Annual", Tabla2[[#This Row],[Cosecha/Tarea]]/12,Tabla2[[#This Row],[Cosecha/Tarea]])</f>
        <v>5983</v>
      </c>
      <c r="F895" s="2">
        <v>46939</v>
      </c>
      <c r="G895" t="s">
        <v>18</v>
      </c>
      <c r="H895">
        <f>F895/Tabla2[[#This Row],[Cosecha Mensual]]</f>
        <v>7.8453952866454957</v>
      </c>
      <c r="I895">
        <f>H895*_xlfn.XLOOKUP(Tabla2[[#This Row],[Unidad de producción]],Tabla3[Medida],Tabla3[Equivalencia en Kg],"ELVIS",0)</f>
        <v>355.86713020223971</v>
      </c>
      <c r="J895">
        <v>972.35</v>
      </c>
      <c r="K895" t="s">
        <v>18</v>
      </c>
      <c r="L895">
        <f>J895/_xlfn.XLOOKUP(Tabla2[[#This Row],[Unidad de precio]],Tabla3[Medida],Tabla3[Equivalencia en Kg],"ELVIS",0)</f>
        <v>21.436287477954146</v>
      </c>
      <c r="M895">
        <v>4593.1000000000004</v>
      </c>
      <c r="N895" s="2">
        <f>(Tabla2[[#This Row],[Productividad (kg/TAS)]]*Tabla2[[#This Row],[Precio por kg]]-Tabla2[[#This Row],[Costos (En RD$/Tarea)]])</f>
        <v>3035.3701069697481</v>
      </c>
      <c r="O895" s="6">
        <f>IF(Tabla2[[#This Row],[Costos (En RD$/Tarea)]]=0,0,Tabla2[[#This Row],[Beneficio Neto  (En RD$/Tarea)]]/Tabla2[[#This Row],[Costos (En RD$/Tarea)]])</f>
        <v>0.66085434825493627</v>
      </c>
      <c r="P895" s="4">
        <f>Tabla2[[#This Row],[Rentabilidad (%)]]/12</f>
        <v>5.5071195687911356E-2</v>
      </c>
    </row>
    <row r="896" spans="1:16" x14ac:dyDescent="0.35">
      <c r="A896" s="1">
        <v>38777</v>
      </c>
      <c r="B896" t="s">
        <v>25</v>
      </c>
      <c r="C896" s="2">
        <v>26663</v>
      </c>
      <c r="D896" s="5" t="s">
        <v>17</v>
      </c>
      <c r="E896" s="2">
        <f>IF(Tabla2[[#This Row],[Frecuencia]]="Annual", Tabla2[[#This Row],[Cosecha/Tarea]]/12,Tabla2[[#This Row],[Cosecha/Tarea]])</f>
        <v>26663</v>
      </c>
      <c r="F896" s="2">
        <v>268251</v>
      </c>
      <c r="G896" t="s">
        <v>18</v>
      </c>
      <c r="H896">
        <f>F896/Tabla2[[#This Row],[Cosecha Mensual]]</f>
        <v>10.060795859430671</v>
      </c>
      <c r="I896">
        <f>H896*_xlfn.XLOOKUP(Tabla2[[#This Row],[Unidad de producción]],Tabla3[Medida],Tabla3[Equivalencia en Kg],"ELVIS",0)</f>
        <v>456.35770018377525</v>
      </c>
      <c r="J896">
        <v>430.892857142857</v>
      </c>
      <c r="K896" t="s">
        <v>18</v>
      </c>
      <c r="L896">
        <f>J896/_xlfn.XLOOKUP(Tabla2[[#This Row],[Unidad de precio]],Tabla3[Medida],Tabla3[Equivalencia en Kg],"ELVIS",0)</f>
        <v>9.4994016124968468</v>
      </c>
      <c r="M896">
        <v>2287.145</v>
      </c>
      <c r="N896" s="2">
        <f>(Tabla2[[#This Row],[Productividad (kg/TAS)]]*Tabla2[[#This Row],[Precio por kg]]-Tabla2[[#This Row],[Costos (En RD$/Tarea)]])</f>
        <v>2047.980073001107</v>
      </c>
      <c r="O896" s="6">
        <f>IF(Tabla2[[#This Row],[Costos (En RD$/Tarea)]]=0,0,Tabla2[[#This Row],[Beneficio Neto  (En RD$/Tarea)]]/Tabla2[[#This Row],[Costos (En RD$/Tarea)]])</f>
        <v>0.89543079822272176</v>
      </c>
      <c r="P896" s="4">
        <f>Tabla2[[#This Row],[Rentabilidad (%)]]/12</f>
        <v>7.4619233185226813E-2</v>
      </c>
    </row>
    <row r="897" spans="1:16" x14ac:dyDescent="0.35">
      <c r="A897" s="1">
        <v>38777</v>
      </c>
      <c r="B897" t="s">
        <v>26</v>
      </c>
      <c r="C897" s="2">
        <v>9925</v>
      </c>
      <c r="D897" s="5" t="s">
        <v>17</v>
      </c>
      <c r="E897" s="2">
        <f>IF(Tabla2[[#This Row],[Frecuencia]]="Annual", Tabla2[[#This Row],[Cosecha/Tarea]]/12,Tabla2[[#This Row],[Cosecha/Tarea]])</f>
        <v>9925</v>
      </c>
      <c r="F897" s="2">
        <v>53770</v>
      </c>
      <c r="G897" t="s">
        <v>18</v>
      </c>
      <c r="H897">
        <f>F897/Tabla2[[#This Row],[Cosecha Mensual]]</f>
        <v>5.4176322418136023</v>
      </c>
      <c r="I897">
        <f>H897*_xlfn.XLOOKUP(Tabla2[[#This Row],[Unidad de producción]],Tabla3[Medida],Tabla3[Equivalencia en Kg],"ELVIS",0)</f>
        <v>245.74379848866499</v>
      </c>
      <c r="J897">
        <v>582.16600000000005</v>
      </c>
      <c r="K897" t="s">
        <v>18</v>
      </c>
      <c r="L897">
        <f>J897/_xlfn.XLOOKUP(Tabla2[[#This Row],[Unidad de precio]],Tabla3[Medida],Tabla3[Equivalencia en Kg],"ELVIS",0)</f>
        <v>12.834347442680777</v>
      </c>
      <c r="M897">
        <v>864.56</v>
      </c>
      <c r="N897" s="2">
        <f>(Tabla2[[#This Row],[Productividad (kg/TAS)]]*Tabla2[[#This Row],[Precio por kg]]-Tabla2[[#This Row],[Costos (En RD$/Tarea)]])</f>
        <v>2289.4012916876577</v>
      </c>
      <c r="O897" s="6">
        <f>IF(Tabla2[[#This Row],[Costos (En RD$/Tarea)]]=0,0,Tabla2[[#This Row],[Beneficio Neto  (En RD$/Tarea)]]/Tabla2[[#This Row],[Costos (En RD$/Tarea)]])</f>
        <v>2.6480536824369132</v>
      </c>
      <c r="P897" s="4">
        <f>Tabla2[[#This Row],[Rentabilidad (%)]]/12</f>
        <v>0.2206711402030761</v>
      </c>
    </row>
    <row r="898" spans="1:16" x14ac:dyDescent="0.35">
      <c r="A898" s="1">
        <v>38777</v>
      </c>
      <c r="B898" t="s">
        <v>27</v>
      </c>
      <c r="C898" s="2">
        <v>5709</v>
      </c>
      <c r="D898" s="5" t="s">
        <v>17</v>
      </c>
      <c r="E898" s="2">
        <f>IF(Tabla2[[#This Row],[Frecuencia]]="Annual", Tabla2[[#This Row],[Cosecha/Tarea]]/12,Tabla2[[#This Row],[Cosecha/Tarea]])</f>
        <v>5709</v>
      </c>
      <c r="F898" s="2">
        <v>50682</v>
      </c>
      <c r="G898" t="s">
        <v>18</v>
      </c>
      <c r="H898">
        <f>F898/Tabla2[[#This Row],[Cosecha Mensual]]</f>
        <v>8.877561744613768</v>
      </c>
      <c r="I898">
        <f>H898*_xlfn.XLOOKUP(Tabla2[[#This Row],[Unidad de producción]],Tabla3[Medida],Tabla3[Equivalencia en Kg],"ELVIS",0)</f>
        <v>402.68620073568053</v>
      </c>
      <c r="J898">
        <v>200.876</v>
      </c>
      <c r="K898" t="s">
        <v>18</v>
      </c>
      <c r="L898">
        <f>J898/_xlfn.XLOOKUP(Tabla2[[#This Row],[Unidad de precio]],Tabla3[Medida],Tabla3[Equivalencia en Kg],"ELVIS",0)</f>
        <v>4.4284832451499119</v>
      </c>
      <c r="M898">
        <v>4742.13</v>
      </c>
      <c r="N898" s="2">
        <f>(Tabla2[[#This Row],[Productividad (kg/TAS)]]*Tabla2[[#This Row],[Precio por kg]]-Tabla2[[#This Row],[Costos (En RD$/Tarea)]])</f>
        <v>-2958.8409069889649</v>
      </c>
      <c r="O898" s="6">
        <f>IF(Tabla2[[#This Row],[Costos (En RD$/Tarea)]]=0,0,Tabla2[[#This Row],[Beneficio Neto  (En RD$/Tarea)]]/Tabla2[[#This Row],[Costos (En RD$/Tarea)]])</f>
        <v>-0.62394765790667162</v>
      </c>
      <c r="P898" s="4">
        <f>Tabla2[[#This Row],[Rentabilidad (%)]]/12</f>
        <v>-5.1995638158889301E-2</v>
      </c>
    </row>
    <row r="899" spans="1:16" x14ac:dyDescent="0.35">
      <c r="A899" s="1">
        <v>38777</v>
      </c>
      <c r="B899" t="s">
        <v>28</v>
      </c>
      <c r="C899" s="2">
        <v>2062</v>
      </c>
      <c r="D899" s="5" t="s">
        <v>17</v>
      </c>
      <c r="E899" s="2">
        <f>IF(Tabla2[[#This Row],[Frecuencia]]="Annual", Tabla2[[#This Row],[Cosecha/Tarea]]/12,Tabla2[[#This Row],[Cosecha/Tarea]])</f>
        <v>2062</v>
      </c>
      <c r="F899" s="2">
        <v>980</v>
      </c>
      <c r="G899" t="s">
        <v>29</v>
      </c>
      <c r="H899">
        <f>F899/Tabla2[[#This Row],[Cosecha Mensual]]</f>
        <v>0.47526673132880698</v>
      </c>
      <c r="I899">
        <f>H899*_xlfn.XLOOKUP(Tabla2[[#This Row],[Unidad de producción]],Tabla3[Medida],Tabla3[Equivalencia en Kg],"ELVIS",0)</f>
        <v>267.26149369544135</v>
      </c>
      <c r="J899">
        <v>4345.6666666666697</v>
      </c>
      <c r="K899" t="s">
        <v>29</v>
      </c>
      <c r="L899">
        <f>J899/_xlfn.XLOOKUP(Tabla2[[#This Row],[Unidad de precio]],Tabla3[Medida],Tabla3[Equivalencia en Kg],"ELVIS",0)</f>
        <v>7.7278277673056683</v>
      </c>
      <c r="M899">
        <v>8196.8700000000008</v>
      </c>
      <c r="N899" s="2">
        <f>(Tabla2[[#This Row],[Productividad (kg/TAS)]]*Tabla2[[#This Row],[Precio por kg]]-Tabla2[[#This Row],[Costos (En RD$/Tarea)]])</f>
        <v>-6131.5192078887803</v>
      </c>
      <c r="O899" s="6">
        <f>IF(Tabla2[[#This Row],[Costos (En RD$/Tarea)]]=0,0,Tabla2[[#This Row],[Beneficio Neto  (En RD$/Tarea)]]/Tabla2[[#This Row],[Costos (En RD$/Tarea)]])</f>
        <v>-0.74803177406604959</v>
      </c>
      <c r="P899" s="4">
        <f>Tabla2[[#This Row],[Rentabilidad (%)]]/12</f>
        <v>-6.2335981172170797E-2</v>
      </c>
    </row>
    <row r="900" spans="1:16" x14ac:dyDescent="0.35">
      <c r="A900" s="1">
        <v>38777</v>
      </c>
      <c r="B900" t="s">
        <v>30</v>
      </c>
      <c r="C900" s="2">
        <v>308074</v>
      </c>
      <c r="D900" s="2" t="s">
        <v>31</v>
      </c>
      <c r="E900" s="2">
        <f>IF(Tabla2[[#This Row],[Frecuencia]]="Annual", Tabla2[[#This Row],[Cosecha/Tarea]]/12,Tabla2[[#This Row],[Cosecha/Tarea]])</f>
        <v>25672.833333333332</v>
      </c>
      <c r="F900" s="2">
        <v>1274186</v>
      </c>
      <c r="G900" t="s">
        <v>32</v>
      </c>
      <c r="H900">
        <f>F900/Tabla2[[#This Row],[Cosecha Mensual]]</f>
        <v>49.631685893648928</v>
      </c>
      <c r="I900">
        <f>H900*_xlfn.XLOOKUP(Tabla2[[#This Row],[Unidad de producción]],Tabla3[Medida],Tabla3[Equivalencia en Kg],"ELVIS",0)</f>
        <v>1350.4781731661874</v>
      </c>
      <c r="J900">
        <v>68.4166666666667</v>
      </c>
      <c r="K900" t="s">
        <v>32</v>
      </c>
      <c r="L900">
        <f>J900/_xlfn.XLOOKUP(Tabla2[[#This Row],[Unidad de precio]],Tabla3[Medida],Tabla3[Equivalencia en Kg],"ELVIS",0)</f>
        <v>2.5143942178120802</v>
      </c>
      <c r="M900" s="2">
        <v>7154.19</v>
      </c>
      <c r="N900" s="2">
        <f>(Tabla2[[#This Row],[Productividad (kg/TAS)]]*Tabla2[[#This Row],[Precio por kg]]-Tabla2[[#This Row],[Costos (En RD$/Tarea)]])</f>
        <v>-3758.555490109517</v>
      </c>
      <c r="O900" s="6">
        <f>IF(Tabla2[[#This Row],[Costos (En RD$/Tarea)]]=0,0,Tabla2[[#This Row],[Beneficio Neto  (En RD$/Tarea)]]/Tabla2[[#This Row],[Costos (En RD$/Tarea)]])</f>
        <v>-0.52536422573478159</v>
      </c>
      <c r="P900" s="4">
        <f>Tabla2[[#This Row],[Rentabilidad (%)]]/12</f>
        <v>-4.3780352144565132E-2</v>
      </c>
    </row>
    <row r="901" spans="1:16" x14ac:dyDescent="0.35">
      <c r="A901" s="1">
        <v>38777</v>
      </c>
      <c r="B901" t="s">
        <v>33</v>
      </c>
      <c r="C901" s="2">
        <v>661239</v>
      </c>
      <c r="D901" s="2" t="s">
        <v>31</v>
      </c>
      <c r="E901" s="2">
        <f>IF(Tabla2[[#This Row],[Frecuencia]]="Annual", Tabla2[[#This Row],[Cosecha/Tarea]]/12,Tabla2[[#This Row],[Cosecha/Tarea]])</f>
        <v>55103.25</v>
      </c>
      <c r="F901" s="2">
        <v>126497</v>
      </c>
      <c r="G901" t="s">
        <v>34</v>
      </c>
      <c r="H901">
        <f>F901/Tabla2[[#This Row],[Cosecha Mensual]]</f>
        <v>2.2956359198413887</v>
      </c>
      <c r="I901">
        <f>H901*_xlfn.XLOOKUP(Tabla2[[#This Row],[Unidad de producción]],Tabla3[Medida],Tabla3[Equivalencia en Kg],"ELVIS",0)</f>
        <v>936.96380068326278</v>
      </c>
      <c r="J901">
        <v>2836.5</v>
      </c>
      <c r="K901" t="s">
        <v>34</v>
      </c>
      <c r="L901">
        <f>J901/_xlfn.XLOOKUP(Tabla2[[#This Row],[Unidad de precio]],Tabla3[Medida],Tabla3[Equivalencia en Kg],"ELVIS",0)</f>
        <v>6.9496508636530692</v>
      </c>
      <c r="M901" s="2">
        <v>9504.44</v>
      </c>
      <c r="N901" s="2">
        <f>(Tabla2[[#This Row],[Productividad (kg/TAS)]]*Tabla2[[#This Row],[Precio por kg]]-Tabla2[[#This Row],[Costos (En RD$/Tarea)]])</f>
        <v>-2992.8687133699013</v>
      </c>
      <c r="O901" s="6">
        <f>IF(Tabla2[[#This Row],[Costos (En RD$/Tarea)]]=0,0,Tabla2[[#This Row],[Beneficio Neto  (En RD$/Tarea)]]/Tabla2[[#This Row],[Costos (En RD$/Tarea)]])</f>
        <v>-0.31489164152437188</v>
      </c>
      <c r="P901" s="4">
        <f>Tabla2[[#This Row],[Rentabilidad (%)]]/12</f>
        <v>-2.6240970127030989E-2</v>
      </c>
    </row>
    <row r="902" spans="1:16" x14ac:dyDescent="0.35">
      <c r="A902" s="1">
        <v>38808</v>
      </c>
      <c r="B902" t="s">
        <v>16</v>
      </c>
      <c r="C902" s="2">
        <v>114875</v>
      </c>
      <c r="D902" s="5" t="s">
        <v>17</v>
      </c>
      <c r="E902" s="2">
        <f>IF(Tabla2[[#This Row],[Frecuencia]]="Annual", Tabla2[[#This Row],[Cosecha/Tarea]]/12,Tabla2[[#This Row],[Cosecha/Tarea]])</f>
        <v>114875</v>
      </c>
      <c r="F902" s="2">
        <v>457673</v>
      </c>
      <c r="G902" t="s">
        <v>18</v>
      </c>
      <c r="H902">
        <f>F902/Tabla2[[#This Row],[Cosecha Mensual]]</f>
        <v>3.9840957562568007</v>
      </c>
      <c r="I902">
        <f>H902*_xlfn.XLOOKUP(Tabla2[[#This Row],[Unidad de producción]],Tabla3[Medida],Tabla3[Equivalencia en Kg],"ELVIS",0)</f>
        <v>180.71858350380847</v>
      </c>
      <c r="J902">
        <v>1052</v>
      </c>
      <c r="K902" t="s">
        <v>19</v>
      </c>
      <c r="L902">
        <f>J902/_xlfn.XLOOKUP(Tabla2[[#This Row],[Unidad de precio]],Tabla3[Medida],Tabla3[Equivalencia en Kg],"ELVIS",0)</f>
        <v>9.5636363636363644</v>
      </c>
      <c r="M902">
        <v>4756.7749999999996</v>
      </c>
      <c r="N902" s="2">
        <f>(Tabla2[[#This Row],[Productividad (kg/TAS)]]*Tabla2[[#This Row],[Precio por kg]]-Tabla2[[#This Row],[Costos (En RD$/Tarea)]])</f>
        <v>-3028.4481832181218</v>
      </c>
      <c r="O902" s="6">
        <f>IF(Tabla2[[#This Row],[Costos (En RD$/Tarea)]]=0,0,Tabla2[[#This Row],[Beneficio Neto  (En RD$/Tarea)]]/Tabla2[[#This Row],[Costos (En RD$/Tarea)]])</f>
        <v>-0.63665996041816608</v>
      </c>
      <c r="P902" s="4">
        <f>Tabla2[[#This Row],[Rentabilidad (%)]]/12</f>
        <v>-5.305499670151384E-2</v>
      </c>
    </row>
    <row r="903" spans="1:16" x14ac:dyDescent="0.35">
      <c r="A903" s="1">
        <v>38808</v>
      </c>
      <c r="B903" t="s">
        <v>20</v>
      </c>
      <c r="C903" s="2">
        <v>14314</v>
      </c>
      <c r="D903" s="5" t="s">
        <v>17</v>
      </c>
      <c r="E903" s="2">
        <f>IF(Tabla2[[#This Row],[Frecuencia]]="Annual", Tabla2[[#This Row],[Cosecha/Tarea]]/12,Tabla2[[#This Row],[Cosecha/Tarea]])</f>
        <v>14314</v>
      </c>
      <c r="F903" s="2">
        <v>27972</v>
      </c>
      <c r="G903" t="s">
        <v>18</v>
      </c>
      <c r="H903">
        <f>F903/Tabla2[[#This Row],[Cosecha Mensual]]</f>
        <v>1.9541707419309766</v>
      </c>
      <c r="I903">
        <f>H903*_xlfn.XLOOKUP(Tabla2[[#This Row],[Unidad de producción]],Tabla3[Medida],Tabla3[Equivalencia en Kg],"ELVIS",0)</f>
        <v>88.641184853989103</v>
      </c>
      <c r="J903">
        <v>447</v>
      </c>
      <c r="K903" t="s">
        <v>18</v>
      </c>
      <c r="L903">
        <f>J903/_xlfn.XLOOKUP(Tabla2[[#This Row],[Unidad de precio]],Tabla3[Medida],Tabla3[Equivalencia en Kg],"ELVIS",0)</f>
        <v>9.8544973544973544</v>
      </c>
      <c r="M903">
        <v>1341.48</v>
      </c>
      <c r="N903" s="2">
        <f>(Tabla2[[#This Row],[Productividad (kg/TAS)]]*Tabla2[[#This Row],[Precio por kg]]-Tabla2[[#This Row],[Costos (En RD$/Tarea)]])</f>
        <v>-467.96567835685346</v>
      </c>
      <c r="O903" s="6">
        <f>IF(Tabla2[[#This Row],[Costos (En RD$/Tarea)]]=0,0,Tabla2[[#This Row],[Beneficio Neto  (En RD$/Tarea)]]/Tabla2[[#This Row],[Costos (En RD$/Tarea)]])</f>
        <v>-0.34884282908194936</v>
      </c>
      <c r="P903" s="4">
        <f>Tabla2[[#This Row],[Rentabilidad (%)]]/12</f>
        <v>-2.9070235756829113E-2</v>
      </c>
    </row>
    <row r="904" spans="1:16" x14ac:dyDescent="0.35">
      <c r="A904" s="1">
        <v>38808</v>
      </c>
      <c r="B904" t="s">
        <v>21</v>
      </c>
      <c r="C904" s="2">
        <v>8472</v>
      </c>
      <c r="D904" s="5" t="s">
        <v>17</v>
      </c>
      <c r="E904" s="2">
        <f>IF(Tabla2[[#This Row],[Frecuencia]]="Annual", Tabla2[[#This Row],[Cosecha/Tarea]]/12,Tabla2[[#This Row],[Cosecha/Tarea]])</f>
        <v>8472</v>
      </c>
      <c r="F904" s="2">
        <v>102511</v>
      </c>
      <c r="G904" t="s">
        <v>18</v>
      </c>
      <c r="H904">
        <f>F904/Tabla2[[#This Row],[Cosecha Mensual]]</f>
        <v>12.099976392823418</v>
      </c>
      <c r="I904">
        <f>H904*_xlfn.XLOOKUP(Tabla2[[#This Row],[Unidad de producción]],Tabla3[Medida],Tabla3[Equivalencia en Kg],"ELVIS",0)</f>
        <v>548.85492917847023</v>
      </c>
      <c r="J904">
        <v>356.99200000000002</v>
      </c>
      <c r="K904" t="s">
        <v>18</v>
      </c>
      <c r="L904">
        <f>J904/_xlfn.XLOOKUP(Tabla2[[#This Row],[Unidad de precio]],Tabla3[Medida],Tabla3[Equivalencia en Kg],"ELVIS",0)</f>
        <v>7.8701940035273372</v>
      </c>
      <c r="M904">
        <v>2058.7550000000001</v>
      </c>
      <c r="N904" s="2">
        <f>(Tabla2[[#This Row],[Productividad (kg/TAS)]]*Tabla2[[#This Row],[Precio por kg]]-Tabla2[[#This Row],[Costos (En RD$/Tarea)]])</f>
        <v>2260.8397724268179</v>
      </c>
      <c r="O904" s="6">
        <f>IF(Tabla2[[#This Row],[Costos (En RD$/Tarea)]]=0,0,Tabla2[[#This Row],[Beneficio Neto  (En RD$/Tarea)]]/Tabla2[[#This Row],[Costos (En RD$/Tarea)]])</f>
        <v>1.0981587281764065</v>
      </c>
      <c r="P904" s="4">
        <f>Tabla2[[#This Row],[Rentabilidad (%)]]/12</f>
        <v>9.1513227348033868E-2</v>
      </c>
    </row>
    <row r="905" spans="1:16" x14ac:dyDescent="0.35">
      <c r="A905" s="1">
        <v>38808</v>
      </c>
      <c r="B905" t="s">
        <v>22</v>
      </c>
      <c r="C905" s="2">
        <v>4570</v>
      </c>
      <c r="D905" s="5" t="s">
        <v>17</v>
      </c>
      <c r="E905" s="2">
        <f>IF(Tabla2[[#This Row],[Frecuencia]]="Annual", Tabla2[[#This Row],[Cosecha/Tarea]]/12,Tabla2[[#This Row],[Cosecha/Tarea]])</f>
        <v>4570</v>
      </c>
      <c r="F905" s="2">
        <v>42772</v>
      </c>
      <c r="G905" t="s">
        <v>18</v>
      </c>
      <c r="H905">
        <f>F905/Tabla2[[#This Row],[Cosecha Mensual]]</f>
        <v>9.359299781181619</v>
      </c>
      <c r="I905">
        <f>H905*_xlfn.XLOOKUP(Tabla2[[#This Row],[Unidad de producción]],Tabla3[Medida],Tabla3[Equivalencia en Kg],"ELVIS",0)</f>
        <v>424.53783807439822</v>
      </c>
      <c r="J905">
        <v>576.58249999999998</v>
      </c>
      <c r="K905" t="s">
        <v>18</v>
      </c>
      <c r="L905">
        <f>J905/_xlfn.XLOOKUP(Tabla2[[#This Row],[Unidad de precio]],Tabla3[Medida],Tabla3[Equivalencia en Kg],"ELVIS",0)</f>
        <v>12.711254409171076</v>
      </c>
      <c r="M905">
        <v>5691.88</v>
      </c>
      <c r="N905" s="2">
        <f>(Tabla2[[#This Row],[Productividad (kg/TAS)]]*Tabla2[[#This Row],[Precio por kg]]-Tabla2[[#This Row],[Costos (En RD$/Tarea)]])</f>
        <v>-295.47153391684969</v>
      </c>
      <c r="O905" s="6">
        <f>IF(Tabla2[[#This Row],[Costos (En RD$/Tarea)]]=0,0,Tabla2[[#This Row],[Beneficio Neto  (En RD$/Tarea)]]/Tabla2[[#This Row],[Costos (En RD$/Tarea)]])</f>
        <v>-5.1911061708407362E-2</v>
      </c>
      <c r="P905" s="4">
        <f>Tabla2[[#This Row],[Rentabilidad (%)]]/12</f>
        <v>-4.3259218090339465E-3</v>
      </c>
    </row>
    <row r="906" spans="1:16" x14ac:dyDescent="0.35">
      <c r="A906" s="1">
        <v>38808</v>
      </c>
      <c r="B906" t="s">
        <v>23</v>
      </c>
      <c r="C906" s="2">
        <v>3098</v>
      </c>
      <c r="D906" s="5" t="s">
        <v>17</v>
      </c>
      <c r="E906" s="2">
        <f>IF(Tabla2[[#This Row],[Frecuencia]]="Annual", Tabla2[[#This Row],[Cosecha/Tarea]]/12,Tabla2[[#This Row],[Cosecha/Tarea]])</f>
        <v>3098</v>
      </c>
      <c r="F906" s="2">
        <v>91019</v>
      </c>
      <c r="G906" t="s">
        <v>18</v>
      </c>
      <c r="H906">
        <f>F906/Tabla2[[#This Row],[Cosecha Mensual]]</f>
        <v>29.379922530664945</v>
      </c>
      <c r="I906">
        <f>H906*_xlfn.XLOOKUP(Tabla2[[#This Row],[Unidad de producción]],Tabla3[Medida],Tabla3[Equivalencia en Kg],"ELVIS",0)</f>
        <v>1332.6732859909619</v>
      </c>
      <c r="J906">
        <v>474.75</v>
      </c>
      <c r="K906" t="s">
        <v>18</v>
      </c>
      <c r="L906">
        <f>J906/_xlfn.XLOOKUP(Tabla2[[#This Row],[Unidad de precio]],Tabla3[Medida],Tabla3[Equivalencia en Kg],"ELVIS",0)</f>
        <v>10.466269841269842</v>
      </c>
      <c r="M906">
        <v>10412.049999999999</v>
      </c>
      <c r="N906" s="2">
        <f>(Tabla2[[#This Row],[Productividad (kg/TAS)]]*Tabla2[[#This Row],[Precio por kg]]-Tabla2[[#This Row],[Costos (En RD$/Tarea)]])</f>
        <v>3536.0682214331828</v>
      </c>
      <c r="O906" s="6">
        <f>IF(Tabla2[[#This Row],[Costos (En RD$/Tarea)]]=0,0,Tabla2[[#This Row],[Beneficio Neto  (En RD$/Tarea)]]/Tabla2[[#This Row],[Costos (En RD$/Tarea)]])</f>
        <v>0.33961306576833411</v>
      </c>
      <c r="P906" s="4">
        <f>Tabla2[[#This Row],[Rentabilidad (%)]]/12</f>
        <v>2.8301088814027844E-2</v>
      </c>
    </row>
    <row r="907" spans="1:16" x14ac:dyDescent="0.35">
      <c r="A907" s="1">
        <v>38808</v>
      </c>
      <c r="B907" t="s">
        <v>24</v>
      </c>
      <c r="C907" s="2">
        <v>6215</v>
      </c>
      <c r="D907" s="5" t="s">
        <v>17</v>
      </c>
      <c r="E907" s="2">
        <f>IF(Tabla2[[#This Row],[Frecuencia]]="Annual", Tabla2[[#This Row],[Cosecha/Tarea]]/12,Tabla2[[#This Row],[Cosecha/Tarea]])</f>
        <v>6215</v>
      </c>
      <c r="F907" s="2">
        <v>58097</v>
      </c>
      <c r="G907" t="s">
        <v>18</v>
      </c>
      <c r="H907">
        <f>F907/Tabla2[[#This Row],[Cosecha Mensual]]</f>
        <v>9.3478680611423979</v>
      </c>
      <c r="I907">
        <f>H907*_xlfn.XLOOKUP(Tabla2[[#This Row],[Unidad de producción]],Tabla3[Medida],Tabla3[Equivalencia en Kg],"ELVIS",0)</f>
        <v>424.01929525341916</v>
      </c>
      <c r="J907">
        <v>984.64</v>
      </c>
      <c r="K907" t="s">
        <v>18</v>
      </c>
      <c r="L907">
        <f>J907/_xlfn.XLOOKUP(Tabla2[[#This Row],[Unidad de precio]],Tabla3[Medida],Tabla3[Equivalencia en Kg],"ELVIS",0)</f>
        <v>21.707231040564373</v>
      </c>
      <c r="M907">
        <v>4593.1000000000004</v>
      </c>
      <c r="N907" s="2">
        <f>(Tabla2[[#This Row],[Productividad (kg/TAS)]]*Tabla2[[#This Row],[Precio por kg]]-Tabla2[[#This Row],[Costos (En RD$/Tarea)]])</f>
        <v>4611.1848077232498</v>
      </c>
      <c r="O907" s="6">
        <f>IF(Tabla2[[#This Row],[Costos (En RD$/Tarea)]]=0,0,Tabla2[[#This Row],[Beneficio Neto  (En RD$/Tarea)]]/Tabla2[[#This Row],[Costos (En RD$/Tarea)]])</f>
        <v>1.0039373860188652</v>
      </c>
      <c r="P907" s="4">
        <f>Tabla2[[#This Row],[Rentabilidad (%)]]/12</f>
        <v>8.3661448834905436E-2</v>
      </c>
    </row>
    <row r="908" spans="1:16" x14ac:dyDescent="0.35">
      <c r="A908" s="1">
        <v>38808</v>
      </c>
      <c r="B908" t="s">
        <v>25</v>
      </c>
      <c r="C908" s="2">
        <v>29022</v>
      </c>
      <c r="D908" s="5" t="s">
        <v>17</v>
      </c>
      <c r="E908" s="2">
        <f>IF(Tabla2[[#This Row],[Frecuencia]]="Annual", Tabla2[[#This Row],[Cosecha/Tarea]]/12,Tabla2[[#This Row],[Cosecha/Tarea]])</f>
        <v>29022</v>
      </c>
      <c r="F908" s="2">
        <v>291466</v>
      </c>
      <c r="G908" t="s">
        <v>18</v>
      </c>
      <c r="H908">
        <f>F908/Tabla2[[#This Row],[Cosecha Mensual]]</f>
        <v>10.0429329474192</v>
      </c>
      <c r="I908">
        <f>H908*_xlfn.XLOOKUP(Tabla2[[#This Row],[Unidad de producción]],Tabla3[Medida],Tabla3[Equivalencia en Kg],"ELVIS",0)</f>
        <v>455.54743849493491</v>
      </c>
      <c r="J908">
        <v>287.45496000000003</v>
      </c>
      <c r="K908" t="s">
        <v>18</v>
      </c>
      <c r="L908">
        <f>J908/_xlfn.XLOOKUP(Tabla2[[#This Row],[Unidad de precio]],Tabla3[Medida],Tabla3[Equivalencia en Kg],"ELVIS",0)</f>
        <v>6.3371904761904769</v>
      </c>
      <c r="M908">
        <v>2287.145</v>
      </c>
      <c r="N908" s="2">
        <f>(Tabla2[[#This Row],[Productividad (kg/TAS)]]*Tabla2[[#This Row],[Precio por kg]]-Tabla2[[#This Row],[Costos (En RD$/Tarea)]])</f>
        <v>599.74588868306864</v>
      </c>
      <c r="O908" s="6">
        <f>IF(Tabla2[[#This Row],[Costos (En RD$/Tarea)]]=0,0,Tabla2[[#This Row],[Beneficio Neto  (En RD$/Tarea)]]/Tabla2[[#This Row],[Costos (En RD$/Tarea)]])</f>
        <v>0.26222469003192567</v>
      </c>
      <c r="P908" s="4">
        <f>Tabla2[[#This Row],[Rentabilidad (%)]]/12</f>
        <v>2.1852057502660473E-2</v>
      </c>
    </row>
    <row r="909" spans="1:16" x14ac:dyDescent="0.35">
      <c r="A909" s="1">
        <v>38808</v>
      </c>
      <c r="B909" t="s">
        <v>26</v>
      </c>
      <c r="C909" s="2">
        <v>8253</v>
      </c>
      <c r="D909" s="5" t="s">
        <v>17</v>
      </c>
      <c r="E909" s="2">
        <f>IF(Tabla2[[#This Row],[Frecuencia]]="Annual", Tabla2[[#This Row],[Cosecha/Tarea]]/12,Tabla2[[#This Row],[Cosecha/Tarea]])</f>
        <v>8253</v>
      </c>
      <c r="F909" s="2">
        <v>59980</v>
      </c>
      <c r="G909" t="s">
        <v>18</v>
      </c>
      <c r="H909">
        <f>F909/Tabla2[[#This Row],[Cosecha Mensual]]</f>
        <v>7.2676602447594814</v>
      </c>
      <c r="I909">
        <f>H909*_xlfn.XLOOKUP(Tabla2[[#This Row],[Unidad de producción]],Tabla3[Medida],Tabla3[Equivalencia en Kg],"ELVIS",0)</f>
        <v>329.66106870229009</v>
      </c>
      <c r="J909">
        <v>424.4</v>
      </c>
      <c r="K909" t="s">
        <v>18</v>
      </c>
      <c r="L909">
        <f>J909/_xlfn.XLOOKUP(Tabla2[[#This Row],[Unidad de precio]],Tabla3[Medida],Tabla3[Equivalencia en Kg],"ELVIS",0)</f>
        <v>9.3562610229276899</v>
      </c>
      <c r="M909">
        <v>864.56</v>
      </c>
      <c r="N909" s="2">
        <f>(Tabla2[[#This Row],[Productividad (kg/TAS)]]*Tabla2[[#This Row],[Precio por kg]]-Tabla2[[#This Row],[Costos (En RD$/Tarea)]])</f>
        <v>2219.835007875924</v>
      </c>
      <c r="O909" s="6">
        <f>IF(Tabla2[[#This Row],[Costos (En RD$/Tarea)]]=0,0,Tabla2[[#This Row],[Beneficio Neto  (En RD$/Tarea)]]/Tabla2[[#This Row],[Costos (En RD$/Tarea)]])</f>
        <v>2.567589303085875</v>
      </c>
      <c r="P909" s="4">
        <f>Tabla2[[#This Row],[Rentabilidad (%)]]/12</f>
        <v>0.21396577525715624</v>
      </c>
    </row>
    <row r="910" spans="1:16" x14ac:dyDescent="0.35">
      <c r="A910" s="1">
        <v>38808</v>
      </c>
      <c r="B910" t="s">
        <v>27</v>
      </c>
      <c r="C910" s="2">
        <v>6796</v>
      </c>
      <c r="D910" s="5" t="s">
        <v>17</v>
      </c>
      <c r="E910" s="2">
        <f>IF(Tabla2[[#This Row],[Frecuencia]]="Annual", Tabla2[[#This Row],[Cosecha/Tarea]]/12,Tabla2[[#This Row],[Cosecha/Tarea]])</f>
        <v>6796</v>
      </c>
      <c r="F910" s="2">
        <v>59363</v>
      </c>
      <c r="G910" t="s">
        <v>18</v>
      </c>
      <c r="H910">
        <f>F910/Tabla2[[#This Row],[Cosecha Mensual]]</f>
        <v>8.7349911712772226</v>
      </c>
      <c r="I910">
        <f>H910*_xlfn.XLOOKUP(Tabla2[[#This Row],[Unidad de producción]],Tabla3[Medida],Tabla3[Equivalencia en Kg],"ELVIS",0)</f>
        <v>396.21919952913481</v>
      </c>
      <c r="J910">
        <v>203.72</v>
      </c>
      <c r="K910" t="s">
        <v>18</v>
      </c>
      <c r="L910">
        <f>J910/_xlfn.XLOOKUP(Tabla2[[#This Row],[Unidad de precio]],Tabla3[Medida],Tabla3[Equivalencia en Kg],"ELVIS",0)</f>
        <v>4.4911816578483243</v>
      </c>
      <c r="M910">
        <v>4742.13</v>
      </c>
      <c r="N910" s="2">
        <f>(Tabla2[[#This Row],[Productividad (kg/TAS)]]*Tabla2[[#This Row],[Precio por kg]]-Tabla2[[#This Row],[Costos (En RD$/Tarea)]])</f>
        <v>-2962.6375985874047</v>
      </c>
      <c r="O910" s="6">
        <f>IF(Tabla2[[#This Row],[Costos (En RD$/Tarea)]]=0,0,Tabla2[[#This Row],[Beneficio Neto  (En RD$/Tarea)]]/Tabla2[[#This Row],[Costos (En RD$/Tarea)]])</f>
        <v>-0.62474828791859449</v>
      </c>
      <c r="P910" s="4">
        <f>Tabla2[[#This Row],[Rentabilidad (%)]]/12</f>
        <v>-5.2062357326549541E-2</v>
      </c>
    </row>
    <row r="911" spans="1:16" x14ac:dyDescent="0.35">
      <c r="A911" s="1">
        <v>38808</v>
      </c>
      <c r="B911" t="s">
        <v>28</v>
      </c>
      <c r="C911" s="2">
        <v>488</v>
      </c>
      <c r="D911" s="5" t="s">
        <v>17</v>
      </c>
      <c r="E911" s="2">
        <f>IF(Tabla2[[#This Row],[Frecuencia]]="Annual", Tabla2[[#This Row],[Cosecha/Tarea]]/12,Tabla2[[#This Row],[Cosecha/Tarea]])</f>
        <v>488</v>
      </c>
      <c r="F911" s="2">
        <v>302</v>
      </c>
      <c r="G911" t="s">
        <v>29</v>
      </c>
      <c r="H911">
        <f>F911/Tabla2[[#This Row],[Cosecha Mensual]]</f>
        <v>0.61885245901639341</v>
      </c>
      <c r="I911">
        <f>H911*_xlfn.XLOOKUP(Tabla2[[#This Row],[Unidad de producción]],Tabla3[Medida],Tabla3[Equivalencia en Kg],"ELVIS",0)</f>
        <v>348.00549180327869</v>
      </c>
      <c r="J911">
        <v>5757.5</v>
      </c>
      <c r="K911" t="s">
        <v>29</v>
      </c>
      <c r="L911">
        <f>J911/_xlfn.XLOOKUP(Tabla2[[#This Row],[Unidad de precio]],Tabla3[Medida],Tabla3[Equivalencia en Kg],"ELVIS",0)</f>
        <v>10.238467830849663</v>
      </c>
      <c r="M911">
        <v>8196.8700000000008</v>
      </c>
      <c r="N911" s="2">
        <f>(Tabla2[[#This Row],[Productividad (kg/TAS)]]*Tabla2[[#This Row],[Precio por kg]]-Tabla2[[#This Row],[Costos (En RD$/Tarea)]])</f>
        <v>-4633.8269672131155</v>
      </c>
      <c r="O911" s="6">
        <f>IF(Tabla2[[#This Row],[Costos (En RD$/Tarea)]]=0,0,Tabla2[[#This Row],[Beneficio Neto  (En RD$/Tarea)]]/Tabla2[[#This Row],[Costos (En RD$/Tarea)]])</f>
        <v>-0.56531663515623831</v>
      </c>
      <c r="P911" s="4">
        <f>Tabla2[[#This Row],[Rentabilidad (%)]]/12</f>
        <v>-4.710971959635319E-2</v>
      </c>
    </row>
    <row r="912" spans="1:16" x14ac:dyDescent="0.35">
      <c r="A912" s="1">
        <v>38808</v>
      </c>
      <c r="B912" t="s">
        <v>30</v>
      </c>
      <c r="C912" s="2">
        <v>295016</v>
      </c>
      <c r="D912" s="2" t="s">
        <v>31</v>
      </c>
      <c r="E912" s="2">
        <f>IF(Tabla2[[#This Row],[Frecuencia]]="Annual", Tabla2[[#This Row],[Cosecha/Tarea]]/12,Tabla2[[#This Row],[Cosecha/Tarea]])</f>
        <v>24584.666666666668</v>
      </c>
      <c r="F912" s="2">
        <v>1437807</v>
      </c>
      <c r="G912" t="s">
        <v>32</v>
      </c>
      <c r="H912">
        <f>F912/Tabla2[[#This Row],[Cosecha Mensual]]</f>
        <v>58.483892399056316</v>
      </c>
      <c r="I912">
        <f>H912*_xlfn.XLOOKUP(Tabla2[[#This Row],[Unidad de producción]],Tabla3[Medida],Tabla3[Equivalencia en Kg],"ELVIS",0)</f>
        <v>1591.3467121783224</v>
      </c>
      <c r="J912">
        <v>62.1383333333333</v>
      </c>
      <c r="K912" t="s">
        <v>32</v>
      </c>
      <c r="L912">
        <f>J912/_xlfn.XLOOKUP(Tabla2[[#This Row],[Unidad de precio]],Tabla3[Medida],Tabla3[Equivalencia en Kg],"ELVIS",0)</f>
        <v>2.2836579688839875</v>
      </c>
      <c r="M912" s="2">
        <v>7154.19</v>
      </c>
      <c r="N912" s="2">
        <f>(Tabla2[[#This Row],[Productividad (kg/TAS)]]*Tabla2[[#This Row],[Precio por kg]]-Tabla2[[#This Row],[Costos (En RD$/Tarea)]])</f>
        <v>-3520.0983994766402</v>
      </c>
      <c r="O912" s="6">
        <f>IF(Tabla2[[#This Row],[Costos (En RD$/Tarea)]]=0,0,Tabla2[[#This Row],[Beneficio Neto  (En RD$/Tarea)]]/Tabla2[[#This Row],[Costos (En RD$/Tarea)]])</f>
        <v>-0.49203311618459117</v>
      </c>
      <c r="P912" s="4">
        <f>Tabla2[[#This Row],[Rentabilidad (%)]]/12</f>
        <v>-4.1002759682049264E-2</v>
      </c>
    </row>
    <row r="913" spans="1:16" x14ac:dyDescent="0.35">
      <c r="A913" s="1">
        <v>38808</v>
      </c>
      <c r="B913" t="s">
        <v>33</v>
      </c>
      <c r="C913" s="2">
        <v>652495</v>
      </c>
      <c r="D913" s="2" t="s">
        <v>31</v>
      </c>
      <c r="E913" s="2">
        <f>IF(Tabla2[[#This Row],[Frecuencia]]="Annual", Tabla2[[#This Row],[Cosecha/Tarea]]/12,Tabla2[[#This Row],[Cosecha/Tarea]])</f>
        <v>54374.583333333336</v>
      </c>
      <c r="F913" s="2">
        <v>146839</v>
      </c>
      <c r="G913" t="s">
        <v>34</v>
      </c>
      <c r="H913">
        <f>F913/Tabla2[[#This Row],[Cosecha Mensual]]</f>
        <v>2.7005080498701139</v>
      </c>
      <c r="I913">
        <f>H913*_xlfn.XLOOKUP(Tabla2[[#This Row],[Unidad de producción]],Tabla3[Medida],Tabla3[Equivalencia en Kg],"ELVIS",0)</f>
        <v>1102.2123605544868</v>
      </c>
      <c r="J913">
        <v>2487.3049999999998</v>
      </c>
      <c r="K913" t="s">
        <v>34</v>
      </c>
      <c r="L913">
        <f>J913/_xlfn.XLOOKUP(Tabla2[[#This Row],[Unidad de precio]],Tabla3[Medida],Tabla3[Equivalencia en Kg],"ELVIS",0)</f>
        <v>6.0940953080975131</v>
      </c>
      <c r="M913" s="2">
        <v>9504.44</v>
      </c>
      <c r="N913" s="2">
        <f>(Tabla2[[#This Row],[Productividad (kg/TAS)]]*Tabla2[[#This Row],[Precio por kg]]-Tabla2[[#This Row],[Costos (En RD$/Tarea)]])</f>
        <v>-2787.4528250178182</v>
      </c>
      <c r="O913" s="6">
        <f>IF(Tabla2[[#This Row],[Costos (En RD$/Tarea)]]=0,0,Tabla2[[#This Row],[Beneficio Neto  (En RD$/Tarea)]]/Tabla2[[#This Row],[Costos (En RD$/Tarea)]])</f>
        <v>-0.29327901749264745</v>
      </c>
      <c r="P913" s="4">
        <f>Tabla2[[#This Row],[Rentabilidad (%)]]/12</f>
        <v>-2.4439918124387287E-2</v>
      </c>
    </row>
    <row r="914" spans="1:16" x14ac:dyDescent="0.35">
      <c r="A914" s="1">
        <v>38838</v>
      </c>
      <c r="B914" t="s">
        <v>16</v>
      </c>
      <c r="C914" s="2">
        <v>332764</v>
      </c>
      <c r="D914" s="5" t="s">
        <v>17</v>
      </c>
      <c r="E914" s="2">
        <f>IF(Tabla2[[#This Row],[Frecuencia]]="Annual", Tabla2[[#This Row],[Cosecha/Tarea]]/12,Tabla2[[#This Row],[Cosecha/Tarea]])</f>
        <v>332764</v>
      </c>
      <c r="F914" s="2">
        <v>1550101</v>
      </c>
      <c r="G914" t="s">
        <v>18</v>
      </c>
      <c r="H914">
        <f>F914/Tabla2[[#This Row],[Cosecha Mensual]]</f>
        <v>4.6582593068961788</v>
      </c>
      <c r="I914">
        <f>H914*_xlfn.XLOOKUP(Tabla2[[#This Row],[Unidad de producción]],Tabla3[Medida],Tabla3[Equivalencia en Kg],"ELVIS",0)</f>
        <v>211.29864216081066</v>
      </c>
      <c r="J914">
        <v>881.93200000000002</v>
      </c>
      <c r="K914" t="s">
        <v>19</v>
      </c>
      <c r="L914">
        <f>J914/_xlfn.XLOOKUP(Tabla2[[#This Row],[Unidad de precio]],Tabla3[Medida],Tabla3[Equivalencia en Kg],"ELVIS",0)</f>
        <v>8.0175636363636364</v>
      </c>
      <c r="M914">
        <v>4756.7749999999996</v>
      </c>
      <c r="N914" s="2">
        <f>(Tabla2[[#This Row],[Productividad (kg/TAS)]]*Tabla2[[#This Row],[Precio por kg]]-Tabla2[[#This Row],[Costos (En RD$/Tarea)]])</f>
        <v>-3062.6746901984716</v>
      </c>
      <c r="O914" s="6">
        <f>IF(Tabla2[[#This Row],[Costos (En RD$/Tarea)]]=0,0,Tabla2[[#This Row],[Beneficio Neto  (En RD$/Tarea)]]/Tabla2[[#This Row],[Costos (En RD$/Tarea)]])</f>
        <v>-0.64385527803994758</v>
      </c>
      <c r="P914" s="4">
        <f>Tabla2[[#This Row],[Rentabilidad (%)]]/12</f>
        <v>-5.3654606503328962E-2</v>
      </c>
    </row>
    <row r="915" spans="1:16" x14ac:dyDescent="0.35">
      <c r="A915" s="1">
        <v>38838</v>
      </c>
      <c r="B915" t="s">
        <v>20</v>
      </c>
      <c r="C915" s="2">
        <v>14614</v>
      </c>
      <c r="D915" s="5" t="s">
        <v>17</v>
      </c>
      <c r="E915" s="2">
        <f>IF(Tabla2[[#This Row],[Frecuencia]]="Annual", Tabla2[[#This Row],[Cosecha/Tarea]]/12,Tabla2[[#This Row],[Cosecha/Tarea]])</f>
        <v>14614</v>
      </c>
      <c r="F915" s="2">
        <v>27774</v>
      </c>
      <c r="G915" t="s">
        <v>18</v>
      </c>
      <c r="H915">
        <f>F915/Tabla2[[#This Row],[Cosecha Mensual]]</f>
        <v>1.9005063637607773</v>
      </c>
      <c r="I915">
        <f>H915*_xlfn.XLOOKUP(Tabla2[[#This Row],[Unidad de producción]],Tabla3[Medida],Tabla3[Equivalencia en Kg],"ELVIS",0)</f>
        <v>86.206968660188863</v>
      </c>
      <c r="J915">
        <v>499.66666666666703</v>
      </c>
      <c r="K915" t="s">
        <v>18</v>
      </c>
      <c r="L915">
        <f>J915/_xlfn.XLOOKUP(Tabla2[[#This Row],[Unidad de precio]],Tabla3[Medida],Tabla3[Equivalencia en Kg],"ELVIS",0)</f>
        <v>11.015579071134635</v>
      </c>
      <c r="M915">
        <v>1341.48</v>
      </c>
      <c r="N915" s="2">
        <f>(Tabla2[[#This Row],[Productividad (kg/TAS)]]*Tabla2[[#This Row],[Precio por kg]]-Tabla2[[#This Row],[Costos (En RD$/Tarea)]])</f>
        <v>-391.86032024086421</v>
      </c>
      <c r="O915" s="6">
        <f>IF(Tabla2[[#This Row],[Costos (En RD$/Tarea)]]=0,0,Tabla2[[#This Row],[Beneficio Neto  (En RD$/Tarea)]]/Tabla2[[#This Row],[Costos (En RD$/Tarea)]])</f>
        <v>-0.29211044535950159</v>
      </c>
      <c r="P915" s="4">
        <f>Tabla2[[#This Row],[Rentabilidad (%)]]/12</f>
        <v>-2.43425371132918E-2</v>
      </c>
    </row>
    <row r="916" spans="1:16" x14ac:dyDescent="0.35">
      <c r="A916" s="1">
        <v>38838</v>
      </c>
      <c r="B916" t="s">
        <v>21</v>
      </c>
      <c r="C916" s="2">
        <v>3250</v>
      </c>
      <c r="D916" s="5" t="s">
        <v>17</v>
      </c>
      <c r="E916" s="2">
        <f>IF(Tabla2[[#This Row],[Frecuencia]]="Annual", Tabla2[[#This Row],[Cosecha/Tarea]]/12,Tabla2[[#This Row],[Cosecha/Tarea]])</f>
        <v>3250</v>
      </c>
      <c r="F916" s="2">
        <v>32475</v>
      </c>
      <c r="G916" t="s">
        <v>18</v>
      </c>
      <c r="H916">
        <f>F916/Tabla2[[#This Row],[Cosecha Mensual]]</f>
        <v>9.9923076923076923</v>
      </c>
      <c r="I916">
        <f>H916*_xlfn.XLOOKUP(Tabla2[[#This Row],[Unidad de producción]],Tabla3[Medida],Tabla3[Equivalencia en Kg],"ELVIS",0)</f>
        <v>453.25107692307694</v>
      </c>
      <c r="J916">
        <v>253.42500000000001</v>
      </c>
      <c r="K916" t="s">
        <v>18</v>
      </c>
      <c r="L916">
        <f>J916/_xlfn.XLOOKUP(Tabla2[[#This Row],[Unidad de precio]],Tabla3[Medida],Tabla3[Equivalencia en Kg],"ELVIS",0)</f>
        <v>5.5869708994708995</v>
      </c>
      <c r="M916">
        <v>2058.7550000000001</v>
      </c>
      <c r="N916" s="2">
        <f>(Tabla2[[#This Row],[Productividad (kg/TAS)]]*Tabla2[[#This Row],[Precio por kg]]-Tabla2[[#This Row],[Costos (En RD$/Tarea)]])</f>
        <v>473.54557692307708</v>
      </c>
      <c r="O916" s="6">
        <f>IF(Tabla2[[#This Row],[Costos (En RD$/Tarea)]]=0,0,Tabla2[[#This Row],[Beneficio Neto  (En RD$/Tarea)]]/Tabla2[[#This Row],[Costos (En RD$/Tarea)]])</f>
        <v>0.23001550787882824</v>
      </c>
      <c r="P916" s="4">
        <f>Tabla2[[#This Row],[Rentabilidad (%)]]/12</f>
        <v>1.9167958989902353E-2</v>
      </c>
    </row>
    <row r="917" spans="1:16" x14ac:dyDescent="0.35">
      <c r="A917" s="1">
        <v>38838</v>
      </c>
      <c r="B917" t="s">
        <v>22</v>
      </c>
      <c r="C917" s="2">
        <v>7275</v>
      </c>
      <c r="D917" s="5" t="s">
        <v>17</v>
      </c>
      <c r="E917" s="2">
        <f>IF(Tabla2[[#This Row],[Frecuencia]]="Annual", Tabla2[[#This Row],[Cosecha/Tarea]]/12,Tabla2[[#This Row],[Cosecha/Tarea]])</f>
        <v>7275</v>
      </c>
      <c r="F917" s="2">
        <v>68589</v>
      </c>
      <c r="G917" t="s">
        <v>18</v>
      </c>
      <c r="H917">
        <f>F917/Tabla2[[#This Row],[Cosecha Mensual]]</f>
        <v>9.4280412371134013</v>
      </c>
      <c r="I917">
        <f>H917*_xlfn.XLOOKUP(Tabla2[[#This Row],[Unidad de producción]],Tabla3[Medida],Tabla3[Equivalencia en Kg],"ELVIS",0)</f>
        <v>427.65595051546387</v>
      </c>
      <c r="J917">
        <v>854</v>
      </c>
      <c r="K917" t="s">
        <v>18</v>
      </c>
      <c r="L917">
        <f>J917/_xlfn.XLOOKUP(Tabla2[[#This Row],[Unidad de precio]],Tabla3[Medida],Tabla3[Equivalencia en Kg],"ELVIS",0)</f>
        <v>18.827160493827162</v>
      </c>
      <c r="M917">
        <v>5691.88</v>
      </c>
      <c r="N917" s="2">
        <f>(Tabla2[[#This Row],[Productividad (kg/TAS)]]*Tabla2[[#This Row],[Precio por kg]]-Tabla2[[#This Row],[Costos (En RD$/Tarea)]])</f>
        <v>2359.667216494845</v>
      </c>
      <c r="O917" s="6">
        <f>IF(Tabla2[[#This Row],[Costos (En RD$/Tarea)]]=0,0,Tabla2[[#This Row],[Beneficio Neto  (En RD$/Tarea)]]/Tabla2[[#This Row],[Costos (En RD$/Tarea)]])</f>
        <v>0.41456728119616804</v>
      </c>
      <c r="P917" s="4">
        <f>Tabla2[[#This Row],[Rentabilidad (%)]]/12</f>
        <v>3.4547273433014003E-2</v>
      </c>
    </row>
    <row r="918" spans="1:16" x14ac:dyDescent="0.35">
      <c r="A918" s="1">
        <v>38838</v>
      </c>
      <c r="B918" t="s">
        <v>23</v>
      </c>
      <c r="C918" s="2">
        <v>3499</v>
      </c>
      <c r="D918" s="5" t="s">
        <v>17</v>
      </c>
      <c r="E918" s="2">
        <f>IF(Tabla2[[#This Row],[Frecuencia]]="Annual", Tabla2[[#This Row],[Cosecha/Tarea]]/12,Tabla2[[#This Row],[Cosecha/Tarea]])</f>
        <v>3499</v>
      </c>
      <c r="F918" s="2">
        <v>118225</v>
      </c>
      <c r="G918" t="s">
        <v>18</v>
      </c>
      <c r="H918">
        <f>F918/Tabla2[[#This Row],[Cosecha Mensual]]</f>
        <v>33.788225207202061</v>
      </c>
      <c r="I918">
        <f>H918*_xlfn.XLOOKUP(Tabla2[[#This Row],[Unidad de producción]],Tabla3[Medida],Tabla3[Equivalencia en Kg],"ELVIS",0)</f>
        <v>1532.6338953986854</v>
      </c>
      <c r="J918">
        <v>418.125</v>
      </c>
      <c r="K918" t="s">
        <v>18</v>
      </c>
      <c r="L918">
        <f>J918/_xlfn.XLOOKUP(Tabla2[[#This Row],[Unidad de precio]],Tabla3[Medida],Tabla3[Equivalencia en Kg],"ELVIS",0)</f>
        <v>9.21792328042328</v>
      </c>
      <c r="M918">
        <v>10412.049999999999</v>
      </c>
      <c r="N918" s="2">
        <f>(Tabla2[[#This Row],[Productividad (kg/TAS)]]*Tabla2[[#This Row],[Precio por kg]]-Tabla2[[#This Row],[Costos (En RD$/Tarea)]])</f>
        <v>3715.6516647613607</v>
      </c>
      <c r="O918" s="6">
        <f>IF(Tabla2[[#This Row],[Costos (En RD$/Tarea)]]=0,0,Tabla2[[#This Row],[Beneficio Neto  (En RD$/Tarea)]]/Tabla2[[#This Row],[Costos (En RD$/Tarea)]])</f>
        <v>0.35686072048841111</v>
      </c>
      <c r="P918" s="4">
        <f>Tabla2[[#This Row],[Rentabilidad (%)]]/12</f>
        <v>2.973839337403426E-2</v>
      </c>
    </row>
    <row r="919" spans="1:16" x14ac:dyDescent="0.35">
      <c r="A919" s="1">
        <v>38838</v>
      </c>
      <c r="B919" t="s">
        <v>24</v>
      </c>
      <c r="C919" s="2">
        <v>5839</v>
      </c>
      <c r="D919" s="5" t="s">
        <v>17</v>
      </c>
      <c r="E919" s="2">
        <f>IF(Tabla2[[#This Row],[Frecuencia]]="Annual", Tabla2[[#This Row],[Cosecha/Tarea]]/12,Tabla2[[#This Row],[Cosecha/Tarea]])</f>
        <v>5839</v>
      </c>
      <c r="F919" s="2">
        <v>46789</v>
      </c>
      <c r="G919" t="s">
        <v>18</v>
      </c>
      <c r="H919">
        <f>F919/Tabla2[[#This Row],[Cosecha Mensual]]</f>
        <v>8.0131871895872582</v>
      </c>
      <c r="I919">
        <f>H919*_xlfn.XLOOKUP(Tabla2[[#This Row],[Unidad de producción]],Tabla3[Medida],Tabla3[Equivalencia en Kg],"ELVIS",0)</f>
        <v>363.47817091967801</v>
      </c>
      <c r="J919">
        <v>860.33399999999995</v>
      </c>
      <c r="K919" t="s">
        <v>18</v>
      </c>
      <c r="L919">
        <f>J919/_xlfn.XLOOKUP(Tabla2[[#This Row],[Unidad de precio]],Tabla3[Medida],Tabla3[Equivalencia en Kg],"ELVIS",0)</f>
        <v>18.966798941798942</v>
      </c>
      <c r="M919">
        <v>4593.1000000000004</v>
      </c>
      <c r="N919" s="2">
        <f>(Tabla2[[#This Row],[Productividad (kg/TAS)]]*Tabla2[[#This Row],[Precio por kg]]-Tabla2[[#This Row],[Costos (En RD$/Tarea)]])</f>
        <v>2300.9173875663637</v>
      </c>
      <c r="O919" s="6">
        <f>IF(Tabla2[[#This Row],[Costos (En RD$/Tarea)]]=0,0,Tabla2[[#This Row],[Beneficio Neto  (En RD$/Tarea)]]/Tabla2[[#This Row],[Costos (En RD$/Tarea)]])</f>
        <v>0.500950858367195</v>
      </c>
      <c r="P919" s="4">
        <f>Tabla2[[#This Row],[Rentabilidad (%)]]/12</f>
        <v>4.1745904863932919E-2</v>
      </c>
    </row>
    <row r="920" spans="1:16" x14ac:dyDescent="0.35">
      <c r="A920" s="1">
        <v>38838</v>
      </c>
      <c r="B920" t="s">
        <v>25</v>
      </c>
      <c r="C920" s="2">
        <v>26056</v>
      </c>
      <c r="D920" s="5" t="s">
        <v>17</v>
      </c>
      <c r="E920" s="2">
        <f>IF(Tabla2[[#This Row],[Frecuencia]]="Annual", Tabla2[[#This Row],[Cosecha/Tarea]]/12,Tabla2[[#This Row],[Cosecha/Tarea]])</f>
        <v>26056</v>
      </c>
      <c r="F920" s="2">
        <v>261680</v>
      </c>
      <c r="G920" t="s">
        <v>18</v>
      </c>
      <c r="H920">
        <f>F920/Tabla2[[#This Row],[Cosecha Mensual]]</f>
        <v>10.042984341418483</v>
      </c>
      <c r="I920">
        <f>H920*_xlfn.XLOOKUP(Tabla2[[#This Row],[Unidad de producción]],Tabla3[Medida],Tabla3[Equivalencia en Kg],"ELVIS",0)</f>
        <v>455.5497697267424</v>
      </c>
      <c r="J920">
        <v>440.696666666667</v>
      </c>
      <c r="K920" t="s">
        <v>18</v>
      </c>
      <c r="L920">
        <f>J920/_xlfn.XLOOKUP(Tabla2[[#This Row],[Unidad de precio]],Tabla3[Medida],Tabla3[Equivalencia en Kg],"ELVIS",0)</f>
        <v>9.7155349794238752</v>
      </c>
      <c r="M920">
        <v>2287.145</v>
      </c>
      <c r="N920" s="2">
        <f>(Tabla2[[#This Row],[Productividad (kg/TAS)]]*Tabla2[[#This Row],[Precio por kg]]-Tabla2[[#This Row],[Costos (En RD$/Tarea)]])</f>
        <v>2138.7647226486574</v>
      </c>
      <c r="O920" s="6">
        <f>IF(Tabla2[[#This Row],[Costos (En RD$/Tarea)]]=0,0,Tabla2[[#This Row],[Beneficio Neto  (En RD$/Tarea)]]/Tabla2[[#This Row],[Costos (En RD$/Tarea)]])</f>
        <v>0.93512423683179569</v>
      </c>
      <c r="P920" s="4">
        <f>Tabla2[[#This Row],[Rentabilidad (%)]]/12</f>
        <v>7.7927019735982969E-2</v>
      </c>
    </row>
    <row r="921" spans="1:16" x14ac:dyDescent="0.35">
      <c r="A921" s="1">
        <v>38838</v>
      </c>
      <c r="B921" t="s">
        <v>26</v>
      </c>
      <c r="C921" s="2">
        <v>5969</v>
      </c>
      <c r="D921" s="5" t="s">
        <v>17</v>
      </c>
      <c r="E921" s="2">
        <f>IF(Tabla2[[#This Row],[Frecuencia]]="Annual", Tabla2[[#This Row],[Cosecha/Tarea]]/12,Tabla2[[#This Row],[Cosecha/Tarea]])</f>
        <v>5969</v>
      </c>
      <c r="F921" s="2">
        <v>40046</v>
      </c>
      <c r="G921" t="s">
        <v>18</v>
      </c>
      <c r="H921">
        <f>F921/Tabla2[[#This Row],[Cosecha Mensual]]</f>
        <v>6.7089964818227505</v>
      </c>
      <c r="I921">
        <f>H921*_xlfn.XLOOKUP(Tabla2[[#This Row],[Unidad de producción]],Tabla3[Medida],Tabla3[Equivalencia en Kg],"ELVIS",0)</f>
        <v>304.32008041547994</v>
      </c>
      <c r="J921">
        <v>352.08333333333297</v>
      </c>
      <c r="K921" t="s">
        <v>18</v>
      </c>
      <c r="L921">
        <f>J921/_xlfn.XLOOKUP(Tabla2[[#This Row],[Unidad de precio]],Tabla3[Medida],Tabla3[Equivalencia en Kg],"ELVIS",0)</f>
        <v>7.7619782480893518</v>
      </c>
      <c r="M921">
        <v>864.56</v>
      </c>
      <c r="N921" s="2">
        <f>(Tabla2[[#This Row],[Productividad (kg/TAS)]]*Tabla2[[#This Row],[Precio por kg]]-Tabla2[[#This Row],[Costos (En RD$/Tarea)]])</f>
        <v>1497.5658446417578</v>
      </c>
      <c r="O921" s="6">
        <f>IF(Tabla2[[#This Row],[Costos (En RD$/Tarea)]]=0,0,Tabla2[[#This Row],[Beneficio Neto  (En RD$/Tarea)]]/Tabla2[[#This Row],[Costos (En RD$/Tarea)]])</f>
        <v>1.7321710981791407</v>
      </c>
      <c r="P921" s="4">
        <f>Tabla2[[#This Row],[Rentabilidad (%)]]/12</f>
        <v>0.1443475915149284</v>
      </c>
    </row>
    <row r="922" spans="1:16" x14ac:dyDescent="0.35">
      <c r="A922" s="1">
        <v>38838</v>
      </c>
      <c r="B922" t="s">
        <v>27</v>
      </c>
      <c r="C922" s="2">
        <v>5869</v>
      </c>
      <c r="D922" s="5" t="s">
        <v>17</v>
      </c>
      <c r="E922" s="2">
        <f>IF(Tabla2[[#This Row],[Frecuencia]]="Annual", Tabla2[[#This Row],[Cosecha/Tarea]]/12,Tabla2[[#This Row],[Cosecha/Tarea]])</f>
        <v>5869</v>
      </c>
      <c r="F922" s="2">
        <v>51899</v>
      </c>
      <c r="G922" t="s">
        <v>18</v>
      </c>
      <c r="H922">
        <f>F922/Tabla2[[#This Row],[Cosecha Mensual]]</f>
        <v>8.8429033906968826</v>
      </c>
      <c r="I922">
        <f>H922*_xlfn.XLOOKUP(Tabla2[[#This Row],[Unidad de producción]],Tabla3[Medida],Tabla3[Equivalencia en Kg],"ELVIS",0)</f>
        <v>401.11409780201058</v>
      </c>
      <c r="J922">
        <v>220.33453750000001</v>
      </c>
      <c r="K922" t="s">
        <v>18</v>
      </c>
      <c r="L922">
        <f>J922/_xlfn.XLOOKUP(Tabla2[[#This Row],[Unidad de precio]],Tabla3[Medida],Tabla3[Equivalencia en Kg],"ELVIS",0)</f>
        <v>4.8574633487654326</v>
      </c>
      <c r="M922">
        <v>4742.13</v>
      </c>
      <c r="N922" s="2">
        <f>(Tabla2[[#This Row],[Productividad (kg/TAS)]]*Tabla2[[#This Row],[Precio por kg]]-Tabla2[[#This Row],[Costos (En RD$/Tarea)]])</f>
        <v>-2793.7329712536202</v>
      </c>
      <c r="O922" s="6">
        <f>IF(Tabla2[[#This Row],[Costos (En RD$/Tarea)]]=0,0,Tabla2[[#This Row],[Beneficio Neto  (En RD$/Tarea)]]/Tabla2[[#This Row],[Costos (En RD$/Tarea)]])</f>
        <v>-0.58913040579942355</v>
      </c>
      <c r="P922" s="4">
        <f>Tabla2[[#This Row],[Rentabilidad (%)]]/12</f>
        <v>-4.9094200483285298E-2</v>
      </c>
    </row>
    <row r="923" spans="1:16" x14ac:dyDescent="0.35">
      <c r="A923" s="1">
        <v>38838</v>
      </c>
      <c r="B923" t="s">
        <v>28</v>
      </c>
      <c r="C923" s="2">
        <v>3</v>
      </c>
      <c r="D923" s="5" t="s">
        <v>17</v>
      </c>
      <c r="E923" s="2">
        <f>IF(Tabla2[[#This Row],[Frecuencia]]="Annual", Tabla2[[#This Row],[Cosecha/Tarea]]/12,Tabla2[[#This Row],[Cosecha/Tarea]])</f>
        <v>3</v>
      </c>
      <c r="F923" s="2">
        <v>4</v>
      </c>
      <c r="G923" t="s">
        <v>29</v>
      </c>
      <c r="H923">
        <f>F923/Tabla2[[#This Row],[Cosecha Mensual]]</f>
        <v>1.3333333333333333</v>
      </c>
      <c r="I923">
        <f>H923*_xlfn.XLOOKUP(Tabla2[[#This Row],[Unidad de producción]],Tabla3[Medida],Tabla3[Equivalencia en Kg],"ELVIS",0)</f>
        <v>749.78666666666663</v>
      </c>
      <c r="J923">
        <v>3900</v>
      </c>
      <c r="K923" t="s">
        <v>29</v>
      </c>
      <c r="L923">
        <f>J923/_xlfn.XLOOKUP(Tabla2[[#This Row],[Unidad de precio]],Tabla3[Medida],Tabla3[Equivalencia en Kg],"ELVIS",0)</f>
        <v>6.9353060426076745</v>
      </c>
      <c r="M923">
        <v>8196.8700000000008</v>
      </c>
      <c r="N923" s="2">
        <f>(Tabla2[[#This Row],[Productividad (kg/TAS)]]*Tabla2[[#This Row],[Precio por kg]]-Tabla2[[#This Row],[Costos (En RD$/Tarea)]])</f>
        <v>-2996.8700000000017</v>
      </c>
      <c r="O923" s="6">
        <f>IF(Tabla2[[#This Row],[Costos (En RD$/Tarea)]]=0,0,Tabla2[[#This Row],[Beneficio Neto  (En RD$/Tarea)]]/Tabla2[[#This Row],[Costos (En RD$/Tarea)]])</f>
        <v>-0.36561150780724855</v>
      </c>
      <c r="P923" s="4">
        <f>Tabla2[[#This Row],[Rentabilidad (%)]]/12</f>
        <v>-3.0467625650604045E-2</v>
      </c>
    </row>
    <row r="924" spans="1:16" x14ac:dyDescent="0.35">
      <c r="A924" s="1">
        <v>38838</v>
      </c>
      <c r="B924" t="s">
        <v>30</v>
      </c>
      <c r="C924" s="2">
        <v>274438</v>
      </c>
      <c r="D924" s="2" t="s">
        <v>31</v>
      </c>
      <c r="E924" s="2">
        <f>IF(Tabla2[[#This Row],[Frecuencia]]="Annual", Tabla2[[#This Row],[Cosecha/Tarea]]/12,Tabla2[[#This Row],[Cosecha/Tarea]])</f>
        <v>22869.833333333332</v>
      </c>
      <c r="F924" s="2">
        <v>1611888</v>
      </c>
      <c r="G924" t="s">
        <v>32</v>
      </c>
      <c r="H924">
        <f>F924/Tabla2[[#This Row],[Cosecha Mensual]]</f>
        <v>70.48096837901457</v>
      </c>
      <c r="I924">
        <f>H924*_xlfn.XLOOKUP(Tabla2[[#This Row],[Unidad de producción]],Tabla3[Medida],Tabla3[Equivalencia en Kg],"ELVIS",0)</f>
        <v>1917.7871495929865</v>
      </c>
      <c r="J924">
        <v>62.09</v>
      </c>
      <c r="K924" t="s">
        <v>32</v>
      </c>
      <c r="L924">
        <f>J924/_xlfn.XLOOKUP(Tabla2[[#This Row],[Unidad de precio]],Tabla3[Medida],Tabla3[Equivalencia en Kg],"ELVIS",0)</f>
        <v>2.2818816611539874</v>
      </c>
      <c r="M924" s="2">
        <v>7154.19</v>
      </c>
      <c r="N924" s="2">
        <f>(Tabla2[[#This Row],[Productividad (kg/TAS)]]*Tabla2[[#This Row],[Precio por kg]]-Tabla2[[#This Row],[Costos (En RD$/Tarea)]])</f>
        <v>-2778.0266733469853</v>
      </c>
      <c r="O924" s="6">
        <f>IF(Tabla2[[#This Row],[Costos (En RD$/Tarea)]]=0,0,Tabla2[[#This Row],[Beneficio Neto  (En RD$/Tarea)]]/Tabla2[[#This Row],[Costos (En RD$/Tarea)]])</f>
        <v>-0.38830764535845225</v>
      </c>
      <c r="P924" s="4">
        <f>Tabla2[[#This Row],[Rentabilidad (%)]]/12</f>
        <v>-3.235897044653769E-2</v>
      </c>
    </row>
    <row r="925" spans="1:16" x14ac:dyDescent="0.35">
      <c r="A925" s="1">
        <v>38838</v>
      </c>
      <c r="B925" t="s">
        <v>33</v>
      </c>
      <c r="C925" s="2">
        <v>665839</v>
      </c>
      <c r="D925" s="2" t="s">
        <v>31</v>
      </c>
      <c r="E925" s="2">
        <f>IF(Tabla2[[#This Row],[Frecuencia]]="Annual", Tabla2[[#This Row],[Cosecha/Tarea]]/12,Tabla2[[#This Row],[Cosecha/Tarea]])</f>
        <v>55486.583333333336</v>
      </c>
      <c r="F925" s="2">
        <v>154734</v>
      </c>
      <c r="G925" t="s">
        <v>34</v>
      </c>
      <c r="H925">
        <f>F925/Tabla2[[#This Row],[Cosecha Mensual]]</f>
        <v>2.7886741389434984</v>
      </c>
      <c r="I925">
        <f>H925*_xlfn.XLOOKUP(Tabla2[[#This Row],[Unidad de producción]],Tabla3[Medida],Tabla3[Equivalencia en Kg],"ELVIS",0)</f>
        <v>1138.1973498097889</v>
      </c>
      <c r="J925">
        <v>2222.2849999999999</v>
      </c>
      <c r="K925" t="s">
        <v>34</v>
      </c>
      <c r="L925">
        <f>J925/_xlfn.XLOOKUP(Tabla2[[#This Row],[Unidad de precio]],Tabla3[Medida],Tabla3[Equivalencia en Kg],"ELVIS",0)</f>
        <v>5.4447752051941691</v>
      </c>
      <c r="M925" s="2">
        <v>9504.44</v>
      </c>
      <c r="N925" s="2">
        <f>(Tabla2[[#This Row],[Productividad (kg/TAS)]]*Tabla2[[#This Row],[Precio por kg]]-Tabla2[[#This Row],[Costos (En RD$/Tarea)]])</f>
        <v>-3307.2112911379481</v>
      </c>
      <c r="O925" s="6">
        <f>IF(Tabla2[[#This Row],[Costos (En RD$/Tarea)]]=0,0,Tabla2[[#This Row],[Beneficio Neto  (En RD$/Tarea)]]/Tabla2[[#This Row],[Costos (En RD$/Tarea)]])</f>
        <v>-0.34796487653538222</v>
      </c>
      <c r="P925" s="4">
        <f>Tabla2[[#This Row],[Rentabilidad (%)]]/12</f>
        <v>-2.8997073044615185E-2</v>
      </c>
    </row>
    <row r="926" spans="1:16" x14ac:dyDescent="0.35">
      <c r="A926" s="1">
        <v>38869</v>
      </c>
      <c r="B926" t="s">
        <v>16</v>
      </c>
      <c r="C926" s="2">
        <v>438480</v>
      </c>
      <c r="D926" s="5" t="s">
        <v>17</v>
      </c>
      <c r="E926" s="2">
        <f>IF(Tabla2[[#This Row],[Frecuencia]]="Annual", Tabla2[[#This Row],[Cosecha/Tarea]]/12,Tabla2[[#This Row],[Cosecha/Tarea]])</f>
        <v>438480</v>
      </c>
      <c r="F926" s="2">
        <v>2327610</v>
      </c>
      <c r="G926" t="s">
        <v>18</v>
      </c>
      <c r="H926">
        <f>F926/Tabla2[[#This Row],[Cosecha Mensual]]</f>
        <v>5.3083607006020799</v>
      </c>
      <c r="I926">
        <f>H926*_xlfn.XLOOKUP(Tabla2[[#This Row],[Unidad de producción]],Tabla3[Medida],Tabla3[Equivalencia en Kg],"ELVIS",0)</f>
        <v>240.78724137931033</v>
      </c>
      <c r="J926">
        <v>1100.3520000000001</v>
      </c>
      <c r="K926" t="s">
        <v>19</v>
      </c>
      <c r="L926">
        <f>J926/_xlfn.XLOOKUP(Tabla2[[#This Row],[Unidad de precio]],Tabla3[Medida],Tabla3[Equivalencia en Kg],"ELVIS",0)</f>
        <v>10.003200000000001</v>
      </c>
      <c r="M926">
        <v>4756.7749999999996</v>
      </c>
      <c r="N926" s="2">
        <f>(Tabla2[[#This Row],[Productividad (kg/TAS)]]*Tabla2[[#This Row],[Precio por kg]]-Tabla2[[#This Row],[Costos (En RD$/Tarea)]])</f>
        <v>-2348.1320670344821</v>
      </c>
      <c r="O926" s="6">
        <f>IF(Tabla2[[#This Row],[Costos (En RD$/Tarea)]]=0,0,Tabla2[[#This Row],[Beneficio Neto  (En RD$/Tarea)]]/Tabla2[[#This Row],[Costos (En RD$/Tarea)]])</f>
        <v>-0.4936395072364117</v>
      </c>
      <c r="P926" s="4">
        <f>Tabla2[[#This Row],[Rentabilidad (%)]]/12</f>
        <v>-4.1136625603034306E-2</v>
      </c>
    </row>
    <row r="927" spans="1:16" x14ac:dyDescent="0.35">
      <c r="A927" s="1">
        <v>38869</v>
      </c>
      <c r="B927" t="s">
        <v>20</v>
      </c>
      <c r="C927" s="2">
        <v>20596</v>
      </c>
      <c r="D927" s="5" t="s">
        <v>17</v>
      </c>
      <c r="E927" s="2">
        <f>IF(Tabla2[[#This Row],[Frecuencia]]="Annual", Tabla2[[#This Row],[Cosecha/Tarea]]/12,Tabla2[[#This Row],[Cosecha/Tarea]])</f>
        <v>20596</v>
      </c>
      <c r="F927" s="2">
        <v>44032</v>
      </c>
      <c r="G927" t="s">
        <v>18</v>
      </c>
      <c r="H927">
        <f>F927/Tabla2[[#This Row],[Cosecha Mensual]]</f>
        <v>2.1378908525927365</v>
      </c>
      <c r="I927">
        <f>H927*_xlfn.XLOOKUP(Tabla2[[#This Row],[Unidad de producción]],Tabla3[Medida],Tabla3[Equivalencia en Kg],"ELVIS",0)</f>
        <v>96.974729073606525</v>
      </c>
      <c r="J927">
        <v>566.04250000000002</v>
      </c>
      <c r="K927" t="s">
        <v>18</v>
      </c>
      <c r="L927">
        <f>J927/_xlfn.XLOOKUP(Tabla2[[#This Row],[Unidad de precio]],Tabla3[Medida],Tabla3[Equivalencia en Kg],"ELVIS",0)</f>
        <v>12.478891093474427</v>
      </c>
      <c r="M927">
        <v>1341.48</v>
      </c>
      <c r="N927" s="2">
        <f>(Tabla2[[#This Row],[Productividad (kg/TAS)]]*Tabla2[[#This Row],[Precio por kg]]-Tabla2[[#This Row],[Costos (En RD$/Tarea)]])</f>
        <v>-131.34291707127591</v>
      </c>
      <c r="O927" s="6">
        <f>IF(Tabla2[[#This Row],[Costos (En RD$/Tarea)]]=0,0,Tabla2[[#This Row],[Beneficio Neto  (En RD$/Tarea)]]/Tabla2[[#This Row],[Costos (En RD$/Tarea)]])</f>
        <v>-9.7908964033213988E-2</v>
      </c>
      <c r="P927" s="4">
        <f>Tabla2[[#This Row],[Rentabilidad (%)]]/12</f>
        <v>-8.1590803361011651E-3</v>
      </c>
    </row>
    <row r="928" spans="1:16" x14ac:dyDescent="0.35">
      <c r="A928" s="1">
        <v>38869</v>
      </c>
      <c r="B928" t="s">
        <v>21</v>
      </c>
      <c r="C928" s="2">
        <v>4249</v>
      </c>
      <c r="D928" s="5" t="s">
        <v>17</v>
      </c>
      <c r="E928" s="2">
        <f>IF(Tabla2[[#This Row],[Frecuencia]]="Annual", Tabla2[[#This Row],[Cosecha/Tarea]]/12,Tabla2[[#This Row],[Cosecha/Tarea]])</f>
        <v>4249</v>
      </c>
      <c r="F928" s="2">
        <v>43053</v>
      </c>
      <c r="G928" t="s">
        <v>18</v>
      </c>
      <c r="H928">
        <f>F928/Tabla2[[#This Row],[Cosecha Mensual]]</f>
        <v>10.132501765121205</v>
      </c>
      <c r="I928">
        <f>H928*_xlfn.XLOOKUP(Tabla2[[#This Row],[Unidad de producción]],Tabla3[Medida],Tabla3[Equivalencia en Kg],"ELVIS",0)</f>
        <v>459.61028006589788</v>
      </c>
      <c r="J928">
        <v>267.24603999999999</v>
      </c>
      <c r="K928" t="s">
        <v>18</v>
      </c>
      <c r="L928">
        <f>J928/_xlfn.XLOOKUP(Tabla2[[#This Row],[Unidad de precio]],Tabla3[Medida],Tabla3[Equivalencia en Kg],"ELVIS",0)</f>
        <v>5.891667548500882</v>
      </c>
      <c r="M928">
        <v>2058.7550000000001</v>
      </c>
      <c r="N928" s="2">
        <f>(Tabla2[[#This Row],[Productividad (kg/TAS)]]*Tabla2[[#This Row],[Precio por kg]]-Tabla2[[#This Row],[Costos (En RD$/Tarea)]])</f>
        <v>649.1159720216524</v>
      </c>
      <c r="O928" s="6">
        <f>IF(Tabla2[[#This Row],[Costos (En RD$/Tarea)]]=0,0,Tabla2[[#This Row],[Beneficio Neto  (En RD$/Tarea)]]/Tabla2[[#This Row],[Costos (En RD$/Tarea)]])</f>
        <v>0.3152953955286823</v>
      </c>
      <c r="P928" s="4">
        <f>Tabla2[[#This Row],[Rentabilidad (%)]]/12</f>
        <v>2.6274616294056859E-2</v>
      </c>
    </row>
    <row r="929" spans="1:16" x14ac:dyDescent="0.35">
      <c r="A929" s="1">
        <v>38869</v>
      </c>
      <c r="B929" t="s">
        <v>22</v>
      </c>
      <c r="C929" s="2">
        <v>6182</v>
      </c>
      <c r="D929" s="5" t="s">
        <v>17</v>
      </c>
      <c r="E929" s="2">
        <f>IF(Tabla2[[#This Row],[Frecuencia]]="Annual", Tabla2[[#This Row],[Cosecha/Tarea]]/12,Tabla2[[#This Row],[Cosecha/Tarea]])</f>
        <v>6182</v>
      </c>
      <c r="F929" s="2">
        <v>60218</v>
      </c>
      <c r="G929" t="s">
        <v>18</v>
      </c>
      <c r="H929">
        <f>F929/Tabla2[[#This Row],[Cosecha Mensual]]</f>
        <v>9.7408605629246203</v>
      </c>
      <c r="I929">
        <f>H929*_xlfn.XLOOKUP(Tabla2[[#This Row],[Unidad de producción]],Tabla3[Medida],Tabla3[Equivalencia en Kg],"ELVIS",0)</f>
        <v>441.84543513426075</v>
      </c>
      <c r="J929">
        <v>795.75</v>
      </c>
      <c r="K929" t="s">
        <v>18</v>
      </c>
      <c r="L929">
        <f>J929/_xlfn.XLOOKUP(Tabla2[[#This Row],[Unidad de precio]],Tabla3[Medida],Tabla3[Equivalencia en Kg],"ELVIS",0)</f>
        <v>17.542989417989418</v>
      </c>
      <c r="M929">
        <v>5691.88</v>
      </c>
      <c r="N929" s="2">
        <f>(Tabla2[[#This Row],[Productividad (kg/TAS)]]*Tabla2[[#This Row],[Precio por kg]]-Tabla2[[#This Row],[Costos (En RD$/Tarea)]])</f>
        <v>2059.4097929472664</v>
      </c>
      <c r="O929" s="6">
        <f>IF(Tabla2[[#This Row],[Costos (En RD$/Tarea)]]=0,0,Tabla2[[#This Row],[Beneficio Neto  (En RD$/Tarea)]]/Tabla2[[#This Row],[Costos (En RD$/Tarea)]])</f>
        <v>0.36181539191748008</v>
      </c>
      <c r="P929" s="4">
        <f>Tabla2[[#This Row],[Rentabilidad (%)]]/12</f>
        <v>3.0151282659790005E-2</v>
      </c>
    </row>
    <row r="930" spans="1:16" x14ac:dyDescent="0.35">
      <c r="A930" s="1">
        <v>38869</v>
      </c>
      <c r="B930" t="s">
        <v>23</v>
      </c>
      <c r="C930" s="2">
        <v>3890</v>
      </c>
      <c r="D930" s="5" t="s">
        <v>17</v>
      </c>
      <c r="E930" s="2">
        <f>IF(Tabla2[[#This Row],[Frecuencia]]="Annual", Tabla2[[#This Row],[Cosecha/Tarea]]/12,Tabla2[[#This Row],[Cosecha/Tarea]])</f>
        <v>3890</v>
      </c>
      <c r="F930" s="2">
        <v>114260</v>
      </c>
      <c r="G930" t="s">
        <v>18</v>
      </c>
      <c r="H930">
        <f>F930/Tabla2[[#This Row],[Cosecha Mensual]]</f>
        <v>29.372750642673523</v>
      </c>
      <c r="I930">
        <f>H930*_xlfn.XLOOKUP(Tabla2[[#This Row],[Unidad de producción]],Tabla3[Medida],Tabla3[Equivalencia en Kg],"ELVIS",0)</f>
        <v>1332.3479691516709</v>
      </c>
      <c r="J930">
        <v>495</v>
      </c>
      <c r="K930" t="s">
        <v>18</v>
      </c>
      <c r="L930">
        <f>J930/_xlfn.XLOOKUP(Tabla2[[#This Row],[Unidad de precio]],Tabla3[Medida],Tabla3[Equivalencia en Kg],"ELVIS",0)</f>
        <v>10.912698412698413</v>
      </c>
      <c r="M930">
        <v>10412.049999999999</v>
      </c>
      <c r="N930" s="2">
        <f>(Tabla2[[#This Row],[Productividad (kg/TAS)]]*Tabla2[[#This Row],[Precio por kg]]-Tabla2[[#This Row],[Costos (En RD$/Tarea)]])</f>
        <v>4127.4615681233936</v>
      </c>
      <c r="O930" s="6">
        <f>IF(Tabla2[[#This Row],[Costos (En RD$/Tarea)]]=0,0,Tabla2[[#This Row],[Beneficio Neto  (En RD$/Tarea)]]/Tabla2[[#This Row],[Costos (En RD$/Tarea)]])</f>
        <v>0.3964120003383958</v>
      </c>
      <c r="P930" s="4">
        <f>Tabla2[[#This Row],[Rentabilidad (%)]]/12</f>
        <v>3.3034333361532983E-2</v>
      </c>
    </row>
    <row r="931" spans="1:16" x14ac:dyDescent="0.35">
      <c r="A931" s="1">
        <v>38869</v>
      </c>
      <c r="B931" t="s">
        <v>24</v>
      </c>
      <c r="C931" s="2">
        <v>6409</v>
      </c>
      <c r="D931" s="5" t="s">
        <v>17</v>
      </c>
      <c r="E931" s="2">
        <f>IF(Tabla2[[#This Row],[Frecuencia]]="Annual", Tabla2[[#This Row],[Cosecha/Tarea]]/12,Tabla2[[#This Row],[Cosecha/Tarea]])</f>
        <v>6409</v>
      </c>
      <c r="F931" s="2">
        <v>58206</v>
      </c>
      <c r="G931" t="s">
        <v>18</v>
      </c>
      <c r="H931">
        <f>F931/Tabla2[[#This Row],[Cosecha Mensual]]</f>
        <v>9.0819160555468876</v>
      </c>
      <c r="I931">
        <f>H931*_xlfn.XLOOKUP(Tabla2[[#This Row],[Unidad de producción]],Tabla3[Medida],Tabla3[Equivalencia en Kg],"ELVIS",0)</f>
        <v>411.95571227960681</v>
      </c>
      <c r="J931">
        <v>878.5</v>
      </c>
      <c r="K931" t="s">
        <v>18</v>
      </c>
      <c r="L931">
        <f>J931/_xlfn.XLOOKUP(Tabla2[[#This Row],[Unidad de precio]],Tabla3[Medida],Tabla3[Equivalencia en Kg],"ELVIS",0)</f>
        <v>19.367283950617285</v>
      </c>
      <c r="M931">
        <v>4593.1000000000004</v>
      </c>
      <c r="N931" s="2">
        <f>(Tabla2[[#This Row],[Productividad (kg/TAS)]]*Tabla2[[#This Row],[Precio por kg]]-Tabla2[[#This Row],[Costos (En RD$/Tarea)]])</f>
        <v>3385.3632547979405</v>
      </c>
      <c r="O931" s="6">
        <f>IF(Tabla2[[#This Row],[Costos (En RD$/Tarea)]]=0,0,Tabla2[[#This Row],[Beneficio Neto  (En RD$/Tarea)]]/Tabla2[[#This Row],[Costos (En RD$/Tarea)]])</f>
        <v>0.7370541148239621</v>
      </c>
      <c r="P931" s="4">
        <f>Tabla2[[#This Row],[Rentabilidad (%)]]/12</f>
        <v>6.1421176235330173E-2</v>
      </c>
    </row>
    <row r="932" spans="1:16" x14ac:dyDescent="0.35">
      <c r="A932" s="1">
        <v>38869</v>
      </c>
      <c r="B932" t="s">
        <v>25</v>
      </c>
      <c r="C932" s="2">
        <v>23496</v>
      </c>
      <c r="D932" s="5" t="s">
        <v>17</v>
      </c>
      <c r="E932" s="2">
        <f>IF(Tabla2[[#This Row],[Frecuencia]]="Annual", Tabla2[[#This Row],[Cosecha/Tarea]]/12,Tabla2[[#This Row],[Cosecha/Tarea]])</f>
        <v>23496</v>
      </c>
      <c r="F932" s="2">
        <v>236640</v>
      </c>
      <c r="G932" t="s">
        <v>18</v>
      </c>
      <c r="H932">
        <f>F932/Tabla2[[#This Row],[Cosecha Mensual]]</f>
        <v>10.07150153217569</v>
      </c>
      <c r="I932">
        <f>H932*_xlfn.XLOOKUP(Tabla2[[#This Row],[Unidad de producción]],Tabla3[Medida],Tabla3[Equivalencia en Kg],"ELVIS",0)</f>
        <v>456.84330949948929</v>
      </c>
      <c r="J932">
        <v>463.74571428571397</v>
      </c>
      <c r="K932" t="s">
        <v>18</v>
      </c>
      <c r="L932">
        <f>J932/_xlfn.XLOOKUP(Tabla2[[#This Row],[Unidad de precio]],Tabla3[Medida],Tabla3[Equivalencia en Kg],"ELVIS",0)</f>
        <v>10.22367094986142</v>
      </c>
      <c r="M932">
        <v>2287.145</v>
      </c>
      <c r="N932" s="2">
        <f>(Tabla2[[#This Row],[Productividad (kg/TAS)]]*Tabla2[[#This Row],[Precio por kg]]-Tabla2[[#This Row],[Costos (En RD$/Tarea)]])</f>
        <v>2383.4706719684787</v>
      </c>
      <c r="O932" s="6">
        <f>IF(Tabla2[[#This Row],[Costos (En RD$/Tarea)]]=0,0,Tabla2[[#This Row],[Beneficio Neto  (En RD$/Tarea)]]/Tabla2[[#This Row],[Costos (En RD$/Tarea)]])</f>
        <v>1.0421161194277051</v>
      </c>
      <c r="P932" s="4">
        <f>Tabla2[[#This Row],[Rentabilidad (%)]]/12</f>
        <v>8.6843009952308758E-2</v>
      </c>
    </row>
    <row r="933" spans="1:16" x14ac:dyDescent="0.35">
      <c r="A933" s="1">
        <v>38869</v>
      </c>
      <c r="B933" t="s">
        <v>26</v>
      </c>
      <c r="C933" s="2">
        <v>9049</v>
      </c>
      <c r="D933" s="5" t="s">
        <v>17</v>
      </c>
      <c r="E933" s="2">
        <f>IF(Tabla2[[#This Row],[Frecuencia]]="Annual", Tabla2[[#This Row],[Cosecha/Tarea]]/12,Tabla2[[#This Row],[Cosecha/Tarea]])</f>
        <v>9049</v>
      </c>
      <c r="F933" s="2">
        <v>61376</v>
      </c>
      <c r="G933" t="s">
        <v>18</v>
      </c>
      <c r="H933">
        <f>F933/Tabla2[[#This Row],[Cosecha Mensual]]</f>
        <v>6.7826279146867057</v>
      </c>
      <c r="I933">
        <f>H933*_xlfn.XLOOKUP(Tabla2[[#This Row],[Unidad de producción]],Tabla3[Medida],Tabla3[Equivalencia en Kg],"ELVIS",0)</f>
        <v>307.66000221018896</v>
      </c>
      <c r="J933">
        <v>434.91750000000002</v>
      </c>
      <c r="K933" t="s">
        <v>18</v>
      </c>
      <c r="L933">
        <f>J933/_xlfn.XLOOKUP(Tabla2[[#This Row],[Unidad de precio]],Tabla3[Medida],Tabla3[Equivalencia en Kg],"ELVIS",0)</f>
        <v>9.588128306878307</v>
      </c>
      <c r="M933">
        <v>864.56</v>
      </c>
      <c r="N933" s="2">
        <f>(Tabla2[[#This Row],[Productividad (kg/TAS)]]*Tabla2[[#This Row],[Precio por kg]]-Tabla2[[#This Row],[Costos (En RD$/Tarea)]])</f>
        <v>2085.3235760857551</v>
      </c>
      <c r="O933" s="6">
        <f>IF(Tabla2[[#This Row],[Costos (En RD$/Tarea)]]=0,0,Tabla2[[#This Row],[Beneficio Neto  (En RD$/Tarea)]]/Tabla2[[#This Row],[Costos (En RD$/Tarea)]])</f>
        <v>2.4120056168290867</v>
      </c>
      <c r="P933" s="4">
        <f>Tabla2[[#This Row],[Rentabilidad (%)]]/12</f>
        <v>0.20100046806909055</v>
      </c>
    </row>
    <row r="934" spans="1:16" x14ac:dyDescent="0.35">
      <c r="A934" s="1">
        <v>38869</v>
      </c>
      <c r="B934" t="s">
        <v>27</v>
      </c>
      <c r="C934" s="2">
        <v>5739</v>
      </c>
      <c r="D934" s="5" t="s">
        <v>17</v>
      </c>
      <c r="E934" s="2">
        <f>IF(Tabla2[[#This Row],[Frecuencia]]="Annual", Tabla2[[#This Row],[Cosecha/Tarea]]/12,Tabla2[[#This Row],[Cosecha/Tarea]])</f>
        <v>5739</v>
      </c>
      <c r="F934" s="2">
        <v>61851</v>
      </c>
      <c r="G934" t="s">
        <v>18</v>
      </c>
      <c r="H934">
        <f>F934/Tabla2[[#This Row],[Cosecha Mensual]]</f>
        <v>10.777313120752744</v>
      </c>
      <c r="I934">
        <f>H934*_xlfn.XLOOKUP(Tabla2[[#This Row],[Unidad de producción]],Tabla3[Medida],Tabla3[Equivalencia en Kg],"ELVIS",0)</f>
        <v>488.85892315734446</v>
      </c>
      <c r="J934">
        <v>292.67678333333299</v>
      </c>
      <c r="K934" t="s">
        <v>18</v>
      </c>
      <c r="L934">
        <f>J934/_xlfn.XLOOKUP(Tabla2[[#This Row],[Unidad de precio]],Tabla3[Medida],Tabla3[Equivalencia en Kg],"ELVIS",0)</f>
        <v>6.4523100382128087</v>
      </c>
      <c r="M934">
        <v>4742.13</v>
      </c>
      <c r="N934" s="2">
        <f>(Tabla2[[#This Row],[Productividad (kg/TAS)]]*Tabla2[[#This Row],[Precio por kg]]-Tabla2[[#This Row],[Costos (En RD$/Tarea)]])</f>
        <v>-1587.8606628419625</v>
      </c>
      <c r="O934" s="6">
        <f>IF(Tabla2[[#This Row],[Costos (En RD$/Tarea)]]=0,0,Tabla2[[#This Row],[Beneficio Neto  (En RD$/Tarea)]]/Tabla2[[#This Row],[Costos (En RD$/Tarea)]])</f>
        <v>-0.33484123439086705</v>
      </c>
      <c r="P934" s="4">
        <f>Tabla2[[#This Row],[Rentabilidad (%)]]/12</f>
        <v>-2.7903436199238921E-2</v>
      </c>
    </row>
    <row r="935" spans="1:16" x14ac:dyDescent="0.35">
      <c r="A935" s="1">
        <v>38869</v>
      </c>
      <c r="B935" t="s">
        <v>28</v>
      </c>
      <c r="C935" s="2">
        <v>646</v>
      </c>
      <c r="D935" s="5" t="s">
        <v>17</v>
      </c>
      <c r="E935" s="2">
        <f>IF(Tabla2[[#This Row],[Frecuencia]]="Annual", Tabla2[[#This Row],[Cosecha/Tarea]]/12,Tabla2[[#This Row],[Cosecha/Tarea]])</f>
        <v>646</v>
      </c>
      <c r="F935" s="2">
        <v>450</v>
      </c>
      <c r="G935" t="s">
        <v>29</v>
      </c>
      <c r="H935">
        <f>F935/Tabla2[[#This Row],[Cosecha Mensual]]</f>
        <v>0.69659442724458209</v>
      </c>
      <c r="I935">
        <f>H935*_xlfn.XLOOKUP(Tabla2[[#This Row],[Unidad de producción]],Tabla3[Medida],Tabla3[Equivalencia en Kg],"ELVIS",0)</f>
        <v>391.72291021671833</v>
      </c>
      <c r="J935">
        <v>5975</v>
      </c>
      <c r="K935" t="s">
        <v>29</v>
      </c>
      <c r="L935">
        <f>J935/_xlfn.XLOOKUP(Tabla2[[#This Row],[Unidad de precio]],Tabla3[Medida],Tabla3[Equivalencia en Kg],"ELVIS",0)</f>
        <v>10.625244513995092</v>
      </c>
      <c r="M935">
        <v>8196.8700000000008</v>
      </c>
      <c r="N935" s="2">
        <f>(Tabla2[[#This Row],[Productividad (kg/TAS)]]*Tabla2[[#This Row],[Precio por kg]]-Tabla2[[#This Row],[Costos (En RD$/Tarea)]])</f>
        <v>-4034.7182972136225</v>
      </c>
      <c r="O935" s="6">
        <f>IF(Tabla2[[#This Row],[Costos (En RD$/Tarea)]]=0,0,Tabla2[[#This Row],[Beneficio Neto  (En RD$/Tarea)]]/Tabla2[[#This Row],[Costos (En RD$/Tarea)]])</f>
        <v>-0.4922267032676646</v>
      </c>
      <c r="P935" s="4">
        <f>Tabla2[[#This Row],[Rentabilidad (%)]]/12</f>
        <v>-4.1018891938972048E-2</v>
      </c>
    </row>
    <row r="936" spans="1:16" x14ac:dyDescent="0.35">
      <c r="A936" s="1">
        <v>38869</v>
      </c>
      <c r="B936" t="s">
        <v>30</v>
      </c>
      <c r="C936" s="2">
        <v>292953</v>
      </c>
      <c r="D936" s="2" t="s">
        <v>31</v>
      </c>
      <c r="E936" s="2">
        <f>IF(Tabla2[[#This Row],[Frecuencia]]="Annual", Tabla2[[#This Row],[Cosecha/Tarea]]/12,Tabla2[[#This Row],[Cosecha/Tarea]])</f>
        <v>24412.75</v>
      </c>
      <c r="F936" s="2">
        <v>1620444</v>
      </c>
      <c r="G936" t="s">
        <v>32</v>
      </c>
      <c r="H936">
        <f>F936/Tabla2[[#This Row],[Cosecha Mensual]]</f>
        <v>66.376954665082792</v>
      </c>
      <c r="I936">
        <f>H936*_xlfn.XLOOKUP(Tabla2[[#This Row],[Unidad de producción]],Tabla3[Medida],Tabla3[Equivalencia en Kg],"ELVIS",0)</f>
        <v>1806.1169364369027</v>
      </c>
      <c r="J936">
        <v>70.664285714285697</v>
      </c>
      <c r="K936" t="s">
        <v>32</v>
      </c>
      <c r="L936">
        <f>J936/_xlfn.XLOOKUP(Tabla2[[#This Row],[Unidad de precio]],Tabla3[Medida],Tabla3[Equivalencia en Kg],"ELVIS",0)</f>
        <v>2.5969969023993271</v>
      </c>
      <c r="M936" s="2">
        <v>7154.19</v>
      </c>
      <c r="N936" s="2">
        <f>(Tabla2[[#This Row],[Productividad (kg/TAS)]]*Tabla2[[#This Row],[Precio por kg]]-Tabla2[[#This Row],[Costos (En RD$/Tarea)]])</f>
        <v>-2463.7099107024005</v>
      </c>
      <c r="O936" s="6">
        <f>IF(Tabla2[[#This Row],[Costos (En RD$/Tarea)]]=0,0,Tabla2[[#This Row],[Beneficio Neto  (En RD$/Tarea)]]/Tabla2[[#This Row],[Costos (En RD$/Tarea)]])</f>
        <v>-0.34437300528814591</v>
      </c>
      <c r="P936" s="4">
        <f>Tabla2[[#This Row],[Rentabilidad (%)]]/12</f>
        <v>-2.8697750440678824E-2</v>
      </c>
    </row>
    <row r="937" spans="1:16" x14ac:dyDescent="0.35">
      <c r="A937" s="1">
        <v>38869</v>
      </c>
      <c r="B937" t="s">
        <v>33</v>
      </c>
      <c r="C937" s="2">
        <v>683898</v>
      </c>
      <c r="D937" s="2" t="s">
        <v>31</v>
      </c>
      <c r="E937" s="2">
        <f>IF(Tabla2[[#This Row],[Frecuencia]]="Annual", Tabla2[[#This Row],[Cosecha/Tarea]]/12,Tabla2[[#This Row],[Cosecha/Tarea]])</f>
        <v>56991.5</v>
      </c>
      <c r="F937" s="2">
        <v>223214</v>
      </c>
      <c r="G937" t="s">
        <v>34</v>
      </c>
      <c r="H937">
        <f>F937/Tabla2[[#This Row],[Cosecha Mensual]]</f>
        <v>3.9166191449602135</v>
      </c>
      <c r="I937">
        <f>H937*_xlfn.XLOOKUP(Tabla2[[#This Row],[Unidad de producción]],Tabla3[Medida],Tabla3[Equivalencia en Kg],"ELVIS",0)</f>
        <v>1598.5681040155109</v>
      </c>
      <c r="J937">
        <v>2126.6428571428601</v>
      </c>
      <c r="K937" t="s">
        <v>34</v>
      </c>
      <c r="L937">
        <f>J937/_xlfn.XLOOKUP(Tabla2[[#This Row],[Unidad de precio]],Tabla3[Medida],Tabla3[Equivalencia en Kg],"ELVIS",0)</f>
        <v>5.2104443394410396</v>
      </c>
      <c r="M937" s="2">
        <v>9504.44</v>
      </c>
      <c r="N937" s="2">
        <f>(Tabla2[[#This Row],[Productividad (kg/TAS)]]*Tabla2[[#This Row],[Precio por kg]]-Tabla2[[#This Row],[Costos (En RD$/Tarea)]])</f>
        <v>-1175.1898712213861</v>
      </c>
      <c r="O937" s="6">
        <f>IF(Tabla2[[#This Row],[Costos (En RD$/Tarea)]]=0,0,Tabla2[[#This Row],[Beneficio Neto  (En RD$/Tarea)]]/Tabla2[[#This Row],[Costos (En RD$/Tarea)]])</f>
        <v>-0.1236464085439422</v>
      </c>
      <c r="P937" s="4">
        <f>Tabla2[[#This Row],[Rentabilidad (%)]]/12</f>
        <v>-1.030386737866185E-2</v>
      </c>
    </row>
    <row r="938" spans="1:16" x14ac:dyDescent="0.35">
      <c r="A938" s="1">
        <v>38899</v>
      </c>
      <c r="B938" t="s">
        <v>16</v>
      </c>
      <c r="C938" s="2">
        <v>219428</v>
      </c>
      <c r="D938" s="5" t="s">
        <v>17</v>
      </c>
      <c r="E938" s="2">
        <f>IF(Tabla2[[#This Row],[Frecuencia]]="Annual", Tabla2[[#This Row],[Cosecha/Tarea]]/12,Tabla2[[#This Row],[Cosecha/Tarea]])</f>
        <v>219428</v>
      </c>
      <c r="F938" s="2">
        <v>1088701</v>
      </c>
      <c r="G938" t="s">
        <v>18</v>
      </c>
      <c r="H938">
        <f>F938/Tabla2[[#This Row],[Cosecha Mensual]]</f>
        <v>4.9615409154711339</v>
      </c>
      <c r="I938">
        <f>H938*_xlfn.XLOOKUP(Tabla2[[#This Row],[Unidad de producción]],Tabla3[Medida],Tabla3[Equivalencia en Kg],"ELVIS",0)</f>
        <v>225.05549592577063</v>
      </c>
      <c r="J938">
        <v>868</v>
      </c>
      <c r="K938" t="s">
        <v>19</v>
      </c>
      <c r="L938">
        <f>J938/_xlfn.XLOOKUP(Tabla2[[#This Row],[Unidad de precio]],Tabla3[Medida],Tabla3[Equivalencia en Kg],"ELVIS",0)</f>
        <v>7.8909090909090907</v>
      </c>
      <c r="M938">
        <v>4756.7749999999996</v>
      </c>
      <c r="N938" s="2">
        <f>(Tabla2[[#This Row],[Productividad (kg/TAS)]]*Tabla2[[#This Row],[Precio por kg]]-Tabla2[[#This Row],[Costos (En RD$/Tarea)]])</f>
        <v>-2980.8825412402821</v>
      </c>
      <c r="O938" s="6">
        <f>IF(Tabla2[[#This Row],[Costos (En RD$/Tarea)]]=0,0,Tabla2[[#This Row],[Beneficio Neto  (En RD$/Tarea)]]/Tabla2[[#This Row],[Costos (En RD$/Tarea)]])</f>
        <v>-0.62666040358021602</v>
      </c>
      <c r="P938" s="4">
        <f>Tabla2[[#This Row],[Rentabilidad (%)]]/12</f>
        <v>-5.2221700298351333E-2</v>
      </c>
    </row>
    <row r="939" spans="1:16" x14ac:dyDescent="0.35">
      <c r="A939" s="1">
        <v>38899</v>
      </c>
      <c r="B939" t="s">
        <v>20</v>
      </c>
      <c r="C939" s="2">
        <v>28897</v>
      </c>
      <c r="D939" s="5" t="s">
        <v>17</v>
      </c>
      <c r="E939" s="2">
        <f>IF(Tabla2[[#This Row],[Frecuencia]]="Annual", Tabla2[[#This Row],[Cosecha/Tarea]]/12,Tabla2[[#This Row],[Cosecha/Tarea]])</f>
        <v>28897</v>
      </c>
      <c r="F939" s="2">
        <v>64689</v>
      </c>
      <c r="G939" t="s">
        <v>18</v>
      </c>
      <c r="H939">
        <f>F939/Tabla2[[#This Row],[Cosecha Mensual]]</f>
        <v>2.238606083676506</v>
      </c>
      <c r="I939">
        <f>H939*_xlfn.XLOOKUP(Tabla2[[#This Row],[Unidad de producción]],Tabla3[Medida],Tabla3[Equivalencia en Kg],"ELVIS",0)</f>
        <v>101.54317195556631</v>
      </c>
      <c r="J939">
        <v>432</v>
      </c>
      <c r="K939" t="s">
        <v>18</v>
      </c>
      <c r="L939">
        <f>J939/_xlfn.XLOOKUP(Tabla2[[#This Row],[Unidad de precio]],Tabla3[Medida],Tabla3[Equivalencia en Kg],"ELVIS",0)</f>
        <v>9.5238095238095237</v>
      </c>
      <c r="M939">
        <v>1341.48</v>
      </c>
      <c r="N939" s="2">
        <f>(Tabla2[[#This Row],[Productividad (kg/TAS)]]*Tabla2[[#This Row],[Precio por kg]]-Tabla2[[#This Row],[Costos (En RD$/Tarea)]])</f>
        <v>-374.40217185174947</v>
      </c>
      <c r="O939" s="6">
        <f>IF(Tabla2[[#This Row],[Costos (En RD$/Tarea)]]=0,0,Tabla2[[#This Row],[Beneficio Neto  (En RD$/Tarea)]]/Tabla2[[#This Row],[Costos (En RD$/Tarea)]])</f>
        <v>-0.27909635018915635</v>
      </c>
      <c r="P939" s="4">
        <f>Tabla2[[#This Row],[Rentabilidad (%)]]/12</f>
        <v>-2.3258029182429696E-2</v>
      </c>
    </row>
    <row r="940" spans="1:16" x14ac:dyDescent="0.35">
      <c r="A940" s="1">
        <v>38899</v>
      </c>
      <c r="B940" t="s">
        <v>21</v>
      </c>
      <c r="C940" s="2">
        <v>4482</v>
      </c>
      <c r="D940" s="5" t="s">
        <v>17</v>
      </c>
      <c r="E940" s="2">
        <f>IF(Tabla2[[#This Row],[Frecuencia]]="Annual", Tabla2[[#This Row],[Cosecha/Tarea]]/12,Tabla2[[#This Row],[Cosecha/Tarea]])</f>
        <v>4482</v>
      </c>
      <c r="F940" s="2">
        <v>44835</v>
      </c>
      <c r="G940" t="s">
        <v>18</v>
      </c>
      <c r="H940">
        <f>F940/Tabla2[[#This Row],[Cosecha Mensual]]</f>
        <v>10.003346720214189</v>
      </c>
      <c r="I940">
        <f>H940*_xlfn.XLOOKUP(Tabla2[[#This Row],[Unidad de producción]],Tabla3[Medida],Tabla3[Equivalencia en Kg],"ELVIS",0)</f>
        <v>453.7518072289156</v>
      </c>
      <c r="J940">
        <v>281.40766666666701</v>
      </c>
      <c r="K940" t="s">
        <v>18</v>
      </c>
      <c r="L940">
        <f>J940/_xlfn.XLOOKUP(Tabla2[[#This Row],[Unidad de precio]],Tabla3[Medida],Tabla3[Equivalencia en Kg],"ELVIS",0)</f>
        <v>6.2038727219282848</v>
      </c>
      <c r="M940">
        <v>2058.7550000000001</v>
      </c>
      <c r="N940" s="2">
        <f>(Tabla2[[#This Row],[Productividad (kg/TAS)]]*Tabla2[[#This Row],[Precio por kg]]-Tabla2[[#This Row],[Costos (En RD$/Tarea)]])</f>
        <v>756.26345939313069</v>
      </c>
      <c r="O940" s="6">
        <f>IF(Tabla2[[#This Row],[Costos (En RD$/Tarea)]]=0,0,Tabla2[[#This Row],[Beneficio Neto  (En RD$/Tarea)]]/Tabla2[[#This Row],[Costos (En RD$/Tarea)]])</f>
        <v>0.36734019317166472</v>
      </c>
      <c r="P940" s="4">
        <f>Tabla2[[#This Row],[Rentabilidad (%)]]/12</f>
        <v>3.0611682764305394E-2</v>
      </c>
    </row>
    <row r="941" spans="1:16" x14ac:dyDescent="0.35">
      <c r="A941" s="1">
        <v>38899</v>
      </c>
      <c r="B941" t="s">
        <v>22</v>
      </c>
      <c r="C941" s="2">
        <v>1954</v>
      </c>
      <c r="D941" s="5" t="s">
        <v>17</v>
      </c>
      <c r="E941" s="2">
        <f>IF(Tabla2[[#This Row],[Frecuencia]]="Annual", Tabla2[[#This Row],[Cosecha/Tarea]]/12,Tabla2[[#This Row],[Cosecha/Tarea]])</f>
        <v>1954</v>
      </c>
      <c r="F941" s="2">
        <v>17129</v>
      </c>
      <c r="G941" t="s">
        <v>18</v>
      </c>
      <c r="H941">
        <f>F941/Tabla2[[#This Row],[Cosecha Mensual]]</f>
        <v>8.7661207778915049</v>
      </c>
      <c r="I941">
        <f>H941*_xlfn.XLOOKUP(Tabla2[[#This Row],[Unidad de producción]],Tabla3[Medida],Tabla3[Equivalencia en Kg],"ELVIS",0)</f>
        <v>397.63123848515863</v>
      </c>
      <c r="J941">
        <v>766.70833333333303</v>
      </c>
      <c r="K941" t="s">
        <v>18</v>
      </c>
      <c r="L941">
        <f>J941/_xlfn.XLOOKUP(Tabla2[[#This Row],[Unidad de precio]],Tabla3[Medida],Tabla3[Equivalencia en Kg],"ELVIS",0)</f>
        <v>16.902741034685473</v>
      </c>
      <c r="M941">
        <v>5691.88</v>
      </c>
      <c r="N941" s="2">
        <f>(Tabla2[[#This Row],[Productividad (kg/TAS)]]*Tabla2[[#This Row],[Precio por kg]]-Tabla2[[#This Row],[Costos (En RD$/Tarea)]])</f>
        <v>1029.1778514158959</v>
      </c>
      <c r="O941" s="6">
        <f>IF(Tabla2[[#This Row],[Costos (En RD$/Tarea)]]=0,0,Tabla2[[#This Row],[Beneficio Neto  (En RD$/Tarea)]]/Tabla2[[#This Row],[Costos (En RD$/Tarea)]])</f>
        <v>0.180815100004901</v>
      </c>
      <c r="P941" s="4">
        <f>Tabla2[[#This Row],[Rentabilidad (%)]]/12</f>
        <v>1.5067925000408417E-2</v>
      </c>
    </row>
    <row r="942" spans="1:16" x14ac:dyDescent="0.35">
      <c r="A942" s="1">
        <v>38899</v>
      </c>
      <c r="B942" t="s">
        <v>23</v>
      </c>
      <c r="C942" s="2">
        <v>1738</v>
      </c>
      <c r="D942" s="5" t="s">
        <v>17</v>
      </c>
      <c r="E942" s="2">
        <f>IF(Tabla2[[#This Row],[Frecuencia]]="Annual", Tabla2[[#This Row],[Cosecha/Tarea]]/12,Tabla2[[#This Row],[Cosecha/Tarea]])</f>
        <v>1738</v>
      </c>
      <c r="F942" s="2">
        <v>52432</v>
      </c>
      <c r="G942" t="s">
        <v>18</v>
      </c>
      <c r="H942">
        <f>F942/Tabla2[[#This Row],[Cosecha Mensual]]</f>
        <v>30.168009205983889</v>
      </c>
      <c r="I942">
        <f>H942*_xlfn.XLOOKUP(Tabla2[[#This Row],[Unidad de producción]],Tabla3[Medida],Tabla3[Equivalencia en Kg],"ELVIS",0)</f>
        <v>1368.4208975834292</v>
      </c>
      <c r="J942">
        <v>456.5625</v>
      </c>
      <c r="K942" t="s">
        <v>18</v>
      </c>
      <c r="L942">
        <f>J942/_xlfn.XLOOKUP(Tabla2[[#This Row],[Unidad de precio]],Tabla3[Medida],Tabla3[Equivalencia en Kg],"ELVIS",0)</f>
        <v>10.065310846560847</v>
      </c>
      <c r="M942">
        <v>10412.049999999999</v>
      </c>
      <c r="N942" s="2">
        <f>(Tabla2[[#This Row],[Productividad (kg/TAS)]]*Tabla2[[#This Row],[Precio por kg]]-Tabla2[[#This Row],[Costos (En RD$/Tarea)]])</f>
        <v>3361.5317031070208</v>
      </c>
      <c r="O942" s="6">
        <f>IF(Tabla2[[#This Row],[Costos (En RD$/Tarea)]]=0,0,Tabla2[[#This Row],[Beneficio Neto  (En RD$/Tarea)]]/Tabla2[[#This Row],[Costos (En RD$/Tarea)]])</f>
        <v>0.32285013067618973</v>
      </c>
      <c r="P942" s="4">
        <f>Tabla2[[#This Row],[Rentabilidad (%)]]/12</f>
        <v>2.6904177556349145E-2</v>
      </c>
    </row>
    <row r="943" spans="1:16" x14ac:dyDescent="0.35">
      <c r="A943" s="1">
        <v>38899</v>
      </c>
      <c r="B943" t="s">
        <v>24</v>
      </c>
      <c r="C943" s="2">
        <v>4803</v>
      </c>
      <c r="D943" s="5" t="s">
        <v>17</v>
      </c>
      <c r="E943" s="2">
        <f>IF(Tabla2[[#This Row],[Frecuencia]]="Annual", Tabla2[[#This Row],[Cosecha/Tarea]]/12,Tabla2[[#This Row],[Cosecha/Tarea]])</f>
        <v>4803</v>
      </c>
      <c r="F943" s="2">
        <v>39304</v>
      </c>
      <c r="G943" t="s">
        <v>18</v>
      </c>
      <c r="H943">
        <f>F943/Tabla2[[#This Row],[Cosecha Mensual]]</f>
        <v>8.1832188215698523</v>
      </c>
      <c r="I943">
        <f>H943*_xlfn.XLOOKUP(Tabla2[[#This Row],[Unidad de producción]],Tabla3[Medida],Tabla3[Equivalencia en Kg],"ELVIS",0)</f>
        <v>371.1908057464085</v>
      </c>
      <c r="J943">
        <v>869.41700000000003</v>
      </c>
      <c r="K943" t="s">
        <v>18</v>
      </c>
      <c r="L943">
        <f>J943/_xlfn.XLOOKUP(Tabla2[[#This Row],[Unidad de precio]],Tabla3[Medida],Tabla3[Equivalencia en Kg],"ELVIS",0)</f>
        <v>19.167041446208113</v>
      </c>
      <c r="M943">
        <v>4593.1000000000004</v>
      </c>
      <c r="N943" s="2">
        <f>(Tabla2[[#This Row],[Productividad (kg/TAS)]]*Tabla2[[#This Row],[Precio por kg]]-Tabla2[[#This Row],[Costos (En RD$/Tarea)]])</f>
        <v>2521.5295581927958</v>
      </c>
      <c r="O943" s="6">
        <f>IF(Tabla2[[#This Row],[Costos (En RD$/Tarea)]]=0,0,Tabla2[[#This Row],[Beneficio Neto  (En RD$/Tarea)]]/Tabla2[[#This Row],[Costos (En RD$/Tarea)]])</f>
        <v>0.54898207271620381</v>
      </c>
      <c r="P943" s="4">
        <f>Tabla2[[#This Row],[Rentabilidad (%)]]/12</f>
        <v>4.5748506059683648E-2</v>
      </c>
    </row>
    <row r="944" spans="1:16" x14ac:dyDescent="0.35">
      <c r="A944" s="1">
        <v>38899</v>
      </c>
      <c r="B944" t="s">
        <v>25</v>
      </c>
      <c r="C944" s="2">
        <v>17094</v>
      </c>
      <c r="D944" s="5" t="s">
        <v>17</v>
      </c>
      <c r="E944" s="2">
        <f>IF(Tabla2[[#This Row],[Frecuencia]]="Annual", Tabla2[[#This Row],[Cosecha/Tarea]]/12,Tabla2[[#This Row],[Cosecha/Tarea]])</f>
        <v>17094</v>
      </c>
      <c r="F944" s="2">
        <v>172387</v>
      </c>
      <c r="G944" t="s">
        <v>18</v>
      </c>
      <c r="H944">
        <f>F944/Tabla2[[#This Row],[Cosecha Mensual]]</f>
        <v>10.084649584649584</v>
      </c>
      <c r="I944">
        <f>H944*_xlfn.XLOOKUP(Tabla2[[#This Row],[Unidad de producción]],Tabla3[Medida],Tabla3[Equivalencia en Kg],"ELVIS",0)</f>
        <v>457.43970515970517</v>
      </c>
      <c r="J944">
        <v>400.61</v>
      </c>
      <c r="K944" t="s">
        <v>18</v>
      </c>
      <c r="L944">
        <f>J944/_xlfn.XLOOKUP(Tabla2[[#This Row],[Unidad de precio]],Tabla3[Medida],Tabla3[Equivalencia en Kg],"ELVIS",0)</f>
        <v>8.8317901234567913</v>
      </c>
      <c r="M944">
        <v>2287.145</v>
      </c>
      <c r="N944" s="2">
        <f>(Tabla2[[#This Row],[Productividad (kg/TAS)]]*Tabla2[[#This Row],[Precio por kg]]-Tabla2[[#This Row],[Costos (En RD$/Tarea)]])</f>
        <v>1752.8664701064708</v>
      </c>
      <c r="O944" s="6">
        <f>IF(Tabla2[[#This Row],[Costos (En RD$/Tarea)]]=0,0,Tabla2[[#This Row],[Beneficio Neto  (En RD$/Tarea)]]/Tabla2[[#This Row],[Costos (En RD$/Tarea)]])</f>
        <v>0.76639936257057195</v>
      </c>
      <c r="P944" s="4">
        <f>Tabla2[[#This Row],[Rentabilidad (%)]]/12</f>
        <v>6.3866613547547663E-2</v>
      </c>
    </row>
    <row r="945" spans="1:16" x14ac:dyDescent="0.35">
      <c r="A945" s="1">
        <v>38899</v>
      </c>
      <c r="B945" t="s">
        <v>26</v>
      </c>
      <c r="C945" s="2">
        <v>9508</v>
      </c>
      <c r="D945" s="5" t="s">
        <v>17</v>
      </c>
      <c r="E945" s="2">
        <f>IF(Tabla2[[#This Row],[Frecuencia]]="Annual", Tabla2[[#This Row],[Cosecha/Tarea]]/12,Tabla2[[#This Row],[Cosecha/Tarea]])</f>
        <v>9508</v>
      </c>
      <c r="F945" s="2">
        <v>65422</v>
      </c>
      <c r="G945" t="s">
        <v>18</v>
      </c>
      <c r="H945">
        <f>F945/Tabla2[[#This Row],[Cosecha Mensual]]</f>
        <v>6.8807320151451412</v>
      </c>
      <c r="I945">
        <f>H945*_xlfn.XLOOKUP(Tabla2[[#This Row],[Unidad de producción]],Tabla3[Medida],Tabla3[Equivalencia en Kg],"ELVIS",0)</f>
        <v>312.1100042069836</v>
      </c>
      <c r="J945">
        <v>350</v>
      </c>
      <c r="K945" t="s">
        <v>18</v>
      </c>
      <c r="L945">
        <f>J945/_xlfn.XLOOKUP(Tabla2[[#This Row],[Unidad de precio]],Tabla3[Medida],Tabla3[Equivalencia en Kg],"ELVIS",0)</f>
        <v>7.7160493827160499</v>
      </c>
      <c r="M945">
        <v>864.56</v>
      </c>
      <c r="N945" s="2">
        <f>(Tabla2[[#This Row],[Productividad (kg/TAS)]]*Tabla2[[#This Row],[Precio por kg]]-Tabla2[[#This Row],[Costos (En RD$/Tarea)]])</f>
        <v>1543.6962053007996</v>
      </c>
      <c r="O945" s="6">
        <f>IF(Tabla2[[#This Row],[Costos (En RD$/Tarea)]]=0,0,Tabla2[[#This Row],[Beneficio Neto  (En RD$/Tarea)]]/Tabla2[[#This Row],[Costos (En RD$/Tarea)]])</f>
        <v>1.7855281360470063</v>
      </c>
      <c r="P945" s="4">
        <f>Tabla2[[#This Row],[Rentabilidad (%)]]/12</f>
        <v>0.14879401133725054</v>
      </c>
    </row>
    <row r="946" spans="1:16" x14ac:dyDescent="0.35">
      <c r="A946" s="1">
        <v>38899</v>
      </c>
      <c r="B946" t="s">
        <v>27</v>
      </c>
      <c r="C946" s="2">
        <v>5463</v>
      </c>
      <c r="D946" s="5" t="s">
        <v>17</v>
      </c>
      <c r="E946" s="2">
        <f>IF(Tabla2[[#This Row],[Frecuencia]]="Annual", Tabla2[[#This Row],[Cosecha/Tarea]]/12,Tabla2[[#This Row],[Cosecha/Tarea]])</f>
        <v>5463</v>
      </c>
      <c r="F946" s="2">
        <v>45756</v>
      </c>
      <c r="G946" t="s">
        <v>18</v>
      </c>
      <c r="H946">
        <f>F946/Tabla2[[#This Row],[Cosecha Mensual]]</f>
        <v>8.3756177924217461</v>
      </c>
      <c r="I946">
        <f>H946*_xlfn.XLOOKUP(Tabla2[[#This Row],[Unidad de producción]],Tabla3[Medida],Tabla3[Equivalencia en Kg],"ELVIS",0)</f>
        <v>379.91802306425041</v>
      </c>
      <c r="J946">
        <v>267.616266666667</v>
      </c>
      <c r="K946" t="s">
        <v>18</v>
      </c>
      <c r="L946">
        <f>J946/_xlfn.XLOOKUP(Tabla2[[#This Row],[Unidad de precio]],Tabla3[Medida],Tabla3[Equivalencia en Kg],"ELVIS",0)</f>
        <v>5.8998295120517419</v>
      </c>
      <c r="M946">
        <v>4742.13</v>
      </c>
      <c r="N946" s="2">
        <f>(Tabla2[[#This Row],[Productividad (kg/TAS)]]*Tabla2[[#This Row],[Precio por kg]]-Tabla2[[#This Row],[Costos (En RD$/Tarea)]])</f>
        <v>-2500.678435365181</v>
      </c>
      <c r="O946" s="6">
        <f>IF(Tabla2[[#This Row],[Costos (En RD$/Tarea)]]=0,0,Tabla2[[#This Row],[Beneficio Neto  (En RD$/Tarea)]]/Tabla2[[#This Row],[Costos (En RD$/Tarea)]])</f>
        <v>-0.52733232437009969</v>
      </c>
      <c r="P946" s="4">
        <f>Tabla2[[#This Row],[Rentabilidad (%)]]/12</f>
        <v>-4.3944360364174977E-2</v>
      </c>
    </row>
    <row r="947" spans="1:16" x14ac:dyDescent="0.35">
      <c r="A947" s="1">
        <v>38899</v>
      </c>
      <c r="B947" t="s">
        <v>28</v>
      </c>
      <c r="C947" s="2">
        <v>5522</v>
      </c>
      <c r="D947" s="5" t="s">
        <v>17</v>
      </c>
      <c r="E947" s="2">
        <f>IF(Tabla2[[#This Row],[Frecuencia]]="Annual", Tabla2[[#This Row],[Cosecha/Tarea]]/12,Tabla2[[#This Row],[Cosecha/Tarea]])</f>
        <v>5522</v>
      </c>
      <c r="F947" s="2">
        <v>2417</v>
      </c>
      <c r="G947" t="s">
        <v>29</v>
      </c>
      <c r="H947">
        <f>F947/Tabla2[[#This Row],[Cosecha Mensual]]</f>
        <v>0.43770373053241579</v>
      </c>
      <c r="I947">
        <f>H947*_xlfn.XLOOKUP(Tabla2[[#This Row],[Unidad de producción]],Tabla3[Medida],Tabla3[Equivalencia en Kg],"ELVIS",0)</f>
        <v>246.13831582759872</v>
      </c>
      <c r="J947">
        <v>5462.5</v>
      </c>
      <c r="K947" t="s">
        <v>29</v>
      </c>
      <c r="L947">
        <f>J947/_xlfn.XLOOKUP(Tabla2[[#This Row],[Unidad de precio]],Tabla3[Medida],Tabla3[Equivalencia en Kg],"ELVIS",0)</f>
        <v>9.7138741686524153</v>
      </c>
      <c r="M947">
        <v>8196.8700000000008</v>
      </c>
      <c r="N947" s="2">
        <f>(Tabla2[[#This Row],[Productividad (kg/TAS)]]*Tabla2[[#This Row],[Precio por kg]]-Tabla2[[#This Row],[Costos (En RD$/Tarea)]])</f>
        <v>-5805.9133719666797</v>
      </c>
      <c r="O947" s="6">
        <f>IF(Tabla2[[#This Row],[Costos (En RD$/Tarea)]]=0,0,Tabla2[[#This Row],[Beneficio Neto  (En RD$/Tarea)]]/Tabla2[[#This Row],[Costos (En RD$/Tarea)]])</f>
        <v>-0.70830858266224539</v>
      </c>
      <c r="P947" s="4">
        <f>Tabla2[[#This Row],[Rentabilidad (%)]]/12</f>
        <v>-5.9025715221853785E-2</v>
      </c>
    </row>
    <row r="948" spans="1:16" x14ac:dyDescent="0.35">
      <c r="A948" s="1">
        <v>38899</v>
      </c>
      <c r="B948" t="s">
        <v>30</v>
      </c>
      <c r="C948" s="2">
        <v>312792</v>
      </c>
      <c r="D948" s="2" t="s">
        <v>31</v>
      </c>
      <c r="E948" s="2">
        <f>IF(Tabla2[[#This Row],[Frecuencia]]="Annual", Tabla2[[#This Row],[Cosecha/Tarea]]/12,Tabla2[[#This Row],[Cosecha/Tarea]])</f>
        <v>26066</v>
      </c>
      <c r="F948" s="2">
        <v>2046320</v>
      </c>
      <c r="G948" t="s">
        <v>32</v>
      </c>
      <c r="H948">
        <f>F948/Tabla2[[#This Row],[Cosecha Mensual]]</f>
        <v>78.505332617202484</v>
      </c>
      <c r="I948">
        <f>H948*_xlfn.XLOOKUP(Tabla2[[#This Row],[Unidad de producción]],Tabla3[Medida],Tabla3[Equivalencia en Kg],"ELVIS",0)</f>
        <v>2136.1301005140795</v>
      </c>
      <c r="J948">
        <v>68.276666666666699</v>
      </c>
      <c r="K948" t="s">
        <v>32</v>
      </c>
      <c r="L948">
        <f>J948/_xlfn.XLOOKUP(Tabla2[[#This Row],[Unidad de precio]],Tabla3[Medida],Tabla3[Equivalencia en Kg],"ELVIS",0)</f>
        <v>2.5092490505941454</v>
      </c>
      <c r="M948" s="2">
        <v>7154.19</v>
      </c>
      <c r="N948" s="2">
        <f>(Tabla2[[#This Row],[Productividad (kg/TAS)]]*Tabla2[[#This Row],[Precio por kg]]-Tabla2[[#This Row],[Costos (En RD$/Tarea)]])</f>
        <v>-1794.1075733394691</v>
      </c>
      <c r="O948" s="6">
        <f>IF(Tabla2[[#This Row],[Costos (En RD$/Tarea)]]=0,0,Tabla2[[#This Row],[Beneficio Neto  (En RD$/Tarea)]]/Tabla2[[#This Row],[Costos (En RD$/Tarea)]])</f>
        <v>-0.25077717719818304</v>
      </c>
      <c r="P948" s="4">
        <f>Tabla2[[#This Row],[Rentabilidad (%)]]/12</f>
        <v>-2.0898098099848588E-2</v>
      </c>
    </row>
    <row r="949" spans="1:16" x14ac:dyDescent="0.35">
      <c r="A949" s="1">
        <v>38899</v>
      </c>
      <c r="B949" t="s">
        <v>33</v>
      </c>
      <c r="C949" s="2">
        <v>711178</v>
      </c>
      <c r="D949" s="2" t="s">
        <v>31</v>
      </c>
      <c r="E949" s="2">
        <f>IF(Tabla2[[#This Row],[Frecuencia]]="Annual", Tabla2[[#This Row],[Cosecha/Tarea]]/12,Tabla2[[#This Row],[Cosecha/Tarea]])</f>
        <v>59264.833333333336</v>
      </c>
      <c r="F949" s="2">
        <v>196537</v>
      </c>
      <c r="G949" t="s">
        <v>34</v>
      </c>
      <c r="H949">
        <f>F949/Tabla2[[#This Row],[Cosecha Mensual]]</f>
        <v>3.3162499402399961</v>
      </c>
      <c r="I949">
        <f>H949*_xlfn.XLOOKUP(Tabla2[[#This Row],[Unidad de producción]],Tabla3[Medida],Tabla3[Equivalencia en Kg],"ELVIS",0)</f>
        <v>1353.5274131089543</v>
      </c>
      <c r="J949">
        <v>2174.1666666666702</v>
      </c>
      <c r="K949" t="s">
        <v>34</v>
      </c>
      <c r="L949">
        <f>J949/_xlfn.XLOOKUP(Tabla2[[#This Row],[Unidad de precio]],Tabla3[Medida],Tabla3[Equivalencia en Kg],"ELVIS",0)</f>
        <v>5.3268814569806944</v>
      </c>
      <c r="M949" s="2">
        <v>9504.44</v>
      </c>
      <c r="N949" s="2">
        <f>(Tabla2[[#This Row],[Productividad (kg/TAS)]]*Tabla2[[#This Row],[Precio por kg]]-Tabla2[[#This Row],[Costos (En RD$/Tarea)]])</f>
        <v>-2294.3599215948634</v>
      </c>
      <c r="O949" s="6">
        <f>IF(Tabla2[[#This Row],[Costos (En RD$/Tarea)]]=0,0,Tabla2[[#This Row],[Beneficio Neto  (En RD$/Tarea)]]/Tabla2[[#This Row],[Costos (En RD$/Tarea)]])</f>
        <v>-0.24139874854224586</v>
      </c>
      <c r="P949" s="4">
        <f>Tabla2[[#This Row],[Rentabilidad (%)]]/12</f>
        <v>-2.0116562378520487E-2</v>
      </c>
    </row>
    <row r="950" spans="1:16" x14ac:dyDescent="0.35">
      <c r="A950" s="1">
        <v>38930</v>
      </c>
      <c r="B950" t="s">
        <v>16</v>
      </c>
      <c r="C950" s="2">
        <v>129993</v>
      </c>
      <c r="D950" s="5" t="s">
        <v>17</v>
      </c>
      <c r="E950" s="2">
        <f>IF(Tabla2[[#This Row],[Frecuencia]]="Annual", Tabla2[[#This Row],[Cosecha/Tarea]]/12,Tabla2[[#This Row],[Cosecha/Tarea]])</f>
        <v>129993</v>
      </c>
      <c r="F950" s="2">
        <v>517858</v>
      </c>
      <c r="G950" t="s">
        <v>18</v>
      </c>
      <c r="H950">
        <f>F950/Tabla2[[#This Row],[Cosecha Mensual]]</f>
        <v>3.9837375858700086</v>
      </c>
      <c r="I950">
        <f>H950*_xlfn.XLOOKUP(Tabla2[[#This Row],[Unidad de producción]],Tabla3[Medida],Tabla3[Equivalencia en Kg],"ELVIS",0)</f>
        <v>180.70233689506358</v>
      </c>
      <c r="J950">
        <v>1065</v>
      </c>
      <c r="K950" t="s">
        <v>19</v>
      </c>
      <c r="L950">
        <f>J950/_xlfn.XLOOKUP(Tabla2[[#This Row],[Unidad de precio]],Tabla3[Medida],Tabla3[Equivalencia en Kg],"ELVIS",0)</f>
        <v>9.6818181818181817</v>
      </c>
      <c r="M950">
        <v>4756.7749999999996</v>
      </c>
      <c r="N950" s="2">
        <f>(Tabla2[[#This Row],[Productividad (kg/TAS)]]*Tabla2[[#This Row],[Precio por kg]]-Tabla2[[#This Row],[Costos (En RD$/Tarea)]])</f>
        <v>-3007.2478291523385</v>
      </c>
      <c r="O950" s="6">
        <f>IF(Tabla2[[#This Row],[Costos (En RD$/Tarea)]]=0,0,Tabla2[[#This Row],[Beneficio Neto  (En RD$/Tarea)]]/Tabla2[[#This Row],[Costos (En RD$/Tarea)]])</f>
        <v>-0.6322030848951945</v>
      </c>
      <c r="P950" s="4">
        <f>Tabla2[[#This Row],[Rentabilidad (%)]]/12</f>
        <v>-5.2683590407932877E-2</v>
      </c>
    </row>
    <row r="951" spans="1:16" x14ac:dyDescent="0.35">
      <c r="A951" s="1">
        <v>38930</v>
      </c>
      <c r="B951" t="s">
        <v>20</v>
      </c>
      <c r="C951" s="2">
        <v>46892</v>
      </c>
      <c r="D951" s="5" t="s">
        <v>17</v>
      </c>
      <c r="E951" s="2">
        <f>IF(Tabla2[[#This Row],[Frecuencia]]="Annual", Tabla2[[#This Row],[Cosecha/Tarea]]/12,Tabla2[[#This Row],[Cosecha/Tarea]])</f>
        <v>46892</v>
      </c>
      <c r="F951" s="2">
        <v>90595</v>
      </c>
      <c r="G951" t="s">
        <v>18</v>
      </c>
      <c r="H951">
        <f>F951/Tabla2[[#This Row],[Cosecha Mensual]]</f>
        <v>1.9319926639938583</v>
      </c>
      <c r="I951">
        <f>H951*_xlfn.XLOOKUP(Tabla2[[#This Row],[Unidad de producción]],Tabla3[Medida],Tabla3[Equivalencia en Kg],"ELVIS",0)</f>
        <v>87.635187238761404</v>
      </c>
      <c r="J951">
        <v>494.49599999999998</v>
      </c>
      <c r="K951" t="s">
        <v>18</v>
      </c>
      <c r="L951">
        <f>J951/_xlfn.XLOOKUP(Tabla2[[#This Row],[Unidad de precio]],Tabla3[Medida],Tabla3[Equivalencia en Kg],"ELVIS",0)</f>
        <v>10.901587301587302</v>
      </c>
      <c r="M951">
        <v>1341.48</v>
      </c>
      <c r="N951" s="2">
        <f>(Tabla2[[#This Row],[Productividad (kg/TAS)]]*Tabla2[[#This Row],[Precio por kg]]-Tabla2[[#This Row],[Costos (En RD$/Tarea)]])</f>
        <v>-386.11735562569311</v>
      </c>
      <c r="O951" s="6">
        <f>IF(Tabla2[[#This Row],[Costos (En RD$/Tarea)]]=0,0,Tabla2[[#This Row],[Beneficio Neto  (En RD$/Tarea)]]/Tabla2[[#This Row],[Costos (En RD$/Tarea)]])</f>
        <v>-0.2878293792122828</v>
      </c>
      <c r="P951" s="4">
        <f>Tabla2[[#This Row],[Rentabilidad (%)]]/12</f>
        <v>-2.3985781601023565E-2</v>
      </c>
    </row>
    <row r="952" spans="1:16" x14ac:dyDescent="0.35">
      <c r="A952" s="1">
        <v>38930</v>
      </c>
      <c r="B952" t="s">
        <v>21</v>
      </c>
      <c r="C952" s="2">
        <v>3916</v>
      </c>
      <c r="D952" s="5" t="s">
        <v>17</v>
      </c>
      <c r="E952" s="2">
        <f>IF(Tabla2[[#This Row],[Frecuencia]]="Annual", Tabla2[[#This Row],[Cosecha/Tarea]]/12,Tabla2[[#This Row],[Cosecha/Tarea]])</f>
        <v>3916</v>
      </c>
      <c r="F952" s="2">
        <v>36600</v>
      </c>
      <c r="G952" t="s">
        <v>18</v>
      </c>
      <c r="H952">
        <f>F952/Tabla2[[#This Row],[Cosecha Mensual]]</f>
        <v>9.346271705822268</v>
      </c>
      <c r="I952">
        <f>H952*_xlfn.XLOOKUP(Tabla2[[#This Row],[Unidad de producción]],Tabla3[Medida],Tabla3[Equivalencia en Kg],"ELVIS",0)</f>
        <v>423.94688457609806</v>
      </c>
      <c r="J952">
        <v>379.36599999999999</v>
      </c>
      <c r="K952" t="s">
        <v>18</v>
      </c>
      <c r="L952">
        <f>J952/_xlfn.XLOOKUP(Tabla2[[#This Row],[Unidad de precio]],Tabla3[Medida],Tabla3[Equivalencia en Kg],"ELVIS",0)</f>
        <v>8.3634479717813051</v>
      </c>
      <c r="M952">
        <v>2058.7550000000001</v>
      </c>
      <c r="N952" s="2">
        <f>(Tabla2[[#This Row],[Productividad (kg/TAS)]]*Tabla2[[#This Row],[Precio por kg]]-Tabla2[[#This Row],[Costos (En RD$/Tarea)]])</f>
        <v>1486.9027119509701</v>
      </c>
      <c r="O952" s="6">
        <f>IF(Tabla2[[#This Row],[Costos (En RD$/Tarea)]]=0,0,Tabla2[[#This Row],[Beneficio Neto  (En RD$/Tarea)]]/Tabla2[[#This Row],[Costos (En RD$/Tarea)]])</f>
        <v>0.72223392873409897</v>
      </c>
      <c r="P952" s="4">
        <f>Tabla2[[#This Row],[Rentabilidad (%)]]/12</f>
        <v>6.0186160727841581E-2</v>
      </c>
    </row>
    <row r="953" spans="1:16" x14ac:dyDescent="0.35">
      <c r="A953" s="1">
        <v>38930</v>
      </c>
      <c r="B953" t="s">
        <v>22</v>
      </c>
      <c r="C953" s="2">
        <v>2566</v>
      </c>
      <c r="D953" s="5" t="s">
        <v>17</v>
      </c>
      <c r="E953" s="2">
        <f>IF(Tabla2[[#This Row],[Frecuencia]]="Annual", Tabla2[[#This Row],[Cosecha/Tarea]]/12,Tabla2[[#This Row],[Cosecha/Tarea]])</f>
        <v>2566</v>
      </c>
      <c r="F953" s="2">
        <v>23054</v>
      </c>
      <c r="G953" t="s">
        <v>18</v>
      </c>
      <c r="H953">
        <f>F953/Tabla2[[#This Row],[Cosecha Mensual]]</f>
        <v>8.9844115354637566</v>
      </c>
      <c r="I953">
        <f>H953*_xlfn.XLOOKUP(Tabla2[[#This Row],[Unidad de producción]],Tabla3[Medida],Tabla3[Equivalencia en Kg],"ELVIS",0)</f>
        <v>407.53290724863598</v>
      </c>
      <c r="J953">
        <v>737.66666666666697</v>
      </c>
      <c r="K953" t="s">
        <v>18</v>
      </c>
      <c r="L953">
        <f>J953/_xlfn.XLOOKUP(Tabla2[[#This Row],[Unidad de precio]],Tabla3[Medida],Tabla3[Equivalencia en Kg],"ELVIS",0)</f>
        <v>16.262492651381546</v>
      </c>
      <c r="M953">
        <v>5691.88</v>
      </c>
      <c r="N953" s="2">
        <f>(Tabla2[[#This Row],[Productividad (kg/TAS)]]*Tabla2[[#This Row],[Precio por kg]]-Tabla2[[#This Row],[Costos (En RD$/Tarea)]])</f>
        <v>935.62090932709998</v>
      </c>
      <c r="O953" s="6">
        <f>IF(Tabla2[[#This Row],[Costos (En RD$/Tarea)]]=0,0,Tabla2[[#This Row],[Beneficio Neto  (En RD$/Tarea)]]/Tabla2[[#This Row],[Costos (En RD$/Tarea)]])</f>
        <v>0.16437818599954671</v>
      </c>
      <c r="P953" s="4">
        <f>Tabla2[[#This Row],[Rentabilidad (%)]]/12</f>
        <v>1.3698182166628893E-2</v>
      </c>
    </row>
    <row r="954" spans="1:16" x14ac:dyDescent="0.35">
      <c r="A954" s="1">
        <v>38930</v>
      </c>
      <c r="B954" t="s">
        <v>23</v>
      </c>
      <c r="C954" s="2">
        <v>1081</v>
      </c>
      <c r="D954" s="5" t="s">
        <v>17</v>
      </c>
      <c r="E954" s="2">
        <f>IF(Tabla2[[#This Row],[Frecuencia]]="Annual", Tabla2[[#This Row],[Cosecha/Tarea]]/12,Tabla2[[#This Row],[Cosecha/Tarea]])</f>
        <v>1081</v>
      </c>
      <c r="F954" s="2">
        <v>33465</v>
      </c>
      <c r="G954" t="s">
        <v>18</v>
      </c>
      <c r="H954">
        <f>F954/Tabla2[[#This Row],[Cosecha Mensual]]</f>
        <v>30.957446808510639</v>
      </c>
      <c r="I954">
        <f>H954*_xlfn.XLOOKUP(Tabla2[[#This Row],[Unidad de producción]],Tabla3[Medida],Tabla3[Equivalencia en Kg],"ELVIS",0)</f>
        <v>1404.2297872340425</v>
      </c>
      <c r="J954">
        <v>540</v>
      </c>
      <c r="K954" t="s">
        <v>18</v>
      </c>
      <c r="L954">
        <f>J954/_xlfn.XLOOKUP(Tabla2[[#This Row],[Unidad de precio]],Tabla3[Medida],Tabla3[Equivalencia en Kg],"ELVIS",0)</f>
        <v>11.904761904761905</v>
      </c>
      <c r="M954">
        <v>10412.049999999999</v>
      </c>
      <c r="N954" s="2">
        <f>(Tabla2[[#This Row],[Productividad (kg/TAS)]]*Tabla2[[#This Row],[Precio por kg]]-Tabla2[[#This Row],[Costos (En RD$/Tarea)]])</f>
        <v>6304.9712765957447</v>
      </c>
      <c r="O954" s="6">
        <f>IF(Tabla2[[#This Row],[Costos (En RD$/Tarea)]]=0,0,Tabla2[[#This Row],[Beneficio Neto  (En RD$/Tarea)]]/Tabla2[[#This Row],[Costos (En RD$/Tarea)]])</f>
        <v>0.60554562037214044</v>
      </c>
      <c r="P954" s="4">
        <f>Tabla2[[#This Row],[Rentabilidad (%)]]/12</f>
        <v>5.0462135031011705E-2</v>
      </c>
    </row>
    <row r="955" spans="1:16" x14ac:dyDescent="0.35">
      <c r="A955" s="1">
        <v>38930</v>
      </c>
      <c r="B955" t="s">
        <v>24</v>
      </c>
      <c r="C955" s="2">
        <v>4782</v>
      </c>
      <c r="D955" s="5" t="s">
        <v>17</v>
      </c>
      <c r="E955" s="2">
        <f>IF(Tabla2[[#This Row],[Frecuencia]]="Annual", Tabla2[[#This Row],[Cosecha/Tarea]]/12,Tabla2[[#This Row],[Cosecha/Tarea]])</f>
        <v>4782</v>
      </c>
      <c r="F955" s="2">
        <v>37479</v>
      </c>
      <c r="G955" t="s">
        <v>18</v>
      </c>
      <c r="H955">
        <f>F955/Tabla2[[#This Row],[Cosecha Mensual]]</f>
        <v>7.8375156838143036</v>
      </c>
      <c r="I955">
        <f>H955*_xlfn.XLOOKUP(Tabla2[[#This Row],[Unidad de producción]],Tabla3[Medida],Tabla3[Equivalencia en Kg],"ELVIS",0)</f>
        <v>355.50971141781679</v>
      </c>
      <c r="J955">
        <v>982.5</v>
      </c>
      <c r="K955" t="s">
        <v>18</v>
      </c>
      <c r="L955">
        <f>J955/_xlfn.XLOOKUP(Tabla2[[#This Row],[Unidad de precio]],Tabla3[Medida],Tabla3[Equivalencia en Kg],"ELVIS",0)</f>
        <v>21.660052910052912</v>
      </c>
      <c r="M955">
        <v>4593.1000000000004</v>
      </c>
      <c r="N955" s="2">
        <f>(Tabla2[[#This Row],[Productividad (kg/TAS)]]*Tabla2[[#This Row],[Precio por kg]]-Tabla2[[#This Row],[Costos (En RD$/Tarea)]])</f>
        <v>3107.2591593475527</v>
      </c>
      <c r="O955" s="6">
        <f>IF(Tabla2[[#This Row],[Costos (En RD$/Tarea)]]=0,0,Tabla2[[#This Row],[Beneficio Neto  (En RD$/Tarea)]]/Tabla2[[#This Row],[Costos (En RD$/Tarea)]])</f>
        <v>0.67650588041792092</v>
      </c>
      <c r="P955" s="4">
        <f>Tabla2[[#This Row],[Rentabilidad (%)]]/12</f>
        <v>5.6375490034826746E-2</v>
      </c>
    </row>
    <row r="956" spans="1:16" x14ac:dyDescent="0.35">
      <c r="A956" s="1">
        <v>38930</v>
      </c>
      <c r="B956" t="s">
        <v>25</v>
      </c>
      <c r="C956" s="2">
        <v>20282</v>
      </c>
      <c r="D956" s="5" t="s">
        <v>17</v>
      </c>
      <c r="E956" s="2">
        <f>IF(Tabla2[[#This Row],[Frecuencia]]="Annual", Tabla2[[#This Row],[Cosecha/Tarea]]/12,Tabla2[[#This Row],[Cosecha/Tarea]])</f>
        <v>20282</v>
      </c>
      <c r="F956" s="2">
        <v>212064</v>
      </c>
      <c r="G956" t="s">
        <v>18</v>
      </c>
      <c r="H956">
        <f>F956/Tabla2[[#This Row],[Cosecha Mensual]]</f>
        <v>10.455773592347894</v>
      </c>
      <c r="I956">
        <f>H956*_xlfn.XLOOKUP(Tabla2[[#This Row],[Unidad de producción]],Tabla3[Medida],Tabla3[Equivalencia en Kg],"ELVIS",0)</f>
        <v>474.27389014890048</v>
      </c>
      <c r="J956">
        <v>449.77833333333302</v>
      </c>
      <c r="K956" t="s">
        <v>18</v>
      </c>
      <c r="L956">
        <f>J956/_xlfn.XLOOKUP(Tabla2[[#This Row],[Unidad de precio]],Tabla3[Medida],Tabla3[Equivalencia en Kg],"ELVIS",0)</f>
        <v>9.9157480893591945</v>
      </c>
      <c r="M956">
        <v>2287.145</v>
      </c>
      <c r="N956" s="2">
        <f>(Tabla2[[#This Row],[Productividad (kg/TAS)]]*Tabla2[[#This Row],[Precio por kg]]-Tabla2[[#This Row],[Costos (En RD$/Tarea)]])</f>
        <v>2415.6354200769124</v>
      </c>
      <c r="O956" s="6">
        <f>IF(Tabla2[[#This Row],[Costos (En RD$/Tarea)]]=0,0,Tabla2[[#This Row],[Beneficio Neto  (En RD$/Tarea)]]/Tabla2[[#This Row],[Costos (En RD$/Tarea)]])</f>
        <v>1.056179393994221</v>
      </c>
      <c r="P956" s="4">
        <f>Tabla2[[#This Row],[Rentabilidad (%)]]/12</f>
        <v>8.8014949499518422E-2</v>
      </c>
    </row>
    <row r="957" spans="1:16" x14ac:dyDescent="0.35">
      <c r="A957" s="1">
        <v>38930</v>
      </c>
      <c r="B957" t="s">
        <v>26</v>
      </c>
      <c r="C957" s="2">
        <v>11542</v>
      </c>
      <c r="D957" s="5" t="s">
        <v>17</v>
      </c>
      <c r="E957" s="2">
        <f>IF(Tabla2[[#This Row],[Frecuencia]]="Annual", Tabla2[[#This Row],[Cosecha/Tarea]]/12,Tabla2[[#This Row],[Cosecha/Tarea]])</f>
        <v>11542</v>
      </c>
      <c r="F957" s="2">
        <v>70555</v>
      </c>
      <c r="G957" t="s">
        <v>18</v>
      </c>
      <c r="H957">
        <f>F957/Tabla2[[#This Row],[Cosecha Mensual]]</f>
        <v>6.1128920464390921</v>
      </c>
      <c r="I957">
        <f>H957*_xlfn.XLOOKUP(Tabla2[[#This Row],[Unidad de producción]],Tabla3[Medida],Tabla3[Equivalencia en Kg],"ELVIS",0)</f>
        <v>277.28078322647724</v>
      </c>
      <c r="J957">
        <v>789.5</v>
      </c>
      <c r="K957" t="s">
        <v>18</v>
      </c>
      <c r="L957">
        <f>J957/_xlfn.XLOOKUP(Tabla2[[#This Row],[Unidad de precio]],Tabla3[Medida],Tabla3[Equivalencia en Kg],"ELVIS",0)</f>
        <v>17.405202821869487</v>
      </c>
      <c r="M957">
        <v>864.56</v>
      </c>
      <c r="N957" s="2">
        <f>(Tabla2[[#This Row],[Productividad (kg/TAS)]]*Tabla2[[#This Row],[Precio por kg]]-Tabla2[[#This Row],[Costos (En RD$/Tarea)]])</f>
        <v>3961.568270663663</v>
      </c>
      <c r="O957" s="6">
        <f>IF(Tabla2[[#This Row],[Costos (En RD$/Tarea)]]=0,0,Tabla2[[#This Row],[Beneficio Neto  (En RD$/Tarea)]]/Tabla2[[#This Row],[Costos (En RD$/Tarea)]])</f>
        <v>4.5821785308869982</v>
      </c>
      <c r="P957" s="4">
        <f>Tabla2[[#This Row],[Rentabilidad (%)]]/12</f>
        <v>0.38184821090724985</v>
      </c>
    </row>
    <row r="958" spans="1:16" x14ac:dyDescent="0.35">
      <c r="A958" s="1">
        <v>38930</v>
      </c>
      <c r="B958" t="s">
        <v>27</v>
      </c>
      <c r="C958" s="2">
        <v>4682</v>
      </c>
      <c r="D958" s="5" t="s">
        <v>17</v>
      </c>
      <c r="E958" s="2">
        <f>IF(Tabla2[[#This Row],[Frecuencia]]="Annual", Tabla2[[#This Row],[Cosecha/Tarea]]/12,Tabla2[[#This Row],[Cosecha/Tarea]])</f>
        <v>4682</v>
      </c>
      <c r="F958" s="2">
        <v>37389</v>
      </c>
      <c r="G958" t="s">
        <v>18</v>
      </c>
      <c r="H958">
        <f>F958/Tabla2[[#This Row],[Cosecha Mensual]]</f>
        <v>7.9856898761213158</v>
      </c>
      <c r="I958">
        <f>H958*_xlfn.XLOOKUP(Tabla2[[#This Row],[Unidad de producción]],Tabla3[Medida],Tabla3[Equivalencia en Kg],"ELVIS",0)</f>
        <v>362.23089278086286</v>
      </c>
      <c r="J958">
        <v>247.00749999999999</v>
      </c>
      <c r="K958" t="s">
        <v>18</v>
      </c>
      <c r="L958">
        <f>J958/_xlfn.XLOOKUP(Tabla2[[#This Row],[Unidad de precio]],Tabla3[Medida],Tabla3[Equivalencia en Kg],"ELVIS",0)</f>
        <v>5.4454916225749557</v>
      </c>
      <c r="M958">
        <v>4742.13</v>
      </c>
      <c r="N958" s="2">
        <f>(Tabla2[[#This Row],[Productividad (kg/TAS)]]*Tabla2[[#This Row],[Precio por kg]]-Tabla2[[#This Row],[Costos (En RD$/Tarea)]])</f>
        <v>-2769.6047079239643</v>
      </c>
      <c r="O958" s="6">
        <f>IF(Tabla2[[#This Row],[Costos (En RD$/Tarea)]]=0,0,Tabla2[[#This Row],[Beneficio Neto  (En RD$/Tarea)]]/Tabla2[[#This Row],[Costos (En RD$/Tarea)]])</f>
        <v>-0.5840423412947271</v>
      </c>
      <c r="P958" s="4">
        <f>Tabla2[[#This Row],[Rentabilidad (%)]]/12</f>
        <v>-4.8670195107893922E-2</v>
      </c>
    </row>
    <row r="959" spans="1:16" x14ac:dyDescent="0.35">
      <c r="A959" s="1">
        <v>38930</v>
      </c>
      <c r="B959" t="s">
        <v>28</v>
      </c>
      <c r="C959" s="2">
        <v>43403</v>
      </c>
      <c r="D959" s="5" t="s">
        <v>17</v>
      </c>
      <c r="E959" s="2">
        <f>IF(Tabla2[[#This Row],[Frecuencia]]="Annual", Tabla2[[#This Row],[Cosecha/Tarea]]/12,Tabla2[[#This Row],[Cosecha/Tarea]])</f>
        <v>43403</v>
      </c>
      <c r="F959" s="2">
        <v>59639</v>
      </c>
      <c r="G959" t="s">
        <v>29</v>
      </c>
      <c r="H959">
        <f>F959/Tabla2[[#This Row],[Cosecha Mensual]]</f>
        <v>1.3740755247333134</v>
      </c>
      <c r="I959">
        <f>H959*_xlfn.XLOOKUP(Tabla2[[#This Row],[Unidad de producción]],Tabla3[Medida],Tabla3[Equivalencia en Kg],"ELVIS",0)</f>
        <v>772.69763057853152</v>
      </c>
      <c r="J959">
        <v>2370.6666666666702</v>
      </c>
      <c r="K959" t="s">
        <v>29</v>
      </c>
      <c r="L959">
        <f>J959/_xlfn.XLOOKUP(Tabla2[[#This Row],[Unidad de precio]],Tabla3[Medida],Tabla3[Equivalencia en Kg],"ELVIS",0)</f>
        <v>4.2157176559851157</v>
      </c>
      <c r="M959">
        <v>8196.8700000000008</v>
      </c>
      <c r="N959" s="2">
        <f>(Tabla2[[#This Row],[Productividad (kg/TAS)]]*Tabla2[[#This Row],[Precio por kg]]-Tabla2[[#This Row],[Costos (En RD$/Tarea)]])</f>
        <v>-4939.3949560322217</v>
      </c>
      <c r="O959" s="6">
        <f>IF(Tabla2[[#This Row],[Costos (En RD$/Tarea)]]=0,0,Tabla2[[#This Row],[Beneficio Neto  (En RD$/Tarea)]]/Tabla2[[#This Row],[Costos (En RD$/Tarea)]])</f>
        <v>-0.60259525355803145</v>
      </c>
      <c r="P959" s="4">
        <f>Tabla2[[#This Row],[Rentabilidad (%)]]/12</f>
        <v>-5.0216271129835954E-2</v>
      </c>
    </row>
    <row r="960" spans="1:16" x14ac:dyDescent="0.35">
      <c r="A960" s="1">
        <v>38930</v>
      </c>
      <c r="B960" t="s">
        <v>30</v>
      </c>
      <c r="C960" s="2">
        <v>309407</v>
      </c>
      <c r="D960" s="2" t="s">
        <v>31</v>
      </c>
      <c r="E960" s="2">
        <f>IF(Tabla2[[#This Row],[Frecuencia]]="Annual", Tabla2[[#This Row],[Cosecha/Tarea]]/12,Tabla2[[#This Row],[Cosecha/Tarea]])</f>
        <v>25783.916666666668</v>
      </c>
      <c r="F960" s="2">
        <v>1670544</v>
      </c>
      <c r="G960" t="s">
        <v>32</v>
      </c>
      <c r="H960">
        <f>F960/Tabla2[[#This Row],[Cosecha Mensual]]</f>
        <v>64.790156654503619</v>
      </c>
      <c r="I960">
        <f>H960*_xlfn.XLOOKUP(Tabla2[[#This Row],[Unidad de producción]],Tabla3[Medida],Tabla3[Equivalencia en Kg],"ELVIS",0)</f>
        <v>1762.9401625690434</v>
      </c>
      <c r="J960">
        <v>63.9033333333333</v>
      </c>
      <c r="K960" t="s">
        <v>32</v>
      </c>
      <c r="L960">
        <f>J960/_xlfn.XLOOKUP(Tabla2[[#This Row],[Unidad de precio]],Tabla3[Medida],Tabla3[Equivalencia en Kg],"ELVIS",0)</f>
        <v>2.3485238270243771</v>
      </c>
      <c r="M960" s="2">
        <v>7154.19</v>
      </c>
      <c r="N960" s="2">
        <f>(Tabla2[[#This Row],[Productividad (kg/TAS)]]*Tabla2[[#This Row],[Precio por kg]]-Tabla2[[#This Row],[Costos (En RD$/Tarea)]])</f>
        <v>-3013.8830225883721</v>
      </c>
      <c r="O960" s="6">
        <f>IF(Tabla2[[#This Row],[Costos (En RD$/Tarea)]]=0,0,Tabla2[[#This Row],[Beneficio Neto  (En RD$/Tarea)]]/Tabla2[[#This Row],[Costos (En RD$/Tarea)]])</f>
        <v>-0.42127522788580851</v>
      </c>
      <c r="P960" s="4">
        <f>Tabla2[[#This Row],[Rentabilidad (%)]]/12</f>
        <v>-3.5106268990484045E-2</v>
      </c>
    </row>
    <row r="961" spans="1:16" x14ac:dyDescent="0.35">
      <c r="A961" s="1">
        <v>38930</v>
      </c>
      <c r="B961" t="s">
        <v>33</v>
      </c>
      <c r="C961" s="2">
        <v>730352</v>
      </c>
      <c r="D961" s="2" t="s">
        <v>31</v>
      </c>
      <c r="E961" s="2">
        <f>IF(Tabla2[[#This Row],[Frecuencia]]="Annual", Tabla2[[#This Row],[Cosecha/Tarea]]/12,Tabla2[[#This Row],[Cosecha/Tarea]])</f>
        <v>60862.666666666664</v>
      </c>
      <c r="F961" s="2">
        <v>198655</v>
      </c>
      <c r="G961" t="s">
        <v>34</v>
      </c>
      <c r="H961">
        <f>F961/Tabla2[[#This Row],[Cosecha Mensual]]</f>
        <v>3.2639877757574429</v>
      </c>
      <c r="I961">
        <f>H961*_xlfn.XLOOKUP(Tabla2[[#This Row],[Unidad de producción]],Tabla3[Medida],Tabla3[Equivalencia en Kg],"ELVIS",0)</f>
        <v>1332.1966106754003</v>
      </c>
      <c r="J961">
        <v>1903.47166666667</v>
      </c>
      <c r="K961" t="s">
        <v>34</v>
      </c>
      <c r="L961">
        <f>J961/_xlfn.XLOOKUP(Tabla2[[#This Row],[Unidad de precio]],Tabla3[Medida],Tabla3[Equivalencia en Kg],"ELVIS",0)</f>
        <v>4.6636571521907877</v>
      </c>
      <c r="M961" s="2">
        <v>9504.44</v>
      </c>
      <c r="N961" s="2">
        <f>(Tabla2[[#This Row],[Productividad (kg/TAS)]]*Tabla2[[#This Row],[Precio por kg]]-Tabla2[[#This Row],[Costos (En RD$/Tarea)]])</f>
        <v>-3291.5317484993438</v>
      </c>
      <c r="O961" s="6">
        <f>IF(Tabla2[[#This Row],[Costos (En RD$/Tarea)]]=0,0,Tabla2[[#This Row],[Beneficio Neto  (En RD$/Tarea)]]/Tabla2[[#This Row],[Costos (En RD$/Tarea)]])</f>
        <v>-0.34631516938392409</v>
      </c>
      <c r="P961" s="4">
        <f>Tabla2[[#This Row],[Rentabilidad (%)]]/12</f>
        <v>-2.8859597448660342E-2</v>
      </c>
    </row>
    <row r="962" spans="1:16" x14ac:dyDescent="0.35">
      <c r="A962" s="1">
        <v>38961</v>
      </c>
      <c r="B962" t="s">
        <v>16</v>
      </c>
      <c r="C962" s="2">
        <v>324990</v>
      </c>
      <c r="D962" s="5" t="s">
        <v>17</v>
      </c>
      <c r="E962" s="2">
        <f>IF(Tabla2[[#This Row],[Frecuencia]]="Annual", Tabla2[[#This Row],[Cosecha/Tarea]]/12,Tabla2[[#This Row],[Cosecha/Tarea]])</f>
        <v>324990</v>
      </c>
      <c r="F962" s="2">
        <v>1145590</v>
      </c>
      <c r="G962" t="s">
        <v>18</v>
      </c>
      <c r="H962">
        <f>F962/Tabla2[[#This Row],[Cosecha Mensual]]</f>
        <v>3.5250007692544387</v>
      </c>
      <c r="I962">
        <f>H962*_xlfn.XLOOKUP(Tabla2[[#This Row],[Unidad de producción]],Tabla3[Medida],Tabla3[Equivalencia en Kg],"ELVIS",0)</f>
        <v>159.89403489338133</v>
      </c>
      <c r="J962">
        <v>1051.75</v>
      </c>
      <c r="K962" t="s">
        <v>19</v>
      </c>
      <c r="L962">
        <f>J962/_xlfn.XLOOKUP(Tabla2[[#This Row],[Unidad de precio]],Tabla3[Medida],Tabla3[Equivalencia en Kg],"ELVIS",0)</f>
        <v>9.5613636363636356</v>
      </c>
      <c r="M962">
        <v>4756.7749999999996</v>
      </c>
      <c r="N962" s="2">
        <f>(Tabla2[[#This Row],[Productividad (kg/TAS)]]*Tabla2[[#This Row],[Precio por kg]]-Tabla2[[#This Row],[Costos (En RD$/Tarea)]])</f>
        <v>-3227.969989098965</v>
      </c>
      <c r="O962" s="6">
        <f>IF(Tabla2[[#This Row],[Costos (En RD$/Tarea)]]=0,0,Tabla2[[#This Row],[Beneficio Neto  (En RD$/Tarea)]]/Tabla2[[#This Row],[Costos (En RD$/Tarea)]])</f>
        <v>-0.67860472465041233</v>
      </c>
      <c r="P962" s="4">
        <f>Tabla2[[#This Row],[Rentabilidad (%)]]/12</f>
        <v>-5.6550393720867696E-2</v>
      </c>
    </row>
    <row r="963" spans="1:16" x14ac:dyDescent="0.35">
      <c r="A963" s="1">
        <v>38961</v>
      </c>
      <c r="B963" t="s">
        <v>20</v>
      </c>
      <c r="C963" s="2">
        <v>60534</v>
      </c>
      <c r="D963" s="5" t="s">
        <v>17</v>
      </c>
      <c r="E963" s="2">
        <f>IF(Tabla2[[#This Row],[Frecuencia]]="Annual", Tabla2[[#This Row],[Cosecha/Tarea]]/12,Tabla2[[#This Row],[Cosecha/Tarea]])</f>
        <v>60534</v>
      </c>
      <c r="F963" s="2">
        <v>111773</v>
      </c>
      <c r="G963" t="s">
        <v>18</v>
      </c>
      <c r="H963">
        <f>F963/Tabla2[[#This Row],[Cosecha Mensual]]</f>
        <v>1.8464499289655401</v>
      </c>
      <c r="I963">
        <f>H963*_xlfn.XLOOKUP(Tabla2[[#This Row],[Unidad de producción]],Tabla3[Medida],Tabla3[Equivalencia en Kg],"ELVIS",0)</f>
        <v>83.754968777876897</v>
      </c>
      <c r="J963">
        <v>421.75</v>
      </c>
      <c r="K963" t="s">
        <v>18</v>
      </c>
      <c r="L963">
        <f>J963/_xlfn.XLOOKUP(Tabla2[[#This Row],[Unidad de precio]],Tabla3[Medida],Tabla3[Equivalencia en Kg],"ELVIS",0)</f>
        <v>9.2978395061728403</v>
      </c>
      <c r="M963">
        <v>1341.48</v>
      </c>
      <c r="N963" s="2">
        <f>(Tabla2[[#This Row],[Productividad (kg/TAS)]]*Tabla2[[#This Row],[Precio por kg]]-Tabla2[[#This Row],[Costos (En RD$/Tarea)]])</f>
        <v>-562.73974245878344</v>
      </c>
      <c r="O963" s="6">
        <f>IF(Tabla2[[#This Row],[Costos (En RD$/Tarea)]]=0,0,Tabla2[[#This Row],[Beneficio Neto  (En RD$/Tarea)]]/Tabla2[[#This Row],[Costos (En RD$/Tarea)]])</f>
        <v>-0.41949171248082973</v>
      </c>
      <c r="P963" s="4">
        <f>Tabla2[[#This Row],[Rentabilidad (%)]]/12</f>
        <v>-3.4957642706735813E-2</v>
      </c>
    </row>
    <row r="964" spans="1:16" x14ac:dyDescent="0.35">
      <c r="A964" s="1">
        <v>38961</v>
      </c>
      <c r="B964" t="s">
        <v>21</v>
      </c>
      <c r="C964" s="2">
        <v>5162</v>
      </c>
      <c r="D964" s="5" t="s">
        <v>17</v>
      </c>
      <c r="E964" s="2">
        <f>IF(Tabla2[[#This Row],[Frecuencia]]="Annual", Tabla2[[#This Row],[Cosecha/Tarea]]/12,Tabla2[[#This Row],[Cosecha/Tarea]])</f>
        <v>5162</v>
      </c>
      <c r="F964" s="2">
        <v>57975</v>
      </c>
      <c r="G964" t="s">
        <v>18</v>
      </c>
      <c r="H964">
        <f>F964/Tabla2[[#This Row],[Cosecha Mensual]]</f>
        <v>11.231111972103836</v>
      </c>
      <c r="I964">
        <f>H964*_xlfn.XLOOKUP(Tabla2[[#This Row],[Unidad de producción]],Tabla3[Medida],Tabla3[Equivalencia en Kg],"ELVIS",0)</f>
        <v>509.44323905463</v>
      </c>
      <c r="J964">
        <v>442.834</v>
      </c>
      <c r="K964" t="s">
        <v>18</v>
      </c>
      <c r="L964">
        <f>J964/_xlfn.XLOOKUP(Tabla2[[#This Row],[Unidad de precio]],Tabla3[Medida],Tabla3[Equivalencia en Kg],"ELVIS",0)</f>
        <v>9.7626543209876537</v>
      </c>
      <c r="M964">
        <v>2058.7550000000001</v>
      </c>
      <c r="N964" s="2">
        <f>(Tabla2[[#This Row],[Productividad (kg/TAS)]]*Tabla2[[#This Row],[Precio por kg]]-Tabla2[[#This Row],[Costos (En RD$/Tarea)]])</f>
        <v>2914.7632390546296</v>
      </c>
      <c r="O964" s="6">
        <f>IF(Tabla2[[#This Row],[Costos (En RD$/Tarea)]]=0,0,Tabla2[[#This Row],[Beneficio Neto  (En RD$/Tarea)]]/Tabla2[[#This Row],[Costos (En RD$/Tarea)]])</f>
        <v>1.4157892702408152</v>
      </c>
      <c r="P964" s="4">
        <f>Tabla2[[#This Row],[Rentabilidad (%)]]/12</f>
        <v>0.11798243918673461</v>
      </c>
    </row>
    <row r="965" spans="1:16" x14ac:dyDescent="0.35">
      <c r="A965" s="1">
        <v>38961</v>
      </c>
      <c r="B965" t="s">
        <v>22</v>
      </c>
      <c r="C965" s="2">
        <v>2611</v>
      </c>
      <c r="D965" s="5" t="s">
        <v>17</v>
      </c>
      <c r="E965" s="2">
        <f>IF(Tabla2[[#This Row],[Frecuencia]]="Annual", Tabla2[[#This Row],[Cosecha/Tarea]]/12,Tabla2[[#This Row],[Cosecha/Tarea]])</f>
        <v>2611</v>
      </c>
      <c r="F965" s="2">
        <v>22489</v>
      </c>
      <c r="G965" t="s">
        <v>18</v>
      </c>
      <c r="H965">
        <f>F965/Tabla2[[#This Row],[Cosecha Mensual]]</f>
        <v>8.6131750287246263</v>
      </c>
      <c r="I965">
        <f>H965*_xlfn.XLOOKUP(Tabla2[[#This Row],[Unidad de producción]],Tabla3[Medida],Tabla3[Equivalencia en Kg],"ELVIS",0)</f>
        <v>390.69361930294906</v>
      </c>
      <c r="J965">
        <v>790</v>
      </c>
      <c r="K965" t="s">
        <v>18</v>
      </c>
      <c r="L965">
        <f>J965/_xlfn.XLOOKUP(Tabla2[[#This Row],[Unidad de precio]],Tabla3[Medida],Tabla3[Equivalencia en Kg],"ELVIS",0)</f>
        <v>17.416225749559082</v>
      </c>
      <c r="M965">
        <v>5691.88</v>
      </c>
      <c r="N965" s="2">
        <f>(Tabla2[[#This Row],[Productividad (kg/TAS)]]*Tabla2[[#This Row],[Precio por kg]]-Tabla2[[#This Row],[Costos (En RD$/Tarea)]])</f>
        <v>1112.5282726924543</v>
      </c>
      <c r="O965" s="6">
        <f>IF(Tabla2[[#This Row],[Costos (En RD$/Tarea)]]=0,0,Tabla2[[#This Row],[Beneficio Neto  (En RD$/Tarea)]]/Tabla2[[#This Row],[Costos (En RD$/Tarea)]])</f>
        <v>0.19545884184003426</v>
      </c>
      <c r="P965" s="4">
        <f>Tabla2[[#This Row],[Rentabilidad (%)]]/12</f>
        <v>1.6288236820002855E-2</v>
      </c>
    </row>
    <row r="966" spans="1:16" x14ac:dyDescent="0.35">
      <c r="A966" s="1">
        <v>38961</v>
      </c>
      <c r="B966" t="s">
        <v>23</v>
      </c>
      <c r="C966" s="2">
        <v>1468</v>
      </c>
      <c r="D966" s="5" t="s">
        <v>17</v>
      </c>
      <c r="E966" s="2">
        <f>IF(Tabla2[[#This Row],[Frecuencia]]="Annual", Tabla2[[#This Row],[Cosecha/Tarea]]/12,Tabla2[[#This Row],[Cosecha/Tarea]])</f>
        <v>1468</v>
      </c>
      <c r="F966" s="2">
        <v>51685</v>
      </c>
      <c r="G966" t="s">
        <v>18</v>
      </c>
      <c r="H966">
        <f>F966/Tabla2[[#This Row],[Cosecha Mensual]]</f>
        <v>35.207765667574932</v>
      </c>
      <c r="I966">
        <f>H966*_xlfn.XLOOKUP(Tabla2[[#This Row],[Unidad de producción]],Tabla3[Medida],Tabla3[Equivalencia en Kg],"ELVIS",0)</f>
        <v>1597.024250681199</v>
      </c>
      <c r="J966">
        <v>583.83000000000004</v>
      </c>
      <c r="K966" t="s">
        <v>18</v>
      </c>
      <c r="L966">
        <f>J966/_xlfn.XLOOKUP(Tabla2[[#This Row],[Unidad de precio]],Tabla3[Medida],Tabla3[Equivalencia en Kg],"ELVIS",0)</f>
        <v>12.871031746031747</v>
      </c>
      <c r="M966">
        <v>10412.049999999999</v>
      </c>
      <c r="N966" s="2">
        <f>(Tabla2[[#This Row],[Productividad (kg/TAS)]]*Tabla2[[#This Row],[Precio por kg]]-Tabla2[[#This Row],[Costos (En RD$/Tarea)]])</f>
        <v>10143.299829700274</v>
      </c>
      <c r="O966" s="6">
        <f>IF(Tabla2[[#This Row],[Costos (En RD$/Tarea)]]=0,0,Tabla2[[#This Row],[Beneficio Neto  (En RD$/Tarea)]]/Tabla2[[#This Row],[Costos (En RD$/Tarea)]])</f>
        <v>0.9741885440139334</v>
      </c>
      <c r="P966" s="4">
        <f>Tabla2[[#This Row],[Rentabilidad (%)]]/12</f>
        <v>8.1182378667827779E-2</v>
      </c>
    </row>
    <row r="967" spans="1:16" x14ac:dyDescent="0.35">
      <c r="A967" s="1">
        <v>38961</v>
      </c>
      <c r="B967" t="s">
        <v>24</v>
      </c>
      <c r="C967" s="2">
        <v>4576</v>
      </c>
      <c r="D967" s="5" t="s">
        <v>17</v>
      </c>
      <c r="E967" s="2">
        <f>IF(Tabla2[[#This Row],[Frecuencia]]="Annual", Tabla2[[#This Row],[Cosecha/Tarea]]/12,Tabla2[[#This Row],[Cosecha/Tarea]])</f>
        <v>4576</v>
      </c>
      <c r="F967" s="2">
        <v>39215</v>
      </c>
      <c r="G967" t="s">
        <v>18</v>
      </c>
      <c r="H967">
        <f>F967/Tabla2[[#This Row],[Cosecha Mensual]]</f>
        <v>8.5697115384615383</v>
      </c>
      <c r="I967">
        <f>H967*_xlfn.XLOOKUP(Tabla2[[#This Row],[Unidad de producción]],Tabla3[Medida],Tabla3[Equivalencia en Kg],"ELVIS",0)</f>
        <v>388.72211538461539</v>
      </c>
      <c r="J967">
        <v>792.91666666666697</v>
      </c>
      <c r="K967" t="s">
        <v>18</v>
      </c>
      <c r="L967">
        <f>J967/_xlfn.XLOOKUP(Tabla2[[#This Row],[Unidad de precio]],Tabla3[Medida],Tabla3[Equivalencia en Kg],"ELVIS",0)</f>
        <v>17.480526161081723</v>
      </c>
      <c r="M967">
        <v>4593.1000000000004</v>
      </c>
      <c r="N967" s="2">
        <f>(Tabla2[[#This Row],[Productividad (kg/TAS)]]*Tabla2[[#This Row],[Precio por kg]]-Tabla2[[#This Row],[Costos (En RD$/Tarea)]])</f>
        <v>2201.9671073717973</v>
      </c>
      <c r="O967" s="6">
        <f>IF(Tabla2[[#This Row],[Costos (En RD$/Tarea)]]=0,0,Tabla2[[#This Row],[Beneficio Neto  (En RD$/Tarea)]]/Tabla2[[#This Row],[Costos (En RD$/Tarea)]])</f>
        <v>0.47940761302209772</v>
      </c>
      <c r="P967" s="4">
        <f>Tabla2[[#This Row],[Rentabilidad (%)]]/12</f>
        <v>3.9950634418508144E-2</v>
      </c>
    </row>
    <row r="968" spans="1:16" x14ac:dyDescent="0.35">
      <c r="A968" s="1">
        <v>38961</v>
      </c>
      <c r="B968" t="s">
        <v>25</v>
      </c>
      <c r="C968" s="2">
        <v>21015</v>
      </c>
      <c r="D968" s="5" t="s">
        <v>17</v>
      </c>
      <c r="E968" s="2">
        <f>IF(Tabla2[[#This Row],[Frecuencia]]="Annual", Tabla2[[#This Row],[Cosecha/Tarea]]/12,Tabla2[[#This Row],[Cosecha/Tarea]])</f>
        <v>21015</v>
      </c>
      <c r="F968" s="2">
        <v>210883</v>
      </c>
      <c r="G968" t="s">
        <v>18</v>
      </c>
      <c r="H968">
        <f>F968/Tabla2[[#This Row],[Cosecha Mensual]]</f>
        <v>10.034879847727813</v>
      </c>
      <c r="I968">
        <f>H968*_xlfn.XLOOKUP(Tabla2[[#This Row],[Unidad de producción]],Tabla3[Medida],Tabla3[Equivalencia en Kg],"ELVIS",0)</f>
        <v>455.18214989293364</v>
      </c>
      <c r="J968">
        <v>438.69</v>
      </c>
      <c r="K968" t="s">
        <v>18</v>
      </c>
      <c r="L968">
        <f>J968/_xlfn.XLOOKUP(Tabla2[[#This Row],[Unidad de precio]],Tabla3[Medida],Tabla3[Equivalencia en Kg],"ELVIS",0)</f>
        <v>9.6712962962962958</v>
      </c>
      <c r="M968">
        <v>2287.145</v>
      </c>
      <c r="N968" s="2">
        <f>(Tabla2[[#This Row],[Productividad (kg/TAS)]]*Tabla2[[#This Row],[Precio por kg]]-Tabla2[[#This Row],[Costos (En RD$/Tarea)]])</f>
        <v>2115.0564403997146</v>
      </c>
      <c r="O968" s="6">
        <f>IF(Tabla2[[#This Row],[Costos (En RD$/Tarea)]]=0,0,Tabla2[[#This Row],[Beneficio Neto  (En RD$/Tarea)]]/Tabla2[[#This Row],[Costos (En RD$/Tarea)]])</f>
        <v>0.92475835174408028</v>
      </c>
      <c r="P968" s="4">
        <f>Tabla2[[#This Row],[Rentabilidad (%)]]/12</f>
        <v>7.7063195978673352E-2</v>
      </c>
    </row>
    <row r="969" spans="1:16" x14ac:dyDescent="0.35">
      <c r="A969" s="1">
        <v>38961</v>
      </c>
      <c r="B969" t="s">
        <v>26</v>
      </c>
      <c r="C969" s="2">
        <v>11919</v>
      </c>
      <c r="D969" s="5" t="s">
        <v>17</v>
      </c>
      <c r="E969" s="2">
        <f>IF(Tabla2[[#This Row],[Frecuencia]]="Annual", Tabla2[[#This Row],[Cosecha/Tarea]]/12,Tabla2[[#This Row],[Cosecha/Tarea]])</f>
        <v>11919</v>
      </c>
      <c r="F969" s="2">
        <v>83861</v>
      </c>
      <c r="G969" t="s">
        <v>18</v>
      </c>
      <c r="H969">
        <f>F969/Tabla2[[#This Row],[Cosecha Mensual]]</f>
        <v>7.035909052772884</v>
      </c>
      <c r="I969">
        <f>H969*_xlfn.XLOOKUP(Tabla2[[#This Row],[Unidad de producción]],Tabla3[Medida],Tabla3[Equivalencia en Kg],"ELVIS",0)</f>
        <v>319.14883463377799</v>
      </c>
      <c r="J969">
        <v>374.1</v>
      </c>
      <c r="K969" t="s">
        <v>18</v>
      </c>
      <c r="L969">
        <f>J969/_xlfn.XLOOKUP(Tabla2[[#This Row],[Unidad de precio]],Tabla3[Medida],Tabla3[Equivalencia en Kg],"ELVIS",0)</f>
        <v>8.2473544973544985</v>
      </c>
      <c r="M969">
        <v>864.56</v>
      </c>
      <c r="N969" s="2">
        <f>(Tabla2[[#This Row],[Productividad (kg/TAS)]]*Tabla2[[#This Row],[Precio por kg]]-Tabla2[[#This Row],[Costos (En RD$/Tarea)]])</f>
        <v>1767.5735766423363</v>
      </c>
      <c r="O969" s="6">
        <f>IF(Tabla2[[#This Row],[Costos (En RD$/Tarea)]]=0,0,Tabla2[[#This Row],[Beneficio Neto  (En RD$/Tarea)]]/Tabla2[[#This Row],[Costos (En RD$/Tarea)]])</f>
        <v>2.0444776263559921</v>
      </c>
      <c r="P969" s="4">
        <f>Tabla2[[#This Row],[Rentabilidad (%)]]/12</f>
        <v>0.17037313552966601</v>
      </c>
    </row>
    <row r="970" spans="1:16" x14ac:dyDescent="0.35">
      <c r="A970" s="1">
        <v>38961</v>
      </c>
      <c r="B970" t="s">
        <v>27</v>
      </c>
      <c r="C970" s="2">
        <v>4261</v>
      </c>
      <c r="D970" s="5" t="s">
        <v>17</v>
      </c>
      <c r="E970" s="2">
        <f>IF(Tabla2[[#This Row],[Frecuencia]]="Annual", Tabla2[[#This Row],[Cosecha/Tarea]]/12,Tabla2[[#This Row],[Cosecha/Tarea]])</f>
        <v>4261</v>
      </c>
      <c r="F970" s="2">
        <v>41697</v>
      </c>
      <c r="G970" t="s">
        <v>18</v>
      </c>
      <c r="H970">
        <f>F970/Tabla2[[#This Row],[Cosecha Mensual]]</f>
        <v>9.7857310490495184</v>
      </c>
      <c r="I970">
        <f>H970*_xlfn.XLOOKUP(Tabla2[[#This Row],[Unidad de producción]],Tabla3[Medida],Tabla3[Equivalencia en Kg],"ELVIS",0)</f>
        <v>443.88076038488617</v>
      </c>
      <c r="J970">
        <v>215.09629166666701</v>
      </c>
      <c r="K970" t="s">
        <v>18</v>
      </c>
      <c r="L970">
        <f>J970/_xlfn.XLOOKUP(Tabla2[[#This Row],[Unidad de precio]],Tabla3[Medida],Tabla3[Equivalencia en Kg],"ELVIS",0)</f>
        <v>4.7419817386831351</v>
      </c>
      <c r="M970">
        <v>4742.13</v>
      </c>
      <c r="N970" s="2">
        <f>(Tabla2[[#This Row],[Productividad (kg/TAS)]]*Tabla2[[#This Row],[Precio por kg]]-Tabla2[[#This Row],[Costos (En RD$/Tarea)]])</f>
        <v>-2637.2555401020854</v>
      </c>
      <c r="O970" s="6">
        <f>IF(Tabla2[[#This Row],[Costos (En RD$/Tarea)]]=0,0,Tabla2[[#This Row],[Beneficio Neto  (En RD$/Tarea)]]/Tabla2[[#This Row],[Costos (En RD$/Tarea)]])</f>
        <v>-0.5561331174181402</v>
      </c>
      <c r="P970" s="4">
        <f>Tabla2[[#This Row],[Rentabilidad (%)]]/12</f>
        <v>-4.6344426451511683E-2</v>
      </c>
    </row>
    <row r="971" spans="1:16" x14ac:dyDescent="0.35">
      <c r="A971" s="1">
        <v>38961</v>
      </c>
      <c r="B971" t="s">
        <v>28</v>
      </c>
      <c r="C971" s="2">
        <v>69227</v>
      </c>
      <c r="D971" s="5" t="s">
        <v>17</v>
      </c>
      <c r="E971" s="2">
        <f>IF(Tabla2[[#This Row],[Frecuencia]]="Annual", Tabla2[[#This Row],[Cosecha/Tarea]]/12,Tabla2[[#This Row],[Cosecha/Tarea]])</f>
        <v>69227</v>
      </c>
      <c r="F971" s="2">
        <v>149345</v>
      </c>
      <c r="G971" t="s">
        <v>29</v>
      </c>
      <c r="H971">
        <f>F971/Tabla2[[#This Row],[Cosecha Mensual]]</f>
        <v>2.1573230098083118</v>
      </c>
      <c r="I971">
        <f>H971*_xlfn.XLOOKUP(Tabla2[[#This Row],[Unidad de producción]],Tabla3[Medida],Tabla3[Equivalencia en Kg],"ELVIS",0)</f>
        <v>1213.1490213356062</v>
      </c>
      <c r="J971">
        <v>2214.1660000000002</v>
      </c>
      <c r="K971" t="s">
        <v>29</v>
      </c>
      <c r="L971">
        <f>J971/_xlfn.XLOOKUP(Tabla2[[#This Row],[Unidad de precio]],Tabla3[Medida],Tabla3[Equivalencia en Kg],"ELVIS",0)</f>
        <v>3.937415086958068</v>
      </c>
      <c r="M971">
        <v>8196.8700000000008</v>
      </c>
      <c r="N971" s="2">
        <f>(Tabla2[[#This Row],[Productividad (kg/TAS)]]*Tabla2[[#This Row],[Precio por kg]]-Tabla2[[#This Row],[Costos (En RD$/Tarea)]])</f>
        <v>-3420.1987406647695</v>
      </c>
      <c r="O971" s="6">
        <f>IF(Tabla2[[#This Row],[Costos (En RD$/Tarea)]]=0,0,Tabla2[[#This Row],[Beneficio Neto  (En RD$/Tarea)]]/Tabla2[[#This Row],[Costos (En RD$/Tarea)]])</f>
        <v>-0.41725667732497518</v>
      </c>
      <c r="P971" s="4">
        <f>Tabla2[[#This Row],[Rentabilidad (%)]]/12</f>
        <v>-3.4771389777081267E-2</v>
      </c>
    </row>
    <row r="972" spans="1:16" x14ac:dyDescent="0.35">
      <c r="A972" s="1">
        <v>38961</v>
      </c>
      <c r="B972" t="s">
        <v>30</v>
      </c>
      <c r="C972" s="2">
        <v>309846</v>
      </c>
      <c r="D972" s="2" t="s">
        <v>31</v>
      </c>
      <c r="E972" s="2">
        <f>IF(Tabla2[[#This Row],[Frecuencia]]="Annual", Tabla2[[#This Row],[Cosecha/Tarea]]/12,Tabla2[[#This Row],[Cosecha/Tarea]])</f>
        <v>25820.5</v>
      </c>
      <c r="F972" s="2">
        <v>1942933</v>
      </c>
      <c r="G972" t="s">
        <v>32</v>
      </c>
      <c r="H972">
        <f>F972/Tabla2[[#This Row],[Cosecha Mensual]]</f>
        <v>75.247690788327105</v>
      </c>
      <c r="I972">
        <f>H972*_xlfn.XLOOKUP(Tabla2[[#This Row],[Unidad de producción]],Tabla3[Medida],Tabla3[Equivalencia en Kg],"ELVIS",0)</f>
        <v>2047.4896663503805</v>
      </c>
      <c r="J972">
        <v>51.371666666666698</v>
      </c>
      <c r="K972" t="s">
        <v>32</v>
      </c>
      <c r="L972">
        <f>J972/_xlfn.XLOOKUP(Tabla2[[#This Row],[Unidad de precio]],Tabla3[Medida],Tabla3[Equivalencia en Kg],"ELVIS",0)</f>
        <v>1.8879701090285446</v>
      </c>
      <c r="M972" s="2">
        <v>7154.19</v>
      </c>
      <c r="N972" s="2">
        <f>(Tabla2[[#This Row],[Productividad (kg/TAS)]]*Tabla2[[#This Row],[Precio por kg]]-Tabla2[[#This Row],[Costos (En RD$/Tarea)]])</f>
        <v>-3288.5907113856533</v>
      </c>
      <c r="O972" s="6">
        <f>IF(Tabla2[[#This Row],[Costos (En RD$/Tarea)]]=0,0,Tabla2[[#This Row],[Beneficio Neto  (En RD$/Tarea)]]/Tabla2[[#This Row],[Costos (En RD$/Tarea)]])</f>
        <v>-0.45967338180641742</v>
      </c>
      <c r="P972" s="4">
        <f>Tabla2[[#This Row],[Rentabilidad (%)]]/12</f>
        <v>-3.8306115150534788E-2</v>
      </c>
    </row>
    <row r="973" spans="1:16" x14ac:dyDescent="0.35">
      <c r="A973" s="1">
        <v>38961</v>
      </c>
      <c r="B973" t="s">
        <v>33</v>
      </c>
      <c r="C973" s="2">
        <v>806973</v>
      </c>
      <c r="D973" s="2" t="s">
        <v>31</v>
      </c>
      <c r="E973" s="2">
        <f>IF(Tabla2[[#This Row],[Frecuencia]]="Annual", Tabla2[[#This Row],[Cosecha/Tarea]]/12,Tabla2[[#This Row],[Cosecha/Tarea]])</f>
        <v>67247.75</v>
      </c>
      <c r="F973" s="2">
        <v>190688</v>
      </c>
      <c r="G973" t="s">
        <v>34</v>
      </c>
      <c r="H973">
        <f>F973/Tabla2[[#This Row],[Cosecha Mensual]]</f>
        <v>2.835604165195118</v>
      </c>
      <c r="I973">
        <f>H973*_xlfn.XLOOKUP(Tabla2[[#This Row],[Unidad de producción]],Tabla3[Medida],Tabla3[Equivalencia en Kg],"ELVIS",0)</f>
        <v>1157.3518400243875</v>
      </c>
      <c r="J973">
        <v>1676.45285714286</v>
      </c>
      <c r="K973" t="s">
        <v>34</v>
      </c>
      <c r="L973">
        <f>J973/_xlfn.XLOOKUP(Tabla2[[#This Row],[Unidad de precio]],Tabla3[Medida],Tabla3[Equivalencia en Kg],"ELVIS",0)</f>
        <v>4.1074429918972442</v>
      </c>
      <c r="M973" s="2">
        <v>9504.44</v>
      </c>
      <c r="N973" s="2">
        <f>(Tabla2[[#This Row],[Productividad (kg/TAS)]]*Tabla2[[#This Row],[Precio por kg]]-Tabla2[[#This Row],[Costos (En RD$/Tarea)]])</f>
        <v>-4750.6832955324498</v>
      </c>
      <c r="O973" s="6">
        <f>IF(Tabla2[[#This Row],[Costos (En RD$/Tarea)]]=0,0,Tabla2[[#This Row],[Beneficio Neto  (En RD$/Tarea)]]/Tabla2[[#This Row],[Costos (En RD$/Tarea)]])</f>
        <v>-0.49983831720042943</v>
      </c>
      <c r="P973" s="4">
        <f>Tabla2[[#This Row],[Rentabilidad (%)]]/12</f>
        <v>-4.1653193100035783E-2</v>
      </c>
    </row>
    <row r="974" spans="1:16" x14ac:dyDescent="0.35">
      <c r="A974" s="1">
        <v>38991</v>
      </c>
      <c r="B974" t="s">
        <v>16</v>
      </c>
      <c r="C974" s="2">
        <v>456729</v>
      </c>
      <c r="D974" s="5" t="s">
        <v>17</v>
      </c>
      <c r="E974" s="2">
        <f>IF(Tabla2[[#This Row],[Frecuencia]]="Annual", Tabla2[[#This Row],[Cosecha/Tarea]]/12,Tabla2[[#This Row],[Cosecha/Tarea]])</f>
        <v>456729</v>
      </c>
      <c r="F974" s="2">
        <v>1752612</v>
      </c>
      <c r="G974" t="s">
        <v>18</v>
      </c>
      <c r="H974">
        <f>F974/Tabla2[[#This Row],[Cosecha Mensual]]</f>
        <v>3.8373127171692625</v>
      </c>
      <c r="I974">
        <f>H974*_xlfn.XLOOKUP(Tabla2[[#This Row],[Unidad de producción]],Tabla3[Medida],Tabla3[Equivalencia en Kg],"ELVIS",0)</f>
        <v>174.06050485079774</v>
      </c>
      <c r="J974">
        <v>1123.9936</v>
      </c>
      <c r="K974" t="s">
        <v>19</v>
      </c>
      <c r="L974">
        <f>J974/_xlfn.XLOOKUP(Tabla2[[#This Row],[Unidad de precio]],Tabla3[Medida],Tabla3[Equivalencia en Kg],"ELVIS",0)</f>
        <v>10.218123636363636</v>
      </c>
      <c r="M974">
        <v>4756.7749999999996</v>
      </c>
      <c r="N974" s="2">
        <f>(Tabla2[[#This Row],[Productividad (kg/TAS)]]*Tabla2[[#This Row],[Precio por kg]]-Tabla2[[#This Row],[Costos (En RD$/Tarea)]])</f>
        <v>-2978.2032412266763</v>
      </c>
      <c r="O974" s="6">
        <f>IF(Tabla2[[#This Row],[Costos (En RD$/Tarea)]]=0,0,Tabla2[[#This Row],[Beneficio Neto  (En RD$/Tarea)]]/Tabla2[[#This Row],[Costos (En RD$/Tarea)]])</f>
        <v>-0.62609714380576686</v>
      </c>
      <c r="P974" s="4">
        <f>Tabla2[[#This Row],[Rentabilidad (%)]]/12</f>
        <v>-5.2174761983813905E-2</v>
      </c>
    </row>
    <row r="975" spans="1:16" x14ac:dyDescent="0.35">
      <c r="A975" s="1">
        <v>38991</v>
      </c>
      <c r="B975" t="s">
        <v>20</v>
      </c>
      <c r="C975" s="2">
        <v>39737</v>
      </c>
      <c r="D975" s="5" t="s">
        <v>17</v>
      </c>
      <c r="E975" s="2">
        <f>IF(Tabla2[[#This Row],[Frecuencia]]="Annual", Tabla2[[#This Row],[Cosecha/Tarea]]/12,Tabla2[[#This Row],[Cosecha/Tarea]])</f>
        <v>39737</v>
      </c>
      <c r="F975" s="2">
        <v>77486</v>
      </c>
      <c r="G975" t="s">
        <v>18</v>
      </c>
      <c r="H975">
        <f>F975/Tabla2[[#This Row],[Cosecha Mensual]]</f>
        <v>1.9499710597176434</v>
      </c>
      <c r="I975">
        <f>H975*_xlfn.XLOOKUP(Tabla2[[#This Row],[Unidad de producción]],Tabla3[Medida],Tabla3[Equivalencia en Kg],"ELVIS",0)</f>
        <v>88.450687268792308</v>
      </c>
      <c r="J975">
        <v>386.75560000000002</v>
      </c>
      <c r="K975" t="s">
        <v>18</v>
      </c>
      <c r="L975">
        <f>J975/_xlfn.XLOOKUP(Tabla2[[#This Row],[Unidad de precio]],Tabla3[Medida],Tabla3[Equivalencia en Kg],"ELVIS",0)</f>
        <v>8.5263580246913584</v>
      </c>
      <c r="M975">
        <v>1341.48</v>
      </c>
      <c r="N975" s="2">
        <f>(Tabla2[[#This Row],[Productividad (kg/TAS)]]*Tabla2[[#This Row],[Precio por kg]]-Tabla2[[#This Row],[Costos (En RD$/Tarea)]])</f>
        <v>-587.31777281626694</v>
      </c>
      <c r="O975" s="6">
        <f>IF(Tabla2[[#This Row],[Costos (En RD$/Tarea)]]=0,0,Tabla2[[#This Row],[Beneficio Neto  (En RD$/Tarea)]]/Tabla2[[#This Row],[Costos (En RD$/Tarea)]])</f>
        <v>-0.43781329040780848</v>
      </c>
      <c r="P975" s="4">
        <f>Tabla2[[#This Row],[Rentabilidad (%)]]/12</f>
        <v>-3.6484440867317371E-2</v>
      </c>
    </row>
    <row r="976" spans="1:16" x14ac:dyDescent="0.35">
      <c r="A976" s="1">
        <v>38991</v>
      </c>
      <c r="B976" t="s">
        <v>21</v>
      </c>
      <c r="C976" s="2">
        <v>4216</v>
      </c>
      <c r="D976" s="5" t="s">
        <v>17</v>
      </c>
      <c r="E976" s="2">
        <f>IF(Tabla2[[#This Row],[Frecuencia]]="Annual", Tabla2[[#This Row],[Cosecha/Tarea]]/12,Tabla2[[#This Row],[Cosecha/Tarea]])</f>
        <v>4216</v>
      </c>
      <c r="F976" s="2">
        <v>38339</v>
      </c>
      <c r="G976" t="s">
        <v>18</v>
      </c>
      <c r="H976">
        <f>F976/Tabla2[[#This Row],[Cosecha Mensual]]</f>
        <v>9.0936907020872866</v>
      </c>
      <c r="I976">
        <f>H976*_xlfn.XLOOKUP(Tabla2[[#This Row],[Unidad de producción]],Tabla3[Medida],Tabla3[Equivalencia en Kg],"ELVIS",0)</f>
        <v>412.48981024667933</v>
      </c>
      <c r="J976">
        <v>362.56333333333299</v>
      </c>
      <c r="K976" t="s">
        <v>18</v>
      </c>
      <c r="L976">
        <f>J976/_xlfn.XLOOKUP(Tabla2[[#This Row],[Unidad de precio]],Tabla3[Medida],Tabla3[Equivalencia en Kg],"ELVIS",0)</f>
        <v>7.9930188124632497</v>
      </c>
      <c r="M976">
        <v>2058.7550000000001</v>
      </c>
      <c r="N976" s="2">
        <f>(Tabla2[[#This Row],[Productividad (kg/TAS)]]*Tabla2[[#This Row],[Precio por kg]]-Tabla2[[#This Row],[Costos (En RD$/Tarea)]])</f>
        <v>1238.2838132511038</v>
      </c>
      <c r="O976" s="6">
        <f>IF(Tabla2[[#This Row],[Costos (En RD$/Tarea)]]=0,0,Tabla2[[#This Row],[Beneficio Neto  (En RD$/Tarea)]]/Tabla2[[#This Row],[Costos (En RD$/Tarea)]])</f>
        <v>0.60147215829523359</v>
      </c>
      <c r="P976" s="4">
        <f>Tabla2[[#This Row],[Rentabilidad (%)]]/12</f>
        <v>5.0122679857936135E-2</v>
      </c>
    </row>
    <row r="977" spans="1:16" x14ac:dyDescent="0.35">
      <c r="A977" s="1">
        <v>38991</v>
      </c>
      <c r="B977" t="s">
        <v>22</v>
      </c>
      <c r="C977" s="2">
        <v>2079</v>
      </c>
      <c r="D977" s="5" t="s">
        <v>17</v>
      </c>
      <c r="E977" s="2">
        <f>IF(Tabla2[[#This Row],[Frecuencia]]="Annual", Tabla2[[#This Row],[Cosecha/Tarea]]/12,Tabla2[[#This Row],[Cosecha/Tarea]])</f>
        <v>2079</v>
      </c>
      <c r="F977" s="2">
        <v>16046</v>
      </c>
      <c r="G977" t="s">
        <v>18</v>
      </c>
      <c r="H977">
        <f>F977/Tabla2[[#This Row],[Cosecha Mensual]]</f>
        <v>7.7181337181337177</v>
      </c>
      <c r="I977">
        <f>H977*_xlfn.XLOOKUP(Tabla2[[#This Row],[Unidad de producción]],Tabla3[Medida],Tabla3[Equivalencia en Kg],"ELVIS",0)</f>
        <v>350.09454545454543</v>
      </c>
      <c r="J977">
        <v>633</v>
      </c>
      <c r="K977" t="s">
        <v>18</v>
      </c>
      <c r="L977">
        <f>J977/_xlfn.XLOOKUP(Tabla2[[#This Row],[Unidad de precio]],Tabla3[Medida],Tabla3[Equivalencia en Kg],"ELVIS",0)</f>
        <v>13.955026455026456</v>
      </c>
      <c r="M977">
        <v>5691.88</v>
      </c>
      <c r="N977" s="2">
        <f>(Tabla2[[#This Row],[Productividad (kg/TAS)]]*Tabla2[[#This Row],[Precio por kg]]-Tabla2[[#This Row],[Costos (En RD$/Tarea)]])</f>
        <v>-806.30135642135701</v>
      </c>
      <c r="O977" s="6">
        <f>IF(Tabla2[[#This Row],[Costos (En RD$/Tarea)]]=0,0,Tabla2[[#This Row],[Beneficio Neto  (En RD$/Tarea)]]/Tabla2[[#This Row],[Costos (En RD$/Tarea)]])</f>
        <v>-0.14165817909396491</v>
      </c>
      <c r="P977" s="4">
        <f>Tabla2[[#This Row],[Rentabilidad (%)]]/12</f>
        <v>-1.180484825783041E-2</v>
      </c>
    </row>
    <row r="978" spans="1:16" x14ac:dyDescent="0.35">
      <c r="A978" s="1">
        <v>38991</v>
      </c>
      <c r="B978" t="s">
        <v>23</v>
      </c>
      <c r="C978" s="2">
        <v>1183</v>
      </c>
      <c r="D978" s="5" t="s">
        <v>17</v>
      </c>
      <c r="E978" s="2">
        <f>IF(Tabla2[[#This Row],[Frecuencia]]="Annual", Tabla2[[#This Row],[Cosecha/Tarea]]/12,Tabla2[[#This Row],[Cosecha/Tarea]])</f>
        <v>1183</v>
      </c>
      <c r="F978" s="2">
        <v>35235</v>
      </c>
      <c r="G978" t="s">
        <v>18</v>
      </c>
      <c r="H978">
        <f>F978/Tabla2[[#This Row],[Cosecha Mensual]]</f>
        <v>29.784446322907861</v>
      </c>
      <c r="I978">
        <f>H978*_xlfn.XLOOKUP(Tabla2[[#This Row],[Unidad de producción]],Tabla3[Medida],Tabla3[Equivalencia en Kg],"ELVIS",0)</f>
        <v>1351.0224852071005</v>
      </c>
      <c r="J978">
        <v>480.25</v>
      </c>
      <c r="K978" t="s">
        <v>18</v>
      </c>
      <c r="L978">
        <f>J978/_xlfn.XLOOKUP(Tabla2[[#This Row],[Unidad de precio]],Tabla3[Medida],Tabla3[Equivalencia en Kg],"ELVIS",0)</f>
        <v>10.58752204585538</v>
      </c>
      <c r="M978">
        <v>10412.049999999999</v>
      </c>
      <c r="N978" s="2">
        <f>(Tabla2[[#This Row],[Productividad (kg/TAS)]]*Tabla2[[#This Row],[Precio por kg]]-Tabla2[[#This Row],[Costos (En RD$/Tarea)]])</f>
        <v>3891.9303465765006</v>
      </c>
      <c r="O978" s="6">
        <f>IF(Tabla2[[#This Row],[Costos (En RD$/Tarea)]]=0,0,Tabla2[[#This Row],[Beneficio Neto  (En RD$/Tarea)]]/Tabla2[[#This Row],[Costos (En RD$/Tarea)]])</f>
        <v>0.37379097743254219</v>
      </c>
      <c r="P978" s="4">
        <f>Tabla2[[#This Row],[Rentabilidad (%)]]/12</f>
        <v>3.1149248119378515E-2</v>
      </c>
    </row>
    <row r="979" spans="1:16" x14ac:dyDescent="0.35">
      <c r="A979" s="1">
        <v>38991</v>
      </c>
      <c r="B979" t="s">
        <v>24</v>
      </c>
      <c r="C979" s="2">
        <v>3133</v>
      </c>
      <c r="D979" s="5" t="s">
        <v>17</v>
      </c>
      <c r="E979" s="2">
        <f>IF(Tabla2[[#This Row],[Frecuencia]]="Annual", Tabla2[[#This Row],[Cosecha/Tarea]]/12,Tabla2[[#This Row],[Cosecha/Tarea]])</f>
        <v>3133</v>
      </c>
      <c r="F979" s="2">
        <v>23653</v>
      </c>
      <c r="G979" t="s">
        <v>18</v>
      </c>
      <c r="H979">
        <f>F979/Tabla2[[#This Row],[Cosecha Mensual]]</f>
        <v>7.5496329396744333</v>
      </c>
      <c r="I979">
        <f>H979*_xlfn.XLOOKUP(Tabla2[[#This Row],[Unidad de producción]],Tabla3[Medida],Tabla3[Equivalencia en Kg],"ELVIS",0)</f>
        <v>342.45135014363228</v>
      </c>
      <c r="J979">
        <v>785.16666666666697</v>
      </c>
      <c r="K979" t="s">
        <v>18</v>
      </c>
      <c r="L979">
        <f>J979/_xlfn.XLOOKUP(Tabla2[[#This Row],[Unidad de precio]],Tabla3[Medida],Tabla3[Equivalencia en Kg],"ELVIS",0)</f>
        <v>17.309670781893011</v>
      </c>
      <c r="M979">
        <v>4593.1000000000004</v>
      </c>
      <c r="N979" s="2">
        <f>(Tabla2[[#This Row],[Productividad (kg/TAS)]]*Tabla2[[#This Row],[Precio por kg]]-Tabla2[[#This Row],[Costos (En RD$/Tarea)]])</f>
        <v>1334.6201298010446</v>
      </c>
      <c r="O979" s="6">
        <f>IF(Tabla2[[#This Row],[Costos (En RD$/Tarea)]]=0,0,Tabla2[[#This Row],[Beneficio Neto  (En RD$/Tarea)]]/Tabla2[[#This Row],[Costos (En RD$/Tarea)]])</f>
        <v>0.29057066682655386</v>
      </c>
      <c r="P979" s="4">
        <f>Tabla2[[#This Row],[Rentabilidad (%)]]/12</f>
        <v>2.4214222235546156E-2</v>
      </c>
    </row>
    <row r="980" spans="1:16" x14ac:dyDescent="0.35">
      <c r="A980" s="1">
        <v>38991</v>
      </c>
      <c r="B980" t="s">
        <v>25</v>
      </c>
      <c r="C980" s="2">
        <v>16367</v>
      </c>
      <c r="D980" s="5" t="s">
        <v>17</v>
      </c>
      <c r="E980" s="2">
        <f>IF(Tabla2[[#This Row],[Frecuencia]]="Annual", Tabla2[[#This Row],[Cosecha/Tarea]]/12,Tabla2[[#This Row],[Cosecha/Tarea]])</f>
        <v>16367</v>
      </c>
      <c r="F980" s="2">
        <v>165291</v>
      </c>
      <c r="G980" t="s">
        <v>18</v>
      </c>
      <c r="H980">
        <f>F980/Tabla2[[#This Row],[Cosecha Mensual]]</f>
        <v>10.09904075273416</v>
      </c>
      <c r="I980">
        <f>H980*_xlfn.XLOOKUP(Tabla2[[#This Row],[Unidad de producción]],Tabla3[Medida],Tabla3[Equivalencia en Kg],"ELVIS",0)</f>
        <v>458.09248854402148</v>
      </c>
      <c r="J980">
        <v>422.03500000000003</v>
      </c>
      <c r="K980" t="s">
        <v>18</v>
      </c>
      <c r="L980">
        <f>J980/_xlfn.XLOOKUP(Tabla2[[#This Row],[Unidad de precio]],Tabla3[Medida],Tabla3[Equivalencia en Kg],"ELVIS",0)</f>
        <v>9.3041225749559082</v>
      </c>
      <c r="M980">
        <v>2287.145</v>
      </c>
      <c r="N980" s="2">
        <f>(Tabla2[[#This Row],[Productividad (kg/TAS)]]*Tabla2[[#This Row],[Precio por kg]]-Tabla2[[#This Row],[Costos (En RD$/Tarea)]])</f>
        <v>1975.0036640801613</v>
      </c>
      <c r="O980" s="6">
        <f>IF(Tabla2[[#This Row],[Costos (En RD$/Tarea)]]=0,0,Tabla2[[#This Row],[Beneficio Neto  (En RD$/Tarea)]]/Tabla2[[#This Row],[Costos (En RD$/Tarea)]])</f>
        <v>0.86352359123718059</v>
      </c>
      <c r="P980" s="4">
        <f>Tabla2[[#This Row],[Rentabilidad (%)]]/12</f>
        <v>7.1960299269765049E-2</v>
      </c>
    </row>
    <row r="981" spans="1:16" x14ac:dyDescent="0.35">
      <c r="A981" s="1">
        <v>38991</v>
      </c>
      <c r="B981" t="s">
        <v>26</v>
      </c>
      <c r="C981" s="2">
        <v>11639</v>
      </c>
      <c r="D981" s="5" t="s">
        <v>17</v>
      </c>
      <c r="E981" s="2">
        <f>IF(Tabla2[[#This Row],[Frecuencia]]="Annual", Tabla2[[#This Row],[Cosecha/Tarea]]/12,Tabla2[[#This Row],[Cosecha/Tarea]])</f>
        <v>11639</v>
      </c>
      <c r="F981" s="2">
        <v>68207</v>
      </c>
      <c r="G981" t="s">
        <v>18</v>
      </c>
      <c r="H981">
        <f>F981/Tabla2[[#This Row],[Cosecha Mensual]]</f>
        <v>5.8602113583641202</v>
      </c>
      <c r="I981">
        <f>H981*_xlfn.XLOOKUP(Tabla2[[#This Row],[Unidad de producción]],Tabla3[Medida],Tabla3[Equivalencia en Kg],"ELVIS",0)</f>
        <v>265.81918721539648</v>
      </c>
      <c r="J981">
        <v>373.834</v>
      </c>
      <c r="K981" t="s">
        <v>18</v>
      </c>
      <c r="L981">
        <f>J981/_xlfn.XLOOKUP(Tabla2[[#This Row],[Unidad de precio]],Tabla3[Medida],Tabla3[Equivalencia en Kg],"ELVIS",0)</f>
        <v>8.2414902998236332</v>
      </c>
      <c r="M981">
        <v>864.56</v>
      </c>
      <c r="N981" s="2">
        <f>(Tabla2[[#This Row],[Productividad (kg/TAS)]]*Tabla2[[#This Row],[Precio por kg]]-Tabla2[[#This Row],[Costos (En RD$/Tarea)]])</f>
        <v>1326.1862529426926</v>
      </c>
      <c r="O981" s="6">
        <f>IF(Tabla2[[#This Row],[Costos (En RD$/Tarea)]]=0,0,Tabla2[[#This Row],[Beneficio Neto  (En RD$/Tarea)]]/Tabla2[[#This Row],[Costos (En RD$/Tarea)]])</f>
        <v>1.5339435700734394</v>
      </c>
      <c r="P981" s="4">
        <f>Tabla2[[#This Row],[Rentabilidad (%)]]/12</f>
        <v>0.12782863083945328</v>
      </c>
    </row>
    <row r="982" spans="1:16" x14ac:dyDescent="0.35">
      <c r="A982" s="1">
        <v>38991</v>
      </c>
      <c r="B982" t="s">
        <v>27</v>
      </c>
      <c r="C982" s="2">
        <v>3954</v>
      </c>
      <c r="D982" s="5" t="s">
        <v>17</v>
      </c>
      <c r="E982" s="2">
        <f>IF(Tabla2[[#This Row],[Frecuencia]]="Annual", Tabla2[[#This Row],[Cosecha/Tarea]]/12,Tabla2[[#This Row],[Cosecha/Tarea]])</f>
        <v>3954</v>
      </c>
      <c r="F982" s="2">
        <v>33383</v>
      </c>
      <c r="G982" t="s">
        <v>18</v>
      </c>
      <c r="H982">
        <f>F982/Tabla2[[#This Row],[Cosecha Mensual]]</f>
        <v>8.4428426909458771</v>
      </c>
      <c r="I982">
        <f>H982*_xlfn.XLOOKUP(Tabla2[[#This Row],[Unidad de producción]],Tabla3[Medida],Tabla3[Equivalencia en Kg],"ELVIS",0)</f>
        <v>382.967344461305</v>
      </c>
      <c r="J982">
        <v>264.8</v>
      </c>
      <c r="K982" t="s">
        <v>18</v>
      </c>
      <c r="L982">
        <f>J982/_xlfn.XLOOKUP(Tabla2[[#This Row],[Unidad de precio]],Tabla3[Medida],Tabla3[Equivalencia en Kg],"ELVIS",0)</f>
        <v>5.8377425044091718</v>
      </c>
      <c r="M982">
        <v>4742.13</v>
      </c>
      <c r="N982" s="2">
        <f>(Tabla2[[#This Row],[Productividad (kg/TAS)]]*Tabla2[[#This Row],[Precio por kg]]-Tabla2[[#This Row],[Costos (En RD$/Tarea)]])</f>
        <v>-2506.4652554375316</v>
      </c>
      <c r="O982" s="6">
        <f>IF(Tabla2[[#This Row],[Costos (En RD$/Tarea)]]=0,0,Tabla2[[#This Row],[Beneficio Neto  (En RD$/Tarea)]]/Tabla2[[#This Row],[Costos (En RD$/Tarea)]])</f>
        <v>-0.52855262412408166</v>
      </c>
      <c r="P982" s="4">
        <f>Tabla2[[#This Row],[Rentabilidad (%)]]/12</f>
        <v>-4.4046052010340141E-2</v>
      </c>
    </row>
    <row r="983" spans="1:16" x14ac:dyDescent="0.35">
      <c r="A983" s="1">
        <v>38991</v>
      </c>
      <c r="B983" t="s">
        <v>28</v>
      </c>
      <c r="C983" s="2">
        <v>75620</v>
      </c>
      <c r="D983" s="5" t="s">
        <v>17</v>
      </c>
      <c r="E983" s="2">
        <f>IF(Tabla2[[#This Row],[Frecuencia]]="Annual", Tabla2[[#This Row],[Cosecha/Tarea]]/12,Tabla2[[#This Row],[Cosecha/Tarea]])</f>
        <v>75620</v>
      </c>
      <c r="F983" s="2">
        <v>115518</v>
      </c>
      <c r="G983" t="s">
        <v>29</v>
      </c>
      <c r="H983">
        <f>F983/Tabla2[[#This Row],[Cosecha Mensual]]</f>
        <v>1.5276117429251521</v>
      </c>
      <c r="I983">
        <f>H983*_xlfn.XLOOKUP(Tabla2[[#This Row],[Unidad de producción]],Tabla3[Medida],Tabla3[Equivalencia en Kg],"ELVIS",0)</f>
        <v>859.03718751653014</v>
      </c>
      <c r="J983">
        <v>2416.6642857142901</v>
      </c>
      <c r="K983" t="s">
        <v>29</v>
      </c>
      <c r="L983">
        <f>J983/_xlfn.XLOOKUP(Tabla2[[#This Row],[Unidad de precio]],Tabla3[Medida],Tabla3[Equivalencia en Kg],"ELVIS",0)</f>
        <v>4.2975144676073018</v>
      </c>
      <c r="M983">
        <v>8196.8700000000008</v>
      </c>
      <c r="N983" s="2">
        <f>(Tabla2[[#This Row],[Productividad (kg/TAS)]]*Tabla2[[#This Row],[Precio por kg]]-Tabla2[[#This Row],[Costos (En RD$/Tarea)]])</f>
        <v>-4505.1452584350263</v>
      </c>
      <c r="O983" s="6">
        <f>IF(Tabla2[[#This Row],[Costos (En RD$/Tarea)]]=0,0,Tabla2[[#This Row],[Beneficio Neto  (En RD$/Tarea)]]/Tabla2[[#This Row],[Costos (En RD$/Tarea)]])</f>
        <v>-0.54961775146306158</v>
      </c>
      <c r="P983" s="4">
        <f>Tabla2[[#This Row],[Rentabilidad (%)]]/12</f>
        <v>-4.5801479288588465E-2</v>
      </c>
    </row>
    <row r="984" spans="1:16" x14ac:dyDescent="0.35">
      <c r="A984" s="1">
        <v>38991</v>
      </c>
      <c r="B984" t="s">
        <v>30</v>
      </c>
      <c r="C984" s="2">
        <v>309067</v>
      </c>
      <c r="D984" s="2" t="s">
        <v>31</v>
      </c>
      <c r="E984" s="2">
        <f>IF(Tabla2[[#This Row],[Frecuencia]]="Annual", Tabla2[[#This Row],[Cosecha/Tarea]]/12,Tabla2[[#This Row],[Cosecha/Tarea]])</f>
        <v>25755.583333333332</v>
      </c>
      <c r="F984" s="2">
        <v>1884783</v>
      </c>
      <c r="G984" t="s">
        <v>32</v>
      </c>
      <c r="H984">
        <f>F984/Tabla2[[#This Row],[Cosecha Mensual]]</f>
        <v>73.179588891728983</v>
      </c>
      <c r="I984">
        <f>H984*_xlfn.XLOOKUP(Tabla2[[#This Row],[Unidad de producción]],Tabla3[Medida],Tabla3[Equivalencia en Kg],"ELVIS",0)</f>
        <v>1991.2166137439458</v>
      </c>
      <c r="J984">
        <v>62.361428571428597</v>
      </c>
      <c r="K984" t="s">
        <v>32</v>
      </c>
      <c r="L984">
        <f>J984/_xlfn.XLOOKUP(Tabla2[[#This Row],[Unidad de precio]],Tabla3[Medida],Tabla3[Equivalencia en Kg],"ELVIS",0)</f>
        <v>2.291856985352025</v>
      </c>
      <c r="M984" s="2">
        <v>7154.19</v>
      </c>
      <c r="N984" s="2">
        <f>(Tabla2[[#This Row],[Productividad (kg/TAS)]]*Tabla2[[#This Row],[Precio por kg]]-Tabla2[[#This Row],[Costos (En RD$/Tarea)]])</f>
        <v>-2590.6062944419327</v>
      </c>
      <c r="O984" s="6">
        <f>IF(Tabla2[[#This Row],[Costos (En RD$/Tarea)]]=0,0,Tabla2[[#This Row],[Beneficio Neto  (En RD$/Tarea)]]/Tabla2[[#This Row],[Costos (En RD$/Tarea)]])</f>
        <v>-0.36211035692956617</v>
      </c>
      <c r="P984" s="4">
        <f>Tabla2[[#This Row],[Rentabilidad (%)]]/12</f>
        <v>-3.0175863077463849E-2</v>
      </c>
    </row>
    <row r="985" spans="1:16" x14ac:dyDescent="0.35">
      <c r="A985" s="1">
        <v>38991</v>
      </c>
      <c r="B985" t="s">
        <v>33</v>
      </c>
      <c r="C985" s="2">
        <v>700636</v>
      </c>
      <c r="D985" s="2" t="s">
        <v>31</v>
      </c>
      <c r="E985" s="2">
        <f>IF(Tabla2[[#This Row],[Frecuencia]]="Annual", Tabla2[[#This Row],[Cosecha/Tarea]]/12,Tabla2[[#This Row],[Cosecha/Tarea]])</f>
        <v>58386.333333333336</v>
      </c>
      <c r="F985" s="2">
        <v>155625</v>
      </c>
      <c r="G985" t="s">
        <v>34</v>
      </c>
      <c r="H985">
        <f>F985/Tabla2[[#This Row],[Cosecha Mensual]]</f>
        <v>2.6654354044039987</v>
      </c>
      <c r="I985">
        <f>H985*_xlfn.XLOOKUP(Tabla2[[#This Row],[Unidad de producción]],Tabla3[Medida],Tabla3[Equivalencia en Kg],"ELVIS",0)</f>
        <v>1087.8974603074921</v>
      </c>
      <c r="J985">
        <v>1833.2114285714299</v>
      </c>
      <c r="K985" t="s">
        <v>34</v>
      </c>
      <c r="L985">
        <f>J985/_xlfn.XLOOKUP(Tabla2[[#This Row],[Unidad de precio]],Tabla3[Medida],Tabla3[Equivalencia en Kg],"ELVIS",0)</f>
        <v>4.4915139742041648</v>
      </c>
      <c r="M985" s="2">
        <v>9504.44</v>
      </c>
      <c r="N985" s="2">
        <f>(Tabla2[[#This Row],[Productividad (kg/TAS)]]*Tabla2[[#This Row],[Precio por kg]]-Tabla2[[#This Row],[Costos (En RD$/Tarea)]])</f>
        <v>-4618.1333545276793</v>
      </c>
      <c r="O985" s="6">
        <f>IF(Tabla2[[#This Row],[Costos (En RD$/Tarea)]]=0,0,Tabla2[[#This Row],[Beneficio Neto  (En RD$/Tarea)]]/Tabla2[[#This Row],[Costos (En RD$/Tarea)]])</f>
        <v>-0.485892209801701</v>
      </c>
      <c r="P985" s="4">
        <f>Tabla2[[#This Row],[Rentabilidad (%)]]/12</f>
        <v>-4.0491017483475084E-2</v>
      </c>
    </row>
    <row r="986" spans="1:16" x14ac:dyDescent="0.35">
      <c r="A986" s="1">
        <v>39022</v>
      </c>
      <c r="B986" t="s">
        <v>16</v>
      </c>
      <c r="C986" s="2">
        <v>247432</v>
      </c>
      <c r="D986" s="5" t="s">
        <v>17</v>
      </c>
      <c r="E986" s="2">
        <f>IF(Tabla2[[#This Row],[Frecuencia]]="Annual", Tabla2[[#This Row],[Cosecha/Tarea]]/12,Tabla2[[#This Row],[Cosecha/Tarea]])</f>
        <v>247432</v>
      </c>
      <c r="F986" s="2">
        <v>886283</v>
      </c>
      <c r="G986" t="s">
        <v>18</v>
      </c>
      <c r="H986">
        <f>F986/Tabla2[[#This Row],[Cosecha Mensual]]</f>
        <v>3.5819255391380258</v>
      </c>
      <c r="I986">
        <f>H986*_xlfn.XLOOKUP(Tabla2[[#This Row],[Unidad de producción]],Tabla3[Medida],Tabla3[Equivalencia en Kg],"ELVIS",0)</f>
        <v>162.47614245530085</v>
      </c>
      <c r="J986">
        <v>1100.1328000000001</v>
      </c>
      <c r="K986" t="s">
        <v>19</v>
      </c>
      <c r="L986">
        <f>J986/_xlfn.XLOOKUP(Tabla2[[#This Row],[Unidad de precio]],Tabla3[Medida],Tabla3[Equivalencia en Kg],"ELVIS",0)</f>
        <v>10.001207272727273</v>
      </c>
      <c r="M986">
        <v>4756.7749999999996</v>
      </c>
      <c r="N986" s="2">
        <f>(Tabla2[[#This Row],[Productividad (kg/TAS)]]*Tabla2[[#This Row],[Precio por kg]]-Tabla2[[#This Row],[Costos (En RD$/Tarea)]])</f>
        <v>-3131.8174224313725</v>
      </c>
      <c r="O986" s="6">
        <f>IF(Tabla2[[#This Row],[Costos (En RD$/Tarea)]]=0,0,Tabla2[[#This Row],[Beneficio Neto  (En RD$/Tarea)]]/Tabla2[[#This Row],[Costos (En RD$/Tarea)]])</f>
        <v>-0.65839091031872909</v>
      </c>
      <c r="P986" s="4">
        <f>Tabla2[[#This Row],[Rentabilidad (%)]]/12</f>
        <v>-5.4865909193227425E-2</v>
      </c>
    </row>
    <row r="987" spans="1:16" x14ac:dyDescent="0.35">
      <c r="A987" s="1">
        <v>39022</v>
      </c>
      <c r="B987" t="s">
        <v>20</v>
      </c>
      <c r="C987" s="2">
        <v>32561</v>
      </c>
      <c r="D987" s="5" t="s">
        <v>17</v>
      </c>
      <c r="E987" s="2">
        <f>IF(Tabla2[[#This Row],[Frecuencia]]="Annual", Tabla2[[#This Row],[Cosecha/Tarea]]/12,Tabla2[[#This Row],[Cosecha/Tarea]])</f>
        <v>32561</v>
      </c>
      <c r="F987" s="2">
        <v>73114</v>
      </c>
      <c r="G987" t="s">
        <v>18</v>
      </c>
      <c r="H987">
        <f>F987/Tabla2[[#This Row],[Cosecha Mensual]]</f>
        <v>2.2454470071557999</v>
      </c>
      <c r="I987">
        <f>H987*_xlfn.XLOOKUP(Tabla2[[#This Row],[Unidad de producción]],Tabla3[Medida],Tabla3[Equivalencia en Kg],"ELVIS",0)</f>
        <v>101.85347624458709</v>
      </c>
      <c r="J987">
        <v>398.92320000000001</v>
      </c>
      <c r="K987" t="s">
        <v>18</v>
      </c>
      <c r="L987">
        <f>J987/_xlfn.XLOOKUP(Tabla2[[#This Row],[Unidad de precio]],Tabla3[Medida],Tabla3[Equivalencia en Kg],"ELVIS",0)</f>
        <v>8.794603174603175</v>
      </c>
      <c r="M987">
        <v>1341.48</v>
      </c>
      <c r="N987" s="2">
        <f>(Tabla2[[#This Row],[Productividad (kg/TAS)]]*Tabla2[[#This Row],[Precio por kg]]-Tabla2[[#This Row],[Costos (En RD$/Tarea)]])</f>
        <v>-445.71909447498535</v>
      </c>
      <c r="O987" s="6">
        <f>IF(Tabla2[[#This Row],[Costos (En RD$/Tarea)]]=0,0,Tabla2[[#This Row],[Beneficio Neto  (En RD$/Tarea)]]/Tabla2[[#This Row],[Costos (En RD$/Tarea)]])</f>
        <v>-0.33225921704012384</v>
      </c>
      <c r="P987" s="4">
        <f>Tabla2[[#This Row],[Rentabilidad (%)]]/12</f>
        <v>-2.7688268086676987E-2</v>
      </c>
    </row>
    <row r="988" spans="1:16" x14ac:dyDescent="0.35">
      <c r="A988" s="1">
        <v>39022</v>
      </c>
      <c r="B988" t="s">
        <v>21</v>
      </c>
      <c r="C988" s="2">
        <v>6143</v>
      </c>
      <c r="D988" s="5" t="s">
        <v>17</v>
      </c>
      <c r="E988" s="2">
        <f>IF(Tabla2[[#This Row],[Frecuencia]]="Annual", Tabla2[[#This Row],[Cosecha/Tarea]]/12,Tabla2[[#This Row],[Cosecha/Tarea]])</f>
        <v>6143</v>
      </c>
      <c r="F988" s="2">
        <v>59623</v>
      </c>
      <c r="G988" t="s">
        <v>18</v>
      </c>
      <c r="H988">
        <f>F988/Tabla2[[#This Row],[Cosecha Mensual]]</f>
        <v>9.7058440501383689</v>
      </c>
      <c r="I988">
        <f>H988*_xlfn.XLOOKUP(Tabla2[[#This Row],[Unidad de producción]],Tabla3[Medida],Tabla3[Equivalencia en Kg],"ELVIS",0)</f>
        <v>440.25708611427643</v>
      </c>
      <c r="J988">
        <v>214.79527999999999</v>
      </c>
      <c r="K988" t="s">
        <v>18</v>
      </c>
      <c r="L988">
        <f>J988/_xlfn.XLOOKUP(Tabla2[[#This Row],[Unidad de precio]],Tabla3[Medida],Tabla3[Equivalencia en Kg],"ELVIS",0)</f>
        <v>4.7353456790123456</v>
      </c>
      <c r="M988">
        <v>2058.7550000000001</v>
      </c>
      <c r="N988" s="2">
        <f>(Tabla2[[#This Row],[Productividad (kg/TAS)]]*Tabla2[[#This Row],[Precio por kg]]-Tabla2[[#This Row],[Costos (En RD$/Tarea)]])</f>
        <v>26.014490385804947</v>
      </c>
      <c r="O988" s="6">
        <f>IF(Tabla2[[#This Row],[Costos (En RD$/Tarea)]]=0,0,Tabla2[[#This Row],[Beneficio Neto  (En RD$/Tarea)]]/Tabla2[[#This Row],[Costos (En RD$/Tarea)]])</f>
        <v>1.2636030215253852E-2</v>
      </c>
      <c r="P988" s="4">
        <f>Tabla2[[#This Row],[Rentabilidad (%)]]/12</f>
        <v>1.053002517937821E-3</v>
      </c>
    </row>
    <row r="989" spans="1:16" x14ac:dyDescent="0.35">
      <c r="A989" s="1">
        <v>39022</v>
      </c>
      <c r="B989" t="s">
        <v>22</v>
      </c>
      <c r="C989" s="2">
        <v>3320</v>
      </c>
      <c r="D989" s="5" t="s">
        <v>17</v>
      </c>
      <c r="E989" s="2">
        <f>IF(Tabla2[[#This Row],[Frecuencia]]="Annual", Tabla2[[#This Row],[Cosecha/Tarea]]/12,Tabla2[[#This Row],[Cosecha/Tarea]])</f>
        <v>3320</v>
      </c>
      <c r="F989" s="2">
        <v>28284</v>
      </c>
      <c r="G989" t="s">
        <v>18</v>
      </c>
      <c r="H989">
        <f>F989/Tabla2[[#This Row],[Cosecha Mensual]]</f>
        <v>8.5192771084337355</v>
      </c>
      <c r="I989">
        <f>H989*_xlfn.XLOOKUP(Tabla2[[#This Row],[Unidad de producción]],Tabla3[Medida],Tabla3[Equivalencia en Kg],"ELVIS",0)</f>
        <v>386.43440963855426</v>
      </c>
      <c r="J989">
        <v>582.33333333333303</v>
      </c>
      <c r="K989" t="s">
        <v>18</v>
      </c>
      <c r="L989">
        <f>J989/_xlfn.XLOOKUP(Tabla2[[#This Row],[Unidad de precio]],Tabla3[Medida],Tabla3[Equivalencia en Kg],"ELVIS",0)</f>
        <v>12.838036449147554</v>
      </c>
      <c r="M989">
        <v>5691.88</v>
      </c>
      <c r="N989" s="2">
        <f>(Tabla2[[#This Row],[Productividad (kg/TAS)]]*Tabla2[[#This Row],[Precio por kg]]-Tabla2[[#This Row],[Costos (En RD$/Tarea)]])</f>
        <v>-730.82096385542354</v>
      </c>
      <c r="O989" s="6">
        <f>IF(Tabla2[[#This Row],[Costos (En RD$/Tarea)]]=0,0,Tabla2[[#This Row],[Beneficio Neto  (En RD$/Tarea)]]/Tabla2[[#This Row],[Costos (En RD$/Tarea)]])</f>
        <v>-0.12839711375774324</v>
      </c>
      <c r="P989" s="4">
        <f>Tabla2[[#This Row],[Rentabilidad (%)]]/12</f>
        <v>-1.0699759479811936E-2</v>
      </c>
    </row>
    <row r="990" spans="1:16" x14ac:dyDescent="0.35">
      <c r="A990" s="1">
        <v>39022</v>
      </c>
      <c r="B990" t="s">
        <v>23</v>
      </c>
      <c r="C990" s="2">
        <v>765</v>
      </c>
      <c r="D990" s="5" t="s">
        <v>17</v>
      </c>
      <c r="E990" s="2">
        <f>IF(Tabla2[[#This Row],[Frecuencia]]="Annual", Tabla2[[#This Row],[Cosecha/Tarea]]/12,Tabla2[[#This Row],[Cosecha/Tarea]])</f>
        <v>765</v>
      </c>
      <c r="F990" s="2">
        <v>25275</v>
      </c>
      <c r="G990" t="s">
        <v>18</v>
      </c>
      <c r="H990">
        <f>F990/Tabla2[[#This Row],[Cosecha Mensual]]</f>
        <v>33.03921568627451</v>
      </c>
      <c r="I990">
        <f>H990*_xlfn.XLOOKUP(Tabla2[[#This Row],[Unidad de producción]],Tabla3[Medida],Tabla3[Equivalencia en Kg],"ELVIS",0)</f>
        <v>1498.6588235294118</v>
      </c>
      <c r="J990">
        <v>538.59375</v>
      </c>
      <c r="K990" t="s">
        <v>18</v>
      </c>
      <c r="L990">
        <f>J990/_xlfn.XLOOKUP(Tabla2[[#This Row],[Unidad de precio]],Tabla3[Medida],Tabla3[Equivalencia en Kg],"ELVIS",0)</f>
        <v>11.873759920634921</v>
      </c>
      <c r="M990">
        <v>10412.049999999999</v>
      </c>
      <c r="N990" s="2">
        <f>(Tabla2[[#This Row],[Productividad (kg/TAS)]]*Tabla2[[#This Row],[Precio por kg]]-Tabla2[[#This Row],[Costos (En RD$/Tarea)]])</f>
        <v>7382.6650735294133</v>
      </c>
      <c r="O990" s="6">
        <f>IF(Tabla2[[#This Row],[Costos (En RD$/Tarea)]]=0,0,Tabla2[[#This Row],[Beneficio Neto  (En RD$/Tarea)]]/Tabla2[[#This Row],[Costos (En RD$/Tarea)]])</f>
        <v>0.70905009806228492</v>
      </c>
      <c r="P990" s="4">
        <f>Tabla2[[#This Row],[Rentabilidad (%)]]/12</f>
        <v>5.9087508171857074E-2</v>
      </c>
    </row>
    <row r="991" spans="1:16" x14ac:dyDescent="0.35">
      <c r="A991" s="1">
        <v>39022</v>
      </c>
      <c r="B991" t="s">
        <v>24</v>
      </c>
      <c r="C991" s="2">
        <v>4750</v>
      </c>
      <c r="D991" s="5" t="s">
        <v>17</v>
      </c>
      <c r="E991" s="2">
        <f>IF(Tabla2[[#This Row],[Frecuencia]]="Annual", Tabla2[[#This Row],[Cosecha/Tarea]]/12,Tabla2[[#This Row],[Cosecha/Tarea]])</f>
        <v>4750</v>
      </c>
      <c r="F991" s="2">
        <v>38035</v>
      </c>
      <c r="G991" t="s">
        <v>18</v>
      </c>
      <c r="H991">
        <f>F991/Tabla2[[#This Row],[Cosecha Mensual]]</f>
        <v>8.0073684210526324</v>
      </c>
      <c r="I991">
        <f>H991*_xlfn.XLOOKUP(Tabla2[[#This Row],[Unidad de producción]],Tabla3[Medida],Tabla3[Equivalencia en Kg],"ELVIS",0)</f>
        <v>363.21423157894742</v>
      </c>
      <c r="J991">
        <v>904.375</v>
      </c>
      <c r="K991" t="s">
        <v>18</v>
      </c>
      <c r="L991">
        <f>J991/_xlfn.XLOOKUP(Tabla2[[#This Row],[Unidad de precio]],Tabla3[Medida],Tabla3[Equivalencia en Kg],"ELVIS",0)</f>
        <v>19.937720458553791</v>
      </c>
      <c r="M991">
        <v>4593.1000000000004</v>
      </c>
      <c r="N991" s="2">
        <f>(Tabla2[[#This Row],[Productividad (kg/TAS)]]*Tabla2[[#This Row],[Precio por kg]]-Tabla2[[#This Row],[Costos (En RD$/Tarea)]])</f>
        <v>2648.5638157894737</v>
      </c>
      <c r="O991" s="6">
        <f>IF(Tabla2[[#This Row],[Costos (En RD$/Tarea)]]=0,0,Tabla2[[#This Row],[Beneficio Neto  (En RD$/Tarea)]]/Tabla2[[#This Row],[Costos (En RD$/Tarea)]])</f>
        <v>0.57663970211610316</v>
      </c>
      <c r="P991" s="4">
        <f>Tabla2[[#This Row],[Rentabilidad (%)]]/12</f>
        <v>4.8053308509675263E-2</v>
      </c>
    </row>
    <row r="992" spans="1:16" x14ac:dyDescent="0.35">
      <c r="A992" s="1">
        <v>39022</v>
      </c>
      <c r="B992" t="s">
        <v>25</v>
      </c>
      <c r="C992" s="2">
        <v>20736</v>
      </c>
      <c r="D992" s="5" t="s">
        <v>17</v>
      </c>
      <c r="E992" s="2">
        <f>IF(Tabla2[[#This Row],[Frecuencia]]="Annual", Tabla2[[#This Row],[Cosecha/Tarea]]/12,Tabla2[[#This Row],[Cosecha/Tarea]])</f>
        <v>20736</v>
      </c>
      <c r="F992" s="2">
        <v>201077</v>
      </c>
      <c r="G992" t="s">
        <v>18</v>
      </c>
      <c r="H992">
        <f>F992/Tabla2[[#This Row],[Cosecha Mensual]]</f>
        <v>9.6970003858024683</v>
      </c>
      <c r="I992">
        <f>H992*_xlfn.XLOOKUP(Tabla2[[#This Row],[Unidad de producción]],Tabla3[Medida],Tabla3[Equivalencia en Kg],"ELVIS",0)</f>
        <v>439.85593749999998</v>
      </c>
      <c r="J992">
        <v>237.136285714286</v>
      </c>
      <c r="K992" t="s">
        <v>18</v>
      </c>
      <c r="L992">
        <f>J992/_xlfn.XLOOKUP(Tabla2[[#This Row],[Unidad de precio]],Tabla3[Medida],Tabla3[Equivalencia en Kg],"ELVIS",0)</f>
        <v>5.2278722600151237</v>
      </c>
      <c r="M992">
        <v>2287.145</v>
      </c>
      <c r="N992" s="2">
        <f>(Tabla2[[#This Row],[Productividad (kg/TAS)]]*Tabla2[[#This Row],[Precio por kg]]-Tabla2[[#This Row],[Costos (En RD$/Tarea)]])</f>
        <v>12.365654059196004</v>
      </c>
      <c r="O992" s="6">
        <f>IF(Tabla2[[#This Row],[Costos (En RD$/Tarea)]]=0,0,Tabla2[[#This Row],[Beneficio Neto  (En RD$/Tarea)]]/Tabla2[[#This Row],[Costos (En RD$/Tarea)]])</f>
        <v>5.4065894638057506E-3</v>
      </c>
      <c r="P992" s="4">
        <f>Tabla2[[#This Row],[Rentabilidad (%)]]/12</f>
        <v>4.5054912198381255E-4</v>
      </c>
    </row>
    <row r="993" spans="1:16" x14ac:dyDescent="0.35">
      <c r="A993" s="1">
        <v>39022</v>
      </c>
      <c r="B993" t="s">
        <v>26</v>
      </c>
      <c r="C993" s="2">
        <v>11749</v>
      </c>
      <c r="D993" s="5" t="s">
        <v>17</v>
      </c>
      <c r="E993" s="2">
        <f>IF(Tabla2[[#This Row],[Frecuencia]]="Annual", Tabla2[[#This Row],[Cosecha/Tarea]]/12,Tabla2[[#This Row],[Cosecha/Tarea]])</f>
        <v>11749</v>
      </c>
      <c r="F993" s="2">
        <v>64967</v>
      </c>
      <c r="G993" t="s">
        <v>18</v>
      </c>
      <c r="H993">
        <f>F993/Tabla2[[#This Row],[Cosecha Mensual]]</f>
        <v>5.5295769852753427</v>
      </c>
      <c r="I993">
        <f>H993*_xlfn.XLOOKUP(Tabla2[[#This Row],[Unidad de producción]],Tabla3[Medida],Tabla3[Equivalencia en Kg],"ELVIS",0)</f>
        <v>250.82161205208953</v>
      </c>
      <c r="J993">
        <v>455.05</v>
      </c>
      <c r="K993" t="s">
        <v>18</v>
      </c>
      <c r="L993">
        <f>J993/_xlfn.XLOOKUP(Tabla2[[#This Row],[Unidad de precio]],Tabla3[Medida],Tabla3[Equivalencia en Kg],"ELVIS",0)</f>
        <v>10.031966490299824</v>
      </c>
      <c r="M993">
        <v>864.56</v>
      </c>
      <c r="N993" s="2">
        <f>(Tabla2[[#This Row],[Productividad (kg/TAS)]]*Tabla2[[#This Row],[Precio por kg]]-Tabla2[[#This Row],[Costos (En RD$/Tarea)]])</f>
        <v>1651.6740071495447</v>
      </c>
      <c r="O993" s="6">
        <f>IF(Tabla2[[#This Row],[Costos (En RD$/Tarea)]]=0,0,Tabla2[[#This Row],[Beneficio Neto  (En RD$/Tarea)]]/Tabla2[[#This Row],[Costos (En RD$/Tarea)]])</f>
        <v>1.9104214943434172</v>
      </c>
      <c r="P993" s="4">
        <f>Tabla2[[#This Row],[Rentabilidad (%)]]/12</f>
        <v>0.15920179119528477</v>
      </c>
    </row>
    <row r="994" spans="1:16" x14ac:dyDescent="0.35">
      <c r="A994" s="1">
        <v>39022</v>
      </c>
      <c r="B994" t="s">
        <v>27</v>
      </c>
      <c r="C994" s="2">
        <v>3855</v>
      </c>
      <c r="D994" s="5" t="s">
        <v>17</v>
      </c>
      <c r="E994" s="2">
        <f>IF(Tabla2[[#This Row],[Frecuencia]]="Annual", Tabla2[[#This Row],[Cosecha/Tarea]]/12,Tabla2[[#This Row],[Cosecha/Tarea]])</f>
        <v>3855</v>
      </c>
      <c r="F994" s="2">
        <v>37258</v>
      </c>
      <c r="G994" t="s">
        <v>18</v>
      </c>
      <c r="H994">
        <f>F994/Tabla2[[#This Row],[Cosecha Mensual]]</f>
        <v>9.6648508430609592</v>
      </c>
      <c r="I994">
        <f>H994*_xlfn.XLOOKUP(Tabla2[[#This Row],[Unidad de producción]],Tabla3[Medida],Tabla3[Equivalencia en Kg],"ELVIS",0)</f>
        <v>438.3976342412451</v>
      </c>
      <c r="J994">
        <v>225.22499999999999</v>
      </c>
      <c r="K994" t="s">
        <v>18</v>
      </c>
      <c r="L994">
        <f>J994/_xlfn.XLOOKUP(Tabla2[[#This Row],[Unidad de precio]],Tabla3[Medida],Tabla3[Equivalencia en Kg],"ELVIS",0)</f>
        <v>4.9652777777777777</v>
      </c>
      <c r="M994">
        <v>4742.13</v>
      </c>
      <c r="N994" s="2">
        <f>(Tabla2[[#This Row],[Productividad (kg/TAS)]]*Tabla2[[#This Row],[Precio por kg]]-Tabla2[[#This Row],[Costos (En RD$/Tarea)]])</f>
        <v>-2565.3639688715957</v>
      </c>
      <c r="O994" s="6">
        <f>IF(Tabla2[[#This Row],[Costos (En RD$/Tarea)]]=0,0,Tabla2[[#This Row],[Beneficio Neto  (En RD$/Tarea)]]/Tabla2[[#This Row],[Costos (En RD$/Tarea)]])</f>
        <v>-0.54097293175674133</v>
      </c>
      <c r="P994" s="4">
        <f>Tabla2[[#This Row],[Rentabilidad (%)]]/12</f>
        <v>-4.5081077646395108E-2</v>
      </c>
    </row>
    <row r="995" spans="1:16" x14ac:dyDescent="0.35">
      <c r="A995" s="1">
        <v>39022</v>
      </c>
      <c r="B995" t="s">
        <v>28</v>
      </c>
      <c r="C995" s="2">
        <v>51100</v>
      </c>
      <c r="D995" s="5" t="s">
        <v>17</v>
      </c>
      <c r="E995" s="2">
        <f>IF(Tabla2[[#This Row],[Frecuencia]]="Annual", Tabla2[[#This Row],[Cosecha/Tarea]]/12,Tabla2[[#This Row],[Cosecha/Tarea]])</f>
        <v>51100</v>
      </c>
      <c r="F995" s="2">
        <v>43028</v>
      </c>
      <c r="G995" t="s">
        <v>29</v>
      </c>
      <c r="H995">
        <f>F995/Tabla2[[#This Row],[Cosecha Mensual]]</f>
        <v>0.8420352250489237</v>
      </c>
      <c r="I995">
        <f>H995*_xlfn.XLOOKUP(Tabla2[[#This Row],[Unidad de producción]],Tabla3[Medida],Tabla3[Equivalencia en Kg],"ELVIS",0)</f>
        <v>473.51008845401179</v>
      </c>
      <c r="J995">
        <v>2882.4166666666702</v>
      </c>
      <c r="K995" t="s">
        <v>29</v>
      </c>
      <c r="L995">
        <f>J995/_xlfn.XLOOKUP(Tabla2[[#This Row],[Unidad de precio]],Tabla3[Medida],Tabla3[Equivalencia en Kg],"ELVIS",0)</f>
        <v>5.1257542886272898</v>
      </c>
      <c r="M995">
        <v>8196.8700000000008</v>
      </c>
      <c r="N995" s="2">
        <f>(Tabla2[[#This Row],[Productividad (kg/TAS)]]*Tabla2[[#This Row],[Precio por kg]]-Tabla2[[#This Row],[Costos (En RD$/Tarea)]])</f>
        <v>-5769.7736333985631</v>
      </c>
      <c r="O995" s="6">
        <f>IF(Tabla2[[#This Row],[Costos (En RD$/Tarea)]]=0,0,Tabla2[[#This Row],[Beneficio Neto  (En RD$/Tarea)]]/Tabla2[[#This Row],[Costos (En RD$/Tarea)]])</f>
        <v>-0.703899614535617</v>
      </c>
      <c r="P995" s="4">
        <f>Tabla2[[#This Row],[Rentabilidad (%)]]/12</f>
        <v>-5.8658301211301417E-2</v>
      </c>
    </row>
    <row r="996" spans="1:16" x14ac:dyDescent="0.35">
      <c r="A996" s="1">
        <v>39022</v>
      </c>
      <c r="B996" t="s">
        <v>30</v>
      </c>
      <c r="C996" s="2">
        <v>311162</v>
      </c>
      <c r="D996" s="2" t="s">
        <v>31</v>
      </c>
      <c r="E996" s="2">
        <f>IF(Tabla2[[#This Row],[Frecuencia]]="Annual", Tabla2[[#This Row],[Cosecha/Tarea]]/12,Tabla2[[#This Row],[Cosecha/Tarea]])</f>
        <v>25930.166666666668</v>
      </c>
      <c r="F996" s="2">
        <v>2015806</v>
      </c>
      <c r="G996" t="s">
        <v>32</v>
      </c>
      <c r="H996">
        <f>F996/Tabla2[[#This Row],[Cosecha Mensual]]</f>
        <v>77.739801132529038</v>
      </c>
      <c r="I996">
        <f>H996*_xlfn.XLOOKUP(Tabla2[[#This Row],[Unidad de producción]],Tabla3[Medida],Tabla3[Equivalencia en Kg],"ELVIS",0)</f>
        <v>2115.2999888161153</v>
      </c>
      <c r="J996">
        <v>57.172857142857097</v>
      </c>
      <c r="K996" t="s">
        <v>32</v>
      </c>
      <c r="L996">
        <f>J996/_xlfn.XLOOKUP(Tabla2[[#This Row],[Unidad de precio]],Tabla3[Medida],Tabla3[Equivalencia en Kg],"ELVIS",0)</f>
        <v>2.1011707880506099</v>
      </c>
      <c r="M996" s="2">
        <v>7154.19</v>
      </c>
      <c r="N996" s="2">
        <f>(Tabla2[[#This Row],[Productividad (kg/TAS)]]*Tabla2[[#This Row],[Precio por kg]]-Tabla2[[#This Row],[Costos (En RD$/Tarea)]])</f>
        <v>-2709.583455535796</v>
      </c>
      <c r="O996" s="6">
        <f>IF(Tabla2[[#This Row],[Costos (En RD$/Tarea)]]=0,0,Tabla2[[#This Row],[Beneficio Neto  (En RD$/Tarea)]]/Tabla2[[#This Row],[Costos (En RD$/Tarea)]])</f>
        <v>-0.37874077366351694</v>
      </c>
      <c r="P996" s="4">
        <f>Tabla2[[#This Row],[Rentabilidad (%)]]/12</f>
        <v>-3.1561731138626412E-2</v>
      </c>
    </row>
    <row r="997" spans="1:16" x14ac:dyDescent="0.35">
      <c r="A997" s="1">
        <v>39022</v>
      </c>
      <c r="B997" t="s">
        <v>33</v>
      </c>
      <c r="C997" s="2">
        <v>763036</v>
      </c>
      <c r="D997" s="2" t="s">
        <v>31</v>
      </c>
      <c r="E997" s="2">
        <f>IF(Tabla2[[#This Row],[Frecuencia]]="Annual", Tabla2[[#This Row],[Cosecha/Tarea]]/12,Tabla2[[#This Row],[Cosecha/Tarea]])</f>
        <v>63586.333333333336</v>
      </c>
      <c r="F997" s="2">
        <v>149278</v>
      </c>
      <c r="G997" t="s">
        <v>34</v>
      </c>
      <c r="H997">
        <f>F997/Tabla2[[#This Row],[Cosecha Mensual]]</f>
        <v>2.3476428372973226</v>
      </c>
      <c r="I997">
        <f>H997*_xlfn.XLOOKUP(Tabla2[[#This Row],[Unidad de producción]],Tabla3[Medida],Tabla3[Equivalencia en Kg],"ELVIS",0)</f>
        <v>958.19042404290212</v>
      </c>
      <c r="J997">
        <v>1873.9042857142899</v>
      </c>
      <c r="K997" t="s">
        <v>34</v>
      </c>
      <c r="L997">
        <f>J997/_xlfn.XLOOKUP(Tabla2[[#This Row],[Unidad de precio]],Tabla3[Medida],Tabla3[Equivalencia en Kg],"ELVIS",0)</f>
        <v>4.5912147144782312</v>
      </c>
      <c r="M997" s="2">
        <v>9504.44</v>
      </c>
      <c r="N997" s="2">
        <f>(Tabla2[[#This Row],[Productividad (kg/TAS)]]*Tabla2[[#This Row],[Precio por kg]]-Tabla2[[#This Row],[Costos (En RD$/Tarea)]])</f>
        <v>-5105.1820258620928</v>
      </c>
      <c r="O997" s="6">
        <f>IF(Tabla2[[#This Row],[Costos (En RD$/Tarea)]]=0,0,Tabla2[[#This Row],[Beneficio Neto  (En RD$/Tarea)]]/Tabla2[[#This Row],[Costos (En RD$/Tarea)]])</f>
        <v>-0.5371365410126312</v>
      </c>
      <c r="P997" s="4">
        <f>Tabla2[[#This Row],[Rentabilidad (%)]]/12</f>
        <v>-4.4761378417719266E-2</v>
      </c>
    </row>
    <row r="998" spans="1:16" x14ac:dyDescent="0.35">
      <c r="A998" s="1">
        <v>39052</v>
      </c>
      <c r="B998" t="s">
        <v>16</v>
      </c>
      <c r="C998" s="2">
        <v>123210</v>
      </c>
      <c r="D998" s="5" t="s">
        <v>17</v>
      </c>
      <c r="E998" s="2">
        <f>IF(Tabla2[[#This Row],[Frecuencia]]="Annual", Tabla2[[#This Row],[Cosecha/Tarea]]/12,Tabla2[[#This Row],[Cosecha/Tarea]])</f>
        <v>123210</v>
      </c>
      <c r="F998" s="2">
        <v>391182</v>
      </c>
      <c r="G998" t="s">
        <v>18</v>
      </c>
      <c r="H998">
        <f>F998/Tabla2[[#This Row],[Cosecha Mensual]]</f>
        <v>3.1749208668127586</v>
      </c>
      <c r="I998">
        <f>H998*_xlfn.XLOOKUP(Tabla2[[#This Row],[Unidad de producción]],Tabla3[Medida],Tabla3[Equivalencia en Kg],"ELVIS",0)</f>
        <v>144.01441051862673</v>
      </c>
      <c r="J998">
        <v>974.66666666666697</v>
      </c>
      <c r="K998" t="s">
        <v>19</v>
      </c>
      <c r="L998">
        <f>J998/_xlfn.XLOOKUP(Tabla2[[#This Row],[Unidad de precio]],Tabla3[Medida],Tabla3[Equivalencia en Kg],"ELVIS",0)</f>
        <v>8.860606060606063</v>
      </c>
      <c r="M998">
        <v>4756.7749999999996</v>
      </c>
      <c r="N998" s="2">
        <f>(Tabla2[[#This Row],[Productividad (kg/TAS)]]*Tabla2[[#This Row],[Precio por kg]]-Tabla2[[#This Row],[Costos (En RD$/Tarea)]])</f>
        <v>-3480.720041344046</v>
      </c>
      <c r="O998" s="6">
        <f>IF(Tabla2[[#This Row],[Costos (En RD$/Tarea)]]=0,0,Tabla2[[#This Row],[Beneficio Neto  (En RD$/Tarea)]]/Tabla2[[#This Row],[Costos (En RD$/Tarea)]])</f>
        <v>-0.73173947503172765</v>
      </c>
      <c r="P998" s="4">
        <f>Tabla2[[#This Row],[Rentabilidad (%)]]/12</f>
        <v>-6.0978289585977306E-2</v>
      </c>
    </row>
    <row r="999" spans="1:16" x14ac:dyDescent="0.35">
      <c r="A999" s="1">
        <v>39052</v>
      </c>
      <c r="B999" t="s">
        <v>20</v>
      </c>
      <c r="C999" s="2">
        <v>33505</v>
      </c>
      <c r="D999" s="5" t="s">
        <v>17</v>
      </c>
      <c r="E999" s="2">
        <f>IF(Tabla2[[#This Row],[Frecuencia]]="Annual", Tabla2[[#This Row],[Cosecha/Tarea]]/12,Tabla2[[#This Row],[Cosecha/Tarea]])</f>
        <v>33505</v>
      </c>
      <c r="F999" s="2">
        <v>50197</v>
      </c>
      <c r="G999" t="s">
        <v>18</v>
      </c>
      <c r="H999">
        <f>F999/Tabla2[[#This Row],[Cosecha Mensual]]</f>
        <v>1.4981942993583048</v>
      </c>
      <c r="I999">
        <f>H999*_xlfn.XLOOKUP(Tabla2[[#This Row],[Unidad de producción]],Tabla3[Medida],Tabla3[Equivalencia en Kg],"ELVIS",0)</f>
        <v>67.958093418892702</v>
      </c>
      <c r="J999">
        <v>339.48</v>
      </c>
      <c r="K999" t="s">
        <v>18</v>
      </c>
      <c r="L999">
        <f>J999/_xlfn.XLOOKUP(Tabla2[[#This Row],[Unidad de precio]],Tabla3[Medida],Tabla3[Equivalencia en Kg],"ELVIS",0)</f>
        <v>7.4841269841269842</v>
      </c>
      <c r="M999">
        <v>1341.48</v>
      </c>
      <c r="N999" s="2">
        <f>(Tabla2[[#This Row],[Productividad (kg/TAS)]]*Tabla2[[#This Row],[Precio por kg]]-Tabla2[[#This Row],[Costos (En RD$/Tarea)]])</f>
        <v>-832.87299925384275</v>
      </c>
      <c r="O999" s="6">
        <f>IF(Tabla2[[#This Row],[Costos (En RD$/Tarea)]]=0,0,Tabla2[[#This Row],[Beneficio Neto  (En RD$/Tarea)]]/Tabla2[[#This Row],[Costos (En RD$/Tarea)]])</f>
        <v>-0.62086128697695286</v>
      </c>
      <c r="P999" s="4">
        <f>Tabla2[[#This Row],[Rentabilidad (%)]]/12</f>
        <v>-5.1738440581412741E-2</v>
      </c>
    </row>
    <row r="1000" spans="1:16" x14ac:dyDescent="0.35">
      <c r="A1000" s="1">
        <v>39052</v>
      </c>
      <c r="B1000" t="s">
        <v>21</v>
      </c>
      <c r="C1000" s="2">
        <v>7652</v>
      </c>
      <c r="D1000" s="5" t="s">
        <v>17</v>
      </c>
      <c r="E1000" s="2">
        <f>IF(Tabla2[[#This Row],[Frecuencia]]="Annual", Tabla2[[#This Row],[Cosecha/Tarea]]/12,Tabla2[[#This Row],[Cosecha/Tarea]])</f>
        <v>7652</v>
      </c>
      <c r="F1000" s="2">
        <v>52332</v>
      </c>
      <c r="G1000" t="s">
        <v>18</v>
      </c>
      <c r="H1000">
        <f>F1000/Tabla2[[#This Row],[Cosecha Mensual]]</f>
        <v>6.8389963408259282</v>
      </c>
      <c r="I1000">
        <f>H1000*_xlfn.XLOOKUP(Tabla2[[#This Row],[Unidad de producción]],Tabla3[Medida],Tabla3[Equivalencia en Kg],"ELVIS",0)</f>
        <v>310.21687401986412</v>
      </c>
      <c r="J1000">
        <v>234.91335000000001</v>
      </c>
      <c r="K1000" t="s">
        <v>18</v>
      </c>
      <c r="L1000">
        <f>J1000/_xlfn.XLOOKUP(Tabla2[[#This Row],[Unidad de precio]],Tabla3[Medida],Tabla3[Equivalencia en Kg],"ELVIS",0)</f>
        <v>5.1788657407407408</v>
      </c>
      <c r="M1000">
        <v>2058.7550000000001</v>
      </c>
      <c r="N1000" s="2">
        <f>(Tabla2[[#This Row],[Productividad (kg/TAS)]]*Tabla2[[#This Row],[Precio por kg]]-Tabla2[[#This Row],[Costos (En RD$/Tarea)]])</f>
        <v>-452.18345893883952</v>
      </c>
      <c r="O1000" s="6">
        <f>IF(Tabla2[[#This Row],[Costos (En RD$/Tarea)]]=0,0,Tabla2[[#This Row],[Beneficio Neto  (En RD$/Tarea)]]/Tabla2[[#This Row],[Costos (En RD$/Tarea)]])</f>
        <v>-0.21963927662050098</v>
      </c>
      <c r="P1000" s="4">
        <f>Tabla2[[#This Row],[Rentabilidad (%)]]/12</f>
        <v>-1.8303273051708414E-2</v>
      </c>
    </row>
    <row r="1001" spans="1:16" x14ac:dyDescent="0.35">
      <c r="A1001" s="1">
        <v>39052</v>
      </c>
      <c r="B1001" t="s">
        <v>22</v>
      </c>
      <c r="C1001" s="2">
        <v>4922</v>
      </c>
      <c r="D1001" s="5" t="s">
        <v>17</v>
      </c>
      <c r="E1001" s="2">
        <f>IF(Tabla2[[#This Row],[Frecuencia]]="Annual", Tabla2[[#This Row],[Cosecha/Tarea]]/12,Tabla2[[#This Row],[Cosecha/Tarea]])</f>
        <v>4922</v>
      </c>
      <c r="F1001" s="2">
        <v>40929</v>
      </c>
      <c r="G1001" t="s">
        <v>18</v>
      </c>
      <c r="H1001">
        <f>F1001/Tabla2[[#This Row],[Cosecha Mensual]]</f>
        <v>8.3155221454693216</v>
      </c>
      <c r="I1001">
        <f>H1001*_xlfn.XLOOKUP(Tabla2[[#This Row],[Unidad de producción]],Tabla3[Medida],Tabla3[Equivalencia en Kg],"ELVIS",0)</f>
        <v>377.1920845184884</v>
      </c>
      <c r="J1001">
        <v>636.33333333333303</v>
      </c>
      <c r="K1001" t="s">
        <v>18</v>
      </c>
      <c r="L1001">
        <f>J1001/_xlfn.XLOOKUP(Tabla2[[#This Row],[Unidad de precio]],Tabla3[Medida],Tabla3[Equivalencia en Kg],"ELVIS",0)</f>
        <v>14.028512639623743</v>
      </c>
      <c r="M1001">
        <v>5691.88</v>
      </c>
      <c r="N1001" s="2">
        <f>(Tabla2[[#This Row],[Productividad (kg/TAS)]]*Tabla2[[#This Row],[Precio por kg]]-Tabla2[[#This Row],[Costos (En RD$/Tarea)]])</f>
        <v>-400.43607476635862</v>
      </c>
      <c r="O1001" s="6">
        <f>IF(Tabla2[[#This Row],[Costos (En RD$/Tarea)]]=0,0,Tabla2[[#This Row],[Beneficio Neto  (En RD$/Tarea)]]/Tabla2[[#This Row],[Costos (En RD$/Tarea)]])</f>
        <v>-7.0352163918838528E-2</v>
      </c>
      <c r="P1001" s="4">
        <f>Tabla2[[#This Row],[Rentabilidad (%)]]/12</f>
        <v>-5.8626803265698774E-3</v>
      </c>
    </row>
    <row r="1002" spans="1:16" x14ac:dyDescent="0.35">
      <c r="A1002" s="1">
        <v>39052</v>
      </c>
      <c r="B1002" t="s">
        <v>23</v>
      </c>
      <c r="C1002" s="2">
        <v>2626</v>
      </c>
      <c r="D1002" s="5" t="s">
        <v>17</v>
      </c>
      <c r="E1002" s="2">
        <f>IF(Tabla2[[#This Row],[Frecuencia]]="Annual", Tabla2[[#This Row],[Cosecha/Tarea]]/12,Tabla2[[#This Row],[Cosecha/Tarea]])</f>
        <v>2626</v>
      </c>
      <c r="F1002" s="2">
        <v>88095</v>
      </c>
      <c r="G1002" t="s">
        <v>18</v>
      </c>
      <c r="H1002">
        <f>F1002/Tabla2[[#This Row],[Cosecha Mensual]]</f>
        <v>33.54722010662605</v>
      </c>
      <c r="I1002">
        <f>H1002*_xlfn.XLOOKUP(Tabla2[[#This Row],[Unidad de producción]],Tabla3[Medida],Tabla3[Equivalencia en Kg],"ELVIS",0)</f>
        <v>1521.7019040365576</v>
      </c>
      <c r="J1002">
        <v>569.25</v>
      </c>
      <c r="K1002" t="s">
        <v>18</v>
      </c>
      <c r="L1002">
        <f>J1002/_xlfn.XLOOKUP(Tabla2[[#This Row],[Unidad de precio]],Tabla3[Medida],Tabla3[Equivalencia en Kg],"ELVIS",0)</f>
        <v>12.549603174603174</v>
      </c>
      <c r="M1002">
        <v>10412.049999999999</v>
      </c>
      <c r="N1002" s="2">
        <f>(Tabla2[[#This Row],[Productividad (kg/TAS)]]*Tabla2[[#This Row],[Precio por kg]]-Tabla2[[#This Row],[Costos (En RD$/Tarea)]])</f>
        <v>8684.7050456968791</v>
      </c>
      <c r="O1002" s="6">
        <f>IF(Tabla2[[#This Row],[Costos (En RD$/Tarea)]]=0,0,Tabla2[[#This Row],[Beneficio Neto  (En RD$/Tarea)]]/Tabla2[[#This Row],[Costos (En RD$/Tarea)]])</f>
        <v>0.83410135810881425</v>
      </c>
      <c r="P1002" s="4">
        <f>Tabla2[[#This Row],[Rentabilidad (%)]]/12</f>
        <v>6.9508446509067859E-2</v>
      </c>
    </row>
    <row r="1003" spans="1:16" x14ac:dyDescent="0.35">
      <c r="A1003" s="1">
        <v>39052</v>
      </c>
      <c r="B1003" t="s">
        <v>24</v>
      </c>
      <c r="C1003" s="2">
        <v>5954</v>
      </c>
      <c r="D1003" s="5" t="s">
        <v>17</v>
      </c>
      <c r="E1003" s="2">
        <f>IF(Tabla2[[#This Row],[Frecuencia]]="Annual", Tabla2[[#This Row],[Cosecha/Tarea]]/12,Tabla2[[#This Row],[Cosecha/Tarea]])</f>
        <v>5954</v>
      </c>
      <c r="F1003" s="2">
        <v>45478</v>
      </c>
      <c r="G1003" t="s">
        <v>18</v>
      </c>
      <c r="H1003">
        <f>F1003/Tabla2[[#This Row],[Cosecha Mensual]]</f>
        <v>7.6382264024185424</v>
      </c>
      <c r="I1003">
        <f>H1003*_xlfn.XLOOKUP(Tabla2[[#This Row],[Unidad de producción]],Tabla3[Medida],Tabla3[Equivalencia en Kg],"ELVIS",0)</f>
        <v>346.46994961370507</v>
      </c>
      <c r="J1003">
        <v>901.75</v>
      </c>
      <c r="K1003" t="s">
        <v>18</v>
      </c>
      <c r="L1003">
        <f>J1003/_xlfn.XLOOKUP(Tabla2[[#This Row],[Unidad de precio]],Tabla3[Medida],Tabla3[Equivalencia en Kg],"ELVIS",0)</f>
        <v>19.879850088183421</v>
      </c>
      <c r="M1003">
        <v>4593.1000000000004</v>
      </c>
      <c r="N1003" s="2">
        <f>(Tabla2[[#This Row],[Productividad (kg/TAS)]]*Tabla2[[#This Row],[Precio por kg]]-Tabla2[[#This Row],[Costos (En RD$/Tarea)]])</f>
        <v>2294.67065838092</v>
      </c>
      <c r="O1003" s="6">
        <f>IF(Tabla2[[#This Row],[Costos (En RD$/Tarea)]]=0,0,Tabla2[[#This Row],[Beneficio Neto  (En RD$/Tarea)]]/Tabla2[[#This Row],[Costos (En RD$/Tarea)]])</f>
        <v>0.49959083372470003</v>
      </c>
      <c r="P1003" s="4">
        <f>Tabla2[[#This Row],[Rentabilidad (%)]]/12</f>
        <v>4.1632569477058338E-2</v>
      </c>
    </row>
    <row r="1004" spans="1:16" x14ac:dyDescent="0.35">
      <c r="A1004" s="1">
        <v>39052</v>
      </c>
      <c r="B1004" t="s">
        <v>25</v>
      </c>
      <c r="C1004" s="2">
        <v>22444</v>
      </c>
      <c r="D1004" s="5" t="s">
        <v>17</v>
      </c>
      <c r="E1004" s="2">
        <f>IF(Tabla2[[#This Row],[Frecuencia]]="Annual", Tabla2[[#This Row],[Cosecha/Tarea]]/12,Tabla2[[#This Row],[Cosecha/Tarea]])</f>
        <v>22444</v>
      </c>
      <c r="F1004" s="2">
        <v>212108</v>
      </c>
      <c r="G1004" t="s">
        <v>18</v>
      </c>
      <c r="H1004">
        <f>F1004/Tabla2[[#This Row],[Cosecha Mensual]]</f>
        <v>9.4505435751202995</v>
      </c>
      <c r="I1004">
        <f>H1004*_xlfn.XLOOKUP(Tabla2[[#This Row],[Unidad de producción]],Tabla3[Medida],Tabla3[Equivalencia en Kg],"ELVIS",0)</f>
        <v>428.6766565674568</v>
      </c>
      <c r="J1004">
        <v>285.767</v>
      </c>
      <c r="K1004" t="s">
        <v>18</v>
      </c>
      <c r="L1004">
        <f>J1004/_xlfn.XLOOKUP(Tabla2[[#This Row],[Unidad de precio]],Tabla3[Medida],Tabla3[Equivalencia en Kg],"ELVIS",0)</f>
        <v>6.2999779541446204</v>
      </c>
      <c r="M1004">
        <v>2287.145</v>
      </c>
      <c r="N1004" s="2">
        <f>(Tabla2[[#This Row],[Productividad (kg/TAS)]]*Tabla2[[#This Row],[Precio por kg]]-Tabla2[[#This Row],[Costos (En RD$/Tarea)]])</f>
        <v>413.5084858314026</v>
      </c>
      <c r="O1004" s="6">
        <f>IF(Tabla2[[#This Row],[Costos (En RD$/Tarea)]]=0,0,Tabla2[[#This Row],[Beneficio Neto  (En RD$/Tarea)]]/Tabla2[[#This Row],[Costos (En RD$/Tarea)]])</f>
        <v>0.18079679505733243</v>
      </c>
      <c r="P1004" s="4">
        <f>Tabla2[[#This Row],[Rentabilidad (%)]]/12</f>
        <v>1.5066399588111035E-2</v>
      </c>
    </row>
    <row r="1005" spans="1:16" x14ac:dyDescent="0.35">
      <c r="A1005" s="1">
        <v>39052</v>
      </c>
      <c r="B1005" t="s">
        <v>26</v>
      </c>
      <c r="C1005" s="2">
        <v>12320</v>
      </c>
      <c r="D1005" s="5" t="s">
        <v>17</v>
      </c>
      <c r="E1005" s="2">
        <f>IF(Tabla2[[#This Row],[Frecuencia]]="Annual", Tabla2[[#This Row],[Cosecha/Tarea]]/12,Tabla2[[#This Row],[Cosecha/Tarea]])</f>
        <v>12320</v>
      </c>
      <c r="F1005" s="2">
        <v>100723</v>
      </c>
      <c r="G1005" t="s">
        <v>18</v>
      </c>
      <c r="H1005">
        <f>F1005/Tabla2[[#This Row],[Cosecha Mensual]]</f>
        <v>8.175568181818182</v>
      </c>
      <c r="I1005">
        <f>H1005*_xlfn.XLOOKUP(Tabla2[[#This Row],[Unidad de producción]],Tabla3[Medida],Tabla3[Equivalencia en Kg],"ELVIS",0)</f>
        <v>370.84377272727272</v>
      </c>
      <c r="J1005">
        <v>482.5</v>
      </c>
      <c r="K1005" t="s">
        <v>18</v>
      </c>
      <c r="L1005">
        <f>J1005/_xlfn.XLOOKUP(Tabla2[[#This Row],[Unidad de precio]],Tabla3[Medida],Tabla3[Equivalencia en Kg],"ELVIS",0)</f>
        <v>10.637125220458554</v>
      </c>
      <c r="M1005">
        <v>864.56</v>
      </c>
      <c r="N1005" s="2">
        <f>(Tabla2[[#This Row],[Productividad (kg/TAS)]]*Tabla2[[#This Row],[Precio por kg]]-Tabla2[[#This Row],[Costos (En RD$/Tarea)]])</f>
        <v>3080.1516477272726</v>
      </c>
      <c r="O1005" s="6">
        <f>IF(Tabla2[[#This Row],[Costos (En RD$/Tarea)]]=0,0,Tabla2[[#This Row],[Beneficio Neto  (En RD$/Tarea)]]/Tabla2[[#This Row],[Costos (En RD$/Tarea)]])</f>
        <v>3.56268118780336</v>
      </c>
      <c r="P1005" s="4">
        <f>Tabla2[[#This Row],[Rentabilidad (%)]]/12</f>
        <v>0.29689009898361335</v>
      </c>
    </row>
    <row r="1006" spans="1:16" x14ac:dyDescent="0.35">
      <c r="A1006" s="1">
        <v>39052</v>
      </c>
      <c r="B1006" t="s">
        <v>27</v>
      </c>
      <c r="C1006" s="2">
        <v>4290</v>
      </c>
      <c r="D1006" s="5" t="s">
        <v>17</v>
      </c>
      <c r="E1006" s="2">
        <f>IF(Tabla2[[#This Row],[Frecuencia]]="Annual", Tabla2[[#This Row],[Cosecha/Tarea]]/12,Tabla2[[#This Row],[Cosecha/Tarea]])</f>
        <v>4290</v>
      </c>
      <c r="F1006" s="2">
        <v>34765</v>
      </c>
      <c r="G1006" t="s">
        <v>18</v>
      </c>
      <c r="H1006">
        <f>F1006/Tabla2[[#This Row],[Cosecha Mensual]]</f>
        <v>8.1037296037296045</v>
      </c>
      <c r="I1006">
        <f>H1006*_xlfn.XLOOKUP(Tabla2[[#This Row],[Unidad de producción]],Tabla3[Medida],Tabla3[Equivalencia en Kg],"ELVIS",0)</f>
        <v>367.58517482517487</v>
      </c>
      <c r="J1006">
        <v>257.52999999999997</v>
      </c>
      <c r="K1006" t="s">
        <v>18</v>
      </c>
      <c r="L1006">
        <f>J1006/_xlfn.XLOOKUP(Tabla2[[#This Row],[Unidad de precio]],Tabla3[Medida],Tabla3[Equivalencia en Kg],"ELVIS",0)</f>
        <v>5.6774691358024683</v>
      </c>
      <c r="M1006">
        <v>4742.13</v>
      </c>
      <c r="N1006" s="2">
        <f>(Tabla2[[#This Row],[Productividad (kg/TAS)]]*Tabla2[[#This Row],[Precio por kg]]-Tabla2[[#This Row],[Costos (En RD$/Tarea)]])</f>
        <v>-2655.1765151515151</v>
      </c>
      <c r="O1006" s="6">
        <f>IF(Tabla2[[#This Row],[Costos (En RD$/Tarea)]]=0,0,Tabla2[[#This Row],[Beneficio Neto  (En RD$/Tarea)]]/Tabla2[[#This Row],[Costos (En RD$/Tarea)]])</f>
        <v>-0.55991221563970517</v>
      </c>
      <c r="P1006" s="4">
        <f>Tabla2[[#This Row],[Rentabilidad (%)]]/12</f>
        <v>-4.6659351303308762E-2</v>
      </c>
    </row>
    <row r="1007" spans="1:16" x14ac:dyDescent="0.35">
      <c r="A1007" s="1">
        <v>39052</v>
      </c>
      <c r="B1007" t="s">
        <v>28</v>
      </c>
      <c r="C1007" s="2">
        <v>44514</v>
      </c>
      <c r="D1007" s="5" t="s">
        <v>17</v>
      </c>
      <c r="E1007" s="2">
        <f>IF(Tabla2[[#This Row],[Frecuencia]]="Annual", Tabla2[[#This Row],[Cosecha/Tarea]]/12,Tabla2[[#This Row],[Cosecha/Tarea]])</f>
        <v>44514</v>
      </c>
      <c r="F1007" s="2">
        <v>34693</v>
      </c>
      <c r="G1007" t="s">
        <v>29</v>
      </c>
      <c r="H1007">
        <f>F1007/Tabla2[[#This Row],[Cosecha Mensual]]</f>
        <v>0.77937278159680101</v>
      </c>
      <c r="I1007">
        <f>H1007*_xlfn.XLOOKUP(Tabla2[[#This Row],[Unidad de producción]],Tabla3[Medida],Tabla3[Equivalencia en Kg],"ELVIS",0)</f>
        <v>438.27249000314509</v>
      </c>
      <c r="J1007">
        <v>4008.3960000000002</v>
      </c>
      <c r="K1007" t="s">
        <v>29</v>
      </c>
      <c r="L1007">
        <f>J1007/_xlfn.XLOOKUP(Tabla2[[#This Row],[Unidad de precio]],Tabla3[Medida],Tabla3[Equivalencia en Kg],"ELVIS",0)</f>
        <v>7.1280648717857522</v>
      </c>
      <c r="M1007">
        <v>8196.8700000000008</v>
      </c>
      <c r="N1007" s="2">
        <f>(Tabla2[[#This Row],[Productividad (kg/TAS)]]*Tabla2[[#This Row],[Precio por kg]]-Tabla2[[#This Row],[Costos (En RD$/Tarea)]])</f>
        <v>-5072.8352597385101</v>
      </c>
      <c r="O1007" s="6">
        <f>IF(Tabla2[[#This Row],[Costos (En RD$/Tarea)]]=0,0,Tabla2[[#This Row],[Beneficio Neto  (En RD$/Tarea)]]/Tabla2[[#This Row],[Costos (En RD$/Tarea)]])</f>
        <v>-0.61887467530148821</v>
      </c>
      <c r="P1007" s="4">
        <f>Tabla2[[#This Row],[Rentabilidad (%)]]/12</f>
        <v>-5.1572889608457351E-2</v>
      </c>
    </row>
    <row r="1008" spans="1:16" x14ac:dyDescent="0.35">
      <c r="A1008" s="1">
        <v>39052</v>
      </c>
      <c r="B1008" t="s">
        <v>30</v>
      </c>
      <c r="C1008" s="2">
        <v>315208</v>
      </c>
      <c r="D1008" s="2" t="s">
        <v>31</v>
      </c>
      <c r="E1008" s="2">
        <f>IF(Tabla2[[#This Row],[Frecuencia]]="Annual", Tabla2[[#This Row],[Cosecha/Tarea]]/12,Tabla2[[#This Row],[Cosecha/Tarea]])</f>
        <v>26267.333333333332</v>
      </c>
      <c r="F1008" s="2">
        <v>1851495</v>
      </c>
      <c r="G1008" t="s">
        <v>32</v>
      </c>
      <c r="H1008">
        <f>F1008/Tabla2[[#This Row],[Cosecha Mensual]]</f>
        <v>70.486599324890236</v>
      </c>
      <c r="I1008">
        <f>H1008*_xlfn.XLOOKUP(Tabla2[[#This Row],[Unidad de producción]],Tabla3[Medida],Tabla3[Equivalencia en Kg],"ELVIS",0)</f>
        <v>1917.9403676302634</v>
      </c>
      <c r="J1008">
        <v>51.566000000000003</v>
      </c>
      <c r="K1008" t="s">
        <v>32</v>
      </c>
      <c r="L1008">
        <f>J1008/_xlfn.XLOOKUP(Tabla2[[#This Row],[Unidad de precio]],Tabla3[Medida],Tabla3[Equivalencia en Kg],"ELVIS",0)</f>
        <v>1.8951120911429622</v>
      </c>
      <c r="M1008" s="2">
        <v>7154.19</v>
      </c>
      <c r="N1008" s="2">
        <f>(Tabla2[[#This Row],[Productividad (kg/TAS)]]*Tabla2[[#This Row],[Precio por kg]]-Tabla2[[#This Row],[Costos (En RD$/Tarea)]])</f>
        <v>-3519.4780192127096</v>
      </c>
      <c r="O1008" s="6">
        <f>IF(Tabla2[[#This Row],[Costos (En RD$/Tarea)]]=0,0,Tabla2[[#This Row],[Beneficio Neto  (En RD$/Tarea)]]/Tabla2[[#This Row],[Costos (En RD$/Tarea)]])</f>
        <v>-0.49194640053069738</v>
      </c>
      <c r="P1008" s="4">
        <f>Tabla2[[#This Row],[Rentabilidad (%)]]/12</f>
        <v>-4.0995533377558117E-2</v>
      </c>
    </row>
    <row r="1009" spans="1:16" x14ac:dyDescent="0.35">
      <c r="A1009" s="1">
        <v>39052</v>
      </c>
      <c r="B1009" t="s">
        <v>33</v>
      </c>
      <c r="C1009" s="2">
        <v>756017</v>
      </c>
      <c r="D1009" s="2" t="s">
        <v>31</v>
      </c>
      <c r="E1009" s="2">
        <f>IF(Tabla2[[#This Row],[Frecuencia]]="Annual", Tabla2[[#This Row],[Cosecha/Tarea]]/12,Tabla2[[#This Row],[Cosecha/Tarea]])</f>
        <v>63001.416666666664</v>
      </c>
      <c r="F1009" s="2">
        <v>156443</v>
      </c>
      <c r="G1009" t="s">
        <v>34</v>
      </c>
      <c r="H1009">
        <f>F1009/Tabla2[[#This Row],[Cosecha Mensual]]</f>
        <v>2.4831663838247025</v>
      </c>
      <c r="I1009">
        <f>H1009*_xlfn.XLOOKUP(Tabla2[[#This Row],[Unidad de producción]],Tabla3[Medida],Tabla3[Equivalencia en Kg],"ELVIS",0)</f>
        <v>1013.5043595580522</v>
      </c>
      <c r="J1009">
        <v>2472.9133333333298</v>
      </c>
      <c r="K1009" t="s">
        <v>34</v>
      </c>
      <c r="L1009">
        <f>J1009/_xlfn.XLOOKUP(Tabla2[[#This Row],[Unidad de precio]],Tabla3[Medida],Tabla3[Equivalencia en Kg],"ELVIS",0)</f>
        <v>6.0588345787904689</v>
      </c>
      <c r="M1009" s="2">
        <v>9504.44</v>
      </c>
      <c r="N1009" s="2">
        <f>(Tabla2[[#This Row],[Productividad (kg/TAS)]]*Tabla2[[#This Row],[Precio por kg]]-Tabla2[[#This Row],[Costos (En RD$/Tarea)]])</f>
        <v>-3363.7847405547855</v>
      </c>
      <c r="O1009" s="6">
        <f>IF(Tabla2[[#This Row],[Costos (En RD$/Tarea)]]=0,0,Tabla2[[#This Row],[Beneficio Neto  (En RD$/Tarea)]]/Tabla2[[#This Row],[Costos (En RD$/Tarea)]])</f>
        <v>-0.35391719454852527</v>
      </c>
      <c r="P1009" s="4">
        <f>Tabla2[[#This Row],[Rentabilidad (%)]]/12</f>
        <v>-2.949309954571044E-2</v>
      </c>
    </row>
    <row r="1010" spans="1:16" x14ac:dyDescent="0.35">
      <c r="A1010" s="1">
        <v>39083</v>
      </c>
      <c r="B1010" t="s">
        <v>16</v>
      </c>
      <c r="C1010" s="2">
        <v>35764</v>
      </c>
      <c r="D1010" s="5" t="s">
        <v>17</v>
      </c>
      <c r="E1010" s="2">
        <f>IF(Tabla2[[#This Row],[Frecuencia]]="Annual", Tabla2[[#This Row],[Cosecha/Tarea]]/12,Tabla2[[#This Row],[Cosecha/Tarea]])</f>
        <v>35764</v>
      </c>
      <c r="F1010" s="2">
        <v>114935</v>
      </c>
      <c r="G1010" t="s">
        <v>18</v>
      </c>
      <c r="H1010">
        <f>F1010/Tabla2[[#This Row],[Cosecha Mensual]]</f>
        <v>3.2137065205234312</v>
      </c>
      <c r="I1010">
        <f>H1010*_xlfn.XLOOKUP(Tabla2[[#This Row],[Unidad de producción]],Tabla3[Medida],Tabla3[Equivalencia en Kg],"ELVIS",0)</f>
        <v>145.77372777094283</v>
      </c>
      <c r="J1010">
        <v>1325.9</v>
      </c>
      <c r="K1010" t="s">
        <v>19</v>
      </c>
      <c r="L1010">
        <f>J1010/_xlfn.XLOOKUP(Tabla2[[#This Row],[Unidad de precio]],Tabla3[Medida],Tabla3[Equivalencia en Kg],"ELVIS",0)</f>
        <v>12.053636363636365</v>
      </c>
      <c r="M1010">
        <v>5339.5</v>
      </c>
      <c r="N1010" s="2">
        <f>(Tabla2[[#This Row],[Productividad (kg/TAS)]]*Tabla2[[#This Row],[Precio por kg]]-Tabla2[[#This Row],[Costos (En RD$/Tarea)]])</f>
        <v>-3582.3964940773353</v>
      </c>
      <c r="O1010" s="6">
        <f>IF(Tabla2[[#This Row],[Costos (En RD$/Tarea)]]=0,0,Tabla2[[#This Row],[Beneficio Neto  (En RD$/Tarea)]]/Tabla2[[#This Row],[Costos (En RD$/Tarea)]])</f>
        <v>-0.67092358724175205</v>
      </c>
      <c r="P1010" s="4">
        <f>Tabla2[[#This Row],[Rentabilidad (%)]]/12</f>
        <v>-5.5910298936812673E-2</v>
      </c>
    </row>
    <row r="1011" spans="1:16" x14ac:dyDescent="0.35">
      <c r="A1011" s="1">
        <v>39083</v>
      </c>
      <c r="B1011" t="s">
        <v>20</v>
      </c>
      <c r="C1011" s="2">
        <v>31040</v>
      </c>
      <c r="D1011" s="5" t="s">
        <v>17</v>
      </c>
      <c r="E1011" s="2">
        <f>IF(Tabla2[[#This Row],[Frecuencia]]="Annual", Tabla2[[#This Row],[Cosecha/Tarea]]/12,Tabla2[[#This Row],[Cosecha/Tarea]])</f>
        <v>31040</v>
      </c>
      <c r="F1011" s="2">
        <v>61912</v>
      </c>
      <c r="G1011" t="s">
        <v>18</v>
      </c>
      <c r="H1011">
        <f>F1011/Tabla2[[#This Row],[Cosecha Mensual]]</f>
        <v>1.9945876288659794</v>
      </c>
      <c r="I1011">
        <f>H1011*_xlfn.XLOOKUP(Tabla2[[#This Row],[Unidad de producción]],Tabla3[Medida],Tabla3[Equivalencia en Kg],"ELVIS",0)</f>
        <v>90.474494845360823</v>
      </c>
      <c r="J1011">
        <v>495.66356666666701</v>
      </c>
      <c r="K1011" t="s">
        <v>18</v>
      </c>
      <c r="L1011">
        <f>J1011/_xlfn.XLOOKUP(Tabla2[[#This Row],[Unidad de precio]],Tabla3[Medida],Tabla3[Equivalencia en Kg],"ELVIS",0)</f>
        <v>10.927327307466204</v>
      </c>
      <c r="M1011">
        <v>1417.48</v>
      </c>
      <c r="N1011" s="2">
        <f>(Tabla2[[#This Row],[Productividad (kg/TAS)]]*Tabla2[[#This Row],[Precio por kg]]-Tabla2[[#This Row],[Costos (En RD$/Tarea)]])</f>
        <v>-428.8355818470784</v>
      </c>
      <c r="O1011" s="6">
        <f>IF(Tabla2[[#This Row],[Costos (En RD$/Tarea)]]=0,0,Tabla2[[#This Row],[Beneficio Neto  (En RD$/Tarea)]]/Tabla2[[#This Row],[Costos (En RD$/Tarea)]])</f>
        <v>-0.30253377955743882</v>
      </c>
      <c r="P1011" s="4">
        <f>Tabla2[[#This Row],[Rentabilidad (%)]]/12</f>
        <v>-2.5211148296453236E-2</v>
      </c>
    </row>
    <row r="1012" spans="1:16" x14ac:dyDescent="0.35">
      <c r="A1012" s="1">
        <v>39083</v>
      </c>
      <c r="B1012" t="s">
        <v>21</v>
      </c>
      <c r="C1012" s="2">
        <v>5496</v>
      </c>
      <c r="D1012" s="5" t="s">
        <v>17</v>
      </c>
      <c r="E1012" s="2">
        <f>IF(Tabla2[[#This Row],[Frecuencia]]="Annual", Tabla2[[#This Row],[Cosecha/Tarea]]/12,Tabla2[[#This Row],[Cosecha/Tarea]])</f>
        <v>5496</v>
      </c>
      <c r="F1012" s="2">
        <v>53112</v>
      </c>
      <c r="G1012" t="s">
        <v>18</v>
      </c>
      <c r="H1012">
        <f>F1012/Tabla2[[#This Row],[Cosecha Mensual]]</f>
        <v>9.6637554585152845</v>
      </c>
      <c r="I1012">
        <f>H1012*_xlfn.XLOOKUP(Tabla2[[#This Row],[Unidad de producción]],Tabla3[Medida],Tabla3[Equivalencia en Kg],"ELVIS",0)</f>
        <v>438.34794759825331</v>
      </c>
      <c r="J1012">
        <v>211.83416</v>
      </c>
      <c r="K1012" t="s">
        <v>18</v>
      </c>
      <c r="L1012">
        <f>J1012/_xlfn.XLOOKUP(Tabla2[[#This Row],[Unidad de precio]],Tabla3[Medida],Tabla3[Equivalencia en Kg],"ELVIS",0)</f>
        <v>4.670065255731922</v>
      </c>
      <c r="M1012">
        <v>2131.605</v>
      </c>
      <c r="N1012" s="2">
        <f>(Tabla2[[#This Row],[Productividad (kg/TAS)]]*Tabla2[[#This Row],[Precio por kg]]-Tabla2[[#This Row],[Costos (En RD$/Tarea)]])</f>
        <v>-84.49147999999991</v>
      </c>
      <c r="O1012" s="6">
        <f>IF(Tabla2[[#This Row],[Costos (En RD$/Tarea)]]=0,0,Tabla2[[#This Row],[Beneficio Neto  (En RD$/Tarea)]]/Tabla2[[#This Row],[Costos (En RD$/Tarea)]])</f>
        <v>-3.9637493813347177E-2</v>
      </c>
      <c r="P1012" s="4">
        <f>Tabla2[[#This Row],[Rentabilidad (%)]]/12</f>
        <v>-3.303124484445598E-3</v>
      </c>
    </row>
    <row r="1013" spans="1:16" x14ac:dyDescent="0.35">
      <c r="A1013" s="1">
        <v>39083</v>
      </c>
      <c r="B1013" t="s">
        <v>22</v>
      </c>
      <c r="C1013" s="2">
        <v>10724</v>
      </c>
      <c r="D1013" s="5" t="s">
        <v>17</v>
      </c>
      <c r="E1013" s="2">
        <f>IF(Tabla2[[#This Row],[Frecuencia]]="Annual", Tabla2[[#This Row],[Cosecha/Tarea]]/12,Tabla2[[#This Row],[Cosecha/Tarea]])</f>
        <v>10724</v>
      </c>
      <c r="F1013" s="2">
        <v>90360</v>
      </c>
      <c r="G1013" t="s">
        <v>18</v>
      </c>
      <c r="H1013">
        <f>F1013/Tabla2[[#This Row],[Cosecha Mensual]]</f>
        <v>8.4259604625139879</v>
      </c>
      <c r="I1013">
        <f>H1013*_xlfn.XLOOKUP(Tabla2[[#This Row],[Unidad de producción]],Tabla3[Medida],Tabla3[Equivalencia en Kg],"ELVIS",0)</f>
        <v>382.20156657963446</v>
      </c>
      <c r="J1013">
        <v>709</v>
      </c>
      <c r="K1013" t="s">
        <v>18</v>
      </c>
      <c r="L1013">
        <f>J1013/_xlfn.XLOOKUP(Tabla2[[#This Row],[Unidad de precio]],Tabla3[Medida],Tabla3[Equivalencia en Kg],"ELVIS",0)</f>
        <v>15.630511463844798</v>
      </c>
      <c r="M1013">
        <v>6063.13</v>
      </c>
      <c r="N1013" s="2">
        <f>(Tabla2[[#This Row],[Productividad (kg/TAS)]]*Tabla2[[#This Row],[Precio por kg]]-Tabla2[[#This Row],[Costos (En RD$/Tarea)]])</f>
        <v>-89.124032077583252</v>
      </c>
      <c r="O1013" s="6">
        <f>IF(Tabla2[[#This Row],[Costos (En RD$/Tarea)]]=0,0,Tabla2[[#This Row],[Beneficio Neto  (En RD$/Tarea)]]/Tabla2[[#This Row],[Costos (En RD$/Tarea)]])</f>
        <v>-1.4699343751096092E-2</v>
      </c>
      <c r="P1013" s="4">
        <f>Tabla2[[#This Row],[Rentabilidad (%)]]/12</f>
        <v>-1.2249453125913409E-3</v>
      </c>
    </row>
    <row r="1014" spans="1:16" x14ac:dyDescent="0.35">
      <c r="A1014" s="1">
        <v>39083</v>
      </c>
      <c r="B1014" t="s">
        <v>23</v>
      </c>
      <c r="C1014" s="2">
        <v>4885</v>
      </c>
      <c r="D1014" s="5" t="s">
        <v>17</v>
      </c>
      <c r="E1014" s="2">
        <f>IF(Tabla2[[#This Row],[Frecuencia]]="Annual", Tabla2[[#This Row],[Cosecha/Tarea]]/12,Tabla2[[#This Row],[Cosecha/Tarea]])</f>
        <v>4885</v>
      </c>
      <c r="F1014" s="2">
        <v>104218</v>
      </c>
      <c r="G1014" t="s">
        <v>18</v>
      </c>
      <c r="H1014">
        <f>F1014/Tabla2[[#This Row],[Cosecha Mensual]]</f>
        <v>21.334288638689866</v>
      </c>
      <c r="I1014">
        <f>H1014*_xlfn.XLOOKUP(Tabla2[[#This Row],[Unidad de producción]],Tabla3[Medida],Tabla3[Equivalencia en Kg],"ELVIS",0)</f>
        <v>967.72333265097234</v>
      </c>
      <c r="J1014">
        <v>787.33333333333303</v>
      </c>
      <c r="K1014" t="s">
        <v>18</v>
      </c>
      <c r="L1014">
        <f>J1014/_xlfn.XLOOKUP(Tabla2[[#This Row],[Unidad de precio]],Tabla3[Medida],Tabla3[Equivalencia en Kg],"ELVIS",0)</f>
        <v>17.357436801881239</v>
      </c>
      <c r="M1014">
        <v>12092.41</v>
      </c>
      <c r="N1014" s="2">
        <f>(Tabla2[[#This Row],[Productividad (kg/TAS)]]*Tabla2[[#This Row],[Precio por kg]]-Tabla2[[#This Row],[Costos (En RD$/Tarea)]])</f>
        <v>4704.7865881951475</v>
      </c>
      <c r="O1014" s="6">
        <f>IF(Tabla2[[#This Row],[Costos (En RD$/Tarea)]]=0,0,Tabla2[[#This Row],[Beneficio Neto  (En RD$/Tarea)]]/Tabla2[[#This Row],[Costos (En RD$/Tarea)]])</f>
        <v>0.38906939048503547</v>
      </c>
      <c r="P1014" s="4">
        <f>Tabla2[[#This Row],[Rentabilidad (%)]]/12</f>
        <v>3.2422449207086292E-2</v>
      </c>
    </row>
    <row r="1015" spans="1:16" x14ac:dyDescent="0.35">
      <c r="A1015" s="1">
        <v>39083</v>
      </c>
      <c r="B1015" t="s">
        <v>24</v>
      </c>
      <c r="C1015" s="2">
        <v>7815</v>
      </c>
      <c r="D1015" s="5" t="s">
        <v>17</v>
      </c>
      <c r="E1015" s="2">
        <f>IF(Tabla2[[#This Row],[Frecuencia]]="Annual", Tabla2[[#This Row],[Cosecha/Tarea]]/12,Tabla2[[#This Row],[Cosecha/Tarea]])</f>
        <v>7815</v>
      </c>
      <c r="F1015" s="2">
        <v>69292</v>
      </c>
      <c r="G1015" t="s">
        <v>18</v>
      </c>
      <c r="H1015">
        <f>F1015/Tabla2[[#This Row],[Cosecha Mensual]]</f>
        <v>8.8665387076135644</v>
      </c>
      <c r="I1015">
        <f>H1015*_xlfn.XLOOKUP(Tabla2[[#This Row],[Unidad de producción]],Tabla3[Medida],Tabla3[Equivalencia en Kg],"ELVIS",0)</f>
        <v>402.18619577735126</v>
      </c>
      <c r="J1015">
        <v>846.70833333333303</v>
      </c>
      <c r="K1015" t="s">
        <v>18</v>
      </c>
      <c r="L1015">
        <f>J1015/_xlfn.XLOOKUP(Tabla2[[#This Row],[Unidad de precio]],Tabla3[Medida],Tabla3[Equivalencia en Kg],"ELVIS",0)</f>
        <v>18.666409465020571</v>
      </c>
      <c r="M1015">
        <v>4803.45</v>
      </c>
      <c r="N1015" s="2">
        <f>(Tabla2[[#This Row],[Productividad (kg/TAS)]]*Tabla2[[#This Row],[Precio por kg]]-Tabla2[[#This Row],[Costos (En RD$/Tarea)]])</f>
        <v>2703.9222115589664</v>
      </c>
      <c r="O1015" s="6">
        <f>IF(Tabla2[[#This Row],[Costos (En RD$/Tarea)]]=0,0,Tabla2[[#This Row],[Beneficio Neto  (En RD$/Tarea)]]/Tabla2[[#This Row],[Costos (En RD$/Tarea)]])</f>
        <v>0.56291253402428809</v>
      </c>
      <c r="P1015" s="4">
        <f>Tabla2[[#This Row],[Rentabilidad (%)]]/12</f>
        <v>4.6909377835357341E-2</v>
      </c>
    </row>
    <row r="1016" spans="1:16" x14ac:dyDescent="0.35">
      <c r="A1016" s="1">
        <v>39083</v>
      </c>
      <c r="B1016" t="s">
        <v>25</v>
      </c>
      <c r="C1016" s="2">
        <v>24456</v>
      </c>
      <c r="D1016" s="5" t="s">
        <v>17</v>
      </c>
      <c r="E1016" s="2">
        <f>IF(Tabla2[[#This Row],[Frecuencia]]="Annual", Tabla2[[#This Row],[Cosecha/Tarea]]/12,Tabla2[[#This Row],[Cosecha/Tarea]])</f>
        <v>24456</v>
      </c>
      <c r="F1016" s="2">
        <v>267747</v>
      </c>
      <c r="G1016" t="s">
        <v>18</v>
      </c>
      <c r="H1016">
        <f>F1016/Tabla2[[#This Row],[Cosecha Mensual]]</f>
        <v>10.948110893032384</v>
      </c>
      <c r="I1016">
        <f>H1016*_xlfn.XLOOKUP(Tabla2[[#This Row],[Unidad de producción]],Tabla3[Medida],Tabla3[Equivalencia en Kg],"ELVIS",0)</f>
        <v>496.6063101079489</v>
      </c>
      <c r="J1016">
        <v>232.97828571428599</v>
      </c>
      <c r="K1016" t="s">
        <v>18</v>
      </c>
      <c r="L1016">
        <f>J1016/_xlfn.XLOOKUP(Tabla2[[#This Row],[Unidad de precio]],Tabla3[Medida],Tabla3[Equivalencia en Kg],"ELVIS",0)</f>
        <v>5.1362055933484569</v>
      </c>
      <c r="M1016">
        <v>2341.04</v>
      </c>
      <c r="N1016" s="2">
        <f>(Tabla2[[#This Row],[Productividad (kg/TAS)]]*Tabla2[[#This Row],[Precio por kg]]-Tabla2[[#This Row],[Costos (En RD$/Tarea)]])</f>
        <v>209.63210766858538</v>
      </c>
      <c r="O1016" s="6">
        <f>IF(Tabla2[[#This Row],[Costos (En RD$/Tarea)]]=0,0,Tabla2[[#This Row],[Beneficio Neto  (En RD$/Tarea)]]/Tabla2[[#This Row],[Costos (En RD$/Tarea)]])</f>
        <v>8.9546572321953233E-2</v>
      </c>
      <c r="P1016" s="4">
        <f>Tabla2[[#This Row],[Rentabilidad (%)]]/12</f>
        <v>7.4622143601627694E-3</v>
      </c>
    </row>
    <row r="1017" spans="1:16" x14ac:dyDescent="0.35">
      <c r="A1017" s="1">
        <v>39083</v>
      </c>
      <c r="B1017" t="s">
        <v>26</v>
      </c>
      <c r="C1017" s="2">
        <v>10693</v>
      </c>
      <c r="D1017" s="5" t="s">
        <v>17</v>
      </c>
      <c r="E1017" s="2">
        <f>IF(Tabla2[[#This Row],[Frecuencia]]="Annual", Tabla2[[#This Row],[Cosecha/Tarea]]/12,Tabla2[[#This Row],[Cosecha/Tarea]])</f>
        <v>10693</v>
      </c>
      <c r="F1017" s="2">
        <v>68116</v>
      </c>
      <c r="G1017" t="s">
        <v>18</v>
      </c>
      <c r="H1017">
        <f>F1017/Tabla2[[#This Row],[Cosecha Mensual]]</f>
        <v>6.3701486954082114</v>
      </c>
      <c r="I1017">
        <f>H1017*_xlfn.XLOOKUP(Tabla2[[#This Row],[Unidad de producción]],Tabla3[Medida],Tabla3[Equivalencia en Kg],"ELVIS",0)</f>
        <v>288.94994482371646</v>
      </c>
      <c r="J1017">
        <v>532.375</v>
      </c>
      <c r="K1017" t="s">
        <v>18</v>
      </c>
      <c r="L1017">
        <f>J1017/_xlfn.XLOOKUP(Tabla2[[#This Row],[Unidad de precio]],Tabla3[Medida],Tabla3[Equivalencia en Kg],"ELVIS",0)</f>
        <v>11.73666225749559</v>
      </c>
      <c r="M1017">
        <v>970.18</v>
      </c>
      <c r="N1017" s="2">
        <f>(Tabla2[[#This Row],[Productividad (kg/TAS)]]*Tabla2[[#This Row],[Precio por kg]]-Tabla2[[#This Row],[Costos (En RD$/Tarea)]])</f>
        <v>2421.1279117179465</v>
      </c>
      <c r="O1017" s="6">
        <f>IF(Tabla2[[#This Row],[Costos (En RD$/Tarea)]]=0,0,Tabla2[[#This Row],[Beneficio Neto  (En RD$/Tarea)]]/Tabla2[[#This Row],[Costos (En RD$/Tarea)]])</f>
        <v>2.4955450655733435</v>
      </c>
      <c r="P1017" s="4">
        <f>Tabla2[[#This Row],[Rentabilidad (%)]]/12</f>
        <v>0.20796208879777864</v>
      </c>
    </row>
    <row r="1018" spans="1:16" x14ac:dyDescent="0.35">
      <c r="A1018" s="1">
        <v>39083</v>
      </c>
      <c r="B1018" t="s">
        <v>27</v>
      </c>
      <c r="C1018" s="2">
        <v>5238</v>
      </c>
      <c r="D1018" s="5" t="s">
        <v>17</v>
      </c>
      <c r="E1018" s="2">
        <f>IF(Tabla2[[#This Row],[Frecuencia]]="Annual", Tabla2[[#This Row],[Cosecha/Tarea]]/12,Tabla2[[#This Row],[Cosecha/Tarea]])</f>
        <v>5238</v>
      </c>
      <c r="F1018" s="2">
        <v>32397</v>
      </c>
      <c r="G1018" t="s">
        <v>18</v>
      </c>
      <c r="H1018">
        <f>F1018/Tabla2[[#This Row],[Cosecha Mensual]]</f>
        <v>6.1849942726231388</v>
      </c>
      <c r="I1018">
        <f>H1018*_xlfn.XLOOKUP(Tabla2[[#This Row],[Unidad de producción]],Tabla3[Medida],Tabla3[Equivalencia en Kg],"ELVIS",0)</f>
        <v>280.55134020618556</v>
      </c>
      <c r="J1018">
        <v>277.26400000000001</v>
      </c>
      <c r="K1018" t="s">
        <v>18</v>
      </c>
      <c r="L1018">
        <f>J1018/_xlfn.XLOOKUP(Tabla2[[#This Row],[Unidad de precio]],Tabla3[Medida],Tabla3[Equivalencia en Kg],"ELVIS",0)</f>
        <v>6.1125220458553793</v>
      </c>
      <c r="M1018">
        <v>5280.51</v>
      </c>
      <c r="N1018" s="2">
        <f>(Tabla2[[#This Row],[Productividad (kg/TAS)]]*Tabla2[[#This Row],[Precio por kg]]-Tabla2[[#This Row],[Costos (En RD$/Tarea)]])</f>
        <v>-3565.6337479954182</v>
      </c>
      <c r="O1018" s="6">
        <f>IF(Tabla2[[#This Row],[Costos (En RD$/Tarea)]]=0,0,Tabla2[[#This Row],[Beneficio Neto  (En RD$/Tarea)]]/Tabla2[[#This Row],[Costos (En RD$/Tarea)]])</f>
        <v>-0.6752441995177394</v>
      </c>
      <c r="P1018" s="4">
        <f>Tabla2[[#This Row],[Rentabilidad (%)]]/12</f>
        <v>-5.6270349959811616E-2</v>
      </c>
    </row>
    <row r="1019" spans="1:16" x14ac:dyDescent="0.35">
      <c r="A1019" s="1">
        <v>39083</v>
      </c>
      <c r="B1019" t="s">
        <v>28</v>
      </c>
      <c r="C1019" s="2">
        <v>36381</v>
      </c>
      <c r="D1019" s="5" t="s">
        <v>17</v>
      </c>
      <c r="E1019" s="2">
        <f>IF(Tabla2[[#This Row],[Frecuencia]]="Annual", Tabla2[[#This Row],[Cosecha/Tarea]]/12,Tabla2[[#This Row],[Cosecha/Tarea]])</f>
        <v>36381</v>
      </c>
      <c r="F1019" s="2">
        <v>27069</v>
      </c>
      <c r="G1019" t="s">
        <v>29</v>
      </c>
      <c r="H1019">
        <f>F1019/Tabla2[[#This Row],[Cosecha Mensual]]</f>
        <v>0.74404221984002639</v>
      </c>
      <c r="I1019">
        <f>H1019*_xlfn.XLOOKUP(Tabla2[[#This Row],[Unidad de producción]],Tabla3[Medida],Tabla3[Equivalencia en Kg],"ELVIS",0)</f>
        <v>418.40470190484046</v>
      </c>
      <c r="J1019">
        <v>5708.25</v>
      </c>
      <c r="K1019" t="s">
        <v>29</v>
      </c>
      <c r="L1019">
        <f>J1019/_xlfn.XLOOKUP(Tabla2[[#This Row],[Unidad de precio]],Tabla3[Medida],Tabla3[Equivalencia en Kg],"ELVIS",0)</f>
        <v>10.150887363516732</v>
      </c>
      <c r="M1019">
        <v>10097.26</v>
      </c>
      <c r="N1019" s="2">
        <f>(Tabla2[[#This Row],[Productividad (kg/TAS)]]*Tabla2[[#This Row],[Precio por kg]]-Tabla2[[#This Row],[Costos (En RD$/Tarea)]])</f>
        <v>-5850.0809985981696</v>
      </c>
      <c r="O1019" s="6">
        <f>IF(Tabla2[[#This Row],[Costos (En RD$/Tarea)]]=0,0,Tabla2[[#This Row],[Beneficio Neto  (En RD$/Tarea)]]/Tabla2[[#This Row],[Costos (En RD$/Tarea)]])</f>
        <v>-0.57937311692460824</v>
      </c>
      <c r="P1019" s="4">
        <f>Tabla2[[#This Row],[Rentabilidad (%)]]/12</f>
        <v>-4.8281093077050689E-2</v>
      </c>
    </row>
    <row r="1020" spans="1:16" x14ac:dyDescent="0.35">
      <c r="A1020" s="1">
        <v>39083</v>
      </c>
      <c r="B1020" t="s">
        <v>30</v>
      </c>
      <c r="C1020" s="2">
        <v>312015</v>
      </c>
      <c r="D1020" s="2" t="s">
        <v>31</v>
      </c>
      <c r="E1020" s="2">
        <f>IF(Tabla2[[#This Row],[Frecuencia]]="Annual", Tabla2[[#This Row],[Cosecha/Tarea]]/12,Tabla2[[#This Row],[Cosecha/Tarea]])</f>
        <v>26001.25</v>
      </c>
      <c r="F1020" s="2">
        <v>1842678</v>
      </c>
      <c r="G1020" t="s">
        <v>32</v>
      </c>
      <c r="H1020">
        <f>F1020/Tabla2[[#This Row],[Cosecha Mensual]]</f>
        <v>70.868823614249308</v>
      </c>
      <c r="I1020">
        <f>H1020*_xlfn.XLOOKUP(Tabla2[[#This Row],[Unidad de producción]],Tabla3[Medida],Tabla3[Equivalencia en Kg],"ELVIS",0)</f>
        <v>1928.3406905437237</v>
      </c>
      <c r="J1020">
        <v>68.175714285714307</v>
      </c>
      <c r="K1020" t="s">
        <v>32</v>
      </c>
      <c r="L1020">
        <f>J1020/_xlfn.XLOOKUP(Tabla2[[#This Row],[Unidad de precio]],Tabla3[Medida],Tabla3[Equivalencia en Kg],"ELVIS",0)</f>
        <v>2.5055389300152262</v>
      </c>
      <c r="M1020" s="2">
        <v>8303.36</v>
      </c>
      <c r="N1020" s="2">
        <f>(Tabla2[[#This Row],[Productividad (kg/TAS)]]*Tabla2[[#This Row],[Precio por kg]]-Tabla2[[#This Row],[Costos (En RD$/Tarea)]])</f>
        <v>-3471.8273295102572</v>
      </c>
      <c r="O1020" s="6">
        <f>IF(Tabla2[[#This Row],[Costos (En RD$/Tarea)]]=0,0,Tabla2[[#This Row],[Beneficio Neto  (En RD$/Tarea)]]/Tabla2[[#This Row],[Costos (En RD$/Tarea)]])</f>
        <v>-0.41812318501308587</v>
      </c>
      <c r="P1020" s="4">
        <f>Tabla2[[#This Row],[Rentabilidad (%)]]/12</f>
        <v>-3.4843598751090492E-2</v>
      </c>
    </row>
    <row r="1021" spans="1:16" x14ac:dyDescent="0.35">
      <c r="A1021" s="1">
        <v>39083</v>
      </c>
      <c r="B1021" t="s">
        <v>33</v>
      </c>
      <c r="C1021" s="2">
        <v>743353</v>
      </c>
      <c r="D1021" s="2" t="s">
        <v>31</v>
      </c>
      <c r="E1021" s="2">
        <f>IF(Tabla2[[#This Row],[Frecuencia]]="Annual", Tabla2[[#This Row],[Cosecha/Tarea]]/12,Tabla2[[#This Row],[Cosecha/Tarea]])</f>
        <v>61946.083333333336</v>
      </c>
      <c r="F1021" s="2">
        <v>135689</v>
      </c>
      <c r="G1021" t="s">
        <v>34</v>
      </c>
      <c r="H1021">
        <f>F1021/Tabla2[[#This Row],[Cosecha Mensual]]</f>
        <v>2.1904371139956385</v>
      </c>
      <c r="I1021">
        <f>H1021*_xlfn.XLOOKUP(Tabla2[[#This Row],[Unidad de producción]],Tabla3[Medida],Tabla3[Equivalencia en Kg],"ELVIS",0)</f>
        <v>894.02690807731983</v>
      </c>
      <c r="J1021">
        <v>2993.1416666666701</v>
      </c>
      <c r="K1021" t="s">
        <v>34</v>
      </c>
      <c r="L1021">
        <f>J1021/_xlfn.XLOOKUP(Tabla2[[#This Row],[Unidad de precio]],Tabla3[Medida],Tabla3[Equivalencia en Kg],"ELVIS",0)</f>
        <v>7.3334354199844913</v>
      </c>
      <c r="M1021" s="2">
        <v>11167.89</v>
      </c>
      <c r="N1021" s="2">
        <f>(Tabla2[[#This Row],[Productividad (kg/TAS)]]*Tabla2[[#This Row],[Precio por kg]]-Tabla2[[#This Row],[Costos (En RD$/Tarea)]])</f>
        <v>-4611.601405886563</v>
      </c>
      <c r="O1021" s="6">
        <f>IF(Tabla2[[#This Row],[Costos (En RD$/Tarea)]]=0,0,Tabla2[[#This Row],[Beneficio Neto  (En RD$/Tarea)]]/Tabla2[[#This Row],[Costos (En RD$/Tarea)]])</f>
        <v>-0.41293399253453994</v>
      </c>
      <c r="P1021" s="4">
        <f>Tabla2[[#This Row],[Rentabilidad (%)]]/12</f>
        <v>-3.4411166044544993E-2</v>
      </c>
    </row>
    <row r="1022" spans="1:16" x14ac:dyDescent="0.35">
      <c r="A1022" s="1">
        <v>39114</v>
      </c>
      <c r="B1022" t="s">
        <v>16</v>
      </c>
      <c r="C1022" s="2">
        <v>2022</v>
      </c>
      <c r="D1022" s="5" t="s">
        <v>17</v>
      </c>
      <c r="E1022" s="2">
        <f>IF(Tabla2[[#This Row],[Frecuencia]]="Annual", Tabla2[[#This Row],[Cosecha/Tarea]]/12,Tabla2[[#This Row],[Cosecha/Tarea]])</f>
        <v>2022</v>
      </c>
      <c r="F1022" s="2">
        <v>4799</v>
      </c>
      <c r="G1022" t="s">
        <v>18</v>
      </c>
      <c r="H1022">
        <f>F1022/Tabla2[[#This Row],[Cosecha Mensual]]</f>
        <v>2.3733926805143422</v>
      </c>
      <c r="I1022">
        <f>H1022*_xlfn.XLOOKUP(Tabla2[[#This Row],[Unidad de producción]],Tabla3[Medida],Tabla3[Equivalencia en Kg],"ELVIS",0)</f>
        <v>107.65709198813056</v>
      </c>
      <c r="J1022">
        <v>1329.8333333333301</v>
      </c>
      <c r="K1022" t="s">
        <v>19</v>
      </c>
      <c r="L1022">
        <f>J1022/_xlfn.XLOOKUP(Tabla2[[#This Row],[Unidad de precio]],Tabla3[Medida],Tabla3[Equivalencia en Kg],"ELVIS",0)</f>
        <v>12.08939393939391</v>
      </c>
      <c r="M1022">
        <v>5339.5</v>
      </c>
      <c r="N1022" s="2">
        <f>(Tabla2[[#This Row],[Productividad (kg/TAS)]]*Tabla2[[#This Row],[Precio por kg]]-Tabla2[[#This Row],[Costos (En RD$/Tarea)]])</f>
        <v>-4037.9910045859215</v>
      </c>
      <c r="O1022" s="6">
        <f>IF(Tabla2[[#This Row],[Costos (En RD$/Tarea)]]=0,0,Tabla2[[#This Row],[Beneficio Neto  (En RD$/Tarea)]]/Tabla2[[#This Row],[Costos (En RD$/Tarea)]])</f>
        <v>-0.75624890056857785</v>
      </c>
      <c r="P1022" s="4">
        <f>Tabla2[[#This Row],[Rentabilidad (%)]]/12</f>
        <v>-6.3020741714048159E-2</v>
      </c>
    </row>
    <row r="1023" spans="1:16" x14ac:dyDescent="0.35">
      <c r="A1023" s="1">
        <v>39114</v>
      </c>
      <c r="B1023" t="s">
        <v>20</v>
      </c>
      <c r="C1023" s="2">
        <v>21005</v>
      </c>
      <c r="D1023" s="5" t="s">
        <v>17</v>
      </c>
      <c r="E1023" s="2">
        <f>IF(Tabla2[[#This Row],[Frecuencia]]="Annual", Tabla2[[#This Row],[Cosecha/Tarea]]/12,Tabla2[[#This Row],[Cosecha/Tarea]])</f>
        <v>21005</v>
      </c>
      <c r="F1023" s="2">
        <v>29415</v>
      </c>
      <c r="G1023" t="s">
        <v>18</v>
      </c>
      <c r="H1023">
        <f>F1023/Tabla2[[#This Row],[Cosecha Mensual]]</f>
        <v>1.4003808616995954</v>
      </c>
      <c r="I1023">
        <f>H1023*_xlfn.XLOOKUP(Tabla2[[#This Row],[Unidad de producción]],Tabla3[Medida],Tabla3[Equivalencia en Kg],"ELVIS",0)</f>
        <v>63.521275886693644</v>
      </c>
      <c r="J1023">
        <v>372.59872799999999</v>
      </c>
      <c r="K1023" t="s">
        <v>18</v>
      </c>
      <c r="L1023">
        <f>J1023/_xlfn.XLOOKUP(Tabla2[[#This Row],[Unidad de precio]],Tabla3[Medida],Tabla3[Equivalencia en Kg],"ELVIS",0)</f>
        <v>8.2142576719576716</v>
      </c>
      <c r="M1023">
        <v>1417.48</v>
      </c>
      <c r="N1023" s="2">
        <f>(Tabla2[[#This Row],[Productividad (kg/TAS)]]*Tabla2[[#This Row],[Precio por kg]]-Tabla2[[#This Row],[Costos (En RD$/Tarea)]])</f>
        <v>-895.69987221518693</v>
      </c>
      <c r="O1023" s="6">
        <f>IF(Tabla2[[#This Row],[Costos (En RD$/Tarea)]]=0,0,Tabla2[[#This Row],[Beneficio Neto  (En RD$/Tarea)]]/Tabla2[[#This Row],[Costos (En RD$/Tarea)]])</f>
        <v>-0.63189595071195848</v>
      </c>
      <c r="P1023" s="4">
        <f>Tabla2[[#This Row],[Rentabilidad (%)]]/12</f>
        <v>-5.2657995892663206E-2</v>
      </c>
    </row>
    <row r="1024" spans="1:16" x14ac:dyDescent="0.35">
      <c r="A1024" s="1">
        <v>39114</v>
      </c>
      <c r="B1024" t="s">
        <v>21</v>
      </c>
      <c r="C1024" s="2">
        <v>8805</v>
      </c>
      <c r="D1024" s="5" t="s">
        <v>17</v>
      </c>
      <c r="E1024" s="2">
        <f>IF(Tabla2[[#This Row],[Frecuencia]]="Annual", Tabla2[[#This Row],[Cosecha/Tarea]]/12,Tabla2[[#This Row],[Cosecha/Tarea]])</f>
        <v>8805</v>
      </c>
      <c r="F1024" s="2">
        <v>95350</v>
      </c>
      <c r="G1024" t="s">
        <v>18</v>
      </c>
      <c r="H1024">
        <f>F1024/Tabla2[[#This Row],[Cosecha Mensual]]</f>
        <v>10.829074389551391</v>
      </c>
      <c r="I1024">
        <f>H1024*_xlfn.XLOOKUP(Tabla2[[#This Row],[Unidad de producción]],Tabla3[Medida],Tabla3[Equivalencia en Kg],"ELVIS",0)</f>
        <v>491.20681431005107</v>
      </c>
      <c r="J1024">
        <v>201.87200000000001</v>
      </c>
      <c r="K1024" t="s">
        <v>18</v>
      </c>
      <c r="L1024">
        <f>J1024/_xlfn.XLOOKUP(Tabla2[[#This Row],[Unidad de precio]],Tabla3[Medida],Tabla3[Equivalencia en Kg],"ELVIS",0)</f>
        <v>4.450440917107584</v>
      </c>
      <c r="M1024">
        <v>2131.605</v>
      </c>
      <c r="N1024" s="2">
        <f>(Tabla2[[#This Row],[Productividad (kg/TAS)]]*Tabla2[[#This Row],[Precio por kg]]-Tabla2[[#This Row],[Costos (En RD$/Tarea)]])</f>
        <v>54.481905167518562</v>
      </c>
      <c r="O1024" s="6">
        <f>IF(Tabla2[[#This Row],[Costos (En RD$/Tarea)]]=0,0,Tabla2[[#This Row],[Beneficio Neto  (En RD$/Tarea)]]/Tabla2[[#This Row],[Costos (En RD$/Tarea)]])</f>
        <v>2.5559099911812256E-2</v>
      </c>
      <c r="P1024" s="4">
        <f>Tabla2[[#This Row],[Rentabilidad (%)]]/12</f>
        <v>2.1299249926510213E-3</v>
      </c>
    </row>
    <row r="1025" spans="1:16" x14ac:dyDescent="0.35">
      <c r="A1025" s="1">
        <v>39114</v>
      </c>
      <c r="B1025" t="s">
        <v>22</v>
      </c>
      <c r="C1025" s="2">
        <v>9595</v>
      </c>
      <c r="D1025" s="5" t="s">
        <v>17</v>
      </c>
      <c r="E1025" s="2">
        <f>IF(Tabla2[[#This Row],[Frecuencia]]="Annual", Tabla2[[#This Row],[Cosecha/Tarea]]/12,Tabla2[[#This Row],[Cosecha/Tarea]])</f>
        <v>9595</v>
      </c>
      <c r="F1025" s="2">
        <v>80997</v>
      </c>
      <c r="G1025" t="s">
        <v>18</v>
      </c>
      <c r="H1025">
        <f>F1025/Tabla2[[#This Row],[Cosecha Mensual]]</f>
        <v>8.4415841584158411</v>
      </c>
      <c r="I1025">
        <f>H1025*_xlfn.XLOOKUP(Tabla2[[#This Row],[Unidad de producción]],Tabla3[Medida],Tabla3[Equivalencia en Kg],"ELVIS",0)</f>
        <v>382.91025742574254</v>
      </c>
      <c r="J1025">
        <v>931.2</v>
      </c>
      <c r="K1025" t="s">
        <v>18</v>
      </c>
      <c r="L1025">
        <f>J1025/_xlfn.XLOOKUP(Tabla2[[#This Row],[Unidad de precio]],Tabla3[Medida],Tabla3[Equivalencia en Kg],"ELVIS",0)</f>
        <v>20.529100529100532</v>
      </c>
      <c r="M1025">
        <v>6063.13</v>
      </c>
      <c r="N1025" s="2">
        <f>(Tabla2[[#This Row],[Productividad (kg/TAS)]]*Tabla2[[#This Row],[Precio por kg]]-Tabla2[[#This Row],[Costos (En RD$/Tarea)]])</f>
        <v>1797.6731683168318</v>
      </c>
      <c r="O1025" s="6">
        <f>IF(Tabla2[[#This Row],[Costos (En RD$/Tarea)]]=0,0,Tabla2[[#This Row],[Beneficio Neto  (En RD$/Tarea)]]/Tabla2[[#This Row],[Costos (En RD$/Tarea)]])</f>
        <v>0.29649259842966119</v>
      </c>
      <c r="P1025" s="4">
        <f>Tabla2[[#This Row],[Rentabilidad (%)]]/12</f>
        <v>2.4707716535805099E-2</v>
      </c>
    </row>
    <row r="1026" spans="1:16" x14ac:dyDescent="0.35">
      <c r="A1026" s="1">
        <v>39114</v>
      </c>
      <c r="B1026" t="s">
        <v>23</v>
      </c>
      <c r="C1026" s="2">
        <v>3105</v>
      </c>
      <c r="D1026" s="5" t="s">
        <v>17</v>
      </c>
      <c r="E1026" s="2">
        <f>IF(Tabla2[[#This Row],[Frecuencia]]="Annual", Tabla2[[#This Row],[Cosecha/Tarea]]/12,Tabla2[[#This Row],[Cosecha/Tarea]])</f>
        <v>3105</v>
      </c>
      <c r="F1026" s="2">
        <v>97888</v>
      </c>
      <c r="G1026" t="s">
        <v>18</v>
      </c>
      <c r="H1026">
        <f>F1026/Tabla2[[#This Row],[Cosecha Mensual]]</f>
        <v>31.525925925925925</v>
      </c>
      <c r="I1026">
        <f>H1026*_xlfn.XLOOKUP(Tabla2[[#This Row],[Unidad de producción]],Tabla3[Medida],Tabla3[Equivalencia en Kg],"ELVIS",0)</f>
        <v>1430.0159999999998</v>
      </c>
      <c r="J1026">
        <v>955.91666666666697</v>
      </c>
      <c r="K1026" t="s">
        <v>18</v>
      </c>
      <c r="L1026">
        <f>J1026/_xlfn.XLOOKUP(Tabla2[[#This Row],[Unidad de precio]],Tabla3[Medida],Tabla3[Equivalencia en Kg],"ELVIS",0)</f>
        <v>21.074000587889483</v>
      </c>
      <c r="M1026">
        <v>12092.41</v>
      </c>
      <c r="N1026" s="2">
        <f>(Tabla2[[#This Row],[Productividad (kg/TAS)]]*Tabla2[[#This Row],[Precio por kg]]-Tabla2[[#This Row],[Costos (En RD$/Tarea)]])</f>
        <v>18043.748024691362</v>
      </c>
      <c r="O1026" s="6">
        <f>IF(Tabla2[[#This Row],[Costos (En RD$/Tarea)]]=0,0,Tabla2[[#This Row],[Beneficio Neto  (En RD$/Tarea)]]/Tabla2[[#This Row],[Costos (En RD$/Tarea)]])</f>
        <v>1.4921548330474539</v>
      </c>
      <c r="P1026" s="4">
        <f>Tabla2[[#This Row],[Rentabilidad (%)]]/12</f>
        <v>0.12434623608728783</v>
      </c>
    </row>
    <row r="1027" spans="1:16" x14ac:dyDescent="0.35">
      <c r="A1027" s="1">
        <v>39114</v>
      </c>
      <c r="B1027" t="s">
        <v>24</v>
      </c>
      <c r="C1027" s="2">
        <v>9034</v>
      </c>
      <c r="D1027" s="5" t="s">
        <v>17</v>
      </c>
      <c r="E1027" s="2">
        <f>IF(Tabla2[[#This Row],[Frecuencia]]="Annual", Tabla2[[#This Row],[Cosecha/Tarea]]/12,Tabla2[[#This Row],[Cosecha/Tarea]])</f>
        <v>9034</v>
      </c>
      <c r="F1027" s="2">
        <v>78965</v>
      </c>
      <c r="G1027" t="s">
        <v>18</v>
      </c>
      <c r="H1027">
        <f>F1027/Tabla2[[#This Row],[Cosecha Mensual]]</f>
        <v>8.7408678326322775</v>
      </c>
      <c r="I1027">
        <f>H1027*_xlfn.XLOOKUP(Tabla2[[#This Row],[Unidad de producción]],Tabla3[Medida],Tabla3[Equivalencia en Kg],"ELVIS",0)</f>
        <v>396.48576488820009</v>
      </c>
      <c r="J1027">
        <v>890.91666666666697</v>
      </c>
      <c r="K1027" t="s">
        <v>18</v>
      </c>
      <c r="L1027">
        <f>J1027/_xlfn.XLOOKUP(Tabla2[[#This Row],[Unidad de precio]],Tabla3[Medida],Tabla3[Equivalencia en Kg],"ELVIS",0)</f>
        <v>19.641019988242217</v>
      </c>
      <c r="M1027">
        <v>4803.45</v>
      </c>
      <c r="N1027" s="2">
        <f>(Tabla2[[#This Row],[Productividad (kg/TAS)]]*Tabla2[[#This Row],[Precio por kg]]-Tabla2[[#This Row],[Costos (En RD$/Tarea)]])</f>
        <v>2983.9348332226427</v>
      </c>
      <c r="O1027" s="6">
        <f>IF(Tabla2[[#This Row],[Costos (En RD$/Tarea)]]=0,0,Tabla2[[#This Row],[Beneficio Neto  (En RD$/Tarea)]]/Tabla2[[#This Row],[Costos (En RD$/Tarea)]])</f>
        <v>0.62120659801239586</v>
      </c>
      <c r="P1027" s="4">
        <f>Tabla2[[#This Row],[Rentabilidad (%)]]/12</f>
        <v>5.1767216501032991E-2</v>
      </c>
    </row>
    <row r="1028" spans="1:16" x14ac:dyDescent="0.35">
      <c r="A1028" s="1">
        <v>39114</v>
      </c>
      <c r="B1028" t="s">
        <v>25</v>
      </c>
      <c r="C1028" s="2">
        <v>31169</v>
      </c>
      <c r="D1028" s="5" t="s">
        <v>17</v>
      </c>
      <c r="E1028" s="2">
        <f>IF(Tabla2[[#This Row],[Frecuencia]]="Annual", Tabla2[[#This Row],[Cosecha/Tarea]]/12,Tabla2[[#This Row],[Cosecha/Tarea]])</f>
        <v>31169</v>
      </c>
      <c r="F1028" s="2">
        <v>331949</v>
      </c>
      <c r="G1028" t="s">
        <v>18</v>
      </c>
      <c r="H1028">
        <f>F1028/Tabla2[[#This Row],[Cosecha Mensual]]</f>
        <v>10.649972729314383</v>
      </c>
      <c r="I1028">
        <f>H1028*_xlfn.XLOOKUP(Tabla2[[#This Row],[Unidad de producción]],Tabla3[Medida],Tabla3[Equivalencia en Kg],"ELVIS",0)</f>
        <v>483.08276300170041</v>
      </c>
      <c r="J1028">
        <v>264.50657142857102</v>
      </c>
      <c r="K1028" t="s">
        <v>18</v>
      </c>
      <c r="L1028">
        <f>J1028/_xlfn.XLOOKUP(Tabla2[[#This Row],[Unidad de precio]],Tabla3[Medida],Tabla3[Equivalencia en Kg],"ELVIS",0)</f>
        <v>5.8312736205593261</v>
      </c>
      <c r="M1028">
        <v>2341.04</v>
      </c>
      <c r="N1028" s="2">
        <f>(Tabla2[[#This Row],[Productividad (kg/TAS)]]*Tabla2[[#This Row],[Precio por kg]]-Tabla2[[#This Row],[Costos (En RD$/Tarea)]])</f>
        <v>475.94777243872841</v>
      </c>
      <c r="O1028" s="6">
        <f>IF(Tabla2[[#This Row],[Costos (En RD$/Tarea)]]=0,0,Tabla2[[#This Row],[Beneficio Neto  (En RD$/Tarea)]]/Tabla2[[#This Row],[Costos (En RD$/Tarea)]])</f>
        <v>0.20330612567009892</v>
      </c>
      <c r="P1028" s="4">
        <f>Tabla2[[#This Row],[Rentabilidad (%)]]/12</f>
        <v>1.694217713917491E-2</v>
      </c>
    </row>
    <row r="1029" spans="1:16" x14ac:dyDescent="0.35">
      <c r="A1029" s="1">
        <v>39114</v>
      </c>
      <c r="B1029" t="s">
        <v>26</v>
      </c>
      <c r="C1029" s="2">
        <v>15005</v>
      </c>
      <c r="D1029" s="5" t="s">
        <v>17</v>
      </c>
      <c r="E1029" s="2">
        <f>IF(Tabla2[[#This Row],[Frecuencia]]="Annual", Tabla2[[#This Row],[Cosecha/Tarea]]/12,Tabla2[[#This Row],[Cosecha/Tarea]])</f>
        <v>15005</v>
      </c>
      <c r="F1029" s="2">
        <v>86112</v>
      </c>
      <c r="G1029" t="s">
        <v>18</v>
      </c>
      <c r="H1029">
        <f>F1029/Tabla2[[#This Row],[Cosecha Mensual]]</f>
        <v>5.7388870376541155</v>
      </c>
      <c r="I1029">
        <f>H1029*_xlfn.XLOOKUP(Tabla2[[#This Row],[Unidad de producción]],Tabla3[Medida],Tabla3[Equivalencia en Kg],"ELVIS",0)</f>
        <v>260.31591602799068</v>
      </c>
      <c r="J1029">
        <v>440.91750000000002</v>
      </c>
      <c r="K1029" t="s">
        <v>18</v>
      </c>
      <c r="L1029">
        <f>J1029/_xlfn.XLOOKUP(Tabla2[[#This Row],[Unidad de precio]],Tabla3[Medida],Tabla3[Equivalencia en Kg],"ELVIS",0)</f>
        <v>9.72040343915344</v>
      </c>
      <c r="M1029">
        <v>970.18</v>
      </c>
      <c r="N1029" s="2">
        <f>(Tabla2[[#This Row],[Productividad (kg/TAS)]]*Tabla2[[#This Row],[Precio por kg]]-Tabla2[[#This Row],[Costos (En RD$/Tarea)]])</f>
        <v>1560.1957254248587</v>
      </c>
      <c r="O1029" s="6">
        <f>IF(Tabla2[[#This Row],[Costos (En RD$/Tarea)]]=0,0,Tabla2[[#This Row],[Beneficio Neto  (En RD$/Tarea)]]/Tabla2[[#This Row],[Costos (En RD$/Tarea)]])</f>
        <v>1.6081507817362333</v>
      </c>
      <c r="P1029" s="4">
        <f>Tabla2[[#This Row],[Rentabilidad (%)]]/12</f>
        <v>0.1340125651446861</v>
      </c>
    </row>
    <row r="1030" spans="1:16" x14ac:dyDescent="0.35">
      <c r="A1030" s="1">
        <v>39114</v>
      </c>
      <c r="B1030" t="s">
        <v>27</v>
      </c>
      <c r="C1030" s="2">
        <v>5675</v>
      </c>
      <c r="D1030" s="5" t="s">
        <v>17</v>
      </c>
      <c r="E1030" s="2">
        <f>IF(Tabla2[[#This Row],[Frecuencia]]="Annual", Tabla2[[#This Row],[Cosecha/Tarea]]/12,Tabla2[[#This Row],[Cosecha/Tarea]])</f>
        <v>5675</v>
      </c>
      <c r="F1030" s="2">
        <v>42306</v>
      </c>
      <c r="G1030" t="s">
        <v>18</v>
      </c>
      <c r="H1030">
        <f>F1030/Tabla2[[#This Row],[Cosecha Mensual]]</f>
        <v>7.4548017621145375</v>
      </c>
      <c r="I1030">
        <f>H1030*_xlfn.XLOOKUP(Tabla2[[#This Row],[Unidad de producción]],Tabla3[Medida],Tabla3[Equivalencia en Kg],"ELVIS",0)</f>
        <v>338.14980792951542</v>
      </c>
      <c r="J1030">
        <v>231.553333333334</v>
      </c>
      <c r="K1030" t="s">
        <v>18</v>
      </c>
      <c r="L1030">
        <f>J1030/_xlfn.XLOOKUP(Tabla2[[#This Row],[Unidad de precio]],Tabla3[Medida],Tabla3[Equivalencia en Kg],"ELVIS",0)</f>
        <v>5.1047912992357585</v>
      </c>
      <c r="M1030">
        <v>5280.51</v>
      </c>
      <c r="N1030" s="2">
        <f>(Tabla2[[#This Row],[Productividad (kg/TAS)]]*Tabla2[[#This Row],[Precio por kg]]-Tabla2[[#This Row],[Costos (En RD$/Tarea)]])</f>
        <v>-3554.3258026431668</v>
      </c>
      <c r="O1030" s="6">
        <f>IF(Tabla2[[#This Row],[Costos (En RD$/Tarea)]]=0,0,Tabla2[[#This Row],[Beneficio Neto  (En RD$/Tarea)]]/Tabla2[[#This Row],[Costos (En RD$/Tarea)]])</f>
        <v>-0.6731027500455764</v>
      </c>
      <c r="P1030" s="4">
        <f>Tabla2[[#This Row],[Rentabilidad (%)]]/12</f>
        <v>-5.6091895837131367E-2</v>
      </c>
    </row>
    <row r="1031" spans="1:16" x14ac:dyDescent="0.35">
      <c r="A1031" s="1">
        <v>39114</v>
      </c>
      <c r="B1031" t="s">
        <v>28</v>
      </c>
      <c r="C1031" s="2">
        <v>22831</v>
      </c>
      <c r="D1031" s="5" t="s">
        <v>17</v>
      </c>
      <c r="E1031" s="2">
        <f>IF(Tabla2[[#This Row],[Frecuencia]]="Annual", Tabla2[[#This Row],[Cosecha/Tarea]]/12,Tabla2[[#This Row],[Cosecha/Tarea]])</f>
        <v>22831</v>
      </c>
      <c r="F1031" s="2">
        <v>16243</v>
      </c>
      <c r="G1031" t="s">
        <v>29</v>
      </c>
      <c r="H1031">
        <f>F1031/Tabla2[[#This Row],[Cosecha Mensual]]</f>
        <v>0.71144496517892342</v>
      </c>
      <c r="I1031">
        <f>H1031*_xlfn.XLOOKUP(Tabla2[[#This Row],[Unidad de producción]],Tabla3[Medida],Tabla3[Equivalencia en Kg],"ELVIS",0)</f>
        <v>400.07396171871579</v>
      </c>
      <c r="J1031">
        <v>6462.0825000000004</v>
      </c>
      <c r="K1031" t="s">
        <v>29</v>
      </c>
      <c r="L1031">
        <f>J1031/_xlfn.XLOOKUP(Tabla2[[#This Row],[Unidad de precio]],Tabla3[Medida],Tabla3[Equivalencia en Kg],"ELVIS",0)</f>
        <v>11.491415335917772</v>
      </c>
      <c r="M1031">
        <v>10097.26</v>
      </c>
      <c r="N1031" s="2">
        <f>(Tabla2[[#This Row],[Productividad (kg/TAS)]]*Tabla2[[#This Row],[Precio por kg]]-Tabla2[[#This Row],[Costos (En RD$/Tarea)]])</f>
        <v>-5499.8439408041704</v>
      </c>
      <c r="O1031" s="6">
        <f>IF(Tabla2[[#This Row],[Costos (En RD$/Tarea)]]=0,0,Tabla2[[#This Row],[Beneficio Neto  (En RD$/Tarea)]]/Tabla2[[#This Row],[Costos (En RD$/Tarea)]])</f>
        <v>-0.54468677055004722</v>
      </c>
      <c r="P1031" s="4">
        <f>Tabla2[[#This Row],[Rentabilidad (%)]]/12</f>
        <v>-4.5390564212503932E-2</v>
      </c>
    </row>
    <row r="1032" spans="1:16" x14ac:dyDescent="0.35">
      <c r="A1032" s="1">
        <v>39114</v>
      </c>
      <c r="B1032" t="s">
        <v>30</v>
      </c>
      <c r="C1032" s="2">
        <v>311172</v>
      </c>
      <c r="D1032" s="2" t="s">
        <v>31</v>
      </c>
      <c r="E1032" s="2">
        <f>IF(Tabla2[[#This Row],[Frecuencia]]="Annual", Tabla2[[#This Row],[Cosecha/Tarea]]/12,Tabla2[[#This Row],[Cosecha/Tarea]])</f>
        <v>25931</v>
      </c>
      <c r="F1032" s="2">
        <v>1656375</v>
      </c>
      <c r="G1032" t="s">
        <v>32</v>
      </c>
      <c r="H1032">
        <f>F1032/Tabla2[[#This Row],[Cosecha Mensual]]</f>
        <v>63.876248505649606</v>
      </c>
      <c r="I1032">
        <f>H1032*_xlfn.XLOOKUP(Tabla2[[#This Row],[Unidad de producción]],Tabla3[Medida],Tabla3[Equivalencia en Kg],"ELVIS",0)</f>
        <v>1738.0727218387258</v>
      </c>
      <c r="J1032">
        <v>67.562857142857098</v>
      </c>
      <c r="K1032" t="s">
        <v>32</v>
      </c>
      <c r="L1032">
        <f>J1032/_xlfn.XLOOKUP(Tabla2[[#This Row],[Unidad de precio]],Tabla3[Medida],Tabla3[Equivalencia en Kg],"ELVIS",0)</f>
        <v>2.4830156980101834</v>
      </c>
      <c r="M1032" s="2">
        <v>8303.36</v>
      </c>
      <c r="N1032" s="2">
        <f>(Tabla2[[#This Row],[Productividad (kg/TAS)]]*Tabla2[[#This Row],[Precio por kg]]-Tabla2[[#This Row],[Costos (En RD$/Tarea)]])</f>
        <v>-3987.6981473911574</v>
      </c>
      <c r="O1032" s="6">
        <f>IF(Tabla2[[#This Row],[Costos (En RD$/Tarea)]]=0,0,Tabla2[[#This Row],[Beneficio Neto  (En RD$/Tarea)]]/Tabla2[[#This Row],[Costos (En RD$/Tarea)]])</f>
        <v>-0.48025114500529387</v>
      </c>
      <c r="P1032" s="4">
        <f>Tabla2[[#This Row],[Rentabilidad (%)]]/12</f>
        <v>-4.0020928750441158E-2</v>
      </c>
    </row>
    <row r="1033" spans="1:16" x14ac:dyDescent="0.35">
      <c r="A1033" s="1">
        <v>39114</v>
      </c>
      <c r="B1033" t="s">
        <v>33</v>
      </c>
      <c r="C1033" s="2">
        <v>779855</v>
      </c>
      <c r="D1033" s="2" t="s">
        <v>31</v>
      </c>
      <c r="E1033" s="2">
        <f>IF(Tabla2[[#This Row],[Frecuencia]]="Annual", Tabla2[[#This Row],[Cosecha/Tarea]]/12,Tabla2[[#This Row],[Cosecha/Tarea]])</f>
        <v>64987.916666666664</v>
      </c>
      <c r="F1033" s="2">
        <v>149654</v>
      </c>
      <c r="G1033" t="s">
        <v>34</v>
      </c>
      <c r="H1033">
        <f>F1033/Tabla2[[#This Row],[Cosecha Mensual]]</f>
        <v>2.3027973148854595</v>
      </c>
      <c r="I1033">
        <f>H1033*_xlfn.XLOOKUP(Tabla2[[#This Row],[Unidad de producción]],Tabla3[Medida],Tabla3[Equivalencia en Kg],"ELVIS",0)</f>
        <v>939.88672407050024</v>
      </c>
      <c r="J1033">
        <v>3283.3728571428601</v>
      </c>
      <c r="K1033" t="s">
        <v>34</v>
      </c>
      <c r="L1033">
        <f>J1033/_xlfn.XLOOKUP(Tabla2[[#This Row],[Unidad de precio]],Tabla3[Medida],Tabla3[Equivalencia en Kg],"ELVIS",0)</f>
        <v>8.0445249470607862</v>
      </c>
      <c r="M1033" s="2">
        <v>11167.89</v>
      </c>
      <c r="N1033" s="2">
        <f>(Tabla2[[#This Row],[Productividad (kg/TAS)]]*Tabla2[[#This Row],[Precio por kg]]-Tabla2[[#This Row],[Costos (En RD$/Tarea)]])</f>
        <v>-3606.9478008036231</v>
      </c>
      <c r="O1033" s="6">
        <f>IF(Tabla2[[#This Row],[Costos (En RD$/Tarea)]]=0,0,Tabla2[[#This Row],[Beneficio Neto  (En RD$/Tarea)]]/Tabla2[[#This Row],[Costos (En RD$/Tarea)]])</f>
        <v>-0.3229748681983457</v>
      </c>
      <c r="P1033" s="4">
        <f>Tabla2[[#This Row],[Rentabilidad (%)]]/12</f>
        <v>-2.691457234986214E-2</v>
      </c>
    </row>
    <row r="1034" spans="1:16" x14ac:dyDescent="0.35">
      <c r="A1034" s="1">
        <v>39142</v>
      </c>
      <c r="B1034" t="s">
        <v>16</v>
      </c>
      <c r="C1034" s="2">
        <v>7245</v>
      </c>
      <c r="D1034" s="5" t="s">
        <v>17</v>
      </c>
      <c r="E1034" s="2">
        <f>IF(Tabla2[[#This Row],[Frecuencia]]="Annual", Tabla2[[#This Row],[Cosecha/Tarea]]/12,Tabla2[[#This Row],[Cosecha/Tarea]])</f>
        <v>7245</v>
      </c>
      <c r="F1034" s="2">
        <v>27936</v>
      </c>
      <c r="G1034" t="s">
        <v>18</v>
      </c>
      <c r="H1034">
        <f>F1034/Tabla2[[#This Row],[Cosecha Mensual]]</f>
        <v>3.8559006211180122</v>
      </c>
      <c r="I1034">
        <f>H1034*_xlfn.XLOOKUP(Tabla2[[#This Row],[Unidad de producción]],Tabla3[Medida],Tabla3[Equivalencia en Kg],"ELVIS",0)</f>
        <v>174.90365217391303</v>
      </c>
      <c r="J1034">
        <v>1295.2</v>
      </c>
      <c r="K1034" t="s">
        <v>19</v>
      </c>
      <c r="L1034">
        <f>J1034/_xlfn.XLOOKUP(Tabla2[[#This Row],[Unidad de precio]],Tabla3[Medida],Tabla3[Equivalencia en Kg],"ELVIS",0)</f>
        <v>11.774545454545455</v>
      </c>
      <c r="M1034">
        <v>5339.5</v>
      </c>
      <c r="N1034" s="2">
        <f>(Tabla2[[#This Row],[Productividad (kg/TAS)]]*Tabla2[[#This Row],[Precio por kg]]-Tabla2[[#This Row],[Costos (En RD$/Tarea)]])</f>
        <v>-3280.088997312253</v>
      </c>
      <c r="O1034" s="6">
        <f>IF(Tabla2[[#This Row],[Costos (En RD$/Tarea)]]=0,0,Tabla2[[#This Row],[Beneficio Neto  (En RD$/Tarea)]]/Tabla2[[#This Row],[Costos (En RD$/Tarea)]])</f>
        <v>-0.61430639522656671</v>
      </c>
      <c r="P1034" s="4">
        <f>Tabla2[[#This Row],[Rentabilidad (%)]]/12</f>
        <v>-5.1192199602213891E-2</v>
      </c>
    </row>
    <row r="1035" spans="1:16" x14ac:dyDescent="0.35">
      <c r="A1035" s="1">
        <v>39142</v>
      </c>
      <c r="B1035" t="s">
        <v>20</v>
      </c>
      <c r="C1035" s="2">
        <v>25331</v>
      </c>
      <c r="D1035" s="5" t="s">
        <v>17</v>
      </c>
      <c r="E1035" s="2">
        <f>IF(Tabla2[[#This Row],[Frecuencia]]="Annual", Tabla2[[#This Row],[Cosecha/Tarea]]/12,Tabla2[[#This Row],[Cosecha/Tarea]])</f>
        <v>25331</v>
      </c>
      <c r="F1035" s="2">
        <v>34775</v>
      </c>
      <c r="G1035" t="s">
        <v>18</v>
      </c>
      <c r="H1035">
        <f>F1035/Tabla2[[#This Row],[Cosecha Mensual]]</f>
        <v>1.3728238127195926</v>
      </c>
      <c r="I1035">
        <f>H1035*_xlfn.XLOOKUP(Tabla2[[#This Row],[Unidad de producción]],Tabla3[Medida],Tabla3[Equivalencia en Kg],"ELVIS",0)</f>
        <v>62.271288144960721</v>
      </c>
      <c r="J1035">
        <v>432.999142857143</v>
      </c>
      <c r="K1035" t="s">
        <v>18</v>
      </c>
      <c r="L1035">
        <f>J1035/_xlfn.XLOOKUP(Tabla2[[#This Row],[Unidad de precio]],Tabla3[Medida],Tabla3[Equivalencia en Kg],"ELVIS",0)</f>
        <v>9.5458364827412474</v>
      </c>
      <c r="M1035">
        <v>1417.48</v>
      </c>
      <c r="N1035" s="2">
        <f>(Tabla2[[#This Row],[Productividad (kg/TAS)]]*Tabla2[[#This Row],[Precio por kg]]-Tabla2[[#This Row],[Costos (En RD$/Tarea)]])</f>
        <v>-823.04846579854143</v>
      </c>
      <c r="O1035" s="6">
        <f>IF(Tabla2[[#This Row],[Costos (En RD$/Tarea)]]=0,0,Tabla2[[#This Row],[Beneficio Neto  (En RD$/Tarea)]]/Tabla2[[#This Row],[Costos (En RD$/Tarea)]])</f>
        <v>-0.58064203078600152</v>
      </c>
      <c r="P1035" s="4">
        <f>Tabla2[[#This Row],[Rentabilidad (%)]]/12</f>
        <v>-4.8386835898833462E-2</v>
      </c>
    </row>
    <row r="1036" spans="1:16" x14ac:dyDescent="0.35">
      <c r="A1036" s="1">
        <v>39142</v>
      </c>
      <c r="B1036" t="s">
        <v>21</v>
      </c>
      <c r="C1036" s="2">
        <v>8475</v>
      </c>
      <c r="D1036" s="5" t="s">
        <v>17</v>
      </c>
      <c r="E1036" s="2">
        <f>IF(Tabla2[[#This Row],[Frecuencia]]="Annual", Tabla2[[#This Row],[Cosecha/Tarea]]/12,Tabla2[[#This Row],[Cosecha/Tarea]])</f>
        <v>8475</v>
      </c>
      <c r="F1036" s="2">
        <v>86801</v>
      </c>
      <c r="G1036" t="s">
        <v>18</v>
      </c>
      <c r="H1036">
        <f>F1036/Tabla2[[#This Row],[Cosecha Mensual]]</f>
        <v>10.242005899705015</v>
      </c>
      <c r="I1036">
        <f>H1036*_xlfn.XLOOKUP(Tabla2[[#This Row],[Unidad de producción]],Tabla3[Medida],Tabla3[Equivalencia en Kg],"ELVIS",0)</f>
        <v>464.5773876106195</v>
      </c>
      <c r="J1036">
        <v>352.02523809523802</v>
      </c>
      <c r="K1036" t="s">
        <v>18</v>
      </c>
      <c r="L1036">
        <f>J1036/_xlfn.XLOOKUP(Tabla2[[#This Row],[Unidad de precio]],Tabla3[Medida],Tabla3[Equivalencia en Kg],"ELVIS",0)</f>
        <v>7.7606974888720908</v>
      </c>
      <c r="M1036">
        <v>2131.605</v>
      </c>
      <c r="N1036" s="2">
        <f>(Tabla2[[#This Row],[Productividad (kg/TAS)]]*Tabla2[[#This Row],[Precio por kg]]-Tabla2[[#This Row],[Costos (En RD$/Tarea)]])</f>
        <v>1473.8395654164906</v>
      </c>
      <c r="O1036" s="6">
        <f>IF(Tabla2[[#This Row],[Costos (En RD$/Tarea)]]=0,0,Tabla2[[#This Row],[Beneficio Neto  (En RD$/Tarea)]]/Tabla2[[#This Row],[Costos (En RD$/Tarea)]])</f>
        <v>0.69142245651351475</v>
      </c>
      <c r="P1036" s="4">
        <f>Tabla2[[#This Row],[Rentabilidad (%)]]/12</f>
        <v>5.7618538042792898E-2</v>
      </c>
    </row>
    <row r="1037" spans="1:16" x14ac:dyDescent="0.35">
      <c r="A1037" s="1">
        <v>39142</v>
      </c>
      <c r="B1037" t="s">
        <v>22</v>
      </c>
      <c r="C1037" s="2">
        <v>7898</v>
      </c>
      <c r="D1037" s="5" t="s">
        <v>17</v>
      </c>
      <c r="E1037" s="2">
        <f>IF(Tabla2[[#This Row],[Frecuencia]]="Annual", Tabla2[[#This Row],[Cosecha/Tarea]]/12,Tabla2[[#This Row],[Cosecha/Tarea]])</f>
        <v>7898</v>
      </c>
      <c r="F1037" s="2">
        <v>76837</v>
      </c>
      <c r="G1037" t="s">
        <v>18</v>
      </c>
      <c r="H1037">
        <f>F1037/Tabla2[[#This Row],[Cosecha Mensual]]</f>
        <v>9.7286654849328951</v>
      </c>
      <c r="I1037">
        <f>H1037*_xlfn.XLOOKUP(Tabla2[[#This Row],[Unidad de producción]],Tabla3[Medida],Tabla3[Equivalencia en Kg],"ELVIS",0)</f>
        <v>441.2922663965561</v>
      </c>
      <c r="J1037">
        <v>776.57142857142901</v>
      </c>
      <c r="K1037" t="s">
        <v>18</v>
      </c>
      <c r="L1037">
        <f>J1037/_xlfn.XLOOKUP(Tabla2[[#This Row],[Unidad de precio]],Tabla3[Medida],Tabla3[Equivalencia en Kg],"ELVIS",0)</f>
        <v>17.1201814058957</v>
      </c>
      <c r="M1037">
        <v>6063.13</v>
      </c>
      <c r="N1037" s="2">
        <f>(Tabla2[[#This Row],[Productividad (kg/TAS)]]*Tabla2[[#This Row],[Precio por kg]]-Tabla2[[#This Row],[Costos (En RD$/Tarea)]])</f>
        <v>1491.873653727891</v>
      </c>
      <c r="O1037" s="6">
        <f>IF(Tabla2[[#This Row],[Costos (En RD$/Tarea)]]=0,0,Tabla2[[#This Row],[Beneficio Neto  (En RD$/Tarea)]]/Tabla2[[#This Row],[Costos (En RD$/Tarea)]])</f>
        <v>0.24605668255965005</v>
      </c>
      <c r="P1037" s="4">
        <f>Tabla2[[#This Row],[Rentabilidad (%)]]/12</f>
        <v>2.0504723546637505E-2</v>
      </c>
    </row>
    <row r="1038" spans="1:16" x14ac:dyDescent="0.35">
      <c r="A1038" s="1">
        <v>39142</v>
      </c>
      <c r="B1038" t="s">
        <v>23</v>
      </c>
      <c r="C1038" s="2">
        <v>2116</v>
      </c>
      <c r="D1038" s="5" t="s">
        <v>17</v>
      </c>
      <c r="E1038" s="2">
        <f>IF(Tabla2[[#This Row],[Frecuencia]]="Annual", Tabla2[[#This Row],[Cosecha/Tarea]]/12,Tabla2[[#This Row],[Cosecha/Tarea]])</f>
        <v>2116</v>
      </c>
      <c r="F1038" s="2">
        <v>73055</v>
      </c>
      <c r="G1038" t="s">
        <v>18</v>
      </c>
      <c r="H1038">
        <f>F1038/Tabla2[[#This Row],[Cosecha Mensual]]</f>
        <v>34.525047258979207</v>
      </c>
      <c r="I1038">
        <f>H1038*_xlfn.XLOOKUP(Tabla2[[#This Row],[Unidad de producción]],Tabla3[Medida],Tabla3[Equivalencia en Kg],"ELVIS",0)</f>
        <v>1566.0561436672967</v>
      </c>
      <c r="J1038">
        <v>804.20749999999998</v>
      </c>
      <c r="K1038" t="s">
        <v>18</v>
      </c>
      <c r="L1038">
        <f>J1038/_xlfn.XLOOKUP(Tabla2[[#This Row],[Unidad de precio]],Tabla3[Medida],Tabla3[Equivalencia en Kg],"ELVIS",0)</f>
        <v>17.729442239858905</v>
      </c>
      <c r="M1038">
        <v>12092.41</v>
      </c>
      <c r="N1038" s="2">
        <f>(Tabla2[[#This Row],[Productividad (kg/TAS)]]*Tabla2[[#This Row],[Precio por kg]]-Tabla2[[#This Row],[Costos (En RD$/Tarea)]])</f>
        <v>15672.891943525516</v>
      </c>
      <c r="O1038" s="6">
        <f>IF(Tabla2[[#This Row],[Costos (En RD$/Tarea)]]=0,0,Tabla2[[#This Row],[Beneficio Neto  (En RD$/Tarea)]]/Tabla2[[#This Row],[Costos (En RD$/Tarea)]])</f>
        <v>1.2960933299090518</v>
      </c>
      <c r="P1038" s="4">
        <f>Tabla2[[#This Row],[Rentabilidad (%)]]/12</f>
        <v>0.10800777749242098</v>
      </c>
    </row>
    <row r="1039" spans="1:16" x14ac:dyDescent="0.35">
      <c r="A1039" s="1">
        <v>39142</v>
      </c>
      <c r="B1039" t="s">
        <v>24</v>
      </c>
      <c r="C1039" s="2">
        <v>5539</v>
      </c>
      <c r="D1039" s="5" t="s">
        <v>17</v>
      </c>
      <c r="E1039" s="2">
        <f>IF(Tabla2[[#This Row],[Frecuencia]]="Annual", Tabla2[[#This Row],[Cosecha/Tarea]]/12,Tabla2[[#This Row],[Cosecha/Tarea]])</f>
        <v>5539</v>
      </c>
      <c r="F1039" s="2">
        <v>44813</v>
      </c>
      <c r="G1039" t="s">
        <v>18</v>
      </c>
      <c r="H1039">
        <f>F1039/Tabla2[[#This Row],[Cosecha Mensual]]</f>
        <v>8.0904495396280911</v>
      </c>
      <c r="I1039">
        <f>H1039*_xlfn.XLOOKUP(Tabla2[[#This Row],[Unidad de producción]],Tabla3[Medida],Tabla3[Equivalencia en Kg],"ELVIS",0)</f>
        <v>366.98279111753021</v>
      </c>
      <c r="J1039">
        <v>895.71428571428601</v>
      </c>
      <c r="K1039" t="s">
        <v>18</v>
      </c>
      <c r="L1039">
        <f>J1039/_xlfn.XLOOKUP(Tabla2[[#This Row],[Unidad de precio]],Tabla3[Medida],Tabla3[Equivalencia en Kg],"ELVIS",0)</f>
        <v>19.746787603930468</v>
      </c>
      <c r="M1039">
        <v>4803.45</v>
      </c>
      <c r="N1039" s="2">
        <f>(Tabla2[[#This Row],[Productividad (kg/TAS)]]*Tabla2[[#This Row],[Precio por kg]]-Tabla2[[#This Row],[Costos (En RD$/Tarea)]])</f>
        <v>2443.2812304954496</v>
      </c>
      <c r="O1039" s="6">
        <f>IF(Tabla2[[#This Row],[Costos (En RD$/Tarea)]]=0,0,Tabla2[[#This Row],[Beneficio Neto  (En RD$/Tarea)]]/Tabla2[[#This Row],[Costos (En RD$/Tarea)]])</f>
        <v>0.50865132987653661</v>
      </c>
      <c r="P1039" s="4">
        <f>Tabla2[[#This Row],[Rentabilidad (%)]]/12</f>
        <v>4.2387610823044715E-2</v>
      </c>
    </row>
    <row r="1040" spans="1:16" x14ac:dyDescent="0.35">
      <c r="A1040" s="1">
        <v>39142</v>
      </c>
      <c r="B1040" t="s">
        <v>25</v>
      </c>
      <c r="C1040" s="2">
        <v>23740</v>
      </c>
      <c r="D1040" s="5" t="s">
        <v>17</v>
      </c>
      <c r="E1040" s="2">
        <f>IF(Tabla2[[#This Row],[Frecuencia]]="Annual", Tabla2[[#This Row],[Cosecha/Tarea]]/12,Tabla2[[#This Row],[Cosecha/Tarea]])</f>
        <v>23740</v>
      </c>
      <c r="F1040" s="2">
        <v>275482</v>
      </c>
      <c r="G1040" t="s">
        <v>18</v>
      </c>
      <c r="H1040">
        <f>F1040/Tabla2[[#This Row],[Cosecha Mensual]]</f>
        <v>11.604128053917439</v>
      </c>
      <c r="I1040">
        <f>H1040*_xlfn.XLOOKUP(Tabla2[[#This Row],[Unidad de producción]],Tabla3[Medida],Tabla3[Equivalencia en Kg],"ELVIS",0)</f>
        <v>526.36324852569498</v>
      </c>
      <c r="J1040">
        <v>248.95275000000001</v>
      </c>
      <c r="K1040" t="s">
        <v>18</v>
      </c>
      <c r="L1040">
        <f>J1040/_xlfn.XLOOKUP(Tabla2[[#This Row],[Unidad de precio]],Tabla3[Medida],Tabla3[Equivalencia en Kg],"ELVIS",0)</f>
        <v>5.4883763227513231</v>
      </c>
      <c r="M1040">
        <v>2341.04</v>
      </c>
      <c r="N1040" s="2">
        <f>(Tabla2[[#This Row],[Productividad (kg/TAS)]]*Tabla2[[#This Row],[Precio por kg]]-Tabla2[[#This Row],[Costos (En RD$/Tarea)]])</f>
        <v>547.83959037489467</v>
      </c>
      <c r="O1040" s="6">
        <f>IF(Tabla2[[#This Row],[Costos (En RD$/Tarea)]]=0,0,Tabla2[[#This Row],[Beneficio Neto  (En RD$/Tarea)]]/Tabla2[[#This Row],[Costos (En RD$/Tarea)]])</f>
        <v>0.23401547618788857</v>
      </c>
      <c r="P1040" s="4">
        <f>Tabla2[[#This Row],[Rentabilidad (%)]]/12</f>
        <v>1.9501289682324046E-2</v>
      </c>
    </row>
    <row r="1041" spans="1:16" x14ac:dyDescent="0.35">
      <c r="A1041" s="1">
        <v>39142</v>
      </c>
      <c r="B1041" t="s">
        <v>26</v>
      </c>
      <c r="C1041" s="2">
        <v>14946</v>
      </c>
      <c r="D1041" s="5" t="s">
        <v>17</v>
      </c>
      <c r="E1041" s="2">
        <f>IF(Tabla2[[#This Row],[Frecuencia]]="Annual", Tabla2[[#This Row],[Cosecha/Tarea]]/12,Tabla2[[#This Row],[Cosecha/Tarea]])</f>
        <v>14946</v>
      </c>
      <c r="F1041" s="2">
        <v>105825</v>
      </c>
      <c r="G1041" t="s">
        <v>18</v>
      </c>
      <c r="H1041">
        <f>F1041/Tabla2[[#This Row],[Cosecha Mensual]]</f>
        <v>7.0804897631473303</v>
      </c>
      <c r="I1041">
        <f>H1041*_xlfn.XLOOKUP(Tabla2[[#This Row],[Unidad de producción]],Tabla3[Medida],Tabla3[Equivalencia en Kg],"ELVIS",0)</f>
        <v>321.1710156563629</v>
      </c>
      <c r="J1041">
        <v>514.45833333333303</v>
      </c>
      <c r="K1041" t="s">
        <v>18</v>
      </c>
      <c r="L1041">
        <f>J1041/_xlfn.XLOOKUP(Tabla2[[#This Row],[Unidad de precio]],Tabla3[Medida],Tabla3[Equivalencia en Kg],"ELVIS",0)</f>
        <v>11.34167401528512</v>
      </c>
      <c r="M1041">
        <v>970.18</v>
      </c>
      <c r="N1041" s="2">
        <f>(Tabla2[[#This Row],[Productividad (kg/TAS)]]*Tabla2[[#This Row],[Precio por kg]]-Tabla2[[#This Row],[Costos (En RD$/Tarea)]])</f>
        <v>2672.4369627325018</v>
      </c>
      <c r="O1041" s="6">
        <f>IF(Tabla2[[#This Row],[Costos (En RD$/Tarea)]]=0,0,Tabla2[[#This Row],[Beneficio Neto  (En RD$/Tarea)]]/Tabla2[[#This Row],[Costos (En RD$/Tarea)]])</f>
        <v>2.754578493405865</v>
      </c>
      <c r="P1041" s="4">
        <f>Tabla2[[#This Row],[Rentabilidad (%)]]/12</f>
        <v>0.22954820778382209</v>
      </c>
    </row>
    <row r="1042" spans="1:16" x14ac:dyDescent="0.35">
      <c r="A1042" s="1">
        <v>39142</v>
      </c>
      <c r="B1042" t="s">
        <v>27</v>
      </c>
      <c r="C1042" s="2">
        <v>5311</v>
      </c>
      <c r="D1042" s="5" t="s">
        <v>17</v>
      </c>
      <c r="E1042" s="2">
        <f>IF(Tabla2[[#This Row],[Frecuencia]]="Annual", Tabla2[[#This Row],[Cosecha/Tarea]]/12,Tabla2[[#This Row],[Cosecha/Tarea]])</f>
        <v>5311</v>
      </c>
      <c r="F1042" s="2">
        <v>44666</v>
      </c>
      <c r="G1042" t="s">
        <v>18</v>
      </c>
      <c r="H1042">
        <f>F1042/Tabla2[[#This Row],[Cosecha Mensual]]</f>
        <v>8.4100922613443796</v>
      </c>
      <c r="I1042">
        <f>H1042*_xlfn.XLOOKUP(Tabla2[[#This Row],[Unidad de producción]],Tabla3[Medida],Tabla3[Equivalencia en Kg],"ELVIS",0)</f>
        <v>381.48178497458105</v>
      </c>
      <c r="J1042">
        <v>218.13013333333299</v>
      </c>
      <c r="K1042" t="s">
        <v>18</v>
      </c>
      <c r="L1042">
        <f>J1042/_xlfn.XLOOKUP(Tabla2[[#This Row],[Unidad de precio]],Tabla3[Medida],Tabla3[Equivalencia en Kg],"ELVIS",0)</f>
        <v>4.8088653733098106</v>
      </c>
      <c r="M1042">
        <v>5280.51</v>
      </c>
      <c r="N1042" s="2">
        <f>(Tabla2[[#This Row],[Productividad (kg/TAS)]]*Tabla2[[#This Row],[Precio por kg]]-Tabla2[[#This Row],[Costos (En RD$/Tarea)]])</f>
        <v>-3446.0154536873188</v>
      </c>
      <c r="O1042" s="6">
        <f>IF(Tabla2[[#This Row],[Costos (En RD$/Tarea)]]=0,0,Tabla2[[#This Row],[Beneficio Neto  (En RD$/Tarea)]]/Tabla2[[#This Row],[Costos (En RD$/Tarea)]])</f>
        <v>-0.65259140758891065</v>
      </c>
      <c r="P1042" s="4">
        <f>Tabla2[[#This Row],[Rentabilidad (%)]]/12</f>
        <v>-5.438261729907589E-2</v>
      </c>
    </row>
    <row r="1043" spans="1:16" x14ac:dyDescent="0.35">
      <c r="A1043" s="1">
        <v>39142</v>
      </c>
      <c r="B1043" t="s">
        <v>28</v>
      </c>
      <c r="C1043" s="2">
        <v>7341</v>
      </c>
      <c r="D1043" s="5" t="s">
        <v>17</v>
      </c>
      <c r="E1043" s="2">
        <f>IF(Tabla2[[#This Row],[Frecuencia]]="Annual", Tabla2[[#This Row],[Cosecha/Tarea]]/12,Tabla2[[#This Row],[Cosecha/Tarea]])</f>
        <v>7341</v>
      </c>
      <c r="F1043" s="2">
        <v>4501</v>
      </c>
      <c r="G1043" t="s">
        <v>29</v>
      </c>
      <c r="H1043">
        <f>F1043/Tabla2[[#This Row],[Cosecha Mensual]]</f>
        <v>0.61313172592289877</v>
      </c>
      <c r="I1043">
        <f>H1043*_xlfn.XLOOKUP(Tabla2[[#This Row],[Unidad de producción]],Tabla3[Medida],Tabla3[Equivalencia en Kg],"ELVIS",0)</f>
        <v>344.78849475548293</v>
      </c>
      <c r="J1043">
        <v>7484.375</v>
      </c>
      <c r="K1043" t="s">
        <v>29</v>
      </c>
      <c r="L1043">
        <f>J1043/_xlfn.XLOOKUP(Tabla2[[#This Row],[Unidad de precio]],Tabla3[Medida],Tabla3[Equivalencia en Kg],"ELVIS",0)</f>
        <v>13.309341323754312</v>
      </c>
      <c r="M1043">
        <v>10097.26</v>
      </c>
      <c r="N1043" s="2">
        <f>(Tabla2[[#This Row],[Productividad (kg/TAS)]]*Tabla2[[#This Row],[Precio por kg]]-Tabla2[[#This Row],[Costos (En RD$/Tarea)]])</f>
        <v>-5508.3522387958046</v>
      </c>
      <c r="O1043" s="6">
        <f>IF(Tabla2[[#This Row],[Costos (En RD$/Tarea)]]=0,0,Tabla2[[#This Row],[Beneficio Neto  (En RD$/Tarea)]]/Tabla2[[#This Row],[Costos (En RD$/Tarea)]])</f>
        <v>-0.54552940488764323</v>
      </c>
      <c r="P1043" s="4">
        <f>Tabla2[[#This Row],[Rentabilidad (%)]]/12</f>
        <v>-4.5460783740636938E-2</v>
      </c>
    </row>
    <row r="1044" spans="1:16" x14ac:dyDescent="0.35">
      <c r="A1044" s="1">
        <v>39142</v>
      </c>
      <c r="B1044" t="s">
        <v>30</v>
      </c>
      <c r="C1044" s="2">
        <v>308758</v>
      </c>
      <c r="D1044" s="2" t="s">
        <v>31</v>
      </c>
      <c r="E1044" s="2">
        <f>IF(Tabla2[[#This Row],[Frecuencia]]="Annual", Tabla2[[#This Row],[Cosecha/Tarea]]/12,Tabla2[[#This Row],[Cosecha/Tarea]])</f>
        <v>25729.833333333332</v>
      </c>
      <c r="F1044" s="2">
        <v>1732070</v>
      </c>
      <c r="G1044" t="s">
        <v>32</v>
      </c>
      <c r="H1044">
        <f>F1044/Tabla2[[#This Row],[Cosecha Mensual]]</f>
        <v>67.3175755769891</v>
      </c>
      <c r="I1044">
        <f>H1044*_xlfn.XLOOKUP(Tabla2[[#This Row],[Unidad de producción]],Tabla3[Medida],Tabla3[Equivalencia en Kg],"ELVIS",0)</f>
        <v>1831.7112314498734</v>
      </c>
      <c r="J1044">
        <v>83.227500000000006</v>
      </c>
      <c r="K1044" t="s">
        <v>32</v>
      </c>
      <c r="L1044">
        <f>J1044/_xlfn.XLOOKUP(Tabla2[[#This Row],[Unidad de precio]],Tabla3[Medida],Tabla3[Equivalencia en Kg],"ELVIS",0)</f>
        <v>3.0587100330760753</v>
      </c>
      <c r="M1044" s="2">
        <v>8303.36</v>
      </c>
      <c r="N1044" s="2">
        <f>(Tabla2[[#This Row],[Productividad (kg/TAS)]]*Tabla2[[#This Row],[Precio por kg]]-Tabla2[[#This Row],[Costos (En RD$/Tarea)]])</f>
        <v>-2700.6864786661399</v>
      </c>
      <c r="O1044" s="6">
        <f>IF(Tabla2[[#This Row],[Costos (En RD$/Tarea)]]=0,0,Tabla2[[#This Row],[Beneficio Neto  (En RD$/Tarea)]]/Tabla2[[#This Row],[Costos (En RD$/Tarea)]])</f>
        <v>-0.3252522447137231</v>
      </c>
      <c r="P1044" s="4">
        <f>Tabla2[[#This Row],[Rentabilidad (%)]]/12</f>
        <v>-2.7104353726143591E-2</v>
      </c>
    </row>
    <row r="1045" spans="1:16" x14ac:dyDescent="0.35">
      <c r="A1045" s="1">
        <v>39142</v>
      </c>
      <c r="B1045" t="s">
        <v>33</v>
      </c>
      <c r="C1045" s="2">
        <v>776731</v>
      </c>
      <c r="D1045" s="2" t="s">
        <v>31</v>
      </c>
      <c r="E1045" s="2">
        <f>IF(Tabla2[[#This Row],[Frecuencia]]="Annual", Tabla2[[#This Row],[Cosecha/Tarea]]/12,Tabla2[[#This Row],[Cosecha/Tarea]])</f>
        <v>64727.583333333336</v>
      </c>
      <c r="F1045" s="2">
        <v>135114</v>
      </c>
      <c r="G1045" t="s">
        <v>34</v>
      </c>
      <c r="H1045">
        <f>F1045/Tabla2[[#This Row],[Cosecha Mensual]]</f>
        <v>2.0874253763529458</v>
      </c>
      <c r="I1045">
        <f>H1045*_xlfn.XLOOKUP(Tabla2[[#This Row],[Unidad de producción]],Tabla3[Medida],Tabla3[Equivalencia en Kg],"ELVIS",0)</f>
        <v>851.98266735845482</v>
      </c>
      <c r="J1045">
        <v>2745.0137500000001</v>
      </c>
      <c r="K1045" t="s">
        <v>34</v>
      </c>
      <c r="L1045">
        <f>J1045/_xlfn.XLOOKUP(Tabla2[[#This Row],[Unidad de precio]],Tabla3[Medida],Tabla3[Equivalencia en Kg],"ELVIS",0)</f>
        <v>6.7255022663236561</v>
      </c>
      <c r="M1045" s="2">
        <v>11167.89</v>
      </c>
      <c r="N1045" s="2">
        <f>(Tabla2[[#This Row],[Productividad (kg/TAS)]]*Tabla2[[#This Row],[Precio por kg]]-Tabla2[[#This Row],[Costos (En RD$/Tarea)]])</f>
        <v>-5437.8786398122375</v>
      </c>
      <c r="O1045" s="6">
        <f>IF(Tabla2[[#This Row],[Costos (En RD$/Tarea)]]=0,0,Tabla2[[#This Row],[Beneficio Neto  (En RD$/Tarea)]]/Tabla2[[#This Row],[Costos (En RD$/Tarea)]])</f>
        <v>-0.486920863279656</v>
      </c>
      <c r="P1045" s="4">
        <f>Tabla2[[#This Row],[Rentabilidad (%)]]/12</f>
        <v>-4.0576738606637998E-2</v>
      </c>
    </row>
    <row r="1046" spans="1:16" x14ac:dyDescent="0.35">
      <c r="A1046" s="1">
        <v>39173</v>
      </c>
      <c r="B1046" t="s">
        <v>16</v>
      </c>
      <c r="C1046" s="2">
        <v>139504</v>
      </c>
      <c r="D1046" s="5" t="s">
        <v>17</v>
      </c>
      <c r="E1046" s="2">
        <f>IF(Tabla2[[#This Row],[Frecuencia]]="Annual", Tabla2[[#This Row],[Cosecha/Tarea]]/12,Tabla2[[#This Row],[Cosecha/Tarea]])</f>
        <v>139504</v>
      </c>
      <c r="F1046" s="2">
        <v>581596</v>
      </c>
      <c r="G1046" t="s">
        <v>18</v>
      </c>
      <c r="H1046">
        <f>F1046/Tabla2[[#This Row],[Cosecha Mensual]]</f>
        <v>4.16902741140039</v>
      </c>
      <c r="I1046">
        <f>H1046*_xlfn.XLOOKUP(Tabla2[[#This Row],[Unidad de producción]],Tabla3[Medida],Tabla3[Equivalencia en Kg],"ELVIS",0)</f>
        <v>189.1070833811217</v>
      </c>
      <c r="J1046">
        <v>1429.2774999999999</v>
      </c>
      <c r="K1046" t="s">
        <v>19</v>
      </c>
      <c r="L1046">
        <f>J1046/_xlfn.XLOOKUP(Tabla2[[#This Row],[Unidad de precio]],Tabla3[Medida],Tabla3[Equivalencia en Kg],"ELVIS",0)</f>
        <v>12.993431818181817</v>
      </c>
      <c r="M1046">
        <v>5339.5</v>
      </c>
      <c r="N1046" s="2">
        <f>(Tabla2[[#This Row],[Productividad (kg/TAS)]]*Tabla2[[#This Row],[Precio por kg]]-Tabla2[[#This Row],[Costos (En RD$/Tarea)]])</f>
        <v>-2882.3500057521715</v>
      </c>
      <c r="O1046" s="6">
        <f>IF(Tabla2[[#This Row],[Costos (En RD$/Tarea)]]=0,0,Tabla2[[#This Row],[Beneficio Neto  (En RD$/Tarea)]]/Tabla2[[#This Row],[Costos (En RD$/Tarea)]])</f>
        <v>-0.53981646329284982</v>
      </c>
      <c r="P1046" s="4">
        <f>Tabla2[[#This Row],[Rentabilidad (%)]]/12</f>
        <v>-4.4984705274404152E-2</v>
      </c>
    </row>
    <row r="1047" spans="1:16" x14ac:dyDescent="0.35">
      <c r="A1047" s="1">
        <v>39173</v>
      </c>
      <c r="B1047" t="s">
        <v>20</v>
      </c>
      <c r="C1047" s="2">
        <v>17465</v>
      </c>
      <c r="D1047" s="5" t="s">
        <v>17</v>
      </c>
      <c r="E1047" s="2">
        <f>IF(Tabla2[[#This Row],[Frecuencia]]="Annual", Tabla2[[#This Row],[Cosecha/Tarea]]/12,Tabla2[[#This Row],[Cosecha/Tarea]])</f>
        <v>17465</v>
      </c>
      <c r="F1047" s="2">
        <v>41014</v>
      </c>
      <c r="G1047" t="s">
        <v>18</v>
      </c>
      <c r="H1047">
        <f>F1047/Tabla2[[#This Row],[Cosecha Mensual]]</f>
        <v>2.3483538505582593</v>
      </c>
      <c r="I1047">
        <f>H1047*_xlfn.XLOOKUP(Tabla2[[#This Row],[Unidad de producción]],Tabla3[Medida],Tabla3[Equivalencia en Kg],"ELVIS",0)</f>
        <v>106.52133066132264</v>
      </c>
      <c r="J1047">
        <v>409.38528000000002</v>
      </c>
      <c r="K1047" t="s">
        <v>18</v>
      </c>
      <c r="L1047">
        <f>J1047/_xlfn.XLOOKUP(Tabla2[[#This Row],[Unidad de precio]],Tabla3[Medida],Tabla3[Equivalencia en Kg],"ELVIS",0)</f>
        <v>9.025248677248678</v>
      </c>
      <c r="M1047">
        <v>1417.48</v>
      </c>
      <c r="N1047" s="2">
        <f>(Tabla2[[#This Row],[Productividad (kg/TAS)]]*Tabla2[[#This Row],[Precio por kg]]-Tabla2[[#This Row],[Costos (En RD$/Tarea)]])</f>
        <v>-456.0985013501288</v>
      </c>
      <c r="O1047" s="6">
        <f>IF(Tabla2[[#This Row],[Costos (En RD$/Tarea)]]=0,0,Tabla2[[#This Row],[Beneficio Neto  (En RD$/Tarea)]]/Tabla2[[#This Row],[Costos (En RD$/Tarea)]])</f>
        <v>-0.32176715110627929</v>
      </c>
      <c r="P1047" s="4">
        <f>Tabla2[[#This Row],[Rentabilidad (%)]]/12</f>
        <v>-2.6813929258856607E-2</v>
      </c>
    </row>
    <row r="1048" spans="1:16" x14ac:dyDescent="0.35">
      <c r="A1048" s="1">
        <v>39173</v>
      </c>
      <c r="B1048" t="s">
        <v>21</v>
      </c>
      <c r="C1048" s="2">
        <v>10854</v>
      </c>
      <c r="D1048" s="5" t="s">
        <v>17</v>
      </c>
      <c r="E1048" s="2">
        <f>IF(Tabla2[[#This Row],[Frecuencia]]="Annual", Tabla2[[#This Row],[Cosecha/Tarea]]/12,Tabla2[[#This Row],[Cosecha/Tarea]])</f>
        <v>10854</v>
      </c>
      <c r="F1048" s="2">
        <v>119260</v>
      </c>
      <c r="G1048" t="s">
        <v>18</v>
      </c>
      <c r="H1048">
        <f>F1048/Tabla2[[#This Row],[Cosecha Mensual]]</f>
        <v>10.987654320987655</v>
      </c>
      <c r="I1048">
        <f>H1048*_xlfn.XLOOKUP(Tabla2[[#This Row],[Unidad de producción]],Tabla3[Medida],Tabla3[Equivalencia en Kg],"ELVIS",0)</f>
        <v>498.40000000000003</v>
      </c>
      <c r="J1048">
        <v>381.18400000000003</v>
      </c>
      <c r="K1048" t="s">
        <v>18</v>
      </c>
      <c r="L1048">
        <f>J1048/_xlfn.XLOOKUP(Tabla2[[#This Row],[Unidad de precio]],Tabla3[Medida],Tabla3[Equivalencia en Kg],"ELVIS",0)</f>
        <v>8.4035273368606713</v>
      </c>
      <c r="M1048">
        <v>2131.605</v>
      </c>
      <c r="N1048" s="2">
        <f>(Tabla2[[#This Row],[Productividad (kg/TAS)]]*Tabla2[[#This Row],[Precio por kg]]-Tabla2[[#This Row],[Costos (En RD$/Tarea)]])</f>
        <v>2056.7130246913589</v>
      </c>
      <c r="O1048" s="6">
        <f>IF(Tabla2[[#This Row],[Costos (En RD$/Tarea)]]=0,0,Tabla2[[#This Row],[Beneficio Neto  (En RD$/Tarea)]]/Tabla2[[#This Row],[Costos (En RD$/Tarea)]])</f>
        <v>0.96486592248158498</v>
      </c>
      <c r="P1048" s="4">
        <f>Tabla2[[#This Row],[Rentabilidad (%)]]/12</f>
        <v>8.0405493540132086E-2</v>
      </c>
    </row>
    <row r="1049" spans="1:16" x14ac:dyDescent="0.35">
      <c r="A1049" s="1">
        <v>39173</v>
      </c>
      <c r="B1049" t="s">
        <v>22</v>
      </c>
      <c r="C1049" s="2">
        <v>5174</v>
      </c>
      <c r="D1049" s="5" t="s">
        <v>17</v>
      </c>
      <c r="E1049" s="2">
        <f>IF(Tabla2[[#This Row],[Frecuencia]]="Annual", Tabla2[[#This Row],[Cosecha/Tarea]]/12,Tabla2[[#This Row],[Cosecha/Tarea]])</f>
        <v>5174</v>
      </c>
      <c r="F1049" s="2">
        <v>43605</v>
      </c>
      <c r="G1049" t="s">
        <v>18</v>
      </c>
      <c r="H1049">
        <f>F1049/Tabla2[[#This Row],[Cosecha Mensual]]</f>
        <v>8.4277155005798221</v>
      </c>
      <c r="I1049">
        <f>H1049*_xlfn.XLOOKUP(Tabla2[[#This Row],[Unidad de producción]],Tabla3[Medida],Tabla3[Equivalencia en Kg],"ELVIS",0)</f>
        <v>382.28117510630074</v>
      </c>
      <c r="J1049">
        <v>810.22333333333302</v>
      </c>
      <c r="K1049" t="s">
        <v>18</v>
      </c>
      <c r="L1049">
        <f>J1049/_xlfn.XLOOKUP(Tabla2[[#This Row],[Unidad de precio]],Tabla3[Medida],Tabla3[Equivalencia en Kg],"ELVIS",0)</f>
        <v>17.862066431510868</v>
      </c>
      <c r="M1049">
        <v>6063.13</v>
      </c>
      <c r="N1049" s="2">
        <f>(Tabla2[[#This Row],[Productividad (kg/TAS)]]*Tabla2[[#This Row],[Precio por kg]]-Tabla2[[#This Row],[Costos (En RD$/Tarea)]])</f>
        <v>765.2017452647824</v>
      </c>
      <c r="O1049" s="6">
        <f>IF(Tabla2[[#This Row],[Costos (En RD$/Tarea)]]=0,0,Tabla2[[#This Row],[Beneficio Neto  (En RD$/Tarea)]]/Tabla2[[#This Row],[Costos (En RD$/Tarea)]])</f>
        <v>0.12620572959260026</v>
      </c>
      <c r="P1049" s="4">
        <f>Tabla2[[#This Row],[Rentabilidad (%)]]/12</f>
        <v>1.0517144132716689E-2</v>
      </c>
    </row>
    <row r="1050" spans="1:16" x14ac:dyDescent="0.35">
      <c r="A1050" s="1">
        <v>39173</v>
      </c>
      <c r="B1050" t="s">
        <v>23</v>
      </c>
      <c r="C1050" s="2">
        <v>2864</v>
      </c>
      <c r="D1050" s="5" t="s">
        <v>17</v>
      </c>
      <c r="E1050" s="2">
        <f>IF(Tabla2[[#This Row],[Frecuencia]]="Annual", Tabla2[[#This Row],[Cosecha/Tarea]]/12,Tabla2[[#This Row],[Cosecha/Tarea]])</f>
        <v>2864</v>
      </c>
      <c r="F1050" s="2">
        <v>78380</v>
      </c>
      <c r="G1050" t="s">
        <v>18</v>
      </c>
      <c r="H1050">
        <f>F1050/Tabla2[[#This Row],[Cosecha Mensual]]</f>
        <v>27.367318435754189</v>
      </c>
      <c r="I1050">
        <f>H1050*_xlfn.XLOOKUP(Tabla2[[#This Row],[Unidad de producción]],Tabla3[Medida],Tabla3[Equivalencia en Kg],"ELVIS",0)</f>
        <v>1241.3815642458101</v>
      </c>
      <c r="J1050">
        <v>870.83333333333303</v>
      </c>
      <c r="K1050" t="s">
        <v>18</v>
      </c>
      <c r="L1050">
        <f>J1050/_xlfn.XLOOKUP(Tabla2[[#This Row],[Unidad de precio]],Tabla3[Medida],Tabla3[Equivalencia en Kg],"ELVIS",0)</f>
        <v>19.198265726043498</v>
      </c>
      <c r="M1050">
        <v>12092.41</v>
      </c>
      <c r="N1050" s="2">
        <f>(Tabla2[[#This Row],[Productividad (kg/TAS)]]*Tabla2[[#This Row],[Precio por kg]]-Tabla2[[#This Row],[Costos (En RD$/Tarea)]])</f>
        <v>11739.963137802602</v>
      </c>
      <c r="O1050" s="6">
        <f>IF(Tabla2[[#This Row],[Costos (En RD$/Tarea)]]=0,0,Tabla2[[#This Row],[Beneficio Neto  (En RD$/Tarea)]]/Tabla2[[#This Row],[Costos (En RD$/Tarea)]])</f>
        <v>0.97085387758127639</v>
      </c>
      <c r="P1050" s="4">
        <f>Tabla2[[#This Row],[Rentabilidad (%)]]/12</f>
        <v>8.0904489798439699E-2</v>
      </c>
    </row>
    <row r="1051" spans="1:16" x14ac:dyDescent="0.35">
      <c r="A1051" s="1">
        <v>39173</v>
      </c>
      <c r="B1051" t="s">
        <v>24</v>
      </c>
      <c r="C1051" s="2">
        <v>6351</v>
      </c>
      <c r="D1051" s="5" t="s">
        <v>17</v>
      </c>
      <c r="E1051" s="2">
        <f>IF(Tabla2[[#This Row],[Frecuencia]]="Annual", Tabla2[[#This Row],[Cosecha/Tarea]]/12,Tabla2[[#This Row],[Cosecha/Tarea]])</f>
        <v>6351</v>
      </c>
      <c r="F1051" s="2">
        <v>58903</v>
      </c>
      <c r="G1051" t="s">
        <v>18</v>
      </c>
      <c r="H1051">
        <f>F1051/Tabla2[[#This Row],[Cosecha Mensual]]</f>
        <v>9.2746024248149901</v>
      </c>
      <c r="I1051">
        <f>H1051*_xlfn.XLOOKUP(Tabla2[[#This Row],[Unidad de producción]],Tabla3[Medida],Tabla3[Equivalencia en Kg],"ELVIS",0)</f>
        <v>420.69596598960794</v>
      </c>
      <c r="J1051">
        <v>843.125</v>
      </c>
      <c r="K1051" t="s">
        <v>18</v>
      </c>
      <c r="L1051">
        <f>J1051/_xlfn.XLOOKUP(Tabla2[[#This Row],[Unidad de precio]],Tabla3[Medida],Tabla3[Equivalencia en Kg],"ELVIS",0)</f>
        <v>18.587411816578484</v>
      </c>
      <c r="M1051">
        <v>4803.45</v>
      </c>
      <c r="N1051" s="2">
        <f>(Tabla2[[#This Row],[Productividad (kg/TAS)]]*Tabla2[[#This Row],[Precio por kg]]-Tabla2[[#This Row],[Costos (En RD$/Tarea)]])</f>
        <v>3016.1991694221388</v>
      </c>
      <c r="O1051" s="6">
        <f>IF(Tabla2[[#This Row],[Costos (En RD$/Tarea)]]=0,0,Tabla2[[#This Row],[Beneficio Neto  (En RD$/Tarea)]]/Tabla2[[#This Row],[Costos (En RD$/Tarea)]])</f>
        <v>0.62792350694233079</v>
      </c>
      <c r="P1051" s="4">
        <f>Tabla2[[#This Row],[Rentabilidad (%)]]/12</f>
        <v>5.2326958911860899E-2</v>
      </c>
    </row>
    <row r="1052" spans="1:16" x14ac:dyDescent="0.35">
      <c r="A1052" s="1">
        <v>39173</v>
      </c>
      <c r="B1052" t="s">
        <v>25</v>
      </c>
      <c r="C1052" s="2">
        <v>30182</v>
      </c>
      <c r="D1052" s="5" t="s">
        <v>17</v>
      </c>
      <c r="E1052" s="2">
        <f>IF(Tabla2[[#This Row],[Frecuencia]]="Annual", Tabla2[[#This Row],[Cosecha/Tarea]]/12,Tabla2[[#This Row],[Cosecha/Tarea]])</f>
        <v>30182</v>
      </c>
      <c r="F1052" s="2">
        <v>298112</v>
      </c>
      <c r="G1052" t="s">
        <v>18</v>
      </c>
      <c r="H1052">
        <f>F1052/Tabla2[[#This Row],[Cosecha Mensual]]</f>
        <v>9.8771453184016966</v>
      </c>
      <c r="I1052">
        <f>H1052*_xlfn.XLOOKUP(Tabla2[[#This Row],[Unidad de producción]],Tabla3[Medida],Tabla3[Equivalencia en Kg],"ELVIS",0)</f>
        <v>448.02731164270097</v>
      </c>
      <c r="J1052">
        <v>291.54149999999998</v>
      </c>
      <c r="K1052" t="s">
        <v>18</v>
      </c>
      <c r="L1052">
        <f>J1052/_xlfn.XLOOKUP(Tabla2[[#This Row],[Unidad de precio]],Tabla3[Medida],Tabla3[Equivalencia en Kg],"ELVIS",0)</f>
        <v>6.4272817460317455</v>
      </c>
      <c r="M1052">
        <v>2341.04</v>
      </c>
      <c r="N1052" s="2">
        <f>(Tabla2[[#This Row],[Productividad (kg/TAS)]]*Tabla2[[#This Row],[Precio por kg]]-Tabla2[[#This Row],[Costos (En RD$/Tarea)]])</f>
        <v>538.55776184480828</v>
      </c>
      <c r="O1052" s="6">
        <f>IF(Tabla2[[#This Row],[Costos (En RD$/Tarea)]]=0,0,Tabla2[[#This Row],[Beneficio Neto  (En RD$/Tarea)]]/Tabla2[[#This Row],[Costos (En RD$/Tarea)]])</f>
        <v>0.2300506449461813</v>
      </c>
      <c r="P1052" s="4">
        <f>Tabla2[[#This Row],[Rentabilidad (%)]]/12</f>
        <v>1.9170887078848443E-2</v>
      </c>
    </row>
    <row r="1053" spans="1:16" x14ac:dyDescent="0.35">
      <c r="A1053" s="1">
        <v>39173</v>
      </c>
      <c r="B1053" t="s">
        <v>26</v>
      </c>
      <c r="C1053" s="2">
        <v>10377</v>
      </c>
      <c r="D1053" s="5" t="s">
        <v>17</v>
      </c>
      <c r="E1053" s="2">
        <f>IF(Tabla2[[#This Row],[Frecuencia]]="Annual", Tabla2[[#This Row],[Cosecha/Tarea]]/12,Tabla2[[#This Row],[Cosecha/Tarea]])</f>
        <v>10377</v>
      </c>
      <c r="F1053" s="2">
        <v>75263</v>
      </c>
      <c r="G1053" t="s">
        <v>18</v>
      </c>
      <c r="H1053">
        <f>F1053/Tabla2[[#This Row],[Cosecha Mensual]]</f>
        <v>7.2528669172207767</v>
      </c>
      <c r="I1053">
        <f>H1053*_xlfn.XLOOKUP(Tabla2[[#This Row],[Unidad de producción]],Tabla3[Medida],Tabla3[Equivalencia en Kg],"ELVIS",0)</f>
        <v>328.99004336513445</v>
      </c>
      <c r="J1053">
        <v>443.75</v>
      </c>
      <c r="K1053" t="s">
        <v>18</v>
      </c>
      <c r="L1053">
        <f>J1053/_xlfn.XLOOKUP(Tabla2[[#This Row],[Unidad de precio]],Tabla3[Medida],Tabla3[Equivalencia en Kg],"ELVIS",0)</f>
        <v>9.7828483245149904</v>
      </c>
      <c r="M1053">
        <v>970.18</v>
      </c>
      <c r="N1053" s="2">
        <f>(Tabla2[[#This Row],[Productividad (kg/TAS)]]*Tabla2[[#This Row],[Precio por kg]]-Tabla2[[#This Row],[Costos (En RD$/Tarea)]])</f>
        <v>2248.2796945167197</v>
      </c>
      <c r="O1053" s="6">
        <f>IF(Tabla2[[#This Row],[Costos (En RD$/Tarea)]]=0,0,Tabla2[[#This Row],[Beneficio Neto  (En RD$/Tarea)]]/Tabla2[[#This Row],[Costos (En RD$/Tarea)]])</f>
        <v>2.3173840880215217</v>
      </c>
      <c r="P1053" s="4">
        <f>Tabla2[[#This Row],[Rentabilidad (%)]]/12</f>
        <v>0.19311534066846014</v>
      </c>
    </row>
    <row r="1054" spans="1:16" x14ac:dyDescent="0.35">
      <c r="A1054" s="1">
        <v>39173</v>
      </c>
      <c r="B1054" t="s">
        <v>27</v>
      </c>
      <c r="C1054" s="2">
        <v>4956</v>
      </c>
      <c r="D1054" s="5" t="s">
        <v>17</v>
      </c>
      <c r="E1054" s="2">
        <f>IF(Tabla2[[#This Row],[Frecuencia]]="Annual", Tabla2[[#This Row],[Cosecha/Tarea]]/12,Tabla2[[#This Row],[Cosecha/Tarea]])</f>
        <v>4956</v>
      </c>
      <c r="F1054" s="2">
        <v>50737</v>
      </c>
      <c r="G1054" t="s">
        <v>18</v>
      </c>
      <c r="H1054">
        <f>F1054/Tabla2[[#This Row],[Cosecha Mensual]]</f>
        <v>10.237489911218725</v>
      </c>
      <c r="I1054">
        <f>H1054*_xlfn.XLOOKUP(Tabla2[[#This Row],[Unidad de producción]],Tabla3[Medida],Tabla3[Equivalencia en Kg],"ELVIS",0)</f>
        <v>464.37254237288136</v>
      </c>
      <c r="J1054">
        <v>241.85546666666701</v>
      </c>
      <c r="K1054" t="s">
        <v>18</v>
      </c>
      <c r="L1054">
        <f>J1054/_xlfn.XLOOKUP(Tabla2[[#This Row],[Unidad de precio]],Tabla3[Medida],Tabla3[Equivalencia en Kg],"ELVIS",0)</f>
        <v>5.3319106407995376</v>
      </c>
      <c r="M1054">
        <v>5280.51</v>
      </c>
      <c r="N1054" s="2">
        <f>(Tabla2[[#This Row],[Productividad (kg/TAS)]]*Tabla2[[#This Row],[Precio por kg]]-Tabla2[[#This Row],[Costos (En RD$/Tarea)]])</f>
        <v>-2804.5171000269002</v>
      </c>
      <c r="O1054" s="6">
        <f>IF(Tabla2[[#This Row],[Costos (En RD$/Tarea)]]=0,0,Tabla2[[#This Row],[Beneficio Neto  (En RD$/Tarea)]]/Tabla2[[#This Row],[Costos (En RD$/Tarea)]])</f>
        <v>-0.53110724154047617</v>
      </c>
      <c r="P1054" s="4">
        <f>Tabla2[[#This Row],[Rentabilidad (%)]]/12</f>
        <v>-4.4258936795039679E-2</v>
      </c>
    </row>
    <row r="1055" spans="1:16" x14ac:dyDescent="0.35">
      <c r="A1055" s="1">
        <v>39173</v>
      </c>
      <c r="B1055" t="s">
        <v>28</v>
      </c>
      <c r="C1055" s="2">
        <v>1707</v>
      </c>
      <c r="D1055" s="5" t="s">
        <v>17</v>
      </c>
      <c r="E1055" s="2">
        <f>IF(Tabla2[[#This Row],[Frecuencia]]="Annual", Tabla2[[#This Row],[Cosecha/Tarea]]/12,Tabla2[[#This Row],[Cosecha/Tarea]])</f>
        <v>1707</v>
      </c>
      <c r="F1055" s="2">
        <v>797</v>
      </c>
      <c r="G1055" t="s">
        <v>29</v>
      </c>
      <c r="H1055">
        <f>F1055/Tabla2[[#This Row],[Cosecha Mensual]]</f>
        <v>0.46690099589923845</v>
      </c>
      <c r="I1055">
        <f>H1055*_xlfn.XLOOKUP(Tabla2[[#This Row],[Unidad de producción]],Tabla3[Medida],Tabla3[Equivalencia en Kg],"ELVIS",0)</f>
        <v>262.55710603397779</v>
      </c>
      <c r="J1055">
        <v>7671.67</v>
      </c>
      <c r="K1055" t="s">
        <v>29</v>
      </c>
      <c r="L1055">
        <f>J1055/_xlfn.XLOOKUP(Tabla2[[#This Row],[Unidad de precio]],Tabla3[Medida],Tabla3[Equivalencia en Kg],"ELVIS",0)</f>
        <v>13.642404950741543</v>
      </c>
      <c r="M1055">
        <v>10097.26</v>
      </c>
      <c r="N1055" s="2">
        <f>(Tabla2[[#This Row],[Productividad (kg/TAS)]]*Tabla2[[#This Row],[Precio por kg]]-Tabla2[[#This Row],[Costos (En RD$/Tarea)]])</f>
        <v>-6515.3496367896896</v>
      </c>
      <c r="O1055" s="6">
        <f>IF(Tabla2[[#This Row],[Costos (En RD$/Tarea)]]=0,0,Tabla2[[#This Row],[Beneficio Neto  (En RD$/Tarea)]]/Tabla2[[#This Row],[Costos (En RD$/Tarea)]])</f>
        <v>-0.64525917296273338</v>
      </c>
      <c r="P1055" s="4">
        <f>Tabla2[[#This Row],[Rentabilidad (%)]]/12</f>
        <v>-5.3771597746894446E-2</v>
      </c>
    </row>
    <row r="1056" spans="1:16" x14ac:dyDescent="0.35">
      <c r="A1056" s="1">
        <v>39173</v>
      </c>
      <c r="B1056" t="s">
        <v>30</v>
      </c>
      <c r="C1056" s="2">
        <v>312419</v>
      </c>
      <c r="D1056" s="2" t="s">
        <v>31</v>
      </c>
      <c r="E1056" s="2">
        <f>IF(Tabla2[[#This Row],[Frecuencia]]="Annual", Tabla2[[#This Row],[Cosecha/Tarea]]/12,Tabla2[[#This Row],[Cosecha/Tarea]])</f>
        <v>26034.916666666668</v>
      </c>
      <c r="F1056" s="2">
        <v>1751527</v>
      </c>
      <c r="G1056" t="s">
        <v>32</v>
      </c>
      <c r="H1056">
        <f>F1056/Tabla2[[#This Row],[Cosecha Mensual]]</f>
        <v>67.276074758577423</v>
      </c>
      <c r="I1056">
        <f>H1056*_xlfn.XLOOKUP(Tabla2[[#This Row],[Unidad de producción]],Tabla3[Medida],Tabla3[Equivalencia en Kg],"ELVIS",0)</f>
        <v>1830.5819941808918</v>
      </c>
      <c r="J1056">
        <v>68.975999999999999</v>
      </c>
      <c r="K1056" t="s">
        <v>32</v>
      </c>
      <c r="L1056">
        <f>J1056/_xlfn.XLOOKUP(Tabla2[[#This Row],[Unidad de precio]],Tabla3[Medida],Tabla3[Equivalencia en Kg],"ELVIS",0)</f>
        <v>2.5349503858875413</v>
      </c>
      <c r="M1056" s="2">
        <v>8303.36</v>
      </c>
      <c r="N1056" s="2">
        <f>(Tabla2[[#This Row],[Productividad (kg/TAS)]]*Tabla2[[#This Row],[Precio por kg]]-Tabla2[[#This Row],[Costos (En RD$/Tarea)]])</f>
        <v>-3662.9254674523645</v>
      </c>
      <c r="O1056" s="6">
        <f>IF(Tabla2[[#This Row],[Costos (En RD$/Tarea)]]=0,0,Tabla2[[#This Row],[Beneficio Neto  (En RD$/Tarea)]]/Tabla2[[#This Row],[Costos (En RD$/Tarea)]])</f>
        <v>-0.44113774031866188</v>
      </c>
      <c r="P1056" s="4">
        <f>Tabla2[[#This Row],[Rentabilidad (%)]]/12</f>
        <v>-3.6761478359888487E-2</v>
      </c>
    </row>
    <row r="1057" spans="1:16" x14ac:dyDescent="0.35">
      <c r="A1057" s="1">
        <v>39173</v>
      </c>
      <c r="B1057" t="s">
        <v>33</v>
      </c>
      <c r="C1057" s="2">
        <v>794247</v>
      </c>
      <c r="D1057" s="2" t="s">
        <v>31</v>
      </c>
      <c r="E1057" s="2">
        <f>IF(Tabla2[[#This Row],[Frecuencia]]="Annual", Tabla2[[#This Row],[Cosecha/Tarea]]/12,Tabla2[[#This Row],[Cosecha/Tarea]])</f>
        <v>66187.25</v>
      </c>
      <c r="F1057" s="2">
        <v>185237</v>
      </c>
      <c r="G1057" t="s">
        <v>34</v>
      </c>
      <c r="H1057">
        <f>F1057/Tabla2[[#This Row],[Cosecha Mensual]]</f>
        <v>2.7986810148480257</v>
      </c>
      <c r="I1057">
        <f>H1057*_xlfn.XLOOKUP(Tabla2[[#This Row],[Unidad de producción]],Tabla3[Medida],Tabla3[Equivalencia en Kg],"ELVIS",0)</f>
        <v>1142.2816562102216</v>
      </c>
      <c r="J1057">
        <v>2442.4259999999999</v>
      </c>
      <c r="K1057" t="s">
        <v>34</v>
      </c>
      <c r="L1057">
        <f>J1057/_xlfn.XLOOKUP(Tabla2[[#This Row],[Unidad de precio]],Tabla3[Medida],Tabla3[Equivalencia en Kg],"ELVIS",0)</f>
        <v>5.9841381844909964</v>
      </c>
      <c r="M1057" s="2">
        <v>11167.89</v>
      </c>
      <c r="N1057" s="2">
        <f>(Tabla2[[#This Row],[Productividad (kg/TAS)]]*Tabla2[[#This Row],[Precio por kg]]-Tabla2[[#This Row],[Costos (En RD$/Tarea)]])</f>
        <v>-4332.3187236287949</v>
      </c>
      <c r="O1057" s="6">
        <f>IF(Tabla2[[#This Row],[Costos (En RD$/Tarea)]]=0,0,Tabla2[[#This Row],[Beneficio Neto  (En RD$/Tarea)]]/Tabla2[[#This Row],[Costos (En RD$/Tarea)]])</f>
        <v>-0.38792634272264459</v>
      </c>
      <c r="P1057" s="4">
        <f>Tabla2[[#This Row],[Rentabilidad (%)]]/12</f>
        <v>-3.2327195226887047E-2</v>
      </c>
    </row>
    <row r="1058" spans="1:16" x14ac:dyDescent="0.35">
      <c r="A1058" s="1">
        <v>39203</v>
      </c>
      <c r="B1058" t="s">
        <v>16</v>
      </c>
      <c r="C1058" s="2">
        <v>469290</v>
      </c>
      <c r="D1058" s="5" t="s">
        <v>17</v>
      </c>
      <c r="E1058" s="2">
        <f>IF(Tabla2[[#This Row],[Frecuencia]]="Annual", Tabla2[[#This Row],[Cosecha/Tarea]]/12,Tabla2[[#This Row],[Cosecha/Tarea]])</f>
        <v>469290</v>
      </c>
      <c r="F1058" s="2">
        <v>2296097</v>
      </c>
      <c r="G1058" t="s">
        <v>18</v>
      </c>
      <c r="H1058">
        <f>F1058/Tabla2[[#This Row],[Cosecha Mensual]]</f>
        <v>4.8927038718063454</v>
      </c>
      <c r="I1058">
        <f>H1058*_xlfn.XLOOKUP(Tabla2[[#This Row],[Unidad de producción]],Tabla3[Medida],Tabla3[Equivalencia en Kg],"ELVIS",0)</f>
        <v>221.93304762513583</v>
      </c>
      <c r="J1058">
        <v>1167.9166666666699</v>
      </c>
      <c r="K1058" t="s">
        <v>19</v>
      </c>
      <c r="L1058">
        <f>J1058/_xlfn.XLOOKUP(Tabla2[[#This Row],[Unidad de precio]],Tabla3[Medida],Tabla3[Equivalencia en Kg],"ELVIS",0)</f>
        <v>10.617424242424272</v>
      </c>
      <c r="M1058">
        <v>5339.5</v>
      </c>
      <c r="N1058" s="2">
        <f>(Tabla2[[#This Row],[Productividad (kg/TAS)]]*Tabla2[[#This Row],[Precio por kg]]-Tabla2[[#This Row],[Costos (En RD$/Tarea)]])</f>
        <v>-2983.1426799497822</v>
      </c>
      <c r="O1058" s="6">
        <f>IF(Tabla2[[#This Row],[Costos (En RD$/Tarea)]]=0,0,Tabla2[[#This Row],[Beneficio Neto  (En RD$/Tarea)]]/Tabla2[[#This Row],[Costos (En RD$/Tarea)]])</f>
        <v>-0.55869326340477243</v>
      </c>
      <c r="P1058" s="4">
        <f>Tabla2[[#This Row],[Rentabilidad (%)]]/12</f>
        <v>-4.6557771950397703E-2</v>
      </c>
    </row>
    <row r="1059" spans="1:16" x14ac:dyDescent="0.35">
      <c r="A1059" s="1">
        <v>39203</v>
      </c>
      <c r="B1059" t="s">
        <v>20</v>
      </c>
      <c r="C1059" s="2">
        <v>18684</v>
      </c>
      <c r="D1059" s="5" t="s">
        <v>17</v>
      </c>
      <c r="E1059" s="2">
        <f>IF(Tabla2[[#This Row],[Frecuencia]]="Annual", Tabla2[[#This Row],[Cosecha/Tarea]]/12,Tabla2[[#This Row],[Cosecha/Tarea]])</f>
        <v>18684</v>
      </c>
      <c r="F1059" s="2">
        <v>48366</v>
      </c>
      <c r="G1059" t="s">
        <v>18</v>
      </c>
      <c r="H1059">
        <f>F1059/Tabla2[[#This Row],[Cosecha Mensual]]</f>
        <v>2.5886319845857417</v>
      </c>
      <c r="I1059">
        <f>H1059*_xlfn.XLOOKUP(Tabla2[[#This Row],[Unidad de producción]],Tabla3[Medida],Tabla3[Equivalencia en Kg],"ELVIS",0)</f>
        <v>117.42034682080924</v>
      </c>
      <c r="J1059">
        <v>334.2406115</v>
      </c>
      <c r="K1059" t="s">
        <v>18</v>
      </c>
      <c r="L1059">
        <f>J1059/_xlfn.XLOOKUP(Tabla2[[#This Row],[Unidad de precio]],Tabla3[Medida],Tabla3[Equivalencia en Kg],"ELVIS",0)</f>
        <v>7.3686201829805995</v>
      </c>
      <c r="M1059">
        <v>1417.48</v>
      </c>
      <c r="N1059" s="2">
        <f>(Tabla2[[#This Row],[Productividad (kg/TAS)]]*Tabla2[[#This Row],[Precio por kg]]-Tabla2[[#This Row],[Costos (En RD$/Tarea)]])</f>
        <v>-552.25406252360312</v>
      </c>
      <c r="O1059" s="6">
        <f>IF(Tabla2[[#This Row],[Costos (En RD$/Tarea)]]=0,0,Tabla2[[#This Row],[Beneficio Neto  (En RD$/Tarea)]]/Tabla2[[#This Row],[Costos (En RD$/Tarea)]])</f>
        <v>-0.38960271927900436</v>
      </c>
      <c r="P1059" s="4">
        <f>Tabla2[[#This Row],[Rentabilidad (%)]]/12</f>
        <v>-3.2466893273250363E-2</v>
      </c>
    </row>
    <row r="1060" spans="1:16" x14ac:dyDescent="0.35">
      <c r="A1060" s="1">
        <v>39203</v>
      </c>
      <c r="B1060" t="s">
        <v>21</v>
      </c>
      <c r="C1060" s="2">
        <v>11852</v>
      </c>
      <c r="D1060" s="5" t="s">
        <v>17</v>
      </c>
      <c r="E1060" s="2">
        <f>IF(Tabla2[[#This Row],[Frecuencia]]="Annual", Tabla2[[#This Row],[Cosecha/Tarea]]/12,Tabla2[[#This Row],[Cosecha/Tarea]])</f>
        <v>11852</v>
      </c>
      <c r="F1060" s="2">
        <v>121724</v>
      </c>
      <c r="G1060" t="s">
        <v>18</v>
      </c>
      <c r="H1060">
        <f>F1060/Tabla2[[#This Row],[Cosecha Mensual]]</f>
        <v>10.27033412082349</v>
      </c>
      <c r="I1060">
        <f>H1060*_xlfn.XLOOKUP(Tabla2[[#This Row],[Unidad de producción]],Tabla3[Medida],Tabla3[Equivalencia en Kg],"ELVIS",0)</f>
        <v>465.86235572055352</v>
      </c>
      <c r="J1060">
        <v>211.13604000000001</v>
      </c>
      <c r="K1060" t="s">
        <v>18</v>
      </c>
      <c r="L1060">
        <f>J1060/_xlfn.XLOOKUP(Tabla2[[#This Row],[Unidad de precio]],Tabla3[Medida],Tabla3[Equivalencia en Kg],"ELVIS",0)</f>
        <v>4.6546746031746036</v>
      </c>
      <c r="M1060">
        <v>2131.605</v>
      </c>
      <c r="N1060" s="2">
        <f>(Tabla2[[#This Row],[Productividad (kg/TAS)]]*Tabla2[[#This Row],[Precio por kg]]-Tabla2[[#This Row],[Costos (En RD$/Tarea)]])</f>
        <v>36.832675747553367</v>
      </c>
      <c r="O1060" s="6">
        <f>IF(Tabla2[[#This Row],[Costos (En RD$/Tarea)]]=0,0,Tabla2[[#This Row],[Beneficio Neto  (En RD$/Tarea)]]/Tabla2[[#This Row],[Costos (En RD$/Tarea)]])</f>
        <v>1.7279315702277562E-2</v>
      </c>
      <c r="P1060" s="4">
        <f>Tabla2[[#This Row],[Rentabilidad (%)]]/12</f>
        <v>1.4399429751897968E-3</v>
      </c>
    </row>
    <row r="1061" spans="1:16" x14ac:dyDescent="0.35">
      <c r="A1061" s="1">
        <v>39203</v>
      </c>
      <c r="B1061" t="s">
        <v>22</v>
      </c>
      <c r="C1061" s="2">
        <v>6812</v>
      </c>
      <c r="D1061" s="5" t="s">
        <v>17</v>
      </c>
      <c r="E1061" s="2">
        <f>IF(Tabla2[[#This Row],[Frecuencia]]="Annual", Tabla2[[#This Row],[Cosecha/Tarea]]/12,Tabla2[[#This Row],[Cosecha/Tarea]])</f>
        <v>6812</v>
      </c>
      <c r="F1061" s="2">
        <v>67901</v>
      </c>
      <c r="G1061" t="s">
        <v>18</v>
      </c>
      <c r="H1061">
        <f>F1061/Tabla2[[#This Row],[Cosecha Mensual]]</f>
        <v>9.9678508514386372</v>
      </c>
      <c r="I1061">
        <f>H1061*_xlfn.XLOOKUP(Tabla2[[#This Row],[Unidad de producción]],Tabla3[Medida],Tabla3[Equivalencia en Kg],"ELVIS",0)</f>
        <v>452.1417146212566</v>
      </c>
      <c r="J1061">
        <v>852.125</v>
      </c>
      <c r="K1061" t="s">
        <v>18</v>
      </c>
      <c r="L1061">
        <f>J1061/_xlfn.XLOOKUP(Tabla2[[#This Row],[Unidad de precio]],Tabla3[Medida],Tabla3[Equivalencia en Kg],"ELVIS",0)</f>
        <v>18.78582451499118</v>
      </c>
      <c r="M1061">
        <v>6063.13</v>
      </c>
      <c r="N1061" s="2">
        <f>(Tabla2[[#This Row],[Productividad (kg/TAS)]]*Tabla2[[#This Row],[Precio por kg]]-Tabla2[[#This Row],[Costos (En RD$/Tarea)]])</f>
        <v>2430.7249067821476</v>
      </c>
      <c r="O1061" s="6">
        <f>IF(Tabla2[[#This Row],[Costos (En RD$/Tarea)]]=0,0,Tabla2[[#This Row],[Beneficio Neto  (En RD$/Tarea)]]/Tabla2[[#This Row],[Costos (En RD$/Tarea)]])</f>
        <v>0.40090265370891726</v>
      </c>
      <c r="P1061" s="4">
        <f>Tabla2[[#This Row],[Rentabilidad (%)]]/12</f>
        <v>3.3408554475743105E-2</v>
      </c>
    </row>
    <row r="1062" spans="1:16" x14ac:dyDescent="0.35">
      <c r="A1062" s="1">
        <v>39203</v>
      </c>
      <c r="B1062" t="s">
        <v>23</v>
      </c>
      <c r="C1062" s="2">
        <v>1245</v>
      </c>
      <c r="D1062" s="5" t="s">
        <v>17</v>
      </c>
      <c r="E1062" s="2">
        <f>IF(Tabla2[[#This Row],[Frecuencia]]="Annual", Tabla2[[#This Row],[Cosecha/Tarea]]/12,Tabla2[[#This Row],[Cosecha/Tarea]])</f>
        <v>1245</v>
      </c>
      <c r="F1062" s="2">
        <v>39895</v>
      </c>
      <c r="G1062" t="s">
        <v>18</v>
      </c>
      <c r="H1062">
        <f>F1062/Tabla2[[#This Row],[Cosecha Mensual]]</f>
        <v>32.044176706827308</v>
      </c>
      <c r="I1062">
        <f>H1062*_xlfn.XLOOKUP(Tabla2[[#This Row],[Unidad de producción]],Tabla3[Medida],Tabla3[Equivalencia en Kg],"ELVIS",0)</f>
        <v>1453.5238554216867</v>
      </c>
      <c r="J1062">
        <v>656.25</v>
      </c>
      <c r="K1062" t="s">
        <v>18</v>
      </c>
      <c r="L1062">
        <f>J1062/_xlfn.XLOOKUP(Tabla2[[#This Row],[Unidad de precio]],Tabla3[Medida],Tabla3[Equivalencia en Kg],"ELVIS",0)</f>
        <v>14.467592592592593</v>
      </c>
      <c r="M1062">
        <v>12092.41</v>
      </c>
      <c r="N1062" s="2">
        <f>(Tabla2[[#This Row],[Productividad (kg/TAS)]]*Tabla2[[#This Row],[Precio por kg]]-Tabla2[[#This Row],[Costos (En RD$/Tarea)]])</f>
        <v>8936.5809638554238</v>
      </c>
      <c r="O1062" s="6">
        <f>IF(Tabla2[[#This Row],[Costos (En RD$/Tarea)]]=0,0,Tabla2[[#This Row],[Beneficio Neto  (En RD$/Tarea)]]/Tabla2[[#This Row],[Costos (En RD$/Tarea)]])</f>
        <v>0.73902397982332912</v>
      </c>
      <c r="P1062" s="4">
        <f>Tabla2[[#This Row],[Rentabilidad (%)]]/12</f>
        <v>6.1585331651944096E-2</v>
      </c>
    </row>
    <row r="1063" spans="1:16" x14ac:dyDescent="0.35">
      <c r="A1063" s="1">
        <v>39203</v>
      </c>
      <c r="B1063" t="s">
        <v>24</v>
      </c>
      <c r="C1063" s="2">
        <v>6553</v>
      </c>
      <c r="D1063" s="5" t="s">
        <v>17</v>
      </c>
      <c r="E1063" s="2">
        <f>IF(Tabla2[[#This Row],[Frecuencia]]="Annual", Tabla2[[#This Row],[Cosecha/Tarea]]/12,Tabla2[[#This Row],[Cosecha/Tarea]])</f>
        <v>6553</v>
      </c>
      <c r="F1063" s="2">
        <v>47119</v>
      </c>
      <c r="G1063" t="s">
        <v>18</v>
      </c>
      <c r="H1063">
        <f>F1063/Tabla2[[#This Row],[Cosecha Mensual]]</f>
        <v>7.1904471234549066</v>
      </c>
      <c r="I1063">
        <f>H1063*_xlfn.XLOOKUP(Tabla2[[#This Row],[Unidad de producción]],Tabla3[Medida],Tabla3[Equivalencia en Kg],"ELVIS",0)</f>
        <v>326.15868151991458</v>
      </c>
      <c r="J1063">
        <v>821</v>
      </c>
      <c r="K1063" t="s">
        <v>18</v>
      </c>
      <c r="L1063">
        <f>J1063/_xlfn.XLOOKUP(Tabla2[[#This Row],[Unidad de precio]],Tabla3[Medida],Tabla3[Equivalencia en Kg],"ELVIS",0)</f>
        <v>18.099647266313934</v>
      </c>
      <c r="M1063">
        <v>4803.45</v>
      </c>
      <c r="N1063" s="2">
        <f>(Tabla2[[#This Row],[Productividad (kg/TAS)]]*Tabla2[[#This Row],[Precio por kg]]-Tabla2[[#This Row],[Costos (En RD$/Tarea)]])</f>
        <v>1099.9070883564791</v>
      </c>
      <c r="O1063" s="6">
        <f>IF(Tabla2[[#This Row],[Costos (En RD$/Tarea)]]=0,0,Tabla2[[#This Row],[Beneficio Neto  (En RD$/Tarea)]]/Tabla2[[#This Row],[Costos (En RD$/Tarea)]])</f>
        <v>0.22898272873798606</v>
      </c>
      <c r="P1063" s="4">
        <f>Tabla2[[#This Row],[Rentabilidad (%)]]/12</f>
        <v>1.9081894061498839E-2</v>
      </c>
    </row>
    <row r="1064" spans="1:16" x14ac:dyDescent="0.35">
      <c r="A1064" s="1">
        <v>39203</v>
      </c>
      <c r="B1064" t="s">
        <v>25</v>
      </c>
      <c r="C1064" s="2">
        <v>27444</v>
      </c>
      <c r="D1064" s="5" t="s">
        <v>17</v>
      </c>
      <c r="E1064" s="2">
        <f>IF(Tabla2[[#This Row],[Frecuencia]]="Annual", Tabla2[[#This Row],[Cosecha/Tarea]]/12,Tabla2[[#This Row],[Cosecha/Tarea]])</f>
        <v>27444</v>
      </c>
      <c r="F1064" s="2">
        <v>269176</v>
      </c>
      <c r="G1064" t="s">
        <v>18</v>
      </c>
      <c r="H1064">
        <f>F1064/Tabla2[[#This Row],[Cosecha Mensual]]</f>
        <v>9.8081912257688391</v>
      </c>
      <c r="I1064">
        <f>H1064*_xlfn.XLOOKUP(Tabla2[[#This Row],[Unidad de producción]],Tabla3[Medida],Tabla3[Equivalencia en Kg],"ELVIS",0)</f>
        <v>444.89955400087456</v>
      </c>
      <c r="J1064">
        <v>308.96375</v>
      </c>
      <c r="K1064" t="s">
        <v>18</v>
      </c>
      <c r="L1064">
        <f>J1064/_xlfn.XLOOKUP(Tabla2[[#This Row],[Unidad de precio]],Tabla3[Medida],Tabla3[Equivalencia en Kg],"ELVIS",0)</f>
        <v>6.8113701499118164</v>
      </c>
      <c r="M1064">
        <v>2341.04</v>
      </c>
      <c r="N1064" s="2">
        <f>(Tabla2[[#This Row],[Productividad (kg/TAS)]]*Tabla2[[#This Row],[Precio por kg]]-Tabla2[[#This Row],[Costos (En RD$/Tarea)]])</f>
        <v>689.33554183063734</v>
      </c>
      <c r="O1064" s="6">
        <f>IF(Tabla2[[#This Row],[Costos (En RD$/Tarea)]]=0,0,Tabla2[[#This Row],[Beneficio Neto  (En RD$/Tarea)]]/Tabla2[[#This Row],[Costos (En RD$/Tarea)]])</f>
        <v>0.29445696862532778</v>
      </c>
      <c r="P1064" s="4">
        <f>Tabla2[[#This Row],[Rentabilidad (%)]]/12</f>
        <v>2.4538080718777316E-2</v>
      </c>
    </row>
    <row r="1065" spans="1:16" x14ac:dyDescent="0.35">
      <c r="A1065" s="1">
        <v>39203</v>
      </c>
      <c r="B1065" t="s">
        <v>26</v>
      </c>
      <c r="C1065" s="2">
        <v>10834</v>
      </c>
      <c r="D1065" s="5" t="s">
        <v>17</v>
      </c>
      <c r="E1065" s="2">
        <f>IF(Tabla2[[#This Row],[Frecuencia]]="Annual", Tabla2[[#This Row],[Cosecha/Tarea]]/12,Tabla2[[#This Row],[Cosecha/Tarea]])</f>
        <v>10834</v>
      </c>
      <c r="F1065" s="2">
        <v>80126</v>
      </c>
      <c r="G1065" t="s">
        <v>18</v>
      </c>
      <c r="H1065">
        <f>F1065/Tabla2[[#This Row],[Cosecha Mensual]]</f>
        <v>7.3957910282444157</v>
      </c>
      <c r="I1065">
        <f>H1065*_xlfn.XLOOKUP(Tabla2[[#This Row],[Unidad de producción]],Tabla3[Medida],Tabla3[Equivalencia en Kg],"ELVIS",0)</f>
        <v>335.47308104116667</v>
      </c>
      <c r="J1065">
        <v>409.58333333333297</v>
      </c>
      <c r="K1065" t="s">
        <v>18</v>
      </c>
      <c r="L1065">
        <f>J1065/_xlfn.XLOOKUP(Tabla2[[#This Row],[Unidad de precio]],Tabla3[Medida],Tabla3[Equivalencia en Kg],"ELVIS",0)</f>
        <v>9.0296149323927022</v>
      </c>
      <c r="M1065">
        <v>970.18</v>
      </c>
      <c r="N1065" s="2">
        <f>(Tabla2[[#This Row],[Productividad (kg/TAS)]]*Tabla2[[#This Row],[Precio por kg]]-Tabla2[[#This Row],[Costos (En RD$/Tarea)]])</f>
        <v>2059.012741985106</v>
      </c>
      <c r="O1065" s="6">
        <f>IF(Tabla2[[#This Row],[Costos (En RD$/Tarea)]]=0,0,Tabla2[[#This Row],[Beneficio Neto  (En RD$/Tarea)]]/Tabla2[[#This Row],[Costos (En RD$/Tarea)]])</f>
        <v>2.1222997196243027</v>
      </c>
      <c r="P1065" s="4">
        <f>Tabla2[[#This Row],[Rentabilidad (%)]]/12</f>
        <v>0.1768583099686919</v>
      </c>
    </row>
    <row r="1066" spans="1:16" x14ac:dyDescent="0.35">
      <c r="A1066" s="1">
        <v>39203</v>
      </c>
      <c r="B1066" t="s">
        <v>27</v>
      </c>
      <c r="C1066" s="2">
        <v>5378</v>
      </c>
      <c r="D1066" s="5" t="s">
        <v>17</v>
      </c>
      <c r="E1066" s="2">
        <f>IF(Tabla2[[#This Row],[Frecuencia]]="Annual", Tabla2[[#This Row],[Cosecha/Tarea]]/12,Tabla2[[#This Row],[Cosecha/Tarea]])</f>
        <v>5378</v>
      </c>
      <c r="F1066" s="2">
        <v>37701</v>
      </c>
      <c r="G1066" t="s">
        <v>18</v>
      </c>
      <c r="H1066">
        <f>F1066/Tabla2[[#This Row],[Cosecha Mensual]]</f>
        <v>7.0102268501301603</v>
      </c>
      <c r="I1066">
        <f>H1066*_xlfn.XLOOKUP(Tabla2[[#This Row],[Unidad de producción]],Tabla3[Medida],Tabla3[Equivalencia en Kg],"ELVIS",0)</f>
        <v>317.98388992190405</v>
      </c>
      <c r="J1066">
        <v>209.74799999999999</v>
      </c>
      <c r="K1066" t="s">
        <v>18</v>
      </c>
      <c r="L1066">
        <f>J1066/_xlfn.XLOOKUP(Tabla2[[#This Row],[Unidad de precio]],Tabla3[Medida],Tabla3[Equivalencia en Kg],"ELVIS",0)</f>
        <v>4.6240740740740742</v>
      </c>
      <c r="M1066">
        <v>5280.51</v>
      </c>
      <c r="N1066" s="2">
        <f>(Tabla2[[#This Row],[Productividad (kg/TAS)]]*Tabla2[[#This Row],[Precio por kg]]-Tabla2[[#This Row],[Costos (En RD$/Tarea)]])</f>
        <v>-3810.1289386388994</v>
      </c>
      <c r="O1066" s="6">
        <f>IF(Tabla2[[#This Row],[Costos (En RD$/Tarea)]]=0,0,Tabla2[[#This Row],[Beneficio Neto  (En RD$/Tarea)]]/Tabla2[[#This Row],[Costos (En RD$/Tarea)]])</f>
        <v>-0.72154563453887965</v>
      </c>
      <c r="P1066" s="4">
        <f>Tabla2[[#This Row],[Rentabilidad (%)]]/12</f>
        <v>-6.0128802878239969E-2</v>
      </c>
    </row>
    <row r="1067" spans="1:16" x14ac:dyDescent="0.35">
      <c r="A1067" s="1">
        <v>39203</v>
      </c>
      <c r="B1067" t="s">
        <v>28</v>
      </c>
      <c r="C1067" s="2">
        <v>547</v>
      </c>
      <c r="D1067" s="5" t="s">
        <v>17</v>
      </c>
      <c r="E1067" s="2">
        <f>IF(Tabla2[[#This Row],[Frecuencia]]="Annual", Tabla2[[#This Row],[Cosecha/Tarea]]/12,Tabla2[[#This Row],[Cosecha/Tarea]])</f>
        <v>547</v>
      </c>
      <c r="F1067" s="2">
        <v>332</v>
      </c>
      <c r="G1067" t="s">
        <v>29</v>
      </c>
      <c r="H1067">
        <f>F1067/Tabla2[[#This Row],[Cosecha Mensual]]</f>
        <v>0.60694698354661791</v>
      </c>
      <c r="I1067">
        <f>H1067*_xlfn.XLOOKUP(Tabla2[[#This Row],[Unidad de producción]],Tabla3[Medida],Tabla3[Equivalencia en Kg],"ELVIS",0)</f>
        <v>341.31056672760513</v>
      </c>
      <c r="J1067">
        <v>7416.5</v>
      </c>
      <c r="K1067" t="s">
        <v>29</v>
      </c>
      <c r="L1067">
        <f>J1067/_xlfn.XLOOKUP(Tabla2[[#This Row],[Unidad de precio]],Tabla3[Medida],Tabla3[Equivalencia en Kg],"ELVIS",0)</f>
        <v>13.188640324358929</v>
      </c>
      <c r="M1067">
        <v>10097.26</v>
      </c>
      <c r="N1067" s="2">
        <f>(Tabla2[[#This Row],[Productividad (kg/TAS)]]*Tabla2[[#This Row],[Precio por kg]]-Tabla2[[#This Row],[Costos (En RD$/Tarea)]])</f>
        <v>-5595.8376965265079</v>
      </c>
      <c r="O1067" s="6">
        <f>IF(Tabla2[[#This Row],[Costos (En RD$/Tarea)]]=0,0,Tabla2[[#This Row],[Beneficio Neto  (En RD$/Tarea)]]/Tabla2[[#This Row],[Costos (En RD$/Tarea)]])</f>
        <v>-0.55419368190246743</v>
      </c>
      <c r="P1067" s="4">
        <f>Tabla2[[#This Row],[Rentabilidad (%)]]/12</f>
        <v>-4.6182806825205619E-2</v>
      </c>
    </row>
    <row r="1068" spans="1:16" x14ac:dyDescent="0.35">
      <c r="A1068" s="1">
        <v>39203</v>
      </c>
      <c r="B1068" t="s">
        <v>30</v>
      </c>
      <c r="C1068" s="2">
        <v>281651</v>
      </c>
      <c r="D1068" s="2" t="s">
        <v>31</v>
      </c>
      <c r="E1068" s="2">
        <f>IF(Tabla2[[#This Row],[Frecuencia]]="Annual", Tabla2[[#This Row],[Cosecha/Tarea]]/12,Tabla2[[#This Row],[Cosecha/Tarea]])</f>
        <v>23470.916666666668</v>
      </c>
      <c r="F1068" s="2">
        <v>1652881</v>
      </c>
      <c r="G1068" t="s">
        <v>32</v>
      </c>
      <c r="H1068">
        <f>F1068/Tabla2[[#This Row],[Cosecha Mensual]]</f>
        <v>70.422515808571603</v>
      </c>
      <c r="I1068">
        <f>H1068*_xlfn.XLOOKUP(Tabla2[[#This Row],[Unidad de producción]],Tabla3[Medida],Tabla3[Equivalencia en Kg],"ELVIS",0)</f>
        <v>1916.1966551512335</v>
      </c>
      <c r="J1068">
        <v>66.034999999999997</v>
      </c>
      <c r="K1068" t="s">
        <v>32</v>
      </c>
      <c r="L1068">
        <f>J1068/_xlfn.XLOOKUP(Tabla2[[#This Row],[Unidad de precio]],Tabla3[Medida],Tabla3[Equivalencia en Kg],"ELVIS",0)</f>
        <v>2.4268651231165013</v>
      </c>
      <c r="M1068" s="2">
        <v>8303.36</v>
      </c>
      <c r="N1068" s="2">
        <f>(Tabla2[[#This Row],[Productividad (kg/TAS)]]*Tabla2[[#This Row],[Precio por kg]]-Tabla2[[#This Row],[Costos (En RD$/Tarea)]])</f>
        <v>-3653.0091685809748</v>
      </c>
      <c r="O1068" s="6">
        <f>IF(Tabla2[[#This Row],[Costos (En RD$/Tarea)]]=0,0,Tabla2[[#This Row],[Beneficio Neto  (En RD$/Tarea)]]/Tabla2[[#This Row],[Costos (En RD$/Tarea)]])</f>
        <v>-0.43994348897084729</v>
      </c>
      <c r="P1068" s="4">
        <f>Tabla2[[#This Row],[Rentabilidad (%)]]/12</f>
        <v>-3.6661957414237271E-2</v>
      </c>
    </row>
    <row r="1069" spans="1:16" x14ac:dyDescent="0.35">
      <c r="A1069" s="1">
        <v>39203</v>
      </c>
      <c r="B1069" t="s">
        <v>33</v>
      </c>
      <c r="C1069" s="2">
        <v>794261</v>
      </c>
      <c r="D1069" s="2" t="s">
        <v>31</v>
      </c>
      <c r="E1069" s="2">
        <f>IF(Tabla2[[#This Row],[Frecuencia]]="Annual", Tabla2[[#This Row],[Cosecha/Tarea]]/12,Tabla2[[#This Row],[Cosecha/Tarea]])</f>
        <v>66188.416666666672</v>
      </c>
      <c r="F1069" s="2">
        <v>170302</v>
      </c>
      <c r="G1069" t="s">
        <v>34</v>
      </c>
      <c r="H1069">
        <f>F1069/Tabla2[[#This Row],[Cosecha Mensual]]</f>
        <v>2.5729879724674887</v>
      </c>
      <c r="I1069">
        <f>H1069*_xlfn.XLOOKUP(Tabla2[[#This Row],[Unidad de producción]],Tabla3[Medida],Tabla3[Equivalencia en Kg],"ELVIS",0)</f>
        <v>1050.1650409626054</v>
      </c>
      <c r="J1069">
        <v>2406.3850000000002</v>
      </c>
      <c r="K1069" t="s">
        <v>34</v>
      </c>
      <c r="L1069">
        <f>J1069/_xlfn.XLOOKUP(Tabla2[[#This Row],[Unidad de precio]],Tabla3[Medida],Tabla3[Equivalencia en Kg],"ELVIS",0)</f>
        <v>5.8958348646331018</v>
      </c>
      <c r="M1069" s="2">
        <v>11167.89</v>
      </c>
      <c r="N1069" s="2">
        <f>(Tabla2[[#This Row],[Productividad (kg/TAS)]]*Tabla2[[#This Row],[Precio por kg]]-Tabla2[[#This Row],[Costos (En RD$/Tarea)]])</f>
        <v>-4976.290337873821</v>
      </c>
      <c r="O1069" s="6">
        <f>IF(Tabla2[[#This Row],[Costos (En RD$/Tarea)]]=0,0,Tabla2[[#This Row],[Beneficio Neto  (En RD$/Tarea)]]/Tabla2[[#This Row],[Costos (En RD$/Tarea)]])</f>
        <v>-0.4455891254188411</v>
      </c>
      <c r="P1069" s="4">
        <f>Tabla2[[#This Row],[Rentabilidad (%)]]/12</f>
        <v>-3.7132427118236756E-2</v>
      </c>
    </row>
    <row r="1070" spans="1:16" x14ac:dyDescent="0.35">
      <c r="A1070" s="1">
        <v>39234</v>
      </c>
      <c r="B1070" t="s">
        <v>16</v>
      </c>
      <c r="C1070" s="2">
        <v>409076</v>
      </c>
      <c r="D1070" s="5" t="s">
        <v>17</v>
      </c>
      <c r="E1070" s="2">
        <f>IF(Tabla2[[#This Row],[Frecuencia]]="Annual", Tabla2[[#This Row],[Cosecha/Tarea]]/12,Tabla2[[#This Row],[Cosecha/Tarea]])</f>
        <v>409076</v>
      </c>
      <c r="F1070" s="2">
        <v>2020789</v>
      </c>
      <c r="G1070" t="s">
        <v>18</v>
      </c>
      <c r="H1070">
        <f>F1070/Tabla2[[#This Row],[Cosecha Mensual]]</f>
        <v>4.9398864758626759</v>
      </c>
      <c r="I1070">
        <f>H1070*_xlfn.XLOOKUP(Tabla2[[#This Row],[Unidad de producción]],Tabla3[Medida],Tabla3[Equivalencia en Kg],"ELVIS",0)</f>
        <v>224.07325054513097</v>
      </c>
      <c r="J1070">
        <v>1249.2550000000001</v>
      </c>
      <c r="K1070" t="s">
        <v>19</v>
      </c>
      <c r="L1070">
        <f>J1070/_xlfn.XLOOKUP(Tabla2[[#This Row],[Unidad de precio]],Tabla3[Medida],Tabla3[Equivalencia en Kg],"ELVIS",0)</f>
        <v>11.356863636363638</v>
      </c>
      <c r="M1070">
        <v>5339.5</v>
      </c>
      <c r="N1070" s="2">
        <f>(Tabla2[[#This Row],[Productividad (kg/TAS)]]*Tabla2[[#This Row],[Precio por kg]]-Tabla2[[#This Row],[Costos (En RD$/Tarea)]])</f>
        <v>-2794.7306490022033</v>
      </c>
      <c r="O1070" s="6">
        <f>IF(Tabla2[[#This Row],[Costos (En RD$/Tarea)]]=0,0,Tabla2[[#This Row],[Beneficio Neto  (En RD$/Tarea)]]/Tabla2[[#This Row],[Costos (En RD$/Tarea)]])</f>
        <v>-0.52340680756666413</v>
      </c>
      <c r="P1070" s="4">
        <f>Tabla2[[#This Row],[Rentabilidad (%)]]/12</f>
        <v>-4.3617233963888676E-2</v>
      </c>
    </row>
    <row r="1071" spans="1:16" x14ac:dyDescent="0.35">
      <c r="A1071" s="1">
        <v>39234</v>
      </c>
      <c r="B1071" t="s">
        <v>20</v>
      </c>
      <c r="C1071" s="2">
        <v>25052</v>
      </c>
      <c r="D1071" s="5" t="s">
        <v>17</v>
      </c>
      <c r="E1071" s="2">
        <f>IF(Tabla2[[#This Row],[Frecuencia]]="Annual", Tabla2[[#This Row],[Cosecha/Tarea]]/12,Tabla2[[#This Row],[Cosecha/Tarea]])</f>
        <v>25052</v>
      </c>
      <c r="F1071" s="2">
        <v>50603</v>
      </c>
      <c r="G1071" t="s">
        <v>18</v>
      </c>
      <c r="H1071">
        <f>F1071/Tabla2[[#This Row],[Cosecha Mensual]]</f>
        <v>2.0199185693756987</v>
      </c>
      <c r="I1071">
        <f>H1071*_xlfn.XLOOKUP(Tabla2[[#This Row],[Unidad de producción]],Tabla3[Medida],Tabla3[Equivalencia en Kg],"ELVIS",0)</f>
        <v>91.623506306881694</v>
      </c>
      <c r="J1071">
        <v>340.40660000000003</v>
      </c>
      <c r="K1071" t="s">
        <v>18</v>
      </c>
      <c r="L1071">
        <f>J1071/_xlfn.XLOOKUP(Tabla2[[#This Row],[Unidad de precio]],Tabla3[Medida],Tabla3[Equivalencia en Kg],"ELVIS",0)</f>
        <v>7.5045546737213407</v>
      </c>
      <c r="M1071">
        <v>1417.48</v>
      </c>
      <c r="N1071" s="2">
        <f>(Tabla2[[#This Row],[Productividad (kg/TAS)]]*Tabla2[[#This Row],[Precio por kg]]-Tabla2[[#This Row],[Costos (En RD$/Tarea)]])</f>
        <v>-729.88638752195425</v>
      </c>
      <c r="O1071" s="6">
        <f>IF(Tabla2[[#This Row],[Costos (En RD$/Tarea)]]=0,0,Tabla2[[#This Row],[Beneficio Neto  (En RD$/Tarea)]]/Tabla2[[#This Row],[Costos (En RD$/Tarea)]])</f>
        <v>-0.51491829692267566</v>
      </c>
      <c r="P1071" s="4">
        <f>Tabla2[[#This Row],[Rentabilidad (%)]]/12</f>
        <v>-4.2909858076889636E-2</v>
      </c>
    </row>
    <row r="1072" spans="1:16" x14ac:dyDescent="0.35">
      <c r="A1072" s="1">
        <v>39234</v>
      </c>
      <c r="B1072" t="s">
        <v>21</v>
      </c>
      <c r="C1072" s="2">
        <v>6555</v>
      </c>
      <c r="D1072" s="5" t="s">
        <v>17</v>
      </c>
      <c r="E1072" s="2">
        <f>IF(Tabla2[[#This Row],[Frecuencia]]="Annual", Tabla2[[#This Row],[Cosecha/Tarea]]/12,Tabla2[[#This Row],[Cosecha/Tarea]])</f>
        <v>6555</v>
      </c>
      <c r="F1072" s="2">
        <v>68139</v>
      </c>
      <c r="G1072" t="s">
        <v>18</v>
      </c>
      <c r="H1072">
        <f>F1072/Tabla2[[#This Row],[Cosecha Mensual]]</f>
        <v>10.394965675057207</v>
      </c>
      <c r="I1072">
        <f>H1072*_xlfn.XLOOKUP(Tabla2[[#This Row],[Unidad de producción]],Tabla3[Medida],Tabla3[Equivalencia en Kg],"ELVIS",0)</f>
        <v>471.51564302059495</v>
      </c>
      <c r="J1072">
        <v>195.58529999999999</v>
      </c>
      <c r="K1072" t="s">
        <v>18</v>
      </c>
      <c r="L1072">
        <f>J1072/_xlfn.XLOOKUP(Tabla2[[#This Row],[Unidad de precio]],Tabla3[Medida],Tabla3[Equivalencia en Kg],"ELVIS",0)</f>
        <v>4.3118452380952377</v>
      </c>
      <c r="M1072">
        <v>2131.605</v>
      </c>
      <c r="N1072" s="2">
        <f>(Tabla2[[#This Row],[Productividad (kg/TAS)]]*Tabla2[[#This Row],[Precio por kg]]-Tabla2[[#This Row],[Costos (En RD$/Tarea)]])</f>
        <v>-98.502519954233776</v>
      </c>
      <c r="O1072" s="6">
        <f>IF(Tabla2[[#This Row],[Costos (En RD$/Tarea)]]=0,0,Tabla2[[#This Row],[Beneficio Neto  (En RD$/Tarea)]]/Tabla2[[#This Row],[Costos (En RD$/Tarea)]])</f>
        <v>-4.621049394903548E-2</v>
      </c>
      <c r="P1072" s="4">
        <f>Tabla2[[#This Row],[Rentabilidad (%)]]/12</f>
        <v>-3.8508744957529567E-3</v>
      </c>
    </row>
    <row r="1073" spans="1:16" x14ac:dyDescent="0.35">
      <c r="A1073" s="1">
        <v>39234</v>
      </c>
      <c r="B1073" t="s">
        <v>22</v>
      </c>
      <c r="C1073" s="2">
        <v>7091</v>
      </c>
      <c r="D1073" s="5" t="s">
        <v>17</v>
      </c>
      <c r="E1073" s="2">
        <f>IF(Tabla2[[#This Row],[Frecuencia]]="Annual", Tabla2[[#This Row],[Cosecha/Tarea]]/12,Tabla2[[#This Row],[Cosecha/Tarea]])</f>
        <v>7091</v>
      </c>
      <c r="F1073" s="2">
        <v>63536</v>
      </c>
      <c r="G1073" t="s">
        <v>18</v>
      </c>
      <c r="H1073">
        <f>F1073/Tabla2[[#This Row],[Cosecha Mensual]]</f>
        <v>8.960090255253137</v>
      </c>
      <c r="I1073">
        <f>H1073*_xlfn.XLOOKUP(Tabla2[[#This Row],[Unidad de producción]],Tabla3[Medida],Tabla3[Equivalencia en Kg],"ELVIS",0)</f>
        <v>406.42969397828227</v>
      </c>
      <c r="J1073">
        <v>587</v>
      </c>
      <c r="K1073" t="s">
        <v>18</v>
      </c>
      <c r="L1073">
        <f>J1073/_xlfn.XLOOKUP(Tabla2[[#This Row],[Unidad de precio]],Tabla3[Medida],Tabla3[Equivalencia en Kg],"ELVIS",0)</f>
        <v>12.940917107583774</v>
      </c>
      <c r="M1073">
        <v>6063.13</v>
      </c>
      <c r="N1073" s="2">
        <f>(Tabla2[[#This Row],[Productividad (kg/TAS)]]*Tabla2[[#This Row],[Precio por kg]]-Tabla2[[#This Row],[Costos (En RD$/Tarea)]])</f>
        <v>-803.55702016640953</v>
      </c>
      <c r="O1073" s="6">
        <f>IF(Tabla2[[#This Row],[Costos (En RD$/Tarea)]]=0,0,Tabla2[[#This Row],[Beneficio Neto  (En RD$/Tarea)]]/Tabla2[[#This Row],[Costos (En RD$/Tarea)]])</f>
        <v>-0.13253171549453988</v>
      </c>
      <c r="P1073" s="4">
        <f>Tabla2[[#This Row],[Rentabilidad (%)]]/12</f>
        <v>-1.1044309624544989E-2</v>
      </c>
    </row>
    <row r="1074" spans="1:16" x14ac:dyDescent="0.35">
      <c r="A1074" s="1">
        <v>39234</v>
      </c>
      <c r="B1074" t="s">
        <v>23</v>
      </c>
      <c r="C1074" s="2">
        <v>2609</v>
      </c>
      <c r="D1074" s="5" t="s">
        <v>17</v>
      </c>
      <c r="E1074" s="2">
        <f>IF(Tabla2[[#This Row],[Frecuencia]]="Annual", Tabla2[[#This Row],[Cosecha/Tarea]]/12,Tabla2[[#This Row],[Cosecha/Tarea]])</f>
        <v>2609</v>
      </c>
      <c r="F1074" s="2">
        <v>90295</v>
      </c>
      <c r="G1074" t="s">
        <v>18</v>
      </c>
      <c r="H1074">
        <f>F1074/Tabla2[[#This Row],[Cosecha Mensual]]</f>
        <v>34.609045611345344</v>
      </c>
      <c r="I1074">
        <f>H1074*_xlfn.XLOOKUP(Tabla2[[#This Row],[Unidad de producción]],Tabla3[Medida],Tabla3[Equivalencia en Kg],"ELVIS",0)</f>
        <v>1569.8663089306249</v>
      </c>
      <c r="J1074">
        <v>458.35624999999999</v>
      </c>
      <c r="K1074" t="s">
        <v>18</v>
      </c>
      <c r="L1074">
        <f>J1074/_xlfn.XLOOKUP(Tabla2[[#This Row],[Unidad de precio]],Tabla3[Medida],Tabla3[Equivalencia en Kg],"ELVIS",0)</f>
        <v>10.104855599647266</v>
      </c>
      <c r="M1074">
        <v>12092.41</v>
      </c>
      <c r="N1074" s="2">
        <f>(Tabla2[[#This Row],[Productividad (kg/TAS)]]*Tabla2[[#This Row],[Precio por kg]]-Tabla2[[#This Row],[Costos (En RD$/Tarea)]])</f>
        <v>3770.8623624952088</v>
      </c>
      <c r="O1074" s="6">
        <f>IF(Tabla2[[#This Row],[Costos (En RD$/Tarea)]]=0,0,Tabla2[[#This Row],[Beneficio Neto  (En RD$/Tarea)]]/Tabla2[[#This Row],[Costos (En RD$/Tarea)]])</f>
        <v>0.31183712448512818</v>
      </c>
      <c r="P1074" s="4">
        <f>Tabla2[[#This Row],[Rentabilidad (%)]]/12</f>
        <v>2.5986427040427348E-2</v>
      </c>
    </row>
    <row r="1075" spans="1:16" x14ac:dyDescent="0.35">
      <c r="A1075" s="1">
        <v>39234</v>
      </c>
      <c r="B1075" t="s">
        <v>24</v>
      </c>
      <c r="C1075" s="2">
        <v>6765</v>
      </c>
      <c r="D1075" s="5" t="s">
        <v>17</v>
      </c>
      <c r="E1075" s="2">
        <f>IF(Tabla2[[#This Row],[Frecuencia]]="Annual", Tabla2[[#This Row],[Cosecha/Tarea]]/12,Tabla2[[#This Row],[Cosecha/Tarea]])</f>
        <v>6765</v>
      </c>
      <c r="F1075" s="2">
        <v>58980</v>
      </c>
      <c r="G1075" t="s">
        <v>18</v>
      </c>
      <c r="H1075">
        <f>F1075/Tabla2[[#This Row],[Cosecha Mensual]]</f>
        <v>8.7184035476718407</v>
      </c>
      <c r="I1075">
        <f>H1075*_xlfn.XLOOKUP(Tabla2[[#This Row],[Unidad de producción]],Tabla3[Medida],Tabla3[Equivalencia en Kg],"ELVIS",0)</f>
        <v>395.46678492239471</v>
      </c>
      <c r="J1075">
        <v>877.08249999999998</v>
      </c>
      <c r="K1075" t="s">
        <v>18</v>
      </c>
      <c r="L1075">
        <f>J1075/_xlfn.XLOOKUP(Tabla2[[#This Row],[Unidad de precio]],Tabla3[Medida],Tabla3[Equivalencia en Kg],"ELVIS",0)</f>
        <v>19.336033950617285</v>
      </c>
      <c r="M1075">
        <v>4803.45</v>
      </c>
      <c r="N1075" s="2">
        <f>(Tabla2[[#This Row],[Productividad (kg/TAS)]]*Tabla2[[#This Row],[Precio por kg]]-Tabla2[[#This Row],[Costos (En RD$/Tarea)]])</f>
        <v>2843.3091796008885</v>
      </c>
      <c r="O1075" s="6">
        <f>IF(Tabla2[[#This Row],[Costos (En RD$/Tarea)]]=0,0,Tabla2[[#This Row],[Beneficio Neto  (En RD$/Tarea)]]/Tabla2[[#This Row],[Costos (En RD$/Tarea)]])</f>
        <v>0.59193062894396498</v>
      </c>
      <c r="P1075" s="4">
        <f>Tabla2[[#This Row],[Rentabilidad (%)]]/12</f>
        <v>4.9327552411997079E-2</v>
      </c>
    </row>
    <row r="1076" spans="1:16" x14ac:dyDescent="0.35">
      <c r="A1076" s="1">
        <v>39234</v>
      </c>
      <c r="B1076" t="s">
        <v>25</v>
      </c>
      <c r="C1076" s="2">
        <v>24820</v>
      </c>
      <c r="D1076" s="5" t="s">
        <v>17</v>
      </c>
      <c r="E1076" s="2">
        <f>IF(Tabla2[[#This Row],[Frecuencia]]="Annual", Tabla2[[#This Row],[Cosecha/Tarea]]/12,Tabla2[[#This Row],[Cosecha/Tarea]])</f>
        <v>24820</v>
      </c>
      <c r="F1076" s="2">
        <v>250346</v>
      </c>
      <c r="G1076" t="s">
        <v>18</v>
      </c>
      <c r="H1076">
        <f>F1076/Tabla2[[#This Row],[Cosecha Mensual]]</f>
        <v>10.086462530217567</v>
      </c>
      <c r="I1076">
        <f>H1076*_xlfn.XLOOKUP(Tabla2[[#This Row],[Unidad de producción]],Tabla3[Medida],Tabla3[Equivalencia en Kg],"ELVIS",0)</f>
        <v>457.5219403706688</v>
      </c>
      <c r="J1076">
        <v>266.24650000000003</v>
      </c>
      <c r="K1076" t="s">
        <v>18</v>
      </c>
      <c r="L1076">
        <f>J1076/_xlfn.XLOOKUP(Tabla2[[#This Row],[Unidad de precio]],Tabla3[Medida],Tabla3[Equivalencia en Kg],"ELVIS",0)</f>
        <v>5.8696318342151681</v>
      </c>
      <c r="M1076">
        <v>2341.04</v>
      </c>
      <c r="N1076" s="2">
        <f>(Tabla2[[#This Row],[Productividad (kg/TAS)]]*Tabla2[[#This Row],[Precio por kg]]-Tabla2[[#This Row],[Costos (En RD$/Tarea)]])</f>
        <v>344.44534605157151</v>
      </c>
      <c r="O1076" s="6">
        <f>IF(Tabla2[[#This Row],[Costos (En RD$/Tarea)]]=0,0,Tabla2[[#This Row],[Beneficio Neto  (En RD$/Tarea)]]/Tabla2[[#This Row],[Costos (En RD$/Tarea)]])</f>
        <v>0.14713347317925859</v>
      </c>
      <c r="P1076" s="4">
        <f>Tabla2[[#This Row],[Rentabilidad (%)]]/12</f>
        <v>1.2261122764938216E-2</v>
      </c>
    </row>
    <row r="1077" spans="1:16" x14ac:dyDescent="0.35">
      <c r="A1077" s="1">
        <v>39234</v>
      </c>
      <c r="B1077" t="s">
        <v>26</v>
      </c>
      <c r="C1077" s="2">
        <v>8512</v>
      </c>
      <c r="D1077" s="5" t="s">
        <v>17</v>
      </c>
      <c r="E1077" s="2">
        <f>IF(Tabla2[[#This Row],[Frecuencia]]="Annual", Tabla2[[#This Row],[Cosecha/Tarea]]/12,Tabla2[[#This Row],[Cosecha/Tarea]])</f>
        <v>8512</v>
      </c>
      <c r="F1077" s="2">
        <v>60070</v>
      </c>
      <c r="G1077" t="s">
        <v>18</v>
      </c>
      <c r="H1077">
        <f>F1077/Tabla2[[#This Row],[Cosecha Mensual]]</f>
        <v>7.0570958646616537</v>
      </c>
      <c r="I1077">
        <f>H1077*_xlfn.XLOOKUP(Tabla2[[#This Row],[Unidad de producción]],Tabla3[Medida],Tabla3[Equivalencia en Kg],"ELVIS",0)</f>
        <v>320.10986842105262</v>
      </c>
      <c r="J1077">
        <v>486.94333333333299</v>
      </c>
      <c r="K1077" t="s">
        <v>18</v>
      </c>
      <c r="L1077">
        <f>J1077/_xlfn.XLOOKUP(Tabla2[[#This Row],[Unidad de precio]],Tabla3[Medida],Tabla3[Equivalencia en Kg],"ELVIS",0)</f>
        <v>10.735082304526742</v>
      </c>
      <c r="M1077">
        <v>970.18</v>
      </c>
      <c r="N1077" s="2">
        <f>(Tabla2[[#This Row],[Productividad (kg/TAS)]]*Tabla2[[#This Row],[Precio por kg]]-Tabla2[[#This Row],[Costos (En RD$/Tarea)]])</f>
        <v>2466.2257839912259</v>
      </c>
      <c r="O1077" s="6">
        <f>IF(Tabla2[[#This Row],[Costos (En RD$/Tarea)]]=0,0,Tabla2[[#This Row],[Beneficio Neto  (En RD$/Tarea)]]/Tabla2[[#This Row],[Costos (En RD$/Tarea)]])</f>
        <v>2.5420290914997485</v>
      </c>
      <c r="P1077" s="4">
        <f>Tabla2[[#This Row],[Rentabilidad (%)]]/12</f>
        <v>0.21183575762497905</v>
      </c>
    </row>
    <row r="1078" spans="1:16" x14ac:dyDescent="0.35">
      <c r="A1078" s="1">
        <v>39234</v>
      </c>
      <c r="B1078" t="s">
        <v>27</v>
      </c>
      <c r="C1078" s="2">
        <v>5572</v>
      </c>
      <c r="D1078" s="5" t="s">
        <v>17</v>
      </c>
      <c r="E1078" s="2">
        <f>IF(Tabla2[[#This Row],[Frecuencia]]="Annual", Tabla2[[#This Row],[Cosecha/Tarea]]/12,Tabla2[[#This Row],[Cosecha/Tarea]])</f>
        <v>5572</v>
      </c>
      <c r="F1078" s="2">
        <v>41426</v>
      </c>
      <c r="G1078" t="s">
        <v>18</v>
      </c>
      <c r="H1078">
        <f>F1078/Tabla2[[#This Row],[Cosecha Mensual]]</f>
        <v>7.4346733668341711</v>
      </c>
      <c r="I1078">
        <f>H1078*_xlfn.XLOOKUP(Tabla2[[#This Row],[Unidad de producción]],Tabla3[Medida],Tabla3[Equivalencia en Kg],"ELVIS",0)</f>
        <v>337.236783919598</v>
      </c>
      <c r="J1078">
        <v>210.19800000000001</v>
      </c>
      <c r="K1078" t="s">
        <v>18</v>
      </c>
      <c r="L1078">
        <f>J1078/_xlfn.XLOOKUP(Tabla2[[#This Row],[Unidad de precio]],Tabla3[Medida],Tabla3[Equivalencia en Kg],"ELVIS",0)</f>
        <v>4.6339947089947096</v>
      </c>
      <c r="M1078">
        <v>5280.51</v>
      </c>
      <c r="N1078" s="2">
        <f>(Tabla2[[#This Row],[Productividad (kg/TAS)]]*Tabla2[[#This Row],[Precio por kg]]-Tabla2[[#This Row],[Costos (En RD$/Tarea)]])</f>
        <v>-3717.7565276381911</v>
      </c>
      <c r="O1078" s="6">
        <f>IF(Tabla2[[#This Row],[Costos (En RD$/Tarea)]]=0,0,Tabla2[[#This Row],[Beneficio Neto  (En RD$/Tarea)]]/Tabla2[[#This Row],[Costos (En RD$/Tarea)]])</f>
        <v>-0.70405254940113571</v>
      </c>
      <c r="P1078" s="4">
        <f>Tabla2[[#This Row],[Rentabilidad (%)]]/12</f>
        <v>-5.8671045783427973E-2</v>
      </c>
    </row>
    <row r="1079" spans="1:16" x14ac:dyDescent="0.35">
      <c r="A1079" s="1">
        <v>39234</v>
      </c>
      <c r="B1079" t="s">
        <v>28</v>
      </c>
      <c r="C1079" s="2">
        <v>1201</v>
      </c>
      <c r="D1079" s="5" t="s">
        <v>17</v>
      </c>
      <c r="E1079" s="2">
        <f>IF(Tabla2[[#This Row],[Frecuencia]]="Annual", Tabla2[[#This Row],[Cosecha/Tarea]]/12,Tabla2[[#This Row],[Cosecha/Tarea]])</f>
        <v>1201</v>
      </c>
      <c r="F1079" s="2">
        <v>152</v>
      </c>
      <c r="G1079" t="s">
        <v>29</v>
      </c>
      <c r="H1079">
        <f>F1079/Tabla2[[#This Row],[Cosecha Mensual]]</f>
        <v>0.12656119900083265</v>
      </c>
      <c r="I1079">
        <f>H1079*_xlfn.XLOOKUP(Tabla2[[#This Row],[Unidad de producción]],Tabla3[Medida],Tabla3[Equivalencia en Kg],"ELVIS",0)</f>
        <v>71.170424646128239</v>
      </c>
      <c r="J1079">
        <v>4016.6666666666702</v>
      </c>
      <c r="K1079" t="s">
        <v>29</v>
      </c>
      <c r="L1079">
        <f>J1079/_xlfn.XLOOKUP(Tabla2[[#This Row],[Unidad de precio]],Tabla3[Medida],Tabla3[Equivalencia en Kg],"ELVIS",0)</f>
        <v>7.1427724626856879</v>
      </c>
      <c r="M1079">
        <v>10097.26</v>
      </c>
      <c r="N1079" s="2">
        <f>(Tabla2[[#This Row],[Productividad (kg/TAS)]]*Tabla2[[#This Row],[Precio por kg]]-Tabla2[[#This Row],[Costos (En RD$/Tarea)]])</f>
        <v>-9588.9058506799884</v>
      </c>
      <c r="O1079" s="6">
        <f>IF(Tabla2[[#This Row],[Costos (En RD$/Tarea)]]=0,0,Tabla2[[#This Row],[Beneficio Neto  (En RD$/Tarea)]]/Tabla2[[#This Row],[Costos (En RD$/Tarea)]])</f>
        <v>-0.94965424785337682</v>
      </c>
      <c r="P1079" s="4">
        <f>Tabla2[[#This Row],[Rentabilidad (%)]]/12</f>
        <v>-7.9137853987781406E-2</v>
      </c>
    </row>
    <row r="1080" spans="1:16" x14ac:dyDescent="0.35">
      <c r="A1080" s="1">
        <v>39234</v>
      </c>
      <c r="B1080" t="s">
        <v>30</v>
      </c>
      <c r="C1080" s="2">
        <v>310045</v>
      </c>
      <c r="D1080" s="2" t="s">
        <v>31</v>
      </c>
      <c r="E1080" s="2">
        <f>IF(Tabla2[[#This Row],[Frecuencia]]="Annual", Tabla2[[#This Row],[Cosecha/Tarea]]/12,Tabla2[[#This Row],[Cosecha/Tarea]])</f>
        <v>25837.083333333332</v>
      </c>
      <c r="F1080" s="2">
        <v>1749681</v>
      </c>
      <c r="G1080" t="s">
        <v>32</v>
      </c>
      <c r="H1080">
        <f>F1080/Tabla2[[#This Row],[Cosecha Mensual]]</f>
        <v>67.719756809495394</v>
      </c>
      <c r="I1080">
        <f>H1080*_xlfn.XLOOKUP(Tabla2[[#This Row],[Unidad de producción]],Tabla3[Medida],Tabla3[Equivalencia en Kg],"ELVIS",0)</f>
        <v>1842.6545827863697</v>
      </c>
      <c r="J1080">
        <v>70.486666666666693</v>
      </c>
      <c r="K1080" t="s">
        <v>32</v>
      </c>
      <c r="L1080">
        <f>J1080/_xlfn.XLOOKUP(Tabla2[[#This Row],[Unidad de precio]],Tabla3[Medida],Tabla3[Equivalencia en Kg],"ELVIS",0)</f>
        <v>2.5904691902486841</v>
      </c>
      <c r="M1080" s="2">
        <v>8303.36</v>
      </c>
      <c r="N1080" s="2">
        <f>(Tabla2[[#This Row],[Productividad (kg/TAS)]]*Tabla2[[#This Row],[Precio por kg]]-Tabla2[[#This Row],[Costos (En RD$/Tarea)]])</f>
        <v>-3530.0200750213671</v>
      </c>
      <c r="O1080" s="6">
        <f>IF(Tabla2[[#This Row],[Costos (En RD$/Tarea)]]=0,0,Tabla2[[#This Row],[Beneficio Neto  (En RD$/Tarea)]]/Tabla2[[#This Row],[Costos (En RD$/Tarea)]])</f>
        <v>-0.42513152206111343</v>
      </c>
      <c r="P1080" s="4">
        <f>Tabla2[[#This Row],[Rentabilidad (%)]]/12</f>
        <v>-3.5427626838426117E-2</v>
      </c>
    </row>
    <row r="1081" spans="1:16" x14ac:dyDescent="0.35">
      <c r="A1081" s="1">
        <v>39234</v>
      </c>
      <c r="B1081" t="s">
        <v>33</v>
      </c>
      <c r="C1081" s="2">
        <v>792540</v>
      </c>
      <c r="D1081" s="2" t="s">
        <v>31</v>
      </c>
      <c r="E1081" s="2">
        <f>IF(Tabla2[[#This Row],[Frecuencia]]="Annual", Tabla2[[#This Row],[Cosecha/Tarea]]/12,Tabla2[[#This Row],[Cosecha/Tarea]])</f>
        <v>66045</v>
      </c>
      <c r="F1081" s="2">
        <v>175213</v>
      </c>
      <c r="G1081" t="s">
        <v>34</v>
      </c>
      <c r="H1081">
        <f>F1081/Tabla2[[#This Row],[Cosecha Mensual]]</f>
        <v>2.6529336058747823</v>
      </c>
      <c r="I1081">
        <f>H1081*_xlfn.XLOOKUP(Tabla2[[#This Row],[Unidad de producción]],Tabla3[Medida],Tabla3[Equivalencia en Kg],"ELVIS",0)</f>
        <v>1082.7948512377923</v>
      </c>
      <c r="J1081">
        <v>2111.5933333333301</v>
      </c>
      <c r="K1081" t="s">
        <v>34</v>
      </c>
      <c r="L1081">
        <f>J1081/_xlfn.XLOOKUP(Tabla2[[#This Row],[Unidad de precio]],Tabla3[Medida],Tabla3[Equivalencia en Kg],"ELVIS",0)</f>
        <v>5.1735718077504105</v>
      </c>
      <c r="M1081" s="2">
        <v>11167.89</v>
      </c>
      <c r="N1081" s="2">
        <f>(Tabla2[[#This Row],[Productividad (kg/TAS)]]*Tabla2[[#This Row],[Precio por kg]]-Tabla2[[#This Row],[Costos (En RD$/Tarea)]])</f>
        <v>-5565.9730840588572</v>
      </c>
      <c r="O1081" s="6">
        <f>IF(Tabla2[[#This Row],[Costos (En RD$/Tarea)]]=0,0,Tabla2[[#This Row],[Beneficio Neto  (En RD$/Tarea)]]/Tabla2[[#This Row],[Costos (En RD$/Tarea)]])</f>
        <v>-0.49839075098866997</v>
      </c>
      <c r="P1081" s="4">
        <f>Tabla2[[#This Row],[Rentabilidad (%)]]/12</f>
        <v>-4.1532562582389167E-2</v>
      </c>
    </row>
    <row r="1082" spans="1:16" x14ac:dyDescent="0.35">
      <c r="A1082" s="1">
        <v>39264</v>
      </c>
      <c r="B1082" t="s">
        <v>16</v>
      </c>
      <c r="C1082" s="2">
        <v>146059</v>
      </c>
      <c r="D1082" s="5" t="s">
        <v>17</v>
      </c>
      <c r="E1082" s="2">
        <f>IF(Tabla2[[#This Row],[Frecuencia]]="Annual", Tabla2[[#This Row],[Cosecha/Tarea]]/12,Tabla2[[#This Row],[Cosecha/Tarea]])</f>
        <v>146059</v>
      </c>
      <c r="F1082" s="2">
        <v>757228</v>
      </c>
      <c r="G1082" t="s">
        <v>18</v>
      </c>
      <c r="H1082">
        <f>F1082/Tabla2[[#This Row],[Cosecha Mensual]]</f>
        <v>5.1843980857050918</v>
      </c>
      <c r="I1082">
        <f>H1082*_xlfn.XLOOKUP(Tabla2[[#This Row],[Unidad de producción]],Tabla3[Medida],Tabla3[Equivalencia en Kg],"ELVIS",0)</f>
        <v>235.16429716758296</v>
      </c>
      <c r="J1082">
        <v>1173.82666666667</v>
      </c>
      <c r="K1082" t="s">
        <v>19</v>
      </c>
      <c r="L1082">
        <f>J1082/_xlfn.XLOOKUP(Tabla2[[#This Row],[Unidad de precio]],Tabla3[Medida],Tabla3[Equivalencia en Kg],"ELVIS",0)</f>
        <v>10.671151515151546</v>
      </c>
      <c r="M1082">
        <v>5339.5</v>
      </c>
      <c r="N1082" s="2">
        <f>(Tabla2[[#This Row],[Productividad (kg/TAS)]]*Tabla2[[#This Row],[Precio por kg]]-Tabla2[[#This Row],[Costos (En RD$/Tarea)]])</f>
        <v>-2830.0261539705984</v>
      </c>
      <c r="O1082" s="6">
        <f>IF(Tabla2[[#This Row],[Costos (En RD$/Tarea)]]=0,0,Tabla2[[#This Row],[Beneficio Neto  (En RD$/Tarea)]]/Tabla2[[#This Row],[Costos (En RD$/Tarea)]])</f>
        <v>-0.53001707163041456</v>
      </c>
      <c r="P1082" s="4">
        <f>Tabla2[[#This Row],[Rentabilidad (%)]]/12</f>
        <v>-4.4168089302534547E-2</v>
      </c>
    </row>
    <row r="1083" spans="1:16" x14ac:dyDescent="0.35">
      <c r="A1083" s="1">
        <v>39264</v>
      </c>
      <c r="B1083" t="s">
        <v>20</v>
      </c>
      <c r="C1083" s="2">
        <v>33669</v>
      </c>
      <c r="D1083" s="5" t="s">
        <v>17</v>
      </c>
      <c r="E1083" s="2">
        <f>IF(Tabla2[[#This Row],[Frecuencia]]="Annual", Tabla2[[#This Row],[Cosecha/Tarea]]/12,Tabla2[[#This Row],[Cosecha/Tarea]])</f>
        <v>33669</v>
      </c>
      <c r="F1083" s="2">
        <v>68013</v>
      </c>
      <c r="G1083" t="s">
        <v>18</v>
      </c>
      <c r="H1083">
        <f>F1083/Tabla2[[#This Row],[Cosecha Mensual]]</f>
        <v>2.0200481154771452</v>
      </c>
      <c r="I1083">
        <f>H1083*_xlfn.XLOOKUP(Tabla2[[#This Row],[Unidad de producción]],Tabla3[Medida],Tabla3[Equivalencia en Kg],"ELVIS",0)</f>
        <v>91.6293825180433</v>
      </c>
      <c r="J1083">
        <v>355.24573333333302</v>
      </c>
      <c r="K1083" t="s">
        <v>18</v>
      </c>
      <c r="L1083">
        <f>J1083/_xlfn.XLOOKUP(Tabla2[[#This Row],[Unidad de precio]],Tabla3[Medida],Tabla3[Equivalencia en Kg],"ELVIS",0)</f>
        <v>7.8316960611404989</v>
      </c>
      <c r="M1083">
        <v>1417.48</v>
      </c>
      <c r="N1083" s="2">
        <f>(Tabla2[[#This Row],[Productividad (kg/TAS)]]*Tabla2[[#This Row],[Precio por kg]]-Tabla2[[#This Row],[Costos (En RD$/Tarea)]])</f>
        <v>-699.86652584870421</v>
      </c>
      <c r="O1083" s="6">
        <f>IF(Tabla2[[#This Row],[Costos (En RD$/Tarea)]]=0,0,Tabla2[[#This Row],[Beneficio Neto  (En RD$/Tarea)]]/Tabla2[[#This Row],[Costos (En RD$/Tarea)]])</f>
        <v>-0.49373996518377983</v>
      </c>
      <c r="P1083" s="4">
        <f>Tabla2[[#This Row],[Rentabilidad (%)]]/12</f>
        <v>-4.1144997098648321E-2</v>
      </c>
    </row>
    <row r="1084" spans="1:16" x14ac:dyDescent="0.35">
      <c r="A1084" s="1">
        <v>39264</v>
      </c>
      <c r="B1084" t="s">
        <v>21</v>
      </c>
      <c r="C1084" s="2">
        <v>5485</v>
      </c>
      <c r="D1084" s="5" t="s">
        <v>17</v>
      </c>
      <c r="E1084" s="2">
        <f>IF(Tabla2[[#This Row],[Frecuencia]]="Annual", Tabla2[[#This Row],[Cosecha/Tarea]]/12,Tabla2[[#This Row],[Cosecha/Tarea]])</f>
        <v>5485</v>
      </c>
      <c r="F1084" s="2">
        <v>70414</v>
      </c>
      <c r="G1084" t="s">
        <v>18</v>
      </c>
      <c r="H1084">
        <f>F1084/Tabla2[[#This Row],[Cosecha Mensual]]</f>
        <v>12.837556973564267</v>
      </c>
      <c r="I1084">
        <f>H1084*_xlfn.XLOOKUP(Tabla2[[#This Row],[Unidad de producción]],Tabla3[Medida],Tabla3[Equivalencia en Kg],"ELVIS",0)</f>
        <v>582.31158432087511</v>
      </c>
      <c r="J1084">
        <v>222.70650000000001</v>
      </c>
      <c r="K1084" t="s">
        <v>18</v>
      </c>
      <c r="L1084">
        <f>J1084/_xlfn.XLOOKUP(Tabla2[[#This Row],[Unidad de precio]],Tabla3[Medida],Tabla3[Equivalencia en Kg],"ELVIS",0)</f>
        <v>4.9097552910052915</v>
      </c>
      <c r="M1084">
        <v>2131.605</v>
      </c>
      <c r="N1084" s="2">
        <f>(Tabla2[[#This Row],[Productividad (kg/TAS)]]*Tabla2[[#This Row],[Precio por kg]]-Tabla2[[#This Row],[Costos (En RD$/Tarea)]])</f>
        <v>727.40238213309067</v>
      </c>
      <c r="O1084" s="6">
        <f>IF(Tabla2[[#This Row],[Costos (En RD$/Tarea)]]=0,0,Tabla2[[#This Row],[Beneficio Neto  (En RD$/Tarea)]]/Tabla2[[#This Row],[Costos (En RD$/Tarea)]])</f>
        <v>0.34124632947149713</v>
      </c>
      <c r="P1084" s="4">
        <f>Tabla2[[#This Row],[Rentabilidad (%)]]/12</f>
        <v>2.843719412262476E-2</v>
      </c>
    </row>
    <row r="1085" spans="1:16" x14ac:dyDescent="0.35">
      <c r="A1085" s="1">
        <v>39264</v>
      </c>
      <c r="B1085" t="s">
        <v>22</v>
      </c>
      <c r="C1085" s="2">
        <v>2354</v>
      </c>
      <c r="D1085" s="5" t="s">
        <v>17</v>
      </c>
      <c r="E1085" s="2">
        <f>IF(Tabla2[[#This Row],[Frecuencia]]="Annual", Tabla2[[#This Row],[Cosecha/Tarea]]/12,Tabla2[[#This Row],[Cosecha/Tarea]])</f>
        <v>2354</v>
      </c>
      <c r="F1085" s="2">
        <v>22424</v>
      </c>
      <c r="G1085" t="s">
        <v>18</v>
      </c>
      <c r="H1085">
        <f>F1085/Tabla2[[#This Row],[Cosecha Mensual]]</f>
        <v>9.5259133389974515</v>
      </c>
      <c r="I1085">
        <f>H1085*_xlfn.XLOOKUP(Tabla2[[#This Row],[Unidad de producción]],Tabla3[Medida],Tabla3[Equivalencia en Kg],"ELVIS",0)</f>
        <v>432.09542905692439</v>
      </c>
      <c r="J1085">
        <v>733.33333333333303</v>
      </c>
      <c r="K1085" t="s">
        <v>18</v>
      </c>
      <c r="L1085">
        <f>J1085/_xlfn.XLOOKUP(Tabla2[[#This Row],[Unidad de precio]],Tabla3[Medida],Tabla3[Equivalencia en Kg],"ELVIS",0)</f>
        <v>16.166960611405049</v>
      </c>
      <c r="M1085">
        <v>6063.13</v>
      </c>
      <c r="N1085" s="2">
        <f>(Tabla2[[#This Row],[Productividad (kg/TAS)]]*Tabla2[[#This Row],[Precio por kg]]-Tabla2[[#This Row],[Costos (En RD$/Tarea)]])</f>
        <v>922.53978193146122</v>
      </c>
      <c r="O1085" s="6">
        <f>IF(Tabla2[[#This Row],[Costos (En RD$/Tarea)]]=0,0,Tabla2[[#This Row],[Beneficio Neto  (En RD$/Tarea)]]/Tabla2[[#This Row],[Costos (En RD$/Tarea)]])</f>
        <v>0.15215569877793503</v>
      </c>
      <c r="P1085" s="4">
        <f>Tabla2[[#This Row],[Rentabilidad (%)]]/12</f>
        <v>1.2679641564827919E-2</v>
      </c>
    </row>
    <row r="1086" spans="1:16" x14ac:dyDescent="0.35">
      <c r="A1086" s="1">
        <v>39264</v>
      </c>
      <c r="B1086" t="s">
        <v>23</v>
      </c>
      <c r="C1086" s="2">
        <v>2601</v>
      </c>
      <c r="D1086" s="5" t="s">
        <v>17</v>
      </c>
      <c r="E1086" s="2">
        <f>IF(Tabla2[[#This Row],[Frecuencia]]="Annual", Tabla2[[#This Row],[Cosecha/Tarea]]/12,Tabla2[[#This Row],[Cosecha/Tarea]])</f>
        <v>2601</v>
      </c>
      <c r="F1086" s="2">
        <v>85365</v>
      </c>
      <c r="G1086" t="s">
        <v>18</v>
      </c>
      <c r="H1086">
        <f>F1086/Tabla2[[#This Row],[Cosecha Mensual]]</f>
        <v>32.820069204152247</v>
      </c>
      <c r="I1086">
        <f>H1086*_xlfn.XLOOKUP(Tabla2[[#This Row],[Unidad de producción]],Tabla3[Medida],Tabla3[Equivalencia en Kg],"ELVIS",0)</f>
        <v>1488.7183391003459</v>
      </c>
      <c r="J1086">
        <v>528.1875</v>
      </c>
      <c r="K1086" t="s">
        <v>18</v>
      </c>
      <c r="L1086">
        <f>J1086/_xlfn.XLOOKUP(Tabla2[[#This Row],[Unidad de precio]],Tabla3[Medida],Tabla3[Equivalencia en Kg],"ELVIS",0)</f>
        <v>11.644345238095239</v>
      </c>
      <c r="M1086">
        <v>12092.41</v>
      </c>
      <c r="N1086" s="2">
        <f>(Tabla2[[#This Row],[Productividad (kg/TAS)]]*Tabla2[[#This Row],[Precio por kg]]-Tabla2[[#This Row],[Costos (En RD$/Tarea)]])</f>
        <v>5242.7403027681648</v>
      </c>
      <c r="O1086" s="6">
        <f>IF(Tabla2[[#This Row],[Costos (En RD$/Tarea)]]=0,0,Tabla2[[#This Row],[Beneficio Neto  (En RD$/Tarea)]]/Tabla2[[#This Row],[Costos (En RD$/Tarea)]])</f>
        <v>0.43355628057336504</v>
      </c>
      <c r="P1086" s="4">
        <f>Tabla2[[#This Row],[Rentabilidad (%)]]/12</f>
        <v>3.6129690047780418E-2</v>
      </c>
    </row>
    <row r="1087" spans="1:16" x14ac:dyDescent="0.35">
      <c r="A1087" s="1">
        <v>39264</v>
      </c>
      <c r="B1087" t="s">
        <v>24</v>
      </c>
      <c r="C1087" s="2">
        <v>4027</v>
      </c>
      <c r="D1087" s="5" t="s">
        <v>17</v>
      </c>
      <c r="E1087" s="2">
        <f>IF(Tabla2[[#This Row],[Frecuencia]]="Annual", Tabla2[[#This Row],[Cosecha/Tarea]]/12,Tabla2[[#This Row],[Cosecha/Tarea]])</f>
        <v>4027</v>
      </c>
      <c r="F1087" s="2">
        <v>30422</v>
      </c>
      <c r="G1087" t="s">
        <v>18</v>
      </c>
      <c r="H1087">
        <f>F1087/Tabla2[[#This Row],[Cosecha Mensual]]</f>
        <v>7.5545070772287062</v>
      </c>
      <c r="I1087">
        <f>H1087*_xlfn.XLOOKUP(Tabla2[[#This Row],[Unidad de producción]],Tabla3[Medida],Tabla3[Equivalencia en Kg],"ELVIS",0)</f>
        <v>342.67244102309411</v>
      </c>
      <c r="J1087">
        <v>972.33333333333303</v>
      </c>
      <c r="K1087" t="s">
        <v>18</v>
      </c>
      <c r="L1087">
        <f>J1087/_xlfn.XLOOKUP(Tabla2[[#This Row],[Unidad de precio]],Tabla3[Medida],Tabla3[Equivalencia en Kg],"ELVIS",0)</f>
        <v>21.435920047031154</v>
      </c>
      <c r="M1087">
        <v>4803.45</v>
      </c>
      <c r="N1087" s="2">
        <f>(Tabla2[[#This Row],[Productividad (kg/TAS)]]*Tabla2[[#This Row],[Precio por kg]]-Tabla2[[#This Row],[Costos (En RD$/Tarea)]])</f>
        <v>2542.0490480920434</v>
      </c>
      <c r="O1087" s="6">
        <f>IF(Tabla2[[#This Row],[Costos (En RD$/Tarea)]]=0,0,Tabla2[[#This Row],[Beneficio Neto  (En RD$/Tarea)]]/Tabla2[[#This Row],[Costos (En RD$/Tarea)]])</f>
        <v>0.5292131797129237</v>
      </c>
      <c r="P1087" s="4">
        <f>Tabla2[[#This Row],[Rentabilidad (%)]]/12</f>
        <v>4.4101098309410308E-2</v>
      </c>
    </row>
    <row r="1088" spans="1:16" x14ac:dyDescent="0.35">
      <c r="A1088" s="1">
        <v>39264</v>
      </c>
      <c r="B1088" t="s">
        <v>25</v>
      </c>
      <c r="C1088" s="2">
        <v>18065</v>
      </c>
      <c r="D1088" s="5" t="s">
        <v>17</v>
      </c>
      <c r="E1088" s="2">
        <f>IF(Tabla2[[#This Row],[Frecuencia]]="Annual", Tabla2[[#This Row],[Cosecha/Tarea]]/12,Tabla2[[#This Row],[Cosecha/Tarea]])</f>
        <v>18065</v>
      </c>
      <c r="F1088" s="2">
        <v>200606</v>
      </c>
      <c r="G1088" t="s">
        <v>18</v>
      </c>
      <c r="H1088">
        <f>F1088/Tabla2[[#This Row],[Cosecha Mensual]]</f>
        <v>11.104677553279823</v>
      </c>
      <c r="I1088">
        <f>H1088*_xlfn.XLOOKUP(Tabla2[[#This Row],[Unidad de producción]],Tabla3[Medida],Tabla3[Equivalencia en Kg],"ELVIS",0)</f>
        <v>503.70817381677273</v>
      </c>
      <c r="J1088">
        <v>277.46550000000002</v>
      </c>
      <c r="K1088" t="s">
        <v>18</v>
      </c>
      <c r="L1088">
        <f>J1088/_xlfn.XLOOKUP(Tabla2[[#This Row],[Unidad de precio]],Tabla3[Medida],Tabla3[Equivalencia en Kg],"ELVIS",0)</f>
        <v>6.1169642857142863</v>
      </c>
      <c r="M1088">
        <v>2341.04</v>
      </c>
      <c r="N1088" s="2">
        <f>(Tabla2[[#This Row],[Productividad (kg/TAS)]]*Tabla2[[#This Row],[Precio por kg]]-Tabla2[[#This Row],[Costos (En RD$/Tarea)]])</f>
        <v>740.12490965956295</v>
      </c>
      <c r="O1088" s="6">
        <f>IF(Tabla2[[#This Row],[Costos (En RD$/Tarea)]]=0,0,Tabla2[[#This Row],[Beneficio Neto  (En RD$/Tarea)]]/Tabla2[[#This Row],[Costos (En RD$/Tarea)]])</f>
        <v>0.31615218435377568</v>
      </c>
      <c r="P1088" s="4">
        <f>Tabla2[[#This Row],[Rentabilidad (%)]]/12</f>
        <v>2.634601536281464E-2</v>
      </c>
    </row>
    <row r="1089" spans="1:16" x14ac:dyDescent="0.35">
      <c r="A1089" s="1">
        <v>39264</v>
      </c>
      <c r="B1089" t="s">
        <v>26</v>
      </c>
      <c r="C1089" s="2">
        <v>7197</v>
      </c>
      <c r="D1089" s="5" t="s">
        <v>17</v>
      </c>
      <c r="E1089" s="2">
        <f>IF(Tabla2[[#This Row],[Frecuencia]]="Annual", Tabla2[[#This Row],[Cosecha/Tarea]]/12,Tabla2[[#This Row],[Cosecha/Tarea]])</f>
        <v>7197</v>
      </c>
      <c r="F1089" s="2">
        <v>50776</v>
      </c>
      <c r="G1089" t="s">
        <v>18</v>
      </c>
      <c r="H1089">
        <f>F1089/Tabla2[[#This Row],[Cosecha Mensual]]</f>
        <v>7.05516187300264</v>
      </c>
      <c r="I1089">
        <f>H1089*_xlfn.XLOOKUP(Tabla2[[#This Row],[Unidad de producción]],Tabla3[Medida],Tabla3[Equivalencia en Kg],"ELVIS",0)</f>
        <v>320.02214255939975</v>
      </c>
      <c r="J1089">
        <v>459.416</v>
      </c>
      <c r="K1089" t="s">
        <v>18</v>
      </c>
      <c r="L1089">
        <f>J1089/_xlfn.XLOOKUP(Tabla2[[#This Row],[Unidad de precio]],Tabla3[Medida],Tabla3[Equivalencia en Kg],"ELVIS",0)</f>
        <v>10.128218694885362</v>
      </c>
      <c r="M1089">
        <v>970.18</v>
      </c>
      <c r="N1089" s="2">
        <f>(Tabla2[[#This Row],[Productividad (kg/TAS)]]*Tabla2[[#This Row],[Precio por kg]]-Tabla2[[#This Row],[Costos (En RD$/Tarea)]])</f>
        <v>2271.074247047381</v>
      </c>
      <c r="O1089" s="6">
        <f>IF(Tabla2[[#This Row],[Costos (En RD$/Tarea)]]=0,0,Tabla2[[#This Row],[Beneficio Neto  (En RD$/Tarea)]]/Tabla2[[#This Row],[Costos (En RD$/Tarea)]])</f>
        <v>2.3408792667828457</v>
      </c>
      <c r="P1089" s="4">
        <f>Tabla2[[#This Row],[Rentabilidad (%)]]/12</f>
        <v>0.19507327223190382</v>
      </c>
    </row>
    <row r="1090" spans="1:16" x14ac:dyDescent="0.35">
      <c r="A1090" s="1">
        <v>39264</v>
      </c>
      <c r="B1090" t="s">
        <v>27</v>
      </c>
      <c r="C1090" s="2">
        <v>4922</v>
      </c>
      <c r="D1090" s="5" t="s">
        <v>17</v>
      </c>
      <c r="E1090" s="2">
        <f>IF(Tabla2[[#This Row],[Frecuencia]]="Annual", Tabla2[[#This Row],[Cosecha/Tarea]]/12,Tabla2[[#This Row],[Cosecha/Tarea]])</f>
        <v>4922</v>
      </c>
      <c r="F1090" s="2">
        <v>48343</v>
      </c>
      <c r="G1090" t="s">
        <v>18</v>
      </c>
      <c r="H1090">
        <f>F1090/Tabla2[[#This Row],[Cosecha Mensual]]</f>
        <v>9.8218203982121093</v>
      </c>
      <c r="I1090">
        <f>H1090*_xlfn.XLOOKUP(Tabla2[[#This Row],[Unidad de producción]],Tabla3[Medida],Tabla3[Equivalencia en Kg],"ELVIS",0)</f>
        <v>445.51777326290124</v>
      </c>
      <c r="J1090">
        <v>196.60480000000001</v>
      </c>
      <c r="K1090" t="s">
        <v>18</v>
      </c>
      <c r="L1090">
        <f>J1090/_xlfn.XLOOKUP(Tabla2[[#This Row],[Unidad de precio]],Tabla3[Medida],Tabla3[Equivalencia en Kg],"ELVIS",0)</f>
        <v>4.3343209876543209</v>
      </c>
      <c r="M1090">
        <v>5280.51</v>
      </c>
      <c r="N1090" s="2">
        <f>(Tabla2[[#This Row],[Productividad (kg/TAS)]]*Tabla2[[#This Row],[Precio por kg]]-Tabla2[[#This Row],[Costos (En RD$/Tarea)]])</f>
        <v>-3349.4929649735882</v>
      </c>
      <c r="O1090" s="6">
        <f>IF(Tabla2[[#This Row],[Costos (En RD$/Tarea)]]=0,0,Tabla2[[#This Row],[Beneficio Neto  (En RD$/Tarea)]]/Tabla2[[#This Row],[Costos (En RD$/Tarea)]])</f>
        <v>-0.63431239879738666</v>
      </c>
      <c r="P1090" s="4">
        <f>Tabla2[[#This Row],[Rentabilidad (%)]]/12</f>
        <v>-5.2859366566448886E-2</v>
      </c>
    </row>
    <row r="1091" spans="1:16" x14ac:dyDescent="0.35">
      <c r="A1091" s="1">
        <v>39264</v>
      </c>
      <c r="B1091" t="s">
        <v>28</v>
      </c>
      <c r="C1091" s="2">
        <v>5532</v>
      </c>
      <c r="D1091" s="5" t="s">
        <v>17</v>
      </c>
      <c r="E1091" s="2">
        <f>IF(Tabla2[[#This Row],[Frecuencia]]="Annual", Tabla2[[#This Row],[Cosecha/Tarea]]/12,Tabla2[[#This Row],[Cosecha/Tarea]])</f>
        <v>5532</v>
      </c>
      <c r="F1091" s="2">
        <v>1247</v>
      </c>
      <c r="G1091" t="s">
        <v>29</v>
      </c>
      <c r="H1091">
        <f>F1091/Tabla2[[#This Row],[Cosecha Mensual]]</f>
        <v>0.22541576283441794</v>
      </c>
      <c r="I1091">
        <f>H1091*_xlfn.XLOOKUP(Tabla2[[#This Row],[Unidad de producción]],Tabla3[Medida],Tabla3[Equivalencia en Kg],"ELVIS",0)</f>
        <v>126.76030007230659</v>
      </c>
      <c r="J1091">
        <v>5315.625</v>
      </c>
      <c r="K1091" t="s">
        <v>29</v>
      </c>
      <c r="L1091">
        <f>J1091/_xlfn.XLOOKUP(Tabla2[[#This Row],[Unidad de precio]],Tabla3[Medida],Tabla3[Equivalencia en Kg],"ELVIS",0)</f>
        <v>9.4526887648042113</v>
      </c>
      <c r="M1091">
        <v>10097.26</v>
      </c>
      <c r="N1091" s="2">
        <f>(Tabla2[[#This Row],[Productividad (kg/TAS)]]*Tabla2[[#This Row],[Precio por kg]]-Tabla2[[#This Row],[Costos (En RD$/Tarea)]])</f>
        <v>-8899.0343356832964</v>
      </c>
      <c r="O1091" s="6">
        <f>IF(Tabla2[[#This Row],[Costos (En RD$/Tarea)]]=0,0,Tabla2[[#This Row],[Beneficio Neto  (En RD$/Tarea)]]/Tabla2[[#This Row],[Costos (En RD$/Tarea)]])</f>
        <v>-0.88133160240335462</v>
      </c>
      <c r="P1091" s="4">
        <f>Tabla2[[#This Row],[Rentabilidad (%)]]/12</f>
        <v>-7.3444300200279547E-2</v>
      </c>
    </row>
    <row r="1092" spans="1:16" x14ac:dyDescent="0.35">
      <c r="A1092" s="1">
        <v>39264</v>
      </c>
      <c r="B1092" t="s">
        <v>30</v>
      </c>
      <c r="C1092" s="2">
        <v>309732</v>
      </c>
      <c r="D1092" s="2" t="s">
        <v>31</v>
      </c>
      <c r="E1092" s="2">
        <f>IF(Tabla2[[#This Row],[Frecuencia]]="Annual", Tabla2[[#This Row],[Cosecha/Tarea]]/12,Tabla2[[#This Row],[Cosecha/Tarea]])</f>
        <v>25811</v>
      </c>
      <c r="F1092" s="2">
        <v>1651320</v>
      </c>
      <c r="G1092" t="s">
        <v>32</v>
      </c>
      <c r="H1092">
        <f>F1092/Tabla2[[#This Row],[Cosecha Mensual]]</f>
        <v>63.977373987834646</v>
      </c>
      <c r="I1092">
        <f>H1092*_xlfn.XLOOKUP(Tabla2[[#This Row],[Unidad de producción]],Tabla3[Medida],Tabla3[Equivalencia en Kg],"ELVIS",0)</f>
        <v>1740.8243462089808</v>
      </c>
      <c r="J1092">
        <v>66.528333333333293</v>
      </c>
      <c r="K1092" t="s">
        <v>32</v>
      </c>
      <c r="L1092">
        <f>J1092/_xlfn.XLOOKUP(Tabla2[[#This Row],[Unidad de precio]],Tabla3[Medida],Tabla3[Equivalencia en Kg],"ELVIS",0)</f>
        <v>2.4449957123606501</v>
      </c>
      <c r="M1092" s="2">
        <v>8303.36</v>
      </c>
      <c r="N1092" s="2">
        <f>(Tabla2[[#This Row],[Productividad (kg/TAS)]]*Tabla2[[#This Row],[Precio por kg]]-Tabla2[[#This Row],[Costos (En RD$/Tarea)]])</f>
        <v>-4047.0519375460108</v>
      </c>
      <c r="O1092" s="6">
        <f>IF(Tabla2[[#This Row],[Costos (En RD$/Tarea)]]=0,0,Tabla2[[#This Row],[Beneficio Neto  (En RD$/Tarea)]]/Tabla2[[#This Row],[Costos (En RD$/Tarea)]])</f>
        <v>-0.48739931034497003</v>
      </c>
      <c r="P1092" s="4">
        <f>Tabla2[[#This Row],[Rentabilidad (%)]]/12</f>
        <v>-4.0616609195414169E-2</v>
      </c>
    </row>
    <row r="1093" spans="1:16" x14ac:dyDescent="0.35">
      <c r="A1093" s="1">
        <v>39264</v>
      </c>
      <c r="B1093" t="s">
        <v>33</v>
      </c>
      <c r="C1093" s="2">
        <v>787251</v>
      </c>
      <c r="D1093" s="2" t="s">
        <v>31</v>
      </c>
      <c r="E1093" s="2">
        <f>IF(Tabla2[[#This Row],[Frecuencia]]="Annual", Tabla2[[#This Row],[Cosecha/Tarea]]/12,Tabla2[[#This Row],[Cosecha/Tarea]])</f>
        <v>65604.25</v>
      </c>
      <c r="F1093" s="2">
        <v>181121</v>
      </c>
      <c r="G1093" t="s">
        <v>34</v>
      </c>
      <c r="H1093">
        <f>F1093/Tabla2[[#This Row],[Cosecha Mensual]]</f>
        <v>2.7608119900768622</v>
      </c>
      <c r="I1093">
        <f>H1093*_xlfn.XLOOKUP(Tabla2[[#This Row],[Unidad de producción]],Tabla3[Medida],Tabla3[Equivalencia en Kg],"ELVIS",0)</f>
        <v>1126.8254137498711</v>
      </c>
      <c r="J1093">
        <v>2124.3883333333301</v>
      </c>
      <c r="K1093" t="s">
        <v>34</v>
      </c>
      <c r="L1093">
        <f>J1093/_xlfn.XLOOKUP(Tabla2[[#This Row],[Unidad de precio]],Tabla3[Medida],Tabla3[Equivalencia en Kg],"ELVIS",0)</f>
        <v>5.2049205765853985</v>
      </c>
      <c r="M1093" s="2">
        <v>11167.89</v>
      </c>
      <c r="N1093" s="2">
        <f>(Tabla2[[#This Row],[Productividad (kg/TAS)]]*Tabla2[[#This Row],[Precio por kg]]-Tabla2[[#This Row],[Costos (En RD$/Tarea)]])</f>
        <v>-5302.85321775394</v>
      </c>
      <c r="O1093" s="6">
        <f>IF(Tabla2[[#This Row],[Costos (En RD$/Tarea)]]=0,0,Tabla2[[#This Row],[Beneficio Neto  (En RD$/Tarea)]]/Tabla2[[#This Row],[Costos (En RD$/Tarea)]])</f>
        <v>-0.47483035898042875</v>
      </c>
      <c r="P1093" s="4">
        <f>Tabla2[[#This Row],[Rentabilidad (%)]]/12</f>
        <v>-3.9569196581702396E-2</v>
      </c>
    </row>
    <row r="1094" spans="1:16" x14ac:dyDescent="0.35">
      <c r="A1094" s="1">
        <v>39295</v>
      </c>
      <c r="B1094" t="s">
        <v>16</v>
      </c>
      <c r="C1094" s="2">
        <v>143581</v>
      </c>
      <c r="D1094" s="5" t="s">
        <v>17</v>
      </c>
      <c r="E1094" s="2">
        <f>IF(Tabla2[[#This Row],[Frecuencia]]="Annual", Tabla2[[#This Row],[Cosecha/Tarea]]/12,Tabla2[[#This Row],[Cosecha/Tarea]])</f>
        <v>143581</v>
      </c>
      <c r="F1094" s="2">
        <v>549221</v>
      </c>
      <c r="G1094" t="s">
        <v>18</v>
      </c>
      <c r="H1094">
        <f>F1094/Tabla2[[#This Row],[Cosecha Mensual]]</f>
        <v>3.8251648895048787</v>
      </c>
      <c r="I1094">
        <f>H1094*_xlfn.XLOOKUP(Tabla2[[#This Row],[Unidad de producción]],Tabla3[Medida],Tabla3[Equivalencia en Kg],"ELVIS",0)</f>
        <v>173.5094793879413</v>
      </c>
      <c r="J1094">
        <v>1302.25</v>
      </c>
      <c r="K1094" t="s">
        <v>19</v>
      </c>
      <c r="L1094">
        <f>J1094/_xlfn.XLOOKUP(Tabla2[[#This Row],[Unidad de precio]],Tabla3[Medida],Tabla3[Equivalencia en Kg],"ELVIS",0)</f>
        <v>11.838636363636363</v>
      </c>
      <c r="M1094">
        <v>5339.5</v>
      </c>
      <c r="N1094" s="2">
        <f>(Tabla2[[#This Row],[Productividad (kg/TAS)]]*Tabla2[[#This Row],[Precio por kg]]-Tabla2[[#This Row],[Costos (En RD$/Tarea)]])</f>
        <v>-3285.3843678823041</v>
      </c>
      <c r="O1094" s="6">
        <f>IF(Tabla2[[#This Row],[Costos (En RD$/Tarea)]]=0,0,Tabla2[[#This Row],[Beneficio Neto  (En RD$/Tarea)]]/Tabla2[[#This Row],[Costos (En RD$/Tarea)]])</f>
        <v>-0.61529813051452464</v>
      </c>
      <c r="P1094" s="4">
        <f>Tabla2[[#This Row],[Rentabilidad (%)]]/12</f>
        <v>-5.1274844209543723E-2</v>
      </c>
    </row>
    <row r="1095" spans="1:16" x14ac:dyDescent="0.35">
      <c r="A1095" s="1">
        <v>39295</v>
      </c>
      <c r="B1095" t="s">
        <v>20</v>
      </c>
      <c r="C1095" s="2">
        <v>63939</v>
      </c>
      <c r="D1095" s="5" t="s">
        <v>17</v>
      </c>
      <c r="E1095" s="2">
        <f>IF(Tabla2[[#This Row],[Frecuencia]]="Annual", Tabla2[[#This Row],[Cosecha/Tarea]]/12,Tabla2[[#This Row],[Cosecha/Tarea]])</f>
        <v>63939</v>
      </c>
      <c r="F1095" s="2">
        <v>108527</v>
      </c>
      <c r="G1095" t="s">
        <v>18</v>
      </c>
      <c r="H1095">
        <f>F1095/Tabla2[[#This Row],[Cosecha Mensual]]</f>
        <v>1.6973521637811038</v>
      </c>
      <c r="I1095">
        <f>H1095*_xlfn.XLOOKUP(Tabla2[[#This Row],[Unidad de producción]],Tabla3[Medida],Tabla3[Equivalencia en Kg],"ELVIS",0)</f>
        <v>76.991894149110863</v>
      </c>
      <c r="J1095">
        <v>365.224444444445</v>
      </c>
      <c r="K1095" t="s">
        <v>18</v>
      </c>
      <c r="L1095">
        <f>J1095/_xlfn.XLOOKUP(Tabla2[[#This Row],[Unidad de precio]],Tabla3[Medida],Tabla3[Equivalencia en Kg],"ELVIS",0)</f>
        <v>8.0516852831667762</v>
      </c>
      <c r="M1095">
        <v>1417.48</v>
      </c>
      <c r="N1095" s="2">
        <f>(Tabla2[[#This Row],[Productividad (kg/TAS)]]*Tabla2[[#This Row],[Precio por kg]]-Tabla2[[#This Row],[Costos (En RD$/Tarea)]])</f>
        <v>-797.56549895646981</v>
      </c>
      <c r="O1095" s="6">
        <f>IF(Tabla2[[#This Row],[Costos (En RD$/Tarea)]]=0,0,Tabla2[[#This Row],[Beneficio Neto  (En RD$/Tarea)]]/Tabla2[[#This Row],[Costos (En RD$/Tarea)]])</f>
        <v>-0.56266437548076154</v>
      </c>
      <c r="P1095" s="4">
        <f>Tabla2[[#This Row],[Rentabilidad (%)]]/12</f>
        <v>-4.6888697956730126E-2</v>
      </c>
    </row>
    <row r="1096" spans="1:16" x14ac:dyDescent="0.35">
      <c r="A1096" s="1">
        <v>39295</v>
      </c>
      <c r="B1096" t="s">
        <v>21</v>
      </c>
      <c r="C1096" s="2">
        <v>4346</v>
      </c>
      <c r="D1096" s="5" t="s">
        <v>17</v>
      </c>
      <c r="E1096" s="2">
        <f>IF(Tabla2[[#This Row],[Frecuencia]]="Annual", Tabla2[[#This Row],[Cosecha/Tarea]]/12,Tabla2[[#This Row],[Cosecha/Tarea]])</f>
        <v>4346</v>
      </c>
      <c r="F1096" s="2">
        <v>51230</v>
      </c>
      <c r="G1096" t="s">
        <v>18</v>
      </c>
      <c r="H1096">
        <f>F1096/Tabla2[[#This Row],[Cosecha Mensual]]</f>
        <v>11.787850897376899</v>
      </c>
      <c r="I1096">
        <f>H1096*_xlfn.XLOOKUP(Tabla2[[#This Row],[Unidad de producción]],Tabla3[Medida],Tabla3[Equivalencia en Kg],"ELVIS",0)</f>
        <v>534.69691670501606</v>
      </c>
      <c r="J1096">
        <v>214.4</v>
      </c>
      <c r="K1096" t="s">
        <v>18</v>
      </c>
      <c r="L1096">
        <f>J1096/_xlfn.XLOOKUP(Tabla2[[#This Row],[Unidad de precio]],Tabla3[Medida],Tabla3[Equivalencia en Kg],"ELVIS",0)</f>
        <v>4.7266313932980601</v>
      </c>
      <c r="M1096">
        <v>2131.605</v>
      </c>
      <c r="N1096" s="2">
        <f>(Tabla2[[#This Row],[Productividad (kg/TAS)]]*Tabla2[[#This Row],[Precio por kg]]-Tabla2[[#This Row],[Costos (En RD$/Tarea)]])</f>
        <v>395.71023239760689</v>
      </c>
      <c r="O1096" s="6">
        <f>IF(Tabla2[[#This Row],[Costos (En RD$/Tarea)]]=0,0,Tabla2[[#This Row],[Beneficio Neto  (En RD$/Tarea)]]/Tabla2[[#This Row],[Costos (En RD$/Tarea)]])</f>
        <v>0.18563956849304017</v>
      </c>
      <c r="P1096" s="4">
        <f>Tabla2[[#This Row],[Rentabilidad (%)]]/12</f>
        <v>1.546996404108668E-2</v>
      </c>
    </row>
    <row r="1097" spans="1:16" x14ac:dyDescent="0.35">
      <c r="A1097" s="1">
        <v>39295</v>
      </c>
      <c r="B1097" t="s">
        <v>22</v>
      </c>
      <c r="C1097" s="2">
        <v>4185</v>
      </c>
      <c r="D1097" s="5" t="s">
        <v>17</v>
      </c>
      <c r="E1097" s="2">
        <f>IF(Tabla2[[#This Row],[Frecuencia]]="Annual", Tabla2[[#This Row],[Cosecha/Tarea]]/12,Tabla2[[#This Row],[Cosecha/Tarea]])</f>
        <v>4185</v>
      </c>
      <c r="F1097" s="2">
        <v>34853</v>
      </c>
      <c r="G1097" t="s">
        <v>18</v>
      </c>
      <c r="H1097">
        <f>F1097/Tabla2[[#This Row],[Cosecha Mensual]]</f>
        <v>8.3280764635603344</v>
      </c>
      <c r="I1097">
        <f>H1097*_xlfn.XLOOKUP(Tabla2[[#This Row],[Unidad de producción]],Tabla3[Medida],Tabla3[Equivalencia en Kg],"ELVIS",0)</f>
        <v>377.76154838709675</v>
      </c>
      <c r="J1097">
        <v>823.33333333333303</v>
      </c>
      <c r="K1097" t="s">
        <v>18</v>
      </c>
      <c r="L1097">
        <f>J1097/_xlfn.XLOOKUP(Tabla2[[#This Row],[Unidad de precio]],Tabla3[Medida],Tabla3[Equivalencia en Kg],"ELVIS",0)</f>
        <v>18.151087595532033</v>
      </c>
      <c r="M1097">
        <v>6063.13</v>
      </c>
      <c r="N1097" s="2">
        <f>(Tabla2[[#This Row],[Productividad (kg/TAS)]]*Tabla2[[#This Row],[Precio por kg]]-Tabla2[[#This Row],[Costos (En RD$/Tarea)]])</f>
        <v>793.65295499800595</v>
      </c>
      <c r="O1097" s="6">
        <f>IF(Tabla2[[#This Row],[Costos (En RD$/Tarea)]]=0,0,Tabla2[[#This Row],[Beneficio Neto  (En RD$/Tarea)]]/Tabla2[[#This Row],[Costos (En RD$/Tarea)]])</f>
        <v>0.13089822500886603</v>
      </c>
      <c r="P1097" s="4">
        <f>Tabla2[[#This Row],[Rentabilidad (%)]]/12</f>
        <v>1.0908185417405502E-2</v>
      </c>
    </row>
    <row r="1098" spans="1:16" x14ac:dyDescent="0.35">
      <c r="A1098" s="1">
        <v>39295</v>
      </c>
      <c r="B1098" t="s">
        <v>23</v>
      </c>
      <c r="C1098" s="2">
        <v>1637</v>
      </c>
      <c r="D1098" s="5" t="s">
        <v>17</v>
      </c>
      <c r="E1098" s="2">
        <f>IF(Tabla2[[#This Row],[Frecuencia]]="Annual", Tabla2[[#This Row],[Cosecha/Tarea]]/12,Tabla2[[#This Row],[Cosecha/Tarea]])</f>
        <v>1637</v>
      </c>
      <c r="F1098" s="2">
        <v>56493</v>
      </c>
      <c r="G1098" t="s">
        <v>18</v>
      </c>
      <c r="H1098">
        <f>F1098/Tabla2[[#This Row],[Cosecha Mensual]]</f>
        <v>34.510079413561392</v>
      </c>
      <c r="I1098">
        <f>H1098*_xlfn.XLOOKUP(Tabla2[[#This Row],[Unidad de producción]],Tabla3[Medida],Tabla3[Equivalencia en Kg],"ELVIS",0)</f>
        <v>1565.3772021991447</v>
      </c>
      <c r="J1098">
        <v>517.86874999999998</v>
      </c>
      <c r="K1098" t="s">
        <v>18</v>
      </c>
      <c r="L1098">
        <f>J1098/_xlfn.XLOOKUP(Tabla2[[#This Row],[Unidad de precio]],Tabla3[Medida],Tabla3[Equivalencia en Kg],"ELVIS",0)</f>
        <v>11.416859567901234</v>
      </c>
      <c r="M1098">
        <v>12092.41</v>
      </c>
      <c r="N1098" s="2">
        <f>(Tabla2[[#This Row],[Productividad (kg/TAS)]]*Tabla2[[#This Row],[Precio por kg]]-Tabla2[[#This Row],[Costos (En RD$/Tarea)]])</f>
        <v>5779.2816883017695</v>
      </c>
      <c r="O1098" s="6">
        <f>IF(Tabla2[[#This Row],[Costos (En RD$/Tarea)]]=0,0,Tabla2[[#This Row],[Beneficio Neto  (En RD$/Tarea)]]/Tabla2[[#This Row],[Costos (En RD$/Tarea)]])</f>
        <v>0.47792637599136728</v>
      </c>
      <c r="P1098" s="4">
        <f>Tabla2[[#This Row],[Rentabilidad (%)]]/12</f>
        <v>3.9827197999280604E-2</v>
      </c>
    </row>
    <row r="1099" spans="1:16" x14ac:dyDescent="0.35">
      <c r="A1099" s="1">
        <v>39295</v>
      </c>
      <c r="B1099" t="s">
        <v>24</v>
      </c>
      <c r="C1099" s="2">
        <v>4292</v>
      </c>
      <c r="D1099" s="5" t="s">
        <v>17</v>
      </c>
      <c r="E1099" s="2">
        <f>IF(Tabla2[[#This Row],[Frecuencia]]="Annual", Tabla2[[#This Row],[Cosecha/Tarea]]/12,Tabla2[[#This Row],[Cosecha/Tarea]])</f>
        <v>4292</v>
      </c>
      <c r="F1099" s="2">
        <v>37384</v>
      </c>
      <c r="G1099" t="s">
        <v>18</v>
      </c>
      <c r="H1099">
        <f>F1099/Tabla2[[#This Row],[Cosecha Mensual]]</f>
        <v>8.7101584342963658</v>
      </c>
      <c r="I1099">
        <f>H1099*_xlfn.XLOOKUP(Tabla2[[#This Row],[Unidad de producción]],Tabla3[Medida],Tabla3[Equivalencia en Kg],"ELVIS",0)</f>
        <v>395.09278657968315</v>
      </c>
      <c r="J1099">
        <v>865.25</v>
      </c>
      <c r="K1099" t="s">
        <v>18</v>
      </c>
      <c r="L1099">
        <f>J1099/_xlfn.XLOOKUP(Tabla2[[#This Row],[Unidad de precio]],Tabla3[Medida],Tabla3[Equivalencia en Kg],"ELVIS",0)</f>
        <v>19.075176366843035</v>
      </c>
      <c r="M1099">
        <v>4803.45</v>
      </c>
      <c r="N1099" s="2">
        <f>(Tabla2[[#This Row],[Productividad (kg/TAS)]]*Tabla2[[#This Row],[Precio por kg]]-Tabla2[[#This Row],[Costos (En RD$/Tarea)]])</f>
        <v>2733.0145852749311</v>
      </c>
      <c r="O1099" s="6">
        <f>IF(Tabla2[[#This Row],[Costos (En RD$/Tarea)]]=0,0,Tabla2[[#This Row],[Beneficio Neto  (En RD$/Tarea)]]/Tabla2[[#This Row],[Costos (En RD$/Tarea)]])</f>
        <v>0.56896909206402302</v>
      </c>
      <c r="P1099" s="4">
        <f>Tabla2[[#This Row],[Rentabilidad (%)]]/12</f>
        <v>4.7414091005335252E-2</v>
      </c>
    </row>
    <row r="1100" spans="1:16" x14ac:dyDescent="0.35">
      <c r="A1100" s="1">
        <v>39295</v>
      </c>
      <c r="B1100" t="s">
        <v>25</v>
      </c>
      <c r="C1100" s="2">
        <v>16583</v>
      </c>
      <c r="D1100" s="5" t="s">
        <v>17</v>
      </c>
      <c r="E1100" s="2">
        <f>IF(Tabla2[[#This Row],[Frecuencia]]="Annual", Tabla2[[#This Row],[Cosecha/Tarea]]/12,Tabla2[[#This Row],[Cosecha/Tarea]])</f>
        <v>16583</v>
      </c>
      <c r="F1100" s="2">
        <v>172023</v>
      </c>
      <c r="G1100" t="s">
        <v>18</v>
      </c>
      <c r="H1100">
        <f>F1100/Tabla2[[#This Row],[Cosecha Mensual]]</f>
        <v>10.373454742808901</v>
      </c>
      <c r="I1100">
        <f>H1100*_xlfn.XLOOKUP(Tabla2[[#This Row],[Unidad de producción]],Tabla3[Medida],Tabla3[Equivalencia en Kg],"ELVIS",0)</f>
        <v>470.53990713381177</v>
      </c>
      <c r="J1100">
        <v>278.63441666666699</v>
      </c>
      <c r="K1100" t="s">
        <v>18</v>
      </c>
      <c r="L1100">
        <f>J1100/_xlfn.XLOOKUP(Tabla2[[#This Row],[Unidad de precio]],Tabla3[Medida],Tabla3[Equivalencia en Kg],"ELVIS",0)</f>
        <v>6.14273405349795</v>
      </c>
      <c r="M1100">
        <v>2341.04</v>
      </c>
      <c r="N1100" s="2">
        <f>(Tabla2[[#This Row],[Productividad (kg/TAS)]]*Tabla2[[#This Row],[Precio por kg]]-Tabla2[[#This Row],[Costos (En RD$/Tarea)]])</f>
        <v>549.36151108062859</v>
      </c>
      <c r="O1100" s="6">
        <f>IF(Tabla2[[#This Row],[Costos (En RD$/Tarea)]]=0,0,Tabla2[[#This Row],[Beneficio Neto  (En RD$/Tarea)]]/Tabla2[[#This Row],[Costos (En RD$/Tarea)]])</f>
        <v>0.23466558071653137</v>
      </c>
      <c r="P1100" s="4">
        <f>Tabla2[[#This Row],[Rentabilidad (%)]]/12</f>
        <v>1.9555465059710949E-2</v>
      </c>
    </row>
    <row r="1101" spans="1:16" x14ac:dyDescent="0.35">
      <c r="A1101" s="1">
        <v>39295</v>
      </c>
      <c r="B1101" t="s">
        <v>26</v>
      </c>
      <c r="C1101" s="2">
        <v>7727</v>
      </c>
      <c r="D1101" s="5" t="s">
        <v>17</v>
      </c>
      <c r="E1101" s="2">
        <f>IF(Tabla2[[#This Row],[Frecuencia]]="Annual", Tabla2[[#This Row],[Cosecha/Tarea]]/12,Tabla2[[#This Row],[Cosecha/Tarea]])</f>
        <v>7727</v>
      </c>
      <c r="F1101" s="2">
        <v>57475</v>
      </c>
      <c r="G1101" t="s">
        <v>18</v>
      </c>
      <c r="H1101">
        <f>F1101/Tabla2[[#This Row],[Cosecha Mensual]]</f>
        <v>7.4382037013071054</v>
      </c>
      <c r="I1101">
        <f>H1101*_xlfn.XLOOKUP(Tabla2[[#This Row],[Unidad de producción]],Tabla3[Medida],Tabla3[Equivalencia en Kg],"ELVIS",0)</f>
        <v>337.39691989129028</v>
      </c>
      <c r="J1101">
        <v>426.375</v>
      </c>
      <c r="K1101" t="s">
        <v>18</v>
      </c>
      <c r="L1101">
        <f>J1101/_xlfn.XLOOKUP(Tabla2[[#This Row],[Unidad de precio]],Tabla3[Medida],Tabla3[Equivalencia en Kg],"ELVIS",0)</f>
        <v>9.399801587301587</v>
      </c>
      <c r="M1101">
        <v>970.18</v>
      </c>
      <c r="N1101" s="2">
        <f>(Tabla2[[#This Row],[Productividad (kg/TAS)]]*Tabla2[[#This Row],[Precio por kg]]-Tabla2[[#This Row],[Costos (En RD$/Tarea)]])</f>
        <v>2201.284103144817</v>
      </c>
      <c r="O1101" s="6">
        <f>IF(Tabla2[[#This Row],[Costos (En RD$/Tarea)]]=0,0,Tabla2[[#This Row],[Beneficio Neto  (En RD$/Tarea)]]/Tabla2[[#This Row],[Costos (En RD$/Tarea)]])</f>
        <v>2.2689440136313026</v>
      </c>
      <c r="P1101" s="4">
        <f>Tabla2[[#This Row],[Rentabilidad (%)]]/12</f>
        <v>0.18907866780260854</v>
      </c>
    </row>
    <row r="1102" spans="1:16" x14ac:dyDescent="0.35">
      <c r="A1102" s="1">
        <v>39295</v>
      </c>
      <c r="B1102" t="s">
        <v>27</v>
      </c>
      <c r="C1102" s="2">
        <v>4400</v>
      </c>
      <c r="D1102" s="5" t="s">
        <v>17</v>
      </c>
      <c r="E1102" s="2">
        <f>IF(Tabla2[[#This Row],[Frecuencia]]="Annual", Tabla2[[#This Row],[Cosecha/Tarea]]/12,Tabla2[[#This Row],[Cosecha/Tarea]])</f>
        <v>4400</v>
      </c>
      <c r="F1102" s="2">
        <v>40317</v>
      </c>
      <c r="G1102" t="s">
        <v>18</v>
      </c>
      <c r="H1102">
        <f>F1102/Tabla2[[#This Row],[Cosecha Mensual]]</f>
        <v>9.1629545454545447</v>
      </c>
      <c r="I1102">
        <f>H1102*_xlfn.XLOOKUP(Tabla2[[#This Row],[Unidad de producción]],Tabla3[Medida],Tabla3[Equivalencia en Kg],"ELVIS",0)</f>
        <v>415.63161818181817</v>
      </c>
      <c r="J1102">
        <v>197.0248</v>
      </c>
      <c r="K1102" t="s">
        <v>18</v>
      </c>
      <c r="L1102">
        <f>J1102/_xlfn.XLOOKUP(Tabla2[[#This Row],[Unidad de precio]],Tabla3[Medida],Tabla3[Equivalencia en Kg],"ELVIS",0)</f>
        <v>4.3435802469135805</v>
      </c>
      <c r="M1102">
        <v>5280.51</v>
      </c>
      <c r="N1102" s="2">
        <f>(Tabla2[[#This Row],[Productividad (kg/TAS)]]*Tabla2[[#This Row],[Precio por kg]]-Tabla2[[#This Row],[Costos (En RD$/Tarea)]])</f>
        <v>-3475.1807132727272</v>
      </c>
      <c r="O1102" s="6">
        <f>IF(Tabla2[[#This Row],[Costos (En RD$/Tarea)]]=0,0,Tabla2[[#This Row],[Beneficio Neto  (En RD$/Tarea)]]/Tabla2[[#This Row],[Costos (En RD$/Tarea)]])</f>
        <v>-0.65811459750530288</v>
      </c>
      <c r="P1102" s="4">
        <f>Tabla2[[#This Row],[Rentabilidad (%)]]/12</f>
        <v>-5.4842883125441909E-2</v>
      </c>
    </row>
    <row r="1103" spans="1:16" x14ac:dyDescent="0.35">
      <c r="A1103" s="1">
        <v>39295</v>
      </c>
      <c r="B1103" t="s">
        <v>28</v>
      </c>
      <c r="C1103" s="2">
        <v>27965</v>
      </c>
      <c r="D1103" s="5" t="s">
        <v>17</v>
      </c>
      <c r="E1103" s="2">
        <f>IF(Tabla2[[#This Row],[Frecuencia]]="Annual", Tabla2[[#This Row],[Cosecha/Tarea]]/12,Tabla2[[#This Row],[Cosecha/Tarea]])</f>
        <v>27965</v>
      </c>
      <c r="F1103" s="2">
        <v>36027</v>
      </c>
      <c r="G1103" t="s">
        <v>29</v>
      </c>
      <c r="H1103">
        <f>F1103/Tabla2[[#This Row],[Cosecha Mensual]]</f>
        <v>1.2882889325943143</v>
      </c>
      <c r="I1103">
        <f>H1103*_xlfn.XLOOKUP(Tabla2[[#This Row],[Unidad de producción]],Tabla3[Medida],Tabla3[Equivalencia en Kg],"ELVIS",0)</f>
        <v>724.45639835508678</v>
      </c>
      <c r="J1103">
        <v>3571.75</v>
      </c>
      <c r="K1103" t="s">
        <v>29</v>
      </c>
      <c r="L1103">
        <f>J1103/_xlfn.XLOOKUP(Tabla2[[#This Row],[Unidad de precio]],Tabla3[Medida],Tabla3[Equivalencia en Kg],"ELVIS",0)</f>
        <v>6.3515844506881951</v>
      </c>
      <c r="M1103">
        <v>10097.26</v>
      </c>
      <c r="N1103" s="2">
        <f>(Tabla2[[#This Row],[Productividad (kg/TAS)]]*Tabla2[[#This Row],[Precio por kg]]-Tabla2[[#This Row],[Costos (En RD$/Tarea)]])</f>
        <v>-5495.8140050062584</v>
      </c>
      <c r="O1103" s="6">
        <f>IF(Tabla2[[#This Row],[Costos (En RD$/Tarea)]]=0,0,Tabla2[[#This Row],[Beneficio Neto  (En RD$/Tarea)]]/Tabla2[[#This Row],[Costos (En RD$/Tarea)]])</f>
        <v>-0.54428765873180029</v>
      </c>
      <c r="P1103" s="4">
        <f>Tabla2[[#This Row],[Rentabilidad (%)]]/12</f>
        <v>-4.5357304894316691E-2</v>
      </c>
    </row>
    <row r="1104" spans="1:16" x14ac:dyDescent="0.35">
      <c r="A1104" s="1">
        <v>39295</v>
      </c>
      <c r="B1104" t="s">
        <v>30</v>
      </c>
      <c r="C1104" s="2">
        <v>312752</v>
      </c>
      <c r="D1104" s="2" t="s">
        <v>31</v>
      </c>
      <c r="E1104" s="2">
        <f>IF(Tabla2[[#This Row],[Frecuencia]]="Annual", Tabla2[[#This Row],[Cosecha/Tarea]]/12,Tabla2[[#This Row],[Cosecha/Tarea]])</f>
        <v>26062.666666666668</v>
      </c>
      <c r="F1104" s="2">
        <v>2061238</v>
      </c>
      <c r="G1104" t="s">
        <v>32</v>
      </c>
      <c r="H1104">
        <f>F1104/Tabla2[[#This Row],[Cosecha Mensual]]</f>
        <v>79.087762828055446</v>
      </c>
      <c r="I1104">
        <f>H1104*_xlfn.XLOOKUP(Tabla2[[#This Row],[Unidad de producción]],Tabla3[Medida],Tabla3[Equivalencia en Kg],"ELVIS",0)</f>
        <v>2151.9780265513887</v>
      </c>
      <c r="J1104">
        <v>73.6666666666667</v>
      </c>
      <c r="K1104" t="s">
        <v>32</v>
      </c>
      <c r="L1104">
        <f>J1104/_xlfn.XLOOKUP(Tabla2[[#This Row],[Unidad de precio]],Tabla3[Medida],Tabla3[Equivalencia en Kg],"ELVIS",0)</f>
        <v>2.7073379884846269</v>
      </c>
      <c r="M1104" s="2">
        <v>8303.36</v>
      </c>
      <c r="N1104" s="2">
        <f>(Tabla2[[#This Row],[Productividad (kg/TAS)]]*Tabla2[[#This Row],[Precio por kg]]-Tabla2[[#This Row],[Costos (En RD$/Tarea)]])</f>
        <v>-2477.2281383332465</v>
      </c>
      <c r="O1104" s="6">
        <f>IF(Tabla2[[#This Row],[Costos (En RD$/Tarea)]]=0,0,Tabla2[[#This Row],[Beneficio Neto  (En RD$/Tarea)]]/Tabla2[[#This Row],[Costos (En RD$/Tarea)]])</f>
        <v>-0.29834044752163535</v>
      </c>
      <c r="P1104" s="4">
        <f>Tabla2[[#This Row],[Rentabilidad (%)]]/12</f>
        <v>-2.4861703960136278E-2</v>
      </c>
    </row>
    <row r="1105" spans="1:16" x14ac:dyDescent="0.35">
      <c r="A1105" s="1">
        <v>39295</v>
      </c>
      <c r="B1105" t="s">
        <v>33</v>
      </c>
      <c r="C1105" s="2">
        <v>777106</v>
      </c>
      <c r="D1105" s="2" t="s">
        <v>31</v>
      </c>
      <c r="E1105" s="2">
        <f>IF(Tabla2[[#This Row],[Frecuencia]]="Annual", Tabla2[[#This Row],[Cosecha/Tarea]]/12,Tabla2[[#This Row],[Cosecha/Tarea]])</f>
        <v>64758.833333333336</v>
      </c>
      <c r="F1105" s="2">
        <v>196171</v>
      </c>
      <c r="G1105" t="s">
        <v>34</v>
      </c>
      <c r="H1105">
        <f>F1105/Tabla2[[#This Row],[Cosecha Mensual]]</f>
        <v>3.0292546962705216</v>
      </c>
      <c r="I1105">
        <f>H1105*_xlfn.XLOOKUP(Tabla2[[#This Row],[Unidad de producción]],Tabla3[Medida],Tabla3[Equivalencia en Kg],"ELVIS",0)</f>
        <v>1236.3903042828133</v>
      </c>
      <c r="J1105">
        <v>2402.0555555555602</v>
      </c>
      <c r="K1105" t="s">
        <v>34</v>
      </c>
      <c r="L1105">
        <f>J1105/_xlfn.XLOOKUP(Tabla2[[#This Row],[Unidad de precio]],Tabla3[Medida],Tabla3[Equivalencia en Kg],"ELVIS",0)</f>
        <v>5.8852273810010054</v>
      </c>
      <c r="M1105" s="2">
        <v>11167.89</v>
      </c>
      <c r="N1105" s="2">
        <f>(Tabla2[[#This Row],[Productividad (kg/TAS)]]*Tabla2[[#This Row],[Precio por kg]]-Tabla2[[#This Row],[Costos (En RD$/Tarea)]])</f>
        <v>-3891.4519276306219</v>
      </c>
      <c r="O1105" s="6">
        <f>IF(Tabla2[[#This Row],[Costos (En RD$/Tarea)]]=0,0,Tabla2[[#This Row],[Beneficio Neto  (En RD$/Tarea)]]/Tabla2[[#This Row],[Costos (En RD$/Tarea)]])</f>
        <v>-0.34845005884107222</v>
      </c>
      <c r="P1105" s="4">
        <f>Tabla2[[#This Row],[Rentabilidad (%)]]/12</f>
        <v>-2.9037504903422686E-2</v>
      </c>
    </row>
    <row r="1106" spans="1:16" x14ac:dyDescent="0.35">
      <c r="A1106" s="1">
        <v>39326</v>
      </c>
      <c r="B1106" t="s">
        <v>16</v>
      </c>
      <c r="C1106" s="2">
        <v>228496</v>
      </c>
      <c r="D1106" s="5" t="s">
        <v>17</v>
      </c>
      <c r="E1106" s="2">
        <f>IF(Tabla2[[#This Row],[Frecuencia]]="Annual", Tabla2[[#This Row],[Cosecha/Tarea]]/12,Tabla2[[#This Row],[Cosecha/Tarea]])</f>
        <v>228496</v>
      </c>
      <c r="F1106" s="2">
        <v>943535</v>
      </c>
      <c r="G1106" t="s">
        <v>18</v>
      </c>
      <c r="H1106">
        <f>F1106/Tabla2[[#This Row],[Cosecha Mensual]]</f>
        <v>4.1293283033401025</v>
      </c>
      <c r="I1106">
        <f>H1106*_xlfn.XLOOKUP(Tabla2[[#This Row],[Unidad de producción]],Tabla3[Medida],Tabla3[Equivalencia en Kg],"ELVIS",0)</f>
        <v>187.30633183950704</v>
      </c>
      <c r="J1106">
        <v>1321.375</v>
      </c>
      <c r="K1106" t="s">
        <v>19</v>
      </c>
      <c r="L1106">
        <f>J1106/_xlfn.XLOOKUP(Tabla2[[#This Row],[Unidad de precio]],Tabla3[Medida],Tabla3[Equivalencia en Kg],"ELVIS",0)</f>
        <v>12.012499999999999</v>
      </c>
      <c r="M1106">
        <v>5339.5</v>
      </c>
      <c r="N1106" s="2">
        <f>(Tabla2[[#This Row],[Productividad (kg/TAS)]]*Tabla2[[#This Row],[Precio por kg]]-Tabla2[[#This Row],[Costos (En RD$/Tarea)]])</f>
        <v>-3089.4826887779218</v>
      </c>
      <c r="O1106" s="6">
        <f>IF(Tabla2[[#This Row],[Costos (En RD$/Tarea)]]=0,0,Tabla2[[#This Row],[Beneficio Neto  (En RD$/Tarea)]]/Tabla2[[#This Row],[Costos (En RD$/Tarea)]])</f>
        <v>-0.57860898750405876</v>
      </c>
      <c r="P1106" s="4">
        <f>Tabla2[[#This Row],[Rentabilidad (%)]]/12</f>
        <v>-4.8217415625338232E-2</v>
      </c>
    </row>
    <row r="1107" spans="1:16" x14ac:dyDescent="0.35">
      <c r="A1107" s="1">
        <v>39326</v>
      </c>
      <c r="B1107" t="s">
        <v>20</v>
      </c>
      <c r="C1107" s="2">
        <v>47615</v>
      </c>
      <c r="D1107" s="5" t="s">
        <v>17</v>
      </c>
      <c r="E1107" s="2">
        <f>IF(Tabla2[[#This Row],[Frecuencia]]="Annual", Tabla2[[#This Row],[Cosecha/Tarea]]/12,Tabla2[[#This Row],[Cosecha/Tarea]])</f>
        <v>47615</v>
      </c>
      <c r="F1107" s="2">
        <v>83903</v>
      </c>
      <c r="G1107" t="s">
        <v>18</v>
      </c>
      <c r="H1107">
        <f>F1107/Tabla2[[#This Row],[Cosecha Mensual]]</f>
        <v>1.7621127795862648</v>
      </c>
      <c r="I1107">
        <f>H1107*_xlfn.XLOOKUP(Tabla2[[#This Row],[Unidad de producción]],Tabla3[Medida],Tabla3[Equivalencia en Kg],"ELVIS",0)</f>
        <v>79.929435682032974</v>
      </c>
      <c r="J1107">
        <v>396.27965</v>
      </c>
      <c r="K1107" t="s">
        <v>18</v>
      </c>
      <c r="L1107">
        <f>J1107/_xlfn.XLOOKUP(Tabla2[[#This Row],[Unidad de precio]],Tabla3[Medida],Tabla3[Equivalencia en Kg],"ELVIS",0)</f>
        <v>8.7363238536155201</v>
      </c>
      <c r="M1107">
        <v>1417.48</v>
      </c>
      <c r="N1107" s="2">
        <f>(Tabla2[[#This Row],[Productividad (kg/TAS)]]*Tabla2[[#This Row],[Precio por kg]]-Tabla2[[#This Row],[Costos (En RD$/Tarea)]])</f>
        <v>-719.1905644450278</v>
      </c>
      <c r="O1107" s="6">
        <f>IF(Tabla2[[#This Row],[Costos (En RD$/Tarea)]]=0,0,Tabla2[[#This Row],[Beneficio Neto  (En RD$/Tarea)]]/Tabla2[[#This Row],[Costos (En RD$/Tarea)]])</f>
        <v>-0.50737263625943774</v>
      </c>
      <c r="P1107" s="4">
        <f>Tabla2[[#This Row],[Rentabilidad (%)]]/12</f>
        <v>-4.2281053021619809E-2</v>
      </c>
    </row>
    <row r="1108" spans="1:16" x14ac:dyDescent="0.35">
      <c r="A1108" s="1">
        <v>39326</v>
      </c>
      <c r="B1108" t="s">
        <v>21</v>
      </c>
      <c r="C1108" s="2">
        <v>3536</v>
      </c>
      <c r="D1108" s="5" t="s">
        <v>17</v>
      </c>
      <c r="E1108" s="2">
        <f>IF(Tabla2[[#This Row],[Frecuencia]]="Annual", Tabla2[[#This Row],[Cosecha/Tarea]]/12,Tabla2[[#This Row],[Cosecha/Tarea]])</f>
        <v>3536</v>
      </c>
      <c r="F1108" s="2">
        <v>33381</v>
      </c>
      <c r="G1108" t="s">
        <v>18</v>
      </c>
      <c r="H1108">
        <f>F1108/Tabla2[[#This Row],[Cosecha Mensual]]</f>
        <v>9.440328054298643</v>
      </c>
      <c r="I1108">
        <f>H1108*_xlfn.XLOOKUP(Tabla2[[#This Row],[Unidad de producción]],Tabla3[Medida],Tabla3[Equivalencia en Kg],"ELVIS",0)</f>
        <v>428.21328054298647</v>
      </c>
      <c r="J1108">
        <v>262.75028571428601</v>
      </c>
      <c r="K1108" t="s">
        <v>18</v>
      </c>
      <c r="L1108">
        <f>J1108/_xlfn.XLOOKUP(Tabla2[[#This Row],[Unidad de precio]],Tabla3[Medida],Tabla3[Equivalencia en Kg],"ELVIS",0)</f>
        <v>5.7925547996976636</v>
      </c>
      <c r="M1108">
        <v>2131.605</v>
      </c>
      <c r="N1108" s="2">
        <f>(Tabla2[[#This Row],[Productividad (kg/TAS)]]*Tabla2[[#This Row],[Precio por kg]]-Tabla2[[#This Row],[Costos (En RD$/Tarea)]])</f>
        <v>348.84389350355832</v>
      </c>
      <c r="O1108" s="6">
        <f>IF(Tabla2[[#This Row],[Costos (En RD$/Tarea)]]=0,0,Tabla2[[#This Row],[Beneficio Neto  (En RD$/Tarea)]]/Tabla2[[#This Row],[Costos (En RD$/Tarea)]])</f>
        <v>0.16365315970996425</v>
      </c>
      <c r="P1108" s="4">
        <f>Tabla2[[#This Row],[Rentabilidad (%)]]/12</f>
        <v>1.3637763309163687E-2</v>
      </c>
    </row>
    <row r="1109" spans="1:16" x14ac:dyDescent="0.35">
      <c r="A1109" s="1">
        <v>39326</v>
      </c>
      <c r="B1109" t="s">
        <v>22</v>
      </c>
      <c r="C1109" s="2">
        <v>2156</v>
      </c>
      <c r="D1109" s="5" t="s">
        <v>17</v>
      </c>
      <c r="E1109" s="2">
        <f>IF(Tabla2[[#This Row],[Frecuencia]]="Annual", Tabla2[[#This Row],[Cosecha/Tarea]]/12,Tabla2[[#This Row],[Cosecha/Tarea]])</f>
        <v>2156</v>
      </c>
      <c r="F1109" s="2">
        <v>18938</v>
      </c>
      <c r="G1109" t="s">
        <v>18</v>
      </c>
      <c r="H1109">
        <f>F1109/Tabla2[[#This Row],[Cosecha Mensual]]</f>
        <v>8.7838589981447122</v>
      </c>
      <c r="I1109">
        <f>H1109*_xlfn.XLOOKUP(Tabla2[[#This Row],[Unidad de producción]],Tabla3[Medida],Tabla3[Equivalencia en Kg],"ELVIS",0)</f>
        <v>398.43584415584417</v>
      </c>
      <c r="J1109">
        <v>784.75</v>
      </c>
      <c r="K1109" t="s">
        <v>18</v>
      </c>
      <c r="L1109">
        <f>J1109/_xlfn.XLOOKUP(Tabla2[[#This Row],[Unidad de precio]],Tabla3[Medida],Tabla3[Equivalencia en Kg],"ELVIS",0)</f>
        <v>17.300485008818342</v>
      </c>
      <c r="M1109">
        <v>6063.13</v>
      </c>
      <c r="N1109" s="2">
        <f>(Tabla2[[#This Row],[Productividad (kg/TAS)]]*Tabla2[[#This Row],[Precio por kg]]-Tabla2[[#This Row],[Costos (En RD$/Tarea)]])</f>
        <v>830.00334879406273</v>
      </c>
      <c r="O1109" s="6">
        <f>IF(Tabla2[[#This Row],[Costos (En RD$/Tarea)]]=0,0,Tabla2[[#This Row],[Beneficio Neto  (En RD$/Tarea)]]/Tabla2[[#This Row],[Costos (En RD$/Tarea)]])</f>
        <v>0.13689354323494016</v>
      </c>
      <c r="P1109" s="4">
        <f>Tabla2[[#This Row],[Rentabilidad (%)]]/12</f>
        <v>1.1407795269578346E-2</v>
      </c>
    </row>
    <row r="1110" spans="1:16" x14ac:dyDescent="0.35">
      <c r="A1110" s="1">
        <v>39326</v>
      </c>
      <c r="B1110" t="s">
        <v>23</v>
      </c>
      <c r="C1110" s="2">
        <v>1586</v>
      </c>
      <c r="D1110" s="5" t="s">
        <v>17</v>
      </c>
      <c r="E1110" s="2">
        <f>IF(Tabla2[[#This Row],[Frecuencia]]="Annual", Tabla2[[#This Row],[Cosecha/Tarea]]/12,Tabla2[[#This Row],[Cosecha/Tarea]])</f>
        <v>1586</v>
      </c>
      <c r="F1110" s="2">
        <v>47180</v>
      </c>
      <c r="G1110" t="s">
        <v>18</v>
      </c>
      <c r="H1110">
        <f>F1110/Tabla2[[#This Row],[Cosecha Mensual]]</f>
        <v>29.747793190416143</v>
      </c>
      <c r="I1110">
        <f>H1110*_xlfn.XLOOKUP(Tabla2[[#This Row],[Unidad de producción]],Tabla3[Medida],Tabla3[Equivalencia en Kg],"ELVIS",0)</f>
        <v>1349.3598991172762</v>
      </c>
      <c r="J1110">
        <v>468.75</v>
      </c>
      <c r="K1110" t="s">
        <v>18</v>
      </c>
      <c r="L1110">
        <f>J1110/_xlfn.XLOOKUP(Tabla2[[#This Row],[Unidad de precio]],Tabla3[Medida],Tabla3[Equivalencia en Kg],"ELVIS",0)</f>
        <v>10.333994708994709</v>
      </c>
      <c r="M1110">
        <v>12092.41</v>
      </c>
      <c r="N1110" s="2">
        <f>(Tabla2[[#This Row],[Productividad (kg/TAS)]]*Tabla2[[#This Row],[Precio por kg]]-Tabla2[[#This Row],[Costos (En RD$/Tarea)]])</f>
        <v>1851.868058007567</v>
      </c>
      <c r="O1110" s="6">
        <f>IF(Tabla2[[#This Row],[Costos (En RD$/Tarea)]]=0,0,Tabla2[[#This Row],[Beneficio Neto  (En RD$/Tarea)]]/Tabla2[[#This Row],[Costos (En RD$/Tarea)]])</f>
        <v>0.15314300937592812</v>
      </c>
      <c r="P1110" s="4">
        <f>Tabla2[[#This Row],[Rentabilidad (%)]]/12</f>
        <v>1.2761917447994009E-2</v>
      </c>
    </row>
    <row r="1111" spans="1:16" x14ac:dyDescent="0.35">
      <c r="A1111" s="1">
        <v>39326</v>
      </c>
      <c r="B1111" t="s">
        <v>24</v>
      </c>
      <c r="C1111" s="2">
        <v>3926</v>
      </c>
      <c r="D1111" s="5" t="s">
        <v>17</v>
      </c>
      <c r="E1111" s="2">
        <f>IF(Tabla2[[#This Row],[Frecuencia]]="Annual", Tabla2[[#This Row],[Cosecha/Tarea]]/12,Tabla2[[#This Row],[Cosecha/Tarea]])</f>
        <v>3926</v>
      </c>
      <c r="F1111" s="2">
        <v>34009</v>
      </c>
      <c r="G1111" t="s">
        <v>18</v>
      </c>
      <c r="H1111">
        <f>F1111/Tabla2[[#This Row],[Cosecha Mensual]]</f>
        <v>8.6625063678043812</v>
      </c>
      <c r="I1111">
        <f>H1111*_xlfn.XLOOKUP(Tabla2[[#This Row],[Unidad de producción]],Tabla3[Medida],Tabla3[Equivalencia en Kg],"ELVIS",0)</f>
        <v>392.93128884360675</v>
      </c>
      <c r="J1111">
        <v>986.93124999999998</v>
      </c>
      <c r="K1111" t="s">
        <v>18</v>
      </c>
      <c r="L1111">
        <f>J1111/_xlfn.XLOOKUP(Tabla2[[#This Row],[Unidad de precio]],Tabla3[Medida],Tabla3[Equivalencia en Kg],"ELVIS",0)</f>
        <v>21.75774360670194</v>
      </c>
      <c r="M1111">
        <v>4803.45</v>
      </c>
      <c r="N1111" s="2">
        <f>(Tabla2[[#This Row],[Productividad (kg/TAS)]]*Tabla2[[#This Row],[Precio por kg]]-Tabla2[[#This Row],[Costos (En RD$/Tarea)]])</f>
        <v>3745.8482377101382</v>
      </c>
      <c r="O1111" s="6">
        <f>IF(Tabla2[[#This Row],[Costos (En RD$/Tarea)]]=0,0,Tabla2[[#This Row],[Beneficio Neto  (En RD$/Tarea)]]/Tabla2[[#This Row],[Costos (En RD$/Tarea)]])</f>
        <v>0.77982455062718214</v>
      </c>
      <c r="P1111" s="4">
        <f>Tabla2[[#This Row],[Rentabilidad (%)]]/12</f>
        <v>6.4985379218931841E-2</v>
      </c>
    </row>
    <row r="1112" spans="1:16" x14ac:dyDescent="0.35">
      <c r="A1112" s="1">
        <v>39326</v>
      </c>
      <c r="B1112" t="s">
        <v>25</v>
      </c>
      <c r="C1112" s="2">
        <v>15472</v>
      </c>
      <c r="D1112" s="5" t="s">
        <v>17</v>
      </c>
      <c r="E1112" s="2">
        <f>IF(Tabla2[[#This Row],[Frecuencia]]="Annual", Tabla2[[#This Row],[Cosecha/Tarea]]/12,Tabla2[[#This Row],[Cosecha/Tarea]])</f>
        <v>15472</v>
      </c>
      <c r="F1112" s="2">
        <v>171824</v>
      </c>
      <c r="G1112" t="s">
        <v>18</v>
      </c>
      <c r="H1112">
        <f>F1112/Tabla2[[#This Row],[Cosecha Mensual]]</f>
        <v>11.105480868665977</v>
      </c>
      <c r="I1112">
        <f>H1112*_xlfn.XLOOKUP(Tabla2[[#This Row],[Unidad de producción]],Tabla3[Medida],Tabla3[Equivalencia en Kg],"ELVIS",0)</f>
        <v>503.7446122026887</v>
      </c>
      <c r="J1112">
        <v>289.86842857142898</v>
      </c>
      <c r="K1112" t="s">
        <v>18</v>
      </c>
      <c r="L1112">
        <f>J1112/_xlfn.XLOOKUP(Tabla2[[#This Row],[Unidad de precio]],Tabla3[Medida],Tabla3[Equivalencia en Kg],"ELVIS",0)</f>
        <v>6.3903974552784168</v>
      </c>
      <c r="M1112">
        <v>2341.04</v>
      </c>
      <c r="N1112" s="2">
        <f>(Tabla2[[#This Row],[Productividad (kg/TAS)]]*Tabla2[[#This Row],[Precio por kg]]-Tabla2[[#This Row],[Costos (En RD$/Tarea)]])</f>
        <v>878.08828793027487</v>
      </c>
      <c r="O1112" s="6">
        <f>IF(Tabla2[[#This Row],[Costos (En RD$/Tarea)]]=0,0,Tabla2[[#This Row],[Beneficio Neto  (En RD$/Tarea)]]/Tabla2[[#This Row],[Costos (En RD$/Tarea)]])</f>
        <v>0.37508470078694722</v>
      </c>
      <c r="P1112" s="4">
        <f>Tabla2[[#This Row],[Rentabilidad (%)]]/12</f>
        <v>3.1257058398912269E-2</v>
      </c>
    </row>
    <row r="1113" spans="1:16" x14ac:dyDescent="0.35">
      <c r="A1113" s="1">
        <v>39326</v>
      </c>
      <c r="B1113" t="s">
        <v>26</v>
      </c>
      <c r="C1113" s="2">
        <v>10070</v>
      </c>
      <c r="D1113" s="5" t="s">
        <v>17</v>
      </c>
      <c r="E1113" s="2">
        <f>IF(Tabla2[[#This Row],[Frecuencia]]="Annual", Tabla2[[#This Row],[Cosecha/Tarea]]/12,Tabla2[[#This Row],[Cosecha/Tarea]])</f>
        <v>10070</v>
      </c>
      <c r="F1113" s="2">
        <v>57309</v>
      </c>
      <c r="G1113" t="s">
        <v>18</v>
      </c>
      <c r="H1113">
        <f>F1113/Tabla2[[#This Row],[Cosecha Mensual]]</f>
        <v>5.6910625620655413</v>
      </c>
      <c r="I1113">
        <f>H1113*_xlfn.XLOOKUP(Tabla2[[#This Row],[Unidad de producción]],Tabla3[Medida],Tabla3[Equivalencia en Kg],"ELVIS",0)</f>
        <v>258.14659781529298</v>
      </c>
      <c r="J1113">
        <v>563.11857142857104</v>
      </c>
      <c r="K1113" t="s">
        <v>18</v>
      </c>
      <c r="L1113">
        <f>J1113/_xlfn.XLOOKUP(Tabla2[[#This Row],[Unidad de precio]],Tabla3[Medida],Tabla3[Equivalencia en Kg],"ELVIS",0)</f>
        <v>12.414430587049626</v>
      </c>
      <c r="M1113">
        <v>970.18</v>
      </c>
      <c r="N1113" s="2">
        <f>(Tabla2[[#This Row],[Productividad (kg/TAS)]]*Tabla2[[#This Row],[Precio por kg]]-Tabla2[[#This Row],[Costos (En RD$/Tarea)]])</f>
        <v>2234.5630198609715</v>
      </c>
      <c r="O1113" s="6">
        <f>IF(Tabla2[[#This Row],[Costos (En RD$/Tarea)]]=0,0,Tabla2[[#This Row],[Beneficio Neto  (En RD$/Tarea)]]/Tabla2[[#This Row],[Costos (En RD$/Tarea)]])</f>
        <v>2.3032458099125641</v>
      </c>
      <c r="P1113" s="4">
        <f>Tabla2[[#This Row],[Rentabilidad (%)]]/12</f>
        <v>0.19193715082604701</v>
      </c>
    </row>
    <row r="1114" spans="1:16" x14ac:dyDescent="0.35">
      <c r="A1114" s="1">
        <v>39326</v>
      </c>
      <c r="B1114" t="s">
        <v>27</v>
      </c>
      <c r="C1114" s="2">
        <v>3824</v>
      </c>
      <c r="D1114" s="5" t="s">
        <v>17</v>
      </c>
      <c r="E1114" s="2">
        <f>IF(Tabla2[[#This Row],[Frecuencia]]="Annual", Tabla2[[#This Row],[Cosecha/Tarea]]/12,Tabla2[[#This Row],[Cosecha/Tarea]])</f>
        <v>3824</v>
      </c>
      <c r="F1114" s="2">
        <v>14060</v>
      </c>
      <c r="G1114" t="s">
        <v>18</v>
      </c>
      <c r="H1114">
        <f>F1114/Tabla2[[#This Row],[Cosecha Mensual]]</f>
        <v>3.6767782426778242</v>
      </c>
      <c r="I1114">
        <f>H1114*_xlfn.XLOOKUP(Tabla2[[#This Row],[Unidad de producción]],Tabla3[Medida],Tabla3[Equivalencia en Kg],"ELVIS",0)</f>
        <v>166.77866108786611</v>
      </c>
      <c r="J1114">
        <v>220.95013333333401</v>
      </c>
      <c r="K1114" t="s">
        <v>18</v>
      </c>
      <c r="L1114">
        <f>J1114/_xlfn.XLOOKUP(Tabla2[[#This Row],[Unidad de precio]],Tabla3[Medida],Tabla3[Equivalencia en Kg],"ELVIS",0)</f>
        <v>4.8710346854791453</v>
      </c>
      <c r="M1114">
        <v>5280.51</v>
      </c>
      <c r="N1114" s="2">
        <f>(Tabla2[[#This Row],[Productividad (kg/TAS)]]*Tabla2[[#This Row],[Precio por kg]]-Tabla2[[#This Row],[Costos (En RD$/Tarea)]])</f>
        <v>-4468.1253570432336</v>
      </c>
      <c r="O1114" s="6">
        <f>IF(Tabla2[[#This Row],[Costos (En RD$/Tarea)]]=0,0,Tabla2[[#This Row],[Beneficio Neto  (En RD$/Tarea)]]/Tabla2[[#This Row],[Costos (En RD$/Tarea)]])</f>
        <v>-0.84615413227950209</v>
      </c>
      <c r="P1114" s="4">
        <f>Tabla2[[#This Row],[Rentabilidad (%)]]/12</f>
        <v>-7.0512844356625179E-2</v>
      </c>
    </row>
    <row r="1115" spans="1:16" x14ac:dyDescent="0.35">
      <c r="A1115" s="1">
        <v>39326</v>
      </c>
      <c r="B1115" t="s">
        <v>28</v>
      </c>
      <c r="C1115" s="2">
        <v>58262</v>
      </c>
      <c r="D1115" s="5" t="s">
        <v>17</v>
      </c>
      <c r="E1115" s="2">
        <f>IF(Tabla2[[#This Row],[Frecuencia]]="Annual", Tabla2[[#This Row],[Cosecha/Tarea]]/12,Tabla2[[#This Row],[Cosecha/Tarea]])</f>
        <v>58262</v>
      </c>
      <c r="F1115" s="2">
        <v>110243</v>
      </c>
      <c r="G1115" t="s">
        <v>29</v>
      </c>
      <c r="H1115">
        <f>F1115/Tabla2[[#This Row],[Cosecha Mensual]]</f>
        <v>1.8921938828052589</v>
      </c>
      <c r="I1115">
        <f>H1115*_xlfn.XLOOKUP(Tabla2[[#This Row],[Unidad de producción]],Tabla3[Medida],Tabla3[Equivalencia en Kg],"ELVIS",0)</f>
        <v>1064.0563080567094</v>
      </c>
      <c r="J1115">
        <v>3843.7857142857101</v>
      </c>
      <c r="K1115" t="s">
        <v>29</v>
      </c>
      <c r="L1115">
        <f>J1115/_xlfn.XLOOKUP(Tabla2[[#This Row],[Unidad de precio]],Tabla3[Medida],Tabla3[Equivalencia en Kg],"ELVIS",0)</f>
        <v>6.8353411001986517</v>
      </c>
      <c r="M1115">
        <v>10097.26</v>
      </c>
      <c r="N1115" s="2">
        <f>(Tabla2[[#This Row],[Productividad (kg/TAS)]]*Tabla2[[#This Row],[Precio por kg]]-Tabla2[[#This Row],[Costos (En RD$/Tarea)]])</f>
        <v>-2824.072184614336</v>
      </c>
      <c r="O1115" s="6">
        <f>IF(Tabla2[[#This Row],[Costos (En RD$/Tarea)]]=0,0,Tabla2[[#This Row],[Beneficio Neto  (En RD$/Tarea)]]/Tabla2[[#This Row],[Costos (En RD$/Tarea)]])</f>
        <v>-0.27968698286607813</v>
      </c>
      <c r="P1115" s="4">
        <f>Tabla2[[#This Row],[Rentabilidad (%)]]/12</f>
        <v>-2.3307248572173176E-2</v>
      </c>
    </row>
    <row r="1116" spans="1:16" x14ac:dyDescent="0.35">
      <c r="A1116" s="1">
        <v>39326</v>
      </c>
      <c r="B1116" t="s">
        <v>30</v>
      </c>
      <c r="C1116" s="2">
        <v>320185</v>
      </c>
      <c r="D1116" s="2" t="s">
        <v>31</v>
      </c>
      <c r="E1116" s="2">
        <f>IF(Tabla2[[#This Row],[Frecuencia]]="Annual", Tabla2[[#This Row],[Cosecha/Tarea]]/12,Tabla2[[#This Row],[Cosecha/Tarea]])</f>
        <v>26682.083333333332</v>
      </c>
      <c r="F1116" s="2">
        <v>1791044</v>
      </c>
      <c r="G1116" t="s">
        <v>32</v>
      </c>
      <c r="H1116">
        <f>F1116/Tabla2[[#This Row],[Cosecha Mensual]]</f>
        <v>67.125343160985054</v>
      </c>
      <c r="I1116">
        <f>H1116*_xlfn.XLOOKUP(Tabla2[[#This Row],[Unidad de producción]],Tabla3[Medida],Tabla3[Equivalencia en Kg],"ELVIS",0)</f>
        <v>1826.4805874104034</v>
      </c>
      <c r="J1116">
        <v>75.885000000000005</v>
      </c>
      <c r="K1116" t="s">
        <v>32</v>
      </c>
      <c r="L1116">
        <f>J1116/_xlfn.XLOOKUP(Tabla2[[#This Row],[Unidad de precio]],Tabla3[Medida],Tabla3[Equivalencia en Kg],"ELVIS",0)</f>
        <v>2.7888643880926129</v>
      </c>
      <c r="M1116" s="2">
        <v>8303.36</v>
      </c>
      <c r="N1116" s="2">
        <f>(Tabla2[[#This Row],[Productividad (kg/TAS)]]*Tabla2[[#This Row],[Precio por kg]]-Tabla2[[#This Row],[Costos (En RD$/Tarea)]])</f>
        <v>-3209.5533342286499</v>
      </c>
      <c r="O1116" s="6">
        <f>IF(Tabla2[[#This Row],[Costos (En RD$/Tarea)]]=0,0,Tabla2[[#This Row],[Beneficio Neto  (En RD$/Tarea)]]/Tabla2[[#This Row],[Costos (En RD$/Tarea)]])</f>
        <v>-0.38653669529306806</v>
      </c>
      <c r="P1116" s="4">
        <f>Tabla2[[#This Row],[Rentabilidad (%)]]/12</f>
        <v>-3.2211391274422338E-2</v>
      </c>
    </row>
    <row r="1117" spans="1:16" x14ac:dyDescent="0.35">
      <c r="A1117" s="1">
        <v>39326</v>
      </c>
      <c r="B1117" t="s">
        <v>33</v>
      </c>
      <c r="C1117" s="2">
        <v>677779</v>
      </c>
      <c r="D1117" s="2" t="s">
        <v>31</v>
      </c>
      <c r="E1117" s="2">
        <f>IF(Tabla2[[#This Row],[Frecuencia]]="Annual", Tabla2[[#This Row],[Cosecha/Tarea]]/12,Tabla2[[#This Row],[Cosecha/Tarea]])</f>
        <v>56481.583333333336</v>
      </c>
      <c r="F1117" s="2">
        <v>199437</v>
      </c>
      <c r="G1117" t="s">
        <v>34</v>
      </c>
      <c r="H1117">
        <f>F1117/Tabla2[[#This Row],[Cosecha Mensual]]</f>
        <v>3.5310093703109713</v>
      </c>
      <c r="I1117">
        <f>H1117*_xlfn.XLOOKUP(Tabla2[[#This Row],[Unidad de producción]],Tabla3[Medida],Tabla3[Equivalencia en Kg],"ELVIS",0)</f>
        <v>1441.1814744924229</v>
      </c>
      <c r="J1117">
        <v>2908.96875</v>
      </c>
      <c r="K1117" t="s">
        <v>34</v>
      </c>
      <c r="L1117">
        <f>J1117/_xlfn.XLOOKUP(Tabla2[[#This Row],[Unidad de precio]],Tabla3[Medida],Tabla3[Equivalencia en Kg],"ELVIS",0)</f>
        <v>7.1272050716648296</v>
      </c>
      <c r="M1117" s="2">
        <v>11167.89</v>
      </c>
      <c r="N1117" s="2">
        <f>(Tabla2[[#This Row],[Productividad (kg/TAS)]]*Tabla2[[#This Row],[Precio por kg]]-Tabla2[[#This Row],[Costos (En RD$/Tarea)]])</f>
        <v>-896.29408580820564</v>
      </c>
      <c r="O1117" s="6">
        <f>IF(Tabla2[[#This Row],[Costos (En RD$/Tarea)]]=0,0,Tabla2[[#This Row],[Beneficio Neto  (En RD$/Tarea)]]/Tabla2[[#This Row],[Costos (En RD$/Tarea)]])</f>
        <v>-8.0256349749881647E-2</v>
      </c>
      <c r="P1117" s="4">
        <f>Tabla2[[#This Row],[Rentabilidad (%)]]/12</f>
        <v>-6.6880291458234703E-3</v>
      </c>
    </row>
    <row r="1118" spans="1:16" x14ac:dyDescent="0.35">
      <c r="A1118" s="1">
        <v>39356</v>
      </c>
      <c r="B1118" t="s">
        <v>16</v>
      </c>
      <c r="C1118" s="2">
        <v>454915</v>
      </c>
      <c r="D1118" s="5" t="s">
        <v>17</v>
      </c>
      <c r="E1118" s="2">
        <f>IF(Tabla2[[#This Row],[Frecuencia]]="Annual", Tabla2[[#This Row],[Cosecha/Tarea]]/12,Tabla2[[#This Row],[Cosecha/Tarea]])</f>
        <v>454915</v>
      </c>
      <c r="F1118" s="2">
        <v>1748188</v>
      </c>
      <c r="G1118" t="s">
        <v>18</v>
      </c>
      <c r="H1118">
        <f>F1118/Tabla2[[#This Row],[Cosecha Mensual]]</f>
        <v>3.842889330973918</v>
      </c>
      <c r="I1118">
        <f>H1118*_xlfn.XLOOKUP(Tabla2[[#This Row],[Unidad de producción]],Tabla3[Medida],Tabla3[Equivalencia en Kg],"ELVIS",0)</f>
        <v>174.31346005297692</v>
      </c>
      <c r="J1118">
        <v>1270.69333333333</v>
      </c>
      <c r="K1118" t="s">
        <v>19</v>
      </c>
      <c r="L1118">
        <f>J1118/_xlfn.XLOOKUP(Tabla2[[#This Row],[Unidad de precio]],Tabla3[Medida],Tabla3[Equivalencia en Kg],"ELVIS",0)</f>
        <v>11.551757575757545</v>
      </c>
      <c r="M1118">
        <v>5339.5</v>
      </c>
      <c r="N1118" s="2">
        <f>(Tabla2[[#This Row],[Productividad (kg/TAS)]]*Tabla2[[#This Row],[Precio por kg]]-Tabla2[[#This Row],[Costos (En RD$/Tarea)]])</f>
        <v>-3325.8731672765134</v>
      </c>
      <c r="O1118" s="6">
        <f>IF(Tabla2[[#This Row],[Costos (En RD$/Tarea)]]=0,0,Tabla2[[#This Row],[Beneficio Neto  (En RD$/Tarea)]]/Tabla2[[#This Row],[Costos (En RD$/Tarea)]])</f>
        <v>-0.62288101269341944</v>
      </c>
      <c r="P1118" s="4">
        <f>Tabla2[[#This Row],[Rentabilidad (%)]]/12</f>
        <v>-5.1906751057784951E-2</v>
      </c>
    </row>
    <row r="1119" spans="1:16" x14ac:dyDescent="0.35">
      <c r="A1119" s="1">
        <v>39356</v>
      </c>
      <c r="B1119" t="s">
        <v>20</v>
      </c>
      <c r="C1119" s="2">
        <v>24618</v>
      </c>
      <c r="D1119" s="5" t="s">
        <v>17</v>
      </c>
      <c r="E1119" s="2">
        <f>IF(Tabla2[[#This Row],[Frecuencia]]="Annual", Tabla2[[#This Row],[Cosecha/Tarea]]/12,Tabla2[[#This Row],[Cosecha/Tarea]])</f>
        <v>24618</v>
      </c>
      <c r="F1119" s="2">
        <v>51803</v>
      </c>
      <c r="G1119" t="s">
        <v>18</v>
      </c>
      <c r="H1119">
        <f>F1119/Tabla2[[#This Row],[Cosecha Mensual]]</f>
        <v>2.1042732959623041</v>
      </c>
      <c r="I1119">
        <f>H1119*_xlfn.XLOOKUP(Tabla2[[#This Row],[Unidad de producción]],Tabla3[Medida],Tabla3[Equivalencia en Kg],"ELVIS",0)</f>
        <v>95.449836704850114</v>
      </c>
      <c r="J1119">
        <v>397.48332857142901</v>
      </c>
      <c r="K1119" t="s">
        <v>18</v>
      </c>
      <c r="L1119">
        <f>J1119/_xlfn.XLOOKUP(Tabla2[[#This Row],[Unidad de precio]],Tabla3[Medida],Tabla3[Equivalencia en Kg],"ELVIS",0)</f>
        <v>8.7628599773242737</v>
      </c>
      <c r="M1119">
        <v>1417.48</v>
      </c>
      <c r="N1119" s="2">
        <f>(Tabla2[[#This Row],[Productividad (kg/TAS)]]*Tabla2[[#This Row],[Precio por kg]]-Tabla2[[#This Row],[Costos (En RD$/Tarea)]])</f>
        <v>-581.06644609693149</v>
      </c>
      <c r="O1119" s="6">
        <f>IF(Tabla2[[#This Row],[Costos (En RD$/Tarea)]]=0,0,Tabla2[[#This Row],[Beneficio Neto  (En RD$/Tarea)]]/Tabla2[[#This Row],[Costos (En RD$/Tarea)]])</f>
        <v>-0.4099292025968137</v>
      </c>
      <c r="P1119" s="4">
        <f>Tabla2[[#This Row],[Rentabilidad (%)]]/12</f>
        <v>-3.4160766883067809E-2</v>
      </c>
    </row>
    <row r="1120" spans="1:16" x14ac:dyDescent="0.35">
      <c r="A1120" s="1">
        <v>39356</v>
      </c>
      <c r="B1120" t="s">
        <v>21</v>
      </c>
      <c r="C1120" s="2">
        <v>5503</v>
      </c>
      <c r="D1120" s="5" t="s">
        <v>17</v>
      </c>
      <c r="E1120" s="2">
        <f>IF(Tabla2[[#This Row],[Frecuencia]]="Annual", Tabla2[[#This Row],[Cosecha/Tarea]]/12,Tabla2[[#This Row],[Cosecha/Tarea]])</f>
        <v>5503</v>
      </c>
      <c r="F1120" s="2">
        <v>50303</v>
      </c>
      <c r="G1120" t="s">
        <v>18</v>
      </c>
      <c r="H1120">
        <f>F1120/Tabla2[[#This Row],[Cosecha Mensual]]</f>
        <v>9.1410139923677995</v>
      </c>
      <c r="I1120">
        <f>H1120*_xlfn.XLOOKUP(Tabla2[[#This Row],[Unidad de producción]],Tabla3[Medida],Tabla3[Equivalencia en Kg],"ELVIS",0)</f>
        <v>414.63639469380337</v>
      </c>
      <c r="J1120">
        <v>259.74959999999999</v>
      </c>
      <c r="K1120" t="s">
        <v>18</v>
      </c>
      <c r="L1120">
        <f>J1120/_xlfn.XLOOKUP(Tabla2[[#This Row],[Unidad de precio]],Tabla3[Medida],Tabla3[Equivalencia en Kg],"ELVIS",0)</f>
        <v>5.7264021164021166</v>
      </c>
      <c r="M1120">
        <v>2131.605</v>
      </c>
      <c r="N1120" s="2">
        <f>(Tabla2[[#This Row],[Productividad (kg/TAS)]]*Tabla2[[#This Row],[Precio por kg]]-Tabla2[[#This Row],[Costos (En RD$/Tarea)]])</f>
        <v>242.769728111939</v>
      </c>
      <c r="O1120" s="6">
        <f>IF(Tabla2[[#This Row],[Costos (En RD$/Tarea)]]=0,0,Tabla2[[#This Row],[Beneficio Neto  (En RD$/Tarea)]]/Tabla2[[#This Row],[Costos (En RD$/Tarea)]])</f>
        <v>0.11389057921704021</v>
      </c>
      <c r="P1120" s="4">
        <f>Tabla2[[#This Row],[Rentabilidad (%)]]/12</f>
        <v>9.4908816014200176E-3</v>
      </c>
    </row>
    <row r="1121" spans="1:16" x14ac:dyDescent="0.35">
      <c r="A1121" s="1">
        <v>39356</v>
      </c>
      <c r="B1121" t="s">
        <v>22</v>
      </c>
      <c r="C1121" s="2">
        <v>2981</v>
      </c>
      <c r="D1121" s="5" t="s">
        <v>17</v>
      </c>
      <c r="E1121" s="2">
        <f>IF(Tabla2[[#This Row],[Frecuencia]]="Annual", Tabla2[[#This Row],[Cosecha/Tarea]]/12,Tabla2[[#This Row],[Cosecha/Tarea]])</f>
        <v>2981</v>
      </c>
      <c r="F1121" s="2">
        <v>24191</v>
      </c>
      <c r="G1121" t="s">
        <v>18</v>
      </c>
      <c r="H1121">
        <f>F1121/Tabla2[[#This Row],[Cosecha Mensual]]</f>
        <v>8.1150620597115068</v>
      </c>
      <c r="I1121">
        <f>H1121*_xlfn.XLOOKUP(Tabla2[[#This Row],[Unidad de producción]],Tabla3[Medida],Tabla3[Equivalencia en Kg],"ELVIS",0)</f>
        <v>368.09921502851392</v>
      </c>
      <c r="J1121">
        <v>1035</v>
      </c>
      <c r="K1121" t="s">
        <v>18</v>
      </c>
      <c r="L1121">
        <f>J1121/_xlfn.XLOOKUP(Tabla2[[#This Row],[Unidad de precio]],Tabla3[Medida],Tabla3[Equivalencia en Kg],"ELVIS",0)</f>
        <v>22.817460317460316</v>
      </c>
      <c r="M1121">
        <v>6063.13</v>
      </c>
      <c r="N1121" s="2">
        <f>(Tabla2[[#This Row],[Productividad (kg/TAS)]]*Tabla2[[#This Row],[Precio por kg]]-Tabla2[[#This Row],[Costos (En RD$/Tarea)]])</f>
        <v>2335.9592318014084</v>
      </c>
      <c r="O1121" s="6">
        <f>IF(Tabla2[[#This Row],[Costos (En RD$/Tarea)]]=0,0,Tabla2[[#This Row],[Beneficio Neto  (En RD$/Tarea)]]/Tabla2[[#This Row],[Costos (En RD$/Tarea)]])</f>
        <v>0.38527282637868698</v>
      </c>
      <c r="P1121" s="4">
        <f>Tabla2[[#This Row],[Rentabilidad (%)]]/12</f>
        <v>3.2106068864890584E-2</v>
      </c>
    </row>
    <row r="1122" spans="1:16" x14ac:dyDescent="0.35">
      <c r="A1122" s="1">
        <v>39356</v>
      </c>
      <c r="B1122" t="s">
        <v>23</v>
      </c>
      <c r="C1122" s="2">
        <v>1934</v>
      </c>
      <c r="D1122" s="5" t="s">
        <v>17</v>
      </c>
      <c r="E1122" s="2">
        <f>IF(Tabla2[[#This Row],[Frecuencia]]="Annual", Tabla2[[#This Row],[Cosecha/Tarea]]/12,Tabla2[[#This Row],[Cosecha/Tarea]])</f>
        <v>1934</v>
      </c>
      <c r="F1122" s="2">
        <v>57290</v>
      </c>
      <c r="G1122" t="s">
        <v>18</v>
      </c>
      <c r="H1122">
        <f>F1122/Tabla2[[#This Row],[Cosecha Mensual]]</f>
        <v>29.622543950361944</v>
      </c>
      <c r="I1122">
        <f>H1122*_xlfn.XLOOKUP(Tabla2[[#This Row],[Unidad de producción]],Tabla3[Medida],Tabla3[Equivalencia en Kg],"ELVIS",0)</f>
        <v>1343.6785935884177</v>
      </c>
      <c r="J1122">
        <v>496.875</v>
      </c>
      <c r="K1122" t="s">
        <v>18</v>
      </c>
      <c r="L1122">
        <f>J1122/_xlfn.XLOOKUP(Tabla2[[#This Row],[Unidad de precio]],Tabla3[Medida],Tabla3[Equivalencia en Kg],"ELVIS",0)</f>
        <v>10.954034391534393</v>
      </c>
      <c r="M1122">
        <v>12092.41</v>
      </c>
      <c r="N1122" s="2">
        <f>(Tabla2[[#This Row],[Productividad (kg/TAS)]]*Tabla2[[#This Row],[Precio por kg]]-Tabla2[[#This Row],[Costos (En RD$/Tarea)]])</f>
        <v>2626.2915253360916</v>
      </c>
      <c r="O1122" s="6">
        <f>IF(Tabla2[[#This Row],[Costos (En RD$/Tarea)]]=0,0,Tabla2[[#This Row],[Beneficio Neto  (En RD$/Tarea)]]/Tabla2[[#This Row],[Costos (En RD$/Tarea)]])</f>
        <v>0.21718512069439355</v>
      </c>
      <c r="P1122" s="4">
        <f>Tabla2[[#This Row],[Rentabilidad (%)]]/12</f>
        <v>1.809876005786613E-2</v>
      </c>
    </row>
    <row r="1123" spans="1:16" x14ac:dyDescent="0.35">
      <c r="A1123" s="1">
        <v>39356</v>
      </c>
      <c r="B1123" t="s">
        <v>24</v>
      </c>
      <c r="C1123" s="2">
        <v>3740</v>
      </c>
      <c r="D1123" s="5" t="s">
        <v>17</v>
      </c>
      <c r="E1123" s="2">
        <f>IF(Tabla2[[#This Row],[Frecuencia]]="Annual", Tabla2[[#This Row],[Cosecha/Tarea]]/12,Tabla2[[#This Row],[Cosecha/Tarea]])</f>
        <v>3740</v>
      </c>
      <c r="F1123" s="2">
        <v>30551</v>
      </c>
      <c r="G1123" t="s">
        <v>18</v>
      </c>
      <c r="H1123">
        <f>F1123/Tabla2[[#This Row],[Cosecha Mensual]]</f>
        <v>8.1687165775401063</v>
      </c>
      <c r="I1123">
        <f>H1123*_xlfn.XLOOKUP(Tabla2[[#This Row],[Unidad de producción]],Tabla3[Medida],Tabla3[Equivalencia en Kg],"ELVIS",0)</f>
        <v>370.53298395721924</v>
      </c>
      <c r="J1123">
        <v>987.5</v>
      </c>
      <c r="K1123" t="s">
        <v>18</v>
      </c>
      <c r="L1123">
        <f>J1123/_xlfn.XLOOKUP(Tabla2[[#This Row],[Unidad de precio]],Tabla3[Medida],Tabla3[Equivalencia en Kg],"ELVIS",0)</f>
        <v>21.770282186948855</v>
      </c>
      <c r="M1123">
        <v>4803.45</v>
      </c>
      <c r="N1123" s="2">
        <f>(Tabla2[[#This Row],[Productividad (kg/TAS)]]*Tabla2[[#This Row],[Precio por kg]]-Tabla2[[#This Row],[Costos (En RD$/Tarea)]])</f>
        <v>3263.157620320856</v>
      </c>
      <c r="O1123" s="6">
        <f>IF(Tabla2[[#This Row],[Costos (En RD$/Tarea)]]=0,0,Tabla2[[#This Row],[Beneficio Neto  (En RD$/Tarea)]]/Tabla2[[#This Row],[Costos (En RD$/Tarea)]])</f>
        <v>0.6793362313172524</v>
      </c>
      <c r="P1123" s="4">
        <f>Tabla2[[#This Row],[Rentabilidad (%)]]/12</f>
        <v>5.6611352609771036E-2</v>
      </c>
    </row>
    <row r="1124" spans="1:16" x14ac:dyDescent="0.35">
      <c r="A1124" s="1">
        <v>39356</v>
      </c>
      <c r="B1124" t="s">
        <v>25</v>
      </c>
      <c r="C1124" s="2">
        <v>17536</v>
      </c>
      <c r="D1124" s="5" t="s">
        <v>17</v>
      </c>
      <c r="E1124" s="2">
        <f>IF(Tabla2[[#This Row],[Frecuencia]]="Annual", Tabla2[[#This Row],[Cosecha/Tarea]]/12,Tabla2[[#This Row],[Cosecha/Tarea]])</f>
        <v>17536</v>
      </c>
      <c r="F1124" s="2">
        <v>203334</v>
      </c>
      <c r="G1124" t="s">
        <v>18</v>
      </c>
      <c r="H1124">
        <f>F1124/Tabla2[[#This Row],[Cosecha Mensual]]</f>
        <v>11.595232664233576</v>
      </c>
      <c r="I1124">
        <f>H1124*_xlfn.XLOOKUP(Tabla2[[#This Row],[Unidad de producción]],Tabla3[Medida],Tabla3[Equivalencia en Kg],"ELVIS",0)</f>
        <v>525.95975364963499</v>
      </c>
      <c r="J1124">
        <v>302.26485714285701</v>
      </c>
      <c r="K1124" t="s">
        <v>18</v>
      </c>
      <c r="L1124">
        <f>J1124/_xlfn.XLOOKUP(Tabla2[[#This Row],[Unidad de precio]],Tabla3[Medida],Tabla3[Equivalencia en Kg],"ELVIS",0)</f>
        <v>6.6636873267825623</v>
      </c>
      <c r="M1124">
        <v>2341.04</v>
      </c>
      <c r="N1124" s="2">
        <f>(Tabla2[[#This Row],[Productividad (kg/TAS)]]*Tabla2[[#This Row],[Precio por kg]]-Tabla2[[#This Row],[Costos (En RD$/Tarea)]])</f>
        <v>1163.7913447927513</v>
      </c>
      <c r="O1124" s="6">
        <f>IF(Tabla2[[#This Row],[Costos (En RD$/Tarea)]]=0,0,Tabla2[[#This Row],[Beneficio Neto  (En RD$/Tarea)]]/Tabla2[[#This Row],[Costos (En RD$/Tarea)]])</f>
        <v>0.49712578375113253</v>
      </c>
      <c r="P1124" s="4">
        <f>Tabla2[[#This Row],[Rentabilidad (%)]]/12</f>
        <v>4.1427148645927711E-2</v>
      </c>
    </row>
    <row r="1125" spans="1:16" x14ac:dyDescent="0.35">
      <c r="A1125" s="1">
        <v>39356</v>
      </c>
      <c r="B1125" t="s">
        <v>26</v>
      </c>
      <c r="C1125" s="2">
        <v>9103</v>
      </c>
      <c r="D1125" s="5" t="s">
        <v>17</v>
      </c>
      <c r="E1125" s="2">
        <f>IF(Tabla2[[#This Row],[Frecuencia]]="Annual", Tabla2[[#This Row],[Cosecha/Tarea]]/12,Tabla2[[#This Row],[Cosecha/Tarea]])</f>
        <v>9103</v>
      </c>
      <c r="F1125" s="2">
        <v>58382</v>
      </c>
      <c r="G1125" t="s">
        <v>18</v>
      </c>
      <c r="H1125">
        <f>F1125/Tabla2[[#This Row],[Cosecha Mensual]]</f>
        <v>6.413490058222564</v>
      </c>
      <c r="I1125">
        <f>H1125*_xlfn.XLOOKUP(Tabla2[[#This Row],[Unidad de producción]],Tabla3[Medida],Tabla3[Equivalencia en Kg],"ELVIS",0)</f>
        <v>290.91590904097552</v>
      </c>
      <c r="J1125">
        <v>631.66800000000001</v>
      </c>
      <c r="K1125" t="s">
        <v>18</v>
      </c>
      <c r="L1125">
        <f>J1125/_xlfn.XLOOKUP(Tabla2[[#This Row],[Unidad de precio]],Tabla3[Medida],Tabla3[Equivalencia en Kg],"ELVIS",0)</f>
        <v>13.925661375661376</v>
      </c>
      <c r="M1125">
        <v>970.18</v>
      </c>
      <c r="N1125" s="2">
        <f>(Tabla2[[#This Row],[Productividad (kg/TAS)]]*Tabla2[[#This Row],[Precio por kg]]-Tabla2[[#This Row],[Costos (En RD$/Tarea)]])</f>
        <v>3081.016438097331</v>
      </c>
      <c r="O1125" s="6">
        <f>IF(Tabla2[[#This Row],[Costos (En RD$/Tarea)]]=0,0,Tabla2[[#This Row],[Beneficio Neto  (En RD$/Tarea)]]/Tabla2[[#This Row],[Costos (En RD$/Tarea)]])</f>
        <v>3.1757162981068783</v>
      </c>
      <c r="P1125" s="4">
        <f>Tabla2[[#This Row],[Rentabilidad (%)]]/12</f>
        <v>0.26464302484223984</v>
      </c>
    </row>
    <row r="1126" spans="1:16" x14ac:dyDescent="0.35">
      <c r="A1126" s="1">
        <v>39356</v>
      </c>
      <c r="B1126" t="s">
        <v>27</v>
      </c>
      <c r="C1126" s="2">
        <v>3063</v>
      </c>
      <c r="D1126" s="5" t="s">
        <v>17</v>
      </c>
      <c r="E1126" s="2">
        <f>IF(Tabla2[[#This Row],[Frecuencia]]="Annual", Tabla2[[#This Row],[Cosecha/Tarea]]/12,Tabla2[[#This Row],[Cosecha/Tarea]])</f>
        <v>3063</v>
      </c>
      <c r="F1126" s="2">
        <v>24404</v>
      </c>
      <c r="G1126" t="s">
        <v>18</v>
      </c>
      <c r="H1126">
        <f>F1126/Tabla2[[#This Row],[Cosecha Mensual]]</f>
        <v>7.9673522690173035</v>
      </c>
      <c r="I1126">
        <f>H1126*_xlfn.XLOOKUP(Tabla2[[#This Row],[Unidad de producción]],Tabla3[Medida],Tabla3[Equivalencia en Kg],"ELVIS",0)</f>
        <v>361.39909892262489</v>
      </c>
      <c r="J1126">
        <v>211.99799999999999</v>
      </c>
      <c r="K1126" t="s">
        <v>18</v>
      </c>
      <c r="L1126">
        <f>J1126/_xlfn.XLOOKUP(Tabla2[[#This Row],[Unidad de precio]],Tabla3[Medida],Tabla3[Equivalencia en Kg],"ELVIS",0)</f>
        <v>4.6736772486772482</v>
      </c>
      <c r="M1126">
        <v>5280.51</v>
      </c>
      <c r="N1126" s="2">
        <f>(Tabla2[[#This Row],[Productividad (kg/TAS)]]*Tabla2[[#This Row],[Precio por kg]]-Tabla2[[#This Row],[Costos (En RD$/Tarea)]])</f>
        <v>-3591.4472536728699</v>
      </c>
      <c r="O1126" s="6">
        <f>IF(Tabla2[[#This Row],[Costos (En RD$/Tarea)]]=0,0,Tabla2[[#This Row],[Beneficio Neto  (En RD$/Tarea)]]/Tabla2[[#This Row],[Costos (En RD$/Tarea)]])</f>
        <v>-0.68013264886779301</v>
      </c>
      <c r="P1126" s="4">
        <f>Tabla2[[#This Row],[Rentabilidad (%)]]/12</f>
        <v>-5.6677720738982751E-2</v>
      </c>
    </row>
    <row r="1127" spans="1:16" x14ac:dyDescent="0.35">
      <c r="A1127" s="1">
        <v>39356</v>
      </c>
      <c r="B1127" t="s">
        <v>28</v>
      </c>
      <c r="C1127" s="2">
        <v>61716</v>
      </c>
      <c r="D1127" s="5" t="s">
        <v>17</v>
      </c>
      <c r="E1127" s="2">
        <f>IF(Tabla2[[#This Row],[Frecuencia]]="Annual", Tabla2[[#This Row],[Cosecha/Tarea]]/12,Tabla2[[#This Row],[Cosecha/Tarea]])</f>
        <v>61716</v>
      </c>
      <c r="F1127" s="2">
        <v>98380</v>
      </c>
      <c r="G1127" t="s">
        <v>29</v>
      </c>
      <c r="H1127">
        <f>F1127/Tabla2[[#This Row],[Cosecha Mensual]]</f>
        <v>1.5940760904789681</v>
      </c>
      <c r="I1127">
        <f>H1127*_xlfn.XLOOKUP(Tabla2[[#This Row],[Unidad de producción]],Tabla3[Medida],Tabla3[Equivalencia en Kg],"ELVIS",0)</f>
        <v>896.41274871994301</v>
      </c>
      <c r="J1127">
        <v>3774.16</v>
      </c>
      <c r="K1127" t="s">
        <v>29</v>
      </c>
      <c r="L1127">
        <f>J1127/_xlfn.XLOOKUP(Tabla2[[#This Row],[Unidad de precio]],Tabla3[Medida],Tabla3[Equivalencia en Kg],"ELVIS",0)</f>
        <v>6.7115268342995336</v>
      </c>
      <c r="M1127">
        <v>10097.26</v>
      </c>
      <c r="N1127" s="2">
        <f>(Tabla2[[#This Row],[Productividad (kg/TAS)]]*Tabla2[[#This Row],[Precio por kg]]-Tabla2[[#This Row],[Costos (En RD$/Tarea)]])</f>
        <v>-4080.9617823578983</v>
      </c>
      <c r="O1127" s="6">
        <f>IF(Tabla2[[#This Row],[Costos (En RD$/Tarea)]]=0,0,Tabla2[[#This Row],[Beneficio Neto  (En RD$/Tarea)]]/Tabla2[[#This Row],[Costos (En RD$/Tarea)]])</f>
        <v>-0.40416526685040283</v>
      </c>
      <c r="P1127" s="4">
        <f>Tabla2[[#This Row],[Rentabilidad (%)]]/12</f>
        <v>-3.3680438904200236E-2</v>
      </c>
    </row>
    <row r="1128" spans="1:16" x14ac:dyDescent="0.35">
      <c r="A1128" s="1">
        <v>39356</v>
      </c>
      <c r="B1128" t="s">
        <v>30</v>
      </c>
      <c r="C1128" s="2">
        <v>335640</v>
      </c>
      <c r="D1128" s="2" t="s">
        <v>31</v>
      </c>
      <c r="E1128" s="2">
        <f>IF(Tabla2[[#This Row],[Frecuencia]]="Annual", Tabla2[[#This Row],[Cosecha/Tarea]]/12,Tabla2[[#This Row],[Cosecha/Tarea]])</f>
        <v>27970</v>
      </c>
      <c r="F1128" s="2">
        <v>2088188</v>
      </c>
      <c r="G1128" t="s">
        <v>32</v>
      </c>
      <c r="H1128">
        <f>F1128/Tabla2[[#This Row],[Cosecha Mensual]]</f>
        <v>74.658133714694316</v>
      </c>
      <c r="I1128">
        <f>H1128*_xlfn.XLOOKUP(Tabla2[[#This Row],[Unidad de producción]],Tabla3[Medida],Tabla3[Equivalencia en Kg],"ELVIS",0)</f>
        <v>2031.4478183768324</v>
      </c>
      <c r="J1128">
        <v>72.762857142857101</v>
      </c>
      <c r="K1128" t="s">
        <v>32</v>
      </c>
      <c r="L1128">
        <f>J1128/_xlfn.XLOOKUP(Tabla2[[#This Row],[Unidad de precio]],Tabla3[Medida],Tabla3[Equivalencia en Kg],"ELVIS",0)</f>
        <v>2.6741219089620398</v>
      </c>
      <c r="M1128" s="2">
        <v>8303.36</v>
      </c>
      <c r="N1128" s="2">
        <f>(Tabla2[[#This Row],[Productividad (kg/TAS)]]*Tabla2[[#This Row],[Precio por kg]]-Tabla2[[#This Row],[Costos (En RD$/Tarea)]])</f>
        <v>-2871.0208819653744</v>
      </c>
      <c r="O1128" s="6">
        <f>IF(Tabla2[[#This Row],[Costos (En RD$/Tarea)]]=0,0,Tabla2[[#This Row],[Beneficio Neto  (En RD$/Tarea)]]/Tabla2[[#This Row],[Costos (En RD$/Tarea)]])</f>
        <v>-0.3457661575513255</v>
      </c>
      <c r="P1128" s="4">
        <f>Tabla2[[#This Row],[Rentabilidad (%)]]/12</f>
        <v>-2.8813846462610457E-2</v>
      </c>
    </row>
    <row r="1129" spans="1:16" x14ac:dyDescent="0.35">
      <c r="A1129" s="1">
        <v>39356</v>
      </c>
      <c r="B1129" t="s">
        <v>33</v>
      </c>
      <c r="C1129" s="2">
        <v>787962</v>
      </c>
      <c r="D1129" s="2" t="s">
        <v>31</v>
      </c>
      <c r="E1129" s="2">
        <f>IF(Tabla2[[#This Row],[Frecuencia]]="Annual", Tabla2[[#This Row],[Cosecha/Tarea]]/12,Tabla2[[#This Row],[Cosecha/Tarea]])</f>
        <v>65663.5</v>
      </c>
      <c r="F1129" s="2">
        <v>165083</v>
      </c>
      <c r="G1129" t="s">
        <v>34</v>
      </c>
      <c r="H1129">
        <f>F1129/Tabla2[[#This Row],[Cosecha Mensual]]</f>
        <v>2.5140755518667142</v>
      </c>
      <c r="I1129">
        <f>H1129*_xlfn.XLOOKUP(Tabla2[[#This Row],[Unidad de producción]],Tabla3[Medida],Tabla3[Equivalencia en Kg],"ELVIS",0)</f>
        <v>1026.1199364943993</v>
      </c>
      <c r="J1129">
        <v>2721.3571428571399</v>
      </c>
      <c r="K1129" t="s">
        <v>34</v>
      </c>
      <c r="L1129">
        <f>J1129/_xlfn.XLOOKUP(Tabla2[[#This Row],[Unidad de precio]],Tabla3[Medida],Tabla3[Equivalencia en Kg],"ELVIS",0)</f>
        <v>6.6675416951050845</v>
      </c>
      <c r="M1129" s="2">
        <v>11167.89</v>
      </c>
      <c r="N1129" s="2">
        <f>(Tabla2[[#This Row],[Productividad (kg/TAS)]]*Tabla2[[#This Row],[Precio por kg]]-Tabla2[[#This Row],[Costos (En RD$/Tarea)]])</f>
        <v>-4326.1925392450103</v>
      </c>
      <c r="O1129" s="6">
        <f>IF(Tabla2[[#This Row],[Costos (En RD$/Tarea)]]=0,0,Tabla2[[#This Row],[Beneficio Neto  (En RD$/Tarea)]]/Tabla2[[#This Row],[Costos (En RD$/Tarea)]])</f>
        <v>-0.38737778929099503</v>
      </c>
      <c r="P1129" s="4">
        <f>Tabla2[[#This Row],[Rentabilidad (%)]]/12</f>
        <v>-3.2281482440916255E-2</v>
      </c>
    </row>
    <row r="1130" spans="1:16" x14ac:dyDescent="0.35">
      <c r="A1130" s="1">
        <v>39387</v>
      </c>
      <c r="B1130" t="s">
        <v>16</v>
      </c>
      <c r="C1130" s="2">
        <v>357472</v>
      </c>
      <c r="D1130" s="5" t="s">
        <v>17</v>
      </c>
      <c r="E1130" s="2">
        <f>IF(Tabla2[[#This Row],[Frecuencia]]="Annual", Tabla2[[#This Row],[Cosecha/Tarea]]/12,Tabla2[[#This Row],[Cosecha/Tarea]])</f>
        <v>357472</v>
      </c>
      <c r="F1130" s="2">
        <v>1357863</v>
      </c>
      <c r="G1130" t="s">
        <v>18</v>
      </c>
      <c r="H1130">
        <f>F1130/Tabla2[[#This Row],[Cosecha Mensual]]</f>
        <v>3.7985156879419928</v>
      </c>
      <c r="I1130">
        <f>H1130*_xlfn.XLOOKUP(Tabla2[[#This Row],[Unidad de producción]],Tabla3[Medida],Tabla3[Equivalencia en Kg],"ELVIS",0)</f>
        <v>172.30067160504879</v>
      </c>
      <c r="J1130">
        <v>1294.375</v>
      </c>
      <c r="K1130" t="s">
        <v>19</v>
      </c>
      <c r="L1130">
        <f>J1130/_xlfn.XLOOKUP(Tabla2[[#This Row],[Unidad de precio]],Tabla3[Medida],Tabla3[Equivalencia en Kg],"ELVIS",0)</f>
        <v>11.767045454545455</v>
      </c>
      <c r="M1130">
        <v>5339.5</v>
      </c>
      <c r="N1130" s="2">
        <f>(Tabla2[[#This Row],[Productividad (kg/TAS)]]*Tabla2[[#This Row],[Precio por kg]]-Tabla2[[#This Row],[Costos (En RD$/Tarea)]])</f>
        <v>-3312.0301653746815</v>
      </c>
      <c r="O1130" s="6">
        <f>IF(Tabla2[[#This Row],[Costos (En RD$/Tarea)]]=0,0,Tabla2[[#This Row],[Beneficio Neto  (En RD$/Tarea)]]/Tabla2[[#This Row],[Costos (En RD$/Tarea)]])</f>
        <v>-0.62028844749034207</v>
      </c>
      <c r="P1130" s="4">
        <f>Tabla2[[#This Row],[Rentabilidad (%)]]/12</f>
        <v>-5.1690703957528505E-2</v>
      </c>
    </row>
    <row r="1131" spans="1:16" x14ac:dyDescent="0.35">
      <c r="A1131" s="1">
        <v>39387</v>
      </c>
      <c r="B1131" t="s">
        <v>20</v>
      </c>
      <c r="C1131" s="2">
        <v>19754</v>
      </c>
      <c r="D1131" s="5" t="s">
        <v>17</v>
      </c>
      <c r="E1131" s="2">
        <f>IF(Tabla2[[#This Row],[Frecuencia]]="Annual", Tabla2[[#This Row],[Cosecha/Tarea]]/12,Tabla2[[#This Row],[Cosecha/Tarea]])</f>
        <v>19754</v>
      </c>
      <c r="F1131" s="2">
        <v>33578</v>
      </c>
      <c r="G1131" t="s">
        <v>18</v>
      </c>
      <c r="H1131">
        <f>F1131/Tabla2[[#This Row],[Cosecha Mensual]]</f>
        <v>1.6998076338969323</v>
      </c>
      <c r="I1131">
        <f>H1131*_xlfn.XLOOKUP(Tabla2[[#This Row],[Unidad de producción]],Tabla3[Medida],Tabla3[Equivalencia en Kg],"ELVIS",0)</f>
        <v>77.10327427356485</v>
      </c>
      <c r="J1131">
        <v>395.609134375</v>
      </c>
      <c r="K1131" t="s">
        <v>18</v>
      </c>
      <c r="L1131">
        <f>J1131/_xlfn.XLOOKUP(Tabla2[[#This Row],[Unidad de precio]],Tabla3[Medida],Tabla3[Equivalencia en Kg],"ELVIS",0)</f>
        <v>8.7215417631172834</v>
      </c>
      <c r="M1131">
        <v>1417.48</v>
      </c>
      <c r="N1131" s="2">
        <f>(Tabla2[[#This Row],[Productividad (kg/TAS)]]*Tabla2[[#This Row],[Precio por kg]]-Tabla2[[#This Row],[Costos (En RD$/Tarea)]])</f>
        <v>-745.0205733500178</v>
      </c>
      <c r="O1131" s="6">
        <f>IF(Tabla2[[#This Row],[Costos (En RD$/Tarea)]]=0,0,Tabla2[[#This Row],[Beneficio Neto  (En RD$/Tarea)]]/Tabla2[[#This Row],[Costos (En RD$/Tarea)]])</f>
        <v>-0.52559512187122059</v>
      </c>
      <c r="P1131" s="4">
        <f>Tabla2[[#This Row],[Rentabilidad (%)]]/12</f>
        <v>-4.3799593489268381E-2</v>
      </c>
    </row>
    <row r="1132" spans="1:16" x14ac:dyDescent="0.35">
      <c r="A1132" s="1">
        <v>39387</v>
      </c>
      <c r="B1132" t="s">
        <v>21</v>
      </c>
      <c r="C1132" s="2">
        <v>3274</v>
      </c>
      <c r="D1132" s="5" t="s">
        <v>17</v>
      </c>
      <c r="E1132" s="2">
        <f>IF(Tabla2[[#This Row],[Frecuencia]]="Annual", Tabla2[[#This Row],[Cosecha/Tarea]]/12,Tabla2[[#This Row],[Cosecha/Tarea]])</f>
        <v>3274</v>
      </c>
      <c r="F1132" s="2">
        <v>31565</v>
      </c>
      <c r="G1132" t="s">
        <v>18</v>
      </c>
      <c r="H1132">
        <f>F1132/Tabla2[[#This Row],[Cosecha Mensual]]</f>
        <v>9.6411117898594991</v>
      </c>
      <c r="I1132">
        <f>H1132*_xlfn.XLOOKUP(Tabla2[[#This Row],[Unidad de producción]],Tabla3[Medida],Tabla3[Equivalencia en Kg],"ELVIS",0)</f>
        <v>437.32083078802685</v>
      </c>
      <c r="J1132">
        <v>400.49485714285697</v>
      </c>
      <c r="K1132" t="s">
        <v>18</v>
      </c>
      <c r="L1132">
        <f>J1132/_xlfn.XLOOKUP(Tabla2[[#This Row],[Unidad de precio]],Tabla3[Medida],Tabla3[Equivalencia en Kg],"ELVIS",0)</f>
        <v>8.8292517006802687</v>
      </c>
      <c r="M1132">
        <v>2131.605</v>
      </c>
      <c r="N1132" s="2">
        <f>(Tabla2[[#This Row],[Productividad (kg/TAS)]]*Tabla2[[#This Row],[Precio por kg]]-Tabla2[[#This Row],[Costos (En RD$/Tarea)]])</f>
        <v>1729.610688978094</v>
      </c>
      <c r="O1132" s="6">
        <f>IF(Tabla2[[#This Row],[Costos (En RD$/Tarea)]]=0,0,Tabla2[[#This Row],[Beneficio Neto  (En RD$/Tarea)]]/Tabla2[[#This Row],[Costos (En RD$/Tarea)]])</f>
        <v>0.8114123812704952</v>
      </c>
      <c r="P1132" s="4">
        <f>Tabla2[[#This Row],[Rentabilidad (%)]]/12</f>
        <v>6.7617698439207938E-2</v>
      </c>
    </row>
    <row r="1133" spans="1:16" x14ac:dyDescent="0.35">
      <c r="A1133" s="1">
        <v>39387</v>
      </c>
      <c r="B1133" t="s">
        <v>22</v>
      </c>
      <c r="C1133" s="2">
        <v>6726</v>
      </c>
      <c r="D1133" s="5" t="s">
        <v>17</v>
      </c>
      <c r="E1133" s="2">
        <f>IF(Tabla2[[#This Row],[Frecuencia]]="Annual", Tabla2[[#This Row],[Cosecha/Tarea]]/12,Tabla2[[#This Row],[Cosecha/Tarea]])</f>
        <v>6726</v>
      </c>
      <c r="F1133" s="2">
        <v>65118</v>
      </c>
      <c r="G1133" t="s">
        <v>18</v>
      </c>
      <c r="H1133">
        <f>F1133/Tabla2[[#This Row],[Cosecha Mensual]]</f>
        <v>9.6815343443354145</v>
      </c>
      <c r="I1133">
        <f>H1133*_xlfn.XLOOKUP(Tabla2[[#This Row],[Unidad de producción]],Tabla3[Medida],Tabla3[Equivalencia en Kg],"ELVIS",0)</f>
        <v>439.15439785905437</v>
      </c>
      <c r="J1133">
        <v>946.25</v>
      </c>
      <c r="K1133" t="s">
        <v>18</v>
      </c>
      <c r="L1133">
        <f>J1133/_xlfn.XLOOKUP(Tabla2[[#This Row],[Unidad de precio]],Tabla3[Medida],Tabla3[Equivalencia en Kg],"ELVIS",0)</f>
        <v>20.86089065255732</v>
      </c>
      <c r="M1133">
        <v>6063.13</v>
      </c>
      <c r="N1133" s="2">
        <f>(Tabla2[[#This Row],[Productividad (kg/TAS)]]*Tabla2[[#This Row],[Precio por kg]]-Tabla2[[#This Row],[Costos (En RD$/Tarea)]])</f>
        <v>3098.0218733273859</v>
      </c>
      <c r="O1133" s="6">
        <f>IF(Tabla2[[#This Row],[Costos (En RD$/Tarea)]]=0,0,Tabla2[[#This Row],[Beneficio Neto  (En RD$/Tarea)]]/Tabla2[[#This Row],[Costos (En RD$/Tarea)]])</f>
        <v>0.51096081946575211</v>
      </c>
      <c r="P1133" s="4">
        <f>Tabla2[[#This Row],[Rentabilidad (%)]]/12</f>
        <v>4.2580068288812674E-2</v>
      </c>
    </row>
    <row r="1134" spans="1:16" x14ac:dyDescent="0.35">
      <c r="A1134" s="1">
        <v>39387</v>
      </c>
      <c r="B1134" t="s">
        <v>23</v>
      </c>
      <c r="C1134" s="2">
        <v>1717</v>
      </c>
      <c r="D1134" s="5" t="s">
        <v>17</v>
      </c>
      <c r="E1134" s="2">
        <f>IF(Tabla2[[#This Row],[Frecuencia]]="Annual", Tabla2[[#This Row],[Cosecha/Tarea]]/12,Tabla2[[#This Row],[Cosecha/Tarea]])</f>
        <v>1717</v>
      </c>
      <c r="F1134" s="2">
        <v>41105</v>
      </c>
      <c r="G1134" t="s">
        <v>18</v>
      </c>
      <c r="H1134">
        <f>F1134/Tabla2[[#This Row],[Cosecha Mensual]]</f>
        <v>23.940011648223646</v>
      </c>
      <c r="I1134">
        <f>H1134*_xlfn.XLOOKUP(Tabla2[[#This Row],[Unidad de producción]],Tabla3[Medida],Tabla3[Equivalencia en Kg],"ELVIS",0)</f>
        <v>1085.9189283634246</v>
      </c>
      <c r="J1134">
        <v>1093.75</v>
      </c>
      <c r="K1134" t="s">
        <v>18</v>
      </c>
      <c r="L1134">
        <f>J1134/_xlfn.XLOOKUP(Tabla2[[#This Row],[Unidad de precio]],Tabla3[Medida],Tabla3[Equivalencia en Kg],"ELVIS",0)</f>
        <v>24.112654320987655</v>
      </c>
      <c r="M1134">
        <v>12092.41</v>
      </c>
      <c r="N1134" s="2">
        <f>(Tabla2[[#This Row],[Productividad (kg/TAS)]]*Tabla2[[#This Row],[Precio por kg]]-Tabla2[[#This Row],[Costos (En RD$/Tarea)]])</f>
        <v>14091.977740244613</v>
      </c>
      <c r="O1134" s="6">
        <f>IF(Tabla2[[#This Row],[Costos (En RD$/Tarea)]]=0,0,Tabla2[[#This Row],[Beneficio Neto  (En RD$/Tarea)]]/Tabla2[[#This Row],[Costos (En RD$/Tarea)]])</f>
        <v>1.1653572563487851</v>
      </c>
      <c r="P1134" s="4">
        <f>Tabla2[[#This Row],[Rentabilidad (%)]]/12</f>
        <v>9.7113104695732089E-2</v>
      </c>
    </row>
    <row r="1135" spans="1:16" x14ac:dyDescent="0.35">
      <c r="A1135" s="1">
        <v>39387</v>
      </c>
      <c r="B1135" t="s">
        <v>24</v>
      </c>
      <c r="C1135" s="2">
        <v>7790</v>
      </c>
      <c r="D1135" s="5" t="s">
        <v>17</v>
      </c>
      <c r="E1135" s="2">
        <f>IF(Tabla2[[#This Row],[Frecuencia]]="Annual", Tabla2[[#This Row],[Cosecha/Tarea]]/12,Tabla2[[#This Row],[Cosecha/Tarea]])</f>
        <v>7790</v>
      </c>
      <c r="F1135" s="2">
        <v>77206</v>
      </c>
      <c r="G1135" t="s">
        <v>18</v>
      </c>
      <c r="H1135">
        <f>F1135/Tabla2[[#This Row],[Cosecha Mensual]]</f>
        <v>9.9109114249037233</v>
      </c>
      <c r="I1135">
        <f>H1135*_xlfn.XLOOKUP(Tabla2[[#This Row],[Unidad de producción]],Tabla3[Medida],Tabla3[Equivalencia en Kg],"ELVIS",0)</f>
        <v>449.55894223363288</v>
      </c>
      <c r="J1135">
        <v>992.27499999999998</v>
      </c>
      <c r="K1135" t="s">
        <v>18</v>
      </c>
      <c r="L1135">
        <f>J1135/_xlfn.XLOOKUP(Tabla2[[#This Row],[Unidad de precio]],Tabla3[Medida],Tabla3[Equivalencia en Kg],"ELVIS",0)</f>
        <v>21.875551146384481</v>
      </c>
      <c r="M1135">
        <v>4803.45</v>
      </c>
      <c r="N1135" s="2">
        <f>(Tabla2[[#This Row],[Productividad (kg/TAS)]]*Tabla2[[#This Row],[Precio por kg]]-Tabla2[[#This Row],[Costos (En RD$/Tarea)]])</f>
        <v>5030.8996341463435</v>
      </c>
      <c r="O1135" s="6">
        <f>IF(Tabla2[[#This Row],[Costos (En RD$/Tarea)]]=0,0,Tabla2[[#This Row],[Beneficio Neto  (En RD$/Tarea)]]/Tabla2[[#This Row],[Costos (En RD$/Tarea)]])</f>
        <v>1.0473513066954676</v>
      </c>
      <c r="P1135" s="4">
        <f>Tabla2[[#This Row],[Rentabilidad (%)]]/12</f>
        <v>8.727927555795563E-2</v>
      </c>
    </row>
    <row r="1136" spans="1:16" x14ac:dyDescent="0.35">
      <c r="A1136" s="1">
        <v>39387</v>
      </c>
      <c r="B1136" t="s">
        <v>25</v>
      </c>
      <c r="C1136" s="2">
        <v>21619</v>
      </c>
      <c r="D1136" s="5" t="s">
        <v>17</v>
      </c>
      <c r="E1136" s="2">
        <f>IF(Tabla2[[#This Row],[Frecuencia]]="Annual", Tabla2[[#This Row],[Cosecha/Tarea]]/12,Tabla2[[#This Row],[Cosecha/Tarea]])</f>
        <v>21619</v>
      </c>
      <c r="F1136" s="2">
        <v>186324</v>
      </c>
      <c r="G1136" t="s">
        <v>18</v>
      </c>
      <c r="H1136">
        <f>F1136/Tabla2[[#This Row],[Cosecha Mensual]]</f>
        <v>8.6185299967621081</v>
      </c>
      <c r="I1136">
        <f>H1136*_xlfn.XLOOKUP(Tabla2[[#This Row],[Unidad de producción]],Tabla3[Medida],Tabla3[Equivalencia en Kg],"ELVIS",0)</f>
        <v>390.93652065312921</v>
      </c>
      <c r="J1136">
        <v>317.13662499999998</v>
      </c>
      <c r="K1136" t="s">
        <v>18</v>
      </c>
      <c r="L1136">
        <f>J1136/_xlfn.XLOOKUP(Tabla2[[#This Row],[Unidad de precio]],Tabla3[Medida],Tabla3[Equivalencia en Kg],"ELVIS",0)</f>
        <v>6.9915481701940028</v>
      </c>
      <c r="M1136">
        <v>2341.04</v>
      </c>
      <c r="N1136" s="2">
        <f>(Tabla2[[#This Row],[Productividad (kg/TAS)]]*Tabla2[[#This Row],[Precio por kg]]-Tabla2[[#This Row],[Costos (En RD$/Tarea)]])</f>
        <v>392.21151563439571</v>
      </c>
      <c r="O1136" s="6">
        <f>IF(Tabla2[[#This Row],[Costos (En RD$/Tarea)]]=0,0,Tabla2[[#This Row],[Beneficio Neto  (En RD$/Tarea)]]/Tabla2[[#This Row],[Costos (En RD$/Tarea)]])</f>
        <v>0.16753729779687476</v>
      </c>
      <c r="P1136" s="4">
        <f>Tabla2[[#This Row],[Rentabilidad (%)]]/12</f>
        <v>1.3961441483072897E-2</v>
      </c>
    </row>
    <row r="1137" spans="1:16" x14ac:dyDescent="0.35">
      <c r="A1137" s="1">
        <v>39387</v>
      </c>
      <c r="B1137" t="s">
        <v>26</v>
      </c>
      <c r="C1137" s="2">
        <v>9585</v>
      </c>
      <c r="D1137" s="5" t="s">
        <v>17</v>
      </c>
      <c r="E1137" s="2">
        <f>IF(Tabla2[[#This Row],[Frecuencia]]="Annual", Tabla2[[#This Row],[Cosecha/Tarea]]/12,Tabla2[[#This Row],[Cosecha/Tarea]])</f>
        <v>9585</v>
      </c>
      <c r="F1137" s="2">
        <v>50843</v>
      </c>
      <c r="G1137" t="s">
        <v>18</v>
      </c>
      <c r="H1137">
        <f>F1137/Tabla2[[#This Row],[Cosecha Mensual]]</f>
        <v>5.3044340114762649</v>
      </c>
      <c r="I1137">
        <f>H1137*_xlfn.XLOOKUP(Tabla2[[#This Row],[Unidad de producción]],Tabla3[Medida],Tabla3[Equivalencia en Kg],"ELVIS",0)</f>
        <v>240.60912676056338</v>
      </c>
      <c r="J1137">
        <v>559.13142857142896</v>
      </c>
      <c r="K1137" t="s">
        <v>18</v>
      </c>
      <c r="L1137">
        <f>J1137/_xlfn.XLOOKUP(Tabla2[[#This Row],[Unidad de precio]],Tabla3[Medida],Tabla3[Equivalencia en Kg],"ELVIS",0)</f>
        <v>12.326530612244907</v>
      </c>
      <c r="M1137">
        <v>970.18</v>
      </c>
      <c r="N1137" s="2">
        <f>(Tabla2[[#This Row],[Productividad (kg/TAS)]]*Tabla2[[#This Row],[Precio por kg]]-Tabla2[[#This Row],[Costos (En RD$/Tarea)]])</f>
        <v>1995.6957665996001</v>
      </c>
      <c r="O1137" s="6">
        <f>IF(Tabla2[[#This Row],[Costos (En RD$/Tarea)]]=0,0,Tabla2[[#This Row],[Beneficio Neto  (En RD$/Tarea)]]/Tabla2[[#This Row],[Costos (En RD$/Tarea)]])</f>
        <v>2.0570365979504834</v>
      </c>
      <c r="P1137" s="4">
        <f>Tabla2[[#This Row],[Rentabilidad (%)]]/12</f>
        <v>0.17141971649587362</v>
      </c>
    </row>
    <row r="1138" spans="1:16" x14ac:dyDescent="0.35">
      <c r="A1138" s="1">
        <v>39387</v>
      </c>
      <c r="B1138" t="s">
        <v>27</v>
      </c>
      <c r="C1138" s="2">
        <v>3003</v>
      </c>
      <c r="D1138" s="5" t="s">
        <v>17</v>
      </c>
      <c r="E1138" s="2">
        <f>IF(Tabla2[[#This Row],[Frecuencia]]="Annual", Tabla2[[#This Row],[Cosecha/Tarea]]/12,Tabla2[[#This Row],[Cosecha/Tarea]])</f>
        <v>3003</v>
      </c>
      <c r="F1138" s="2">
        <v>21385</v>
      </c>
      <c r="G1138" t="s">
        <v>18</v>
      </c>
      <c r="H1138">
        <f>F1138/Tabla2[[#This Row],[Cosecha Mensual]]</f>
        <v>7.1212121212121211</v>
      </c>
      <c r="I1138">
        <f>H1138*_xlfn.XLOOKUP(Tabla2[[#This Row],[Unidad de producción]],Tabla3[Medida],Tabla3[Equivalencia en Kg],"ELVIS",0)</f>
        <v>323.0181818181818</v>
      </c>
      <c r="J1138">
        <v>472.10666666666702</v>
      </c>
      <c r="K1138" t="s">
        <v>18</v>
      </c>
      <c r="L1138">
        <f>J1138/_xlfn.XLOOKUP(Tabla2[[#This Row],[Unidad de precio]],Tabla3[Medida],Tabla3[Equivalencia en Kg],"ELVIS",0)</f>
        <v>10.407995296884193</v>
      </c>
      <c r="M1138">
        <v>5280.51</v>
      </c>
      <c r="N1138" s="2">
        <f>(Tabla2[[#This Row],[Productividad (kg/TAS)]]*Tabla2[[#This Row],[Precio por kg]]-Tabla2[[#This Row],[Costos (En RD$/Tarea)]])</f>
        <v>-1918.5382828282809</v>
      </c>
      <c r="O1138" s="6">
        <f>IF(Tabla2[[#This Row],[Costos (En RD$/Tarea)]]=0,0,Tabla2[[#This Row],[Beneficio Neto  (En RD$/Tarea)]]/Tabla2[[#This Row],[Costos (En RD$/Tarea)]])</f>
        <v>-0.3633244294259988</v>
      </c>
      <c r="P1138" s="4">
        <f>Tabla2[[#This Row],[Rentabilidad (%)]]/12</f>
        <v>-3.0277035785499899E-2</v>
      </c>
    </row>
    <row r="1139" spans="1:16" x14ac:dyDescent="0.35">
      <c r="A1139" s="1">
        <v>39387</v>
      </c>
      <c r="B1139" t="s">
        <v>28</v>
      </c>
      <c r="C1139" s="2">
        <v>58059</v>
      </c>
      <c r="D1139" s="5" t="s">
        <v>17</v>
      </c>
      <c r="E1139" s="2">
        <f>IF(Tabla2[[#This Row],[Frecuencia]]="Annual", Tabla2[[#This Row],[Cosecha/Tarea]]/12,Tabla2[[#This Row],[Cosecha/Tarea]])</f>
        <v>58059</v>
      </c>
      <c r="F1139" s="2">
        <v>64984</v>
      </c>
      <c r="G1139" t="s">
        <v>29</v>
      </c>
      <c r="H1139">
        <f>F1139/Tabla2[[#This Row],[Cosecha Mensual]]</f>
        <v>1.1192752200347922</v>
      </c>
      <c r="I1139">
        <f>H1139*_xlfn.XLOOKUP(Tabla2[[#This Row],[Unidad de producción]],Tabla3[Medida],Tabla3[Equivalencia en Kg],"ELVIS",0)</f>
        <v>629.41322723436508</v>
      </c>
      <c r="J1139">
        <v>5225.3928571428596</v>
      </c>
      <c r="K1139" t="s">
        <v>29</v>
      </c>
      <c r="L1139">
        <f>J1139/_xlfn.XLOOKUP(Tabla2[[#This Row],[Unidad de precio]],Tabla3[Medida],Tabla3[Equivalencia en Kg],"ELVIS",0)</f>
        <v>9.2922304249081691</v>
      </c>
      <c r="M1139">
        <v>10097.26</v>
      </c>
      <c r="N1139" s="2">
        <f>(Tabla2[[#This Row],[Productividad (kg/TAS)]]*Tabla2[[#This Row],[Precio por kg]]-Tabla2[[#This Row],[Costos (En RD$/Tarea)]])</f>
        <v>-4248.6072600531943</v>
      </c>
      <c r="O1139" s="6">
        <f>IF(Tabla2[[#This Row],[Costos (En RD$/Tarea)]]=0,0,Tabla2[[#This Row],[Beneficio Neto  (En RD$/Tarea)]]/Tabla2[[#This Row],[Costos (En RD$/Tarea)]])</f>
        <v>-0.4207683331966488</v>
      </c>
      <c r="P1139" s="4">
        <f>Tabla2[[#This Row],[Rentabilidad (%)]]/12</f>
        <v>-3.5064027766387403E-2</v>
      </c>
    </row>
    <row r="1140" spans="1:16" x14ac:dyDescent="0.35">
      <c r="A1140" s="1">
        <v>39387</v>
      </c>
      <c r="B1140" t="s">
        <v>30</v>
      </c>
      <c r="C1140" s="2">
        <v>314311</v>
      </c>
      <c r="D1140" s="2" t="s">
        <v>31</v>
      </c>
      <c r="E1140" s="2">
        <f>IF(Tabla2[[#This Row],[Frecuencia]]="Annual", Tabla2[[#This Row],[Cosecha/Tarea]]/12,Tabla2[[#This Row],[Cosecha/Tarea]])</f>
        <v>26192.583333333332</v>
      </c>
      <c r="F1140" s="2">
        <v>1663394</v>
      </c>
      <c r="G1140" t="s">
        <v>32</v>
      </c>
      <c r="H1140">
        <f>F1140/Tabla2[[#This Row],[Cosecha Mensual]]</f>
        <v>63.506297902396035</v>
      </c>
      <c r="I1140">
        <f>H1140*_xlfn.XLOOKUP(Tabla2[[#This Row],[Unidad de producción]],Tabla3[Medida],Tabla3[Equivalencia en Kg],"ELVIS",0)</f>
        <v>1728.0063659241962</v>
      </c>
      <c r="J1140">
        <v>80.239999999999995</v>
      </c>
      <c r="K1140" t="s">
        <v>32</v>
      </c>
      <c r="L1140">
        <f>J1140/_xlfn.XLOOKUP(Tabla2[[#This Row],[Unidad de precio]],Tabla3[Medida],Tabla3[Equivalencia en Kg],"ELVIS",0)</f>
        <v>2.9489158397647919</v>
      </c>
      <c r="M1140" s="2">
        <v>8303.36</v>
      </c>
      <c r="N1140" s="2">
        <f>(Tabla2[[#This Row],[Productividad (kg/TAS)]]*Tabla2[[#This Row],[Precio por kg]]-Tabla2[[#This Row],[Costos (En RD$/Tarea)]])</f>
        <v>-3207.6146563117436</v>
      </c>
      <c r="O1140" s="6">
        <f>IF(Tabla2[[#This Row],[Costos (En RD$/Tarea)]]=0,0,Tabla2[[#This Row],[Beneficio Neto  (En RD$/Tarea)]]/Tabla2[[#This Row],[Costos (En RD$/Tarea)]])</f>
        <v>-0.38630321415809304</v>
      </c>
      <c r="P1140" s="4">
        <f>Tabla2[[#This Row],[Rentabilidad (%)]]/12</f>
        <v>-3.2191934513174418E-2</v>
      </c>
    </row>
    <row r="1141" spans="1:16" x14ac:dyDescent="0.35">
      <c r="A1141" s="1">
        <v>39387</v>
      </c>
      <c r="B1141" t="s">
        <v>33</v>
      </c>
      <c r="C1141" s="2">
        <v>639016</v>
      </c>
      <c r="D1141" s="2" t="s">
        <v>31</v>
      </c>
      <c r="E1141" s="2">
        <f>IF(Tabla2[[#This Row],[Frecuencia]]="Annual", Tabla2[[#This Row],[Cosecha/Tarea]]/12,Tabla2[[#This Row],[Cosecha/Tarea]])</f>
        <v>53251.333333333336</v>
      </c>
      <c r="F1141" s="2">
        <v>108231</v>
      </c>
      <c r="G1141" t="s">
        <v>34</v>
      </c>
      <c r="H1141">
        <f>F1141/Tabla2[[#This Row],[Cosecha Mensual]]</f>
        <v>2.0324561513326738</v>
      </c>
      <c r="I1141">
        <f>H1141*_xlfn.XLOOKUP(Tabla2[[#This Row],[Unidad de producción]],Tabla3[Medida],Tabla3[Equivalencia en Kg],"ELVIS",0)</f>
        <v>829.54697816643079</v>
      </c>
      <c r="J1141">
        <v>3591.375</v>
      </c>
      <c r="K1141" t="s">
        <v>34</v>
      </c>
      <c r="L1141">
        <f>J1141/_xlfn.XLOOKUP(Tabla2[[#This Row],[Unidad de precio]],Tabla3[Medida],Tabla3[Equivalencia en Kg],"ELVIS",0)</f>
        <v>8.799154722528483</v>
      </c>
      <c r="M1141" s="2">
        <v>11167.89</v>
      </c>
      <c r="N1141" s="2">
        <f>(Tabla2[[#This Row],[Productividad (kg/TAS)]]*Tabla2[[#This Row],[Precio por kg]]-Tabla2[[#This Row],[Costos (En RD$/Tarea)]])</f>
        <v>-3868.577789507618</v>
      </c>
      <c r="O1141" s="6">
        <f>IF(Tabla2[[#This Row],[Costos (En RD$/Tarea)]]=0,0,Tabla2[[#This Row],[Beneficio Neto  (En RD$/Tarea)]]/Tabla2[[#This Row],[Costos (En RD$/Tarea)]])</f>
        <v>-0.34640185294694148</v>
      </c>
      <c r="P1141" s="4">
        <f>Tabla2[[#This Row],[Rentabilidad (%)]]/12</f>
        <v>-2.8866821078911791E-2</v>
      </c>
    </row>
    <row r="1142" spans="1:16" x14ac:dyDescent="0.35">
      <c r="A1142" s="1">
        <v>39417</v>
      </c>
      <c r="B1142" t="s">
        <v>16</v>
      </c>
      <c r="C1142" s="2">
        <v>81806</v>
      </c>
      <c r="D1142" s="5" t="s">
        <v>17</v>
      </c>
      <c r="E1142" s="2">
        <f>IF(Tabla2[[#This Row],[Frecuencia]]="Annual", Tabla2[[#This Row],[Cosecha/Tarea]]/12,Tabla2[[#This Row],[Cosecha/Tarea]])</f>
        <v>81806</v>
      </c>
      <c r="F1142" s="2">
        <v>307067</v>
      </c>
      <c r="G1142" t="s">
        <v>18</v>
      </c>
      <c r="H1142">
        <f>F1142/Tabla2[[#This Row],[Cosecha Mensual]]</f>
        <v>3.7535999804415323</v>
      </c>
      <c r="I1142">
        <f>H1142*_xlfn.XLOOKUP(Tabla2[[#This Row],[Unidad de producción]],Tabla3[Medida],Tabla3[Equivalencia en Kg],"ELVIS",0)</f>
        <v>170.2632951128279</v>
      </c>
      <c r="J1142">
        <v>1347.5</v>
      </c>
      <c r="K1142" t="s">
        <v>19</v>
      </c>
      <c r="L1142">
        <f>J1142/_xlfn.XLOOKUP(Tabla2[[#This Row],[Unidad de precio]],Tabla3[Medida],Tabla3[Equivalencia en Kg],"ELVIS",0)</f>
        <v>12.25</v>
      </c>
      <c r="M1142">
        <v>5339.5</v>
      </c>
      <c r="N1142" s="2">
        <f>(Tabla2[[#This Row],[Productividad (kg/TAS)]]*Tabla2[[#This Row],[Precio por kg]]-Tabla2[[#This Row],[Costos (En RD$/Tarea)]])</f>
        <v>-3253.7746348678584</v>
      </c>
      <c r="O1142" s="6">
        <f>IF(Tabla2[[#This Row],[Costos (En RD$/Tarea)]]=0,0,Tabla2[[#This Row],[Beneficio Neto  (En RD$/Tarea)]]/Tabla2[[#This Row],[Costos (En RD$/Tarea)]])</f>
        <v>-0.60937815055114863</v>
      </c>
      <c r="P1142" s="4">
        <f>Tabla2[[#This Row],[Rentabilidad (%)]]/12</f>
        <v>-5.0781512545929053E-2</v>
      </c>
    </row>
    <row r="1143" spans="1:16" x14ac:dyDescent="0.35">
      <c r="A1143" s="1">
        <v>39417</v>
      </c>
      <c r="B1143" t="s">
        <v>20</v>
      </c>
      <c r="C1143" s="2">
        <v>22324</v>
      </c>
      <c r="D1143" s="5" t="s">
        <v>17</v>
      </c>
      <c r="E1143" s="2">
        <f>IF(Tabla2[[#This Row],[Frecuencia]]="Annual", Tabla2[[#This Row],[Cosecha/Tarea]]/12,Tabla2[[#This Row],[Cosecha/Tarea]])</f>
        <v>22324</v>
      </c>
      <c r="F1143" s="2">
        <v>36873</v>
      </c>
      <c r="G1143" t="s">
        <v>18</v>
      </c>
      <c r="H1143">
        <f>F1143/Tabla2[[#This Row],[Cosecha Mensual]]</f>
        <v>1.6517201218419637</v>
      </c>
      <c r="I1143">
        <f>H1143*_xlfn.XLOOKUP(Tabla2[[#This Row],[Unidad de producción]],Tabla3[Medida],Tabla3[Equivalencia en Kg],"ELVIS",0)</f>
        <v>74.922024726751474</v>
      </c>
      <c r="J1143">
        <v>417.836952</v>
      </c>
      <c r="K1143" t="s">
        <v>18</v>
      </c>
      <c r="L1143">
        <f>J1143/_xlfn.XLOOKUP(Tabla2[[#This Row],[Unidad de precio]],Tabla3[Medida],Tabla3[Equivalencia en Kg],"ELVIS",0)</f>
        <v>9.2115730158730162</v>
      </c>
      <c r="M1143">
        <v>1417.48</v>
      </c>
      <c r="N1143" s="2">
        <f>(Tabla2[[#This Row],[Productividad (kg/TAS)]]*Tabla2[[#This Row],[Precio por kg]]-Tabla2[[#This Row],[Costos (En RD$/Tarea)]])</f>
        <v>-727.33029873248529</v>
      </c>
      <c r="O1143" s="6">
        <f>IF(Tabla2[[#This Row],[Costos (En RD$/Tarea)]]=0,0,Tabla2[[#This Row],[Beneficio Neto  (En RD$/Tarea)]]/Tabla2[[#This Row],[Costos (En RD$/Tarea)]])</f>
        <v>-0.51311503423856797</v>
      </c>
      <c r="P1143" s="4">
        <f>Tabla2[[#This Row],[Rentabilidad (%)]]/12</f>
        <v>-4.2759586186547328E-2</v>
      </c>
    </row>
    <row r="1144" spans="1:16" x14ac:dyDescent="0.35">
      <c r="A1144" s="1">
        <v>39417</v>
      </c>
      <c r="B1144" t="s">
        <v>21</v>
      </c>
      <c r="C1144" s="2">
        <v>2282</v>
      </c>
      <c r="D1144" s="5" t="s">
        <v>17</v>
      </c>
      <c r="E1144" s="2">
        <f>IF(Tabla2[[#This Row],[Frecuencia]]="Annual", Tabla2[[#This Row],[Cosecha/Tarea]]/12,Tabla2[[#This Row],[Cosecha/Tarea]])</f>
        <v>2282</v>
      </c>
      <c r="F1144" s="2">
        <v>21236</v>
      </c>
      <c r="G1144" t="s">
        <v>18</v>
      </c>
      <c r="H1144">
        <f>F1144/Tabla2[[#This Row],[Cosecha Mensual]]</f>
        <v>9.3058720420683603</v>
      </c>
      <c r="I1144">
        <f>H1144*_xlfn.XLOOKUP(Tabla2[[#This Row],[Unidad de producción]],Tabla3[Medida],Tabla3[Equivalencia en Kg],"ELVIS",0)</f>
        <v>422.11435582822082</v>
      </c>
      <c r="J1144">
        <v>447.12457142857102</v>
      </c>
      <c r="K1144" t="s">
        <v>18</v>
      </c>
      <c r="L1144">
        <f>J1144/_xlfn.XLOOKUP(Tabla2[[#This Row],[Unidad de precio]],Tabla3[Medida],Tabla3[Equivalencia en Kg],"ELVIS",0)</f>
        <v>9.8572436381960102</v>
      </c>
      <c r="M1144">
        <v>2131.605</v>
      </c>
      <c r="N1144" s="2">
        <f>(Tabla2[[#This Row],[Productividad (kg/TAS)]]*Tabla2[[#This Row],[Precio por kg]]-Tabla2[[#This Row],[Costos (En RD$/Tarea)]])</f>
        <v>2029.2790485789369</v>
      </c>
      <c r="O1144" s="6">
        <f>IF(Tabla2[[#This Row],[Costos (En RD$/Tarea)]]=0,0,Tabla2[[#This Row],[Beneficio Neto  (En RD$/Tarea)]]/Tabla2[[#This Row],[Costos (En RD$/Tarea)]])</f>
        <v>0.95199581938442479</v>
      </c>
      <c r="P1144" s="4">
        <f>Tabla2[[#This Row],[Rentabilidad (%)]]/12</f>
        <v>7.9332984948702071E-2</v>
      </c>
    </row>
    <row r="1145" spans="1:16" x14ac:dyDescent="0.35">
      <c r="A1145" s="1">
        <v>39417</v>
      </c>
      <c r="B1145" t="s">
        <v>22</v>
      </c>
      <c r="C1145" s="2">
        <v>4532</v>
      </c>
      <c r="D1145" s="5" t="s">
        <v>17</v>
      </c>
      <c r="E1145" s="2">
        <f>IF(Tabla2[[#This Row],[Frecuencia]]="Annual", Tabla2[[#This Row],[Cosecha/Tarea]]/12,Tabla2[[#This Row],[Cosecha/Tarea]])</f>
        <v>4532</v>
      </c>
      <c r="F1145" s="2">
        <v>42688</v>
      </c>
      <c r="G1145" t="s">
        <v>18</v>
      </c>
      <c r="H1145">
        <f>F1145/Tabla2[[#This Row],[Cosecha Mensual]]</f>
        <v>9.4192409532215358</v>
      </c>
      <c r="I1145">
        <f>H1145*_xlfn.XLOOKUP(Tabla2[[#This Row],[Unidad de producción]],Tabla3[Medida],Tabla3[Equivalencia en Kg],"ELVIS",0)</f>
        <v>427.25676963812884</v>
      </c>
      <c r="J1145">
        <v>720.8</v>
      </c>
      <c r="K1145" t="s">
        <v>18</v>
      </c>
      <c r="L1145">
        <f>J1145/_xlfn.XLOOKUP(Tabla2[[#This Row],[Unidad de precio]],Tabla3[Medida],Tabla3[Equivalencia en Kg],"ELVIS",0)</f>
        <v>15.890652557319223</v>
      </c>
      <c r="M1145">
        <v>6063.13</v>
      </c>
      <c r="N1145" s="2">
        <f>(Tabla2[[#This Row],[Productividad (kg/TAS)]]*Tabla2[[#This Row],[Precio por kg]]-Tabla2[[#This Row],[Costos (En RD$/Tarea)]])</f>
        <v>726.25887908208188</v>
      </c>
      <c r="O1145" s="6">
        <f>IF(Tabla2[[#This Row],[Costos (En RD$/Tarea)]]=0,0,Tabla2[[#This Row],[Beneficio Neto  (En RD$/Tarea)]]/Tabla2[[#This Row],[Costos (En RD$/Tarea)]])</f>
        <v>0.11978283148837017</v>
      </c>
      <c r="P1145" s="4">
        <f>Tabla2[[#This Row],[Rentabilidad (%)]]/12</f>
        <v>9.9819026240308469E-3</v>
      </c>
    </row>
    <row r="1146" spans="1:16" x14ac:dyDescent="0.35">
      <c r="A1146" s="1">
        <v>39417</v>
      </c>
      <c r="B1146" t="s">
        <v>23</v>
      </c>
      <c r="C1146" s="2">
        <v>4417</v>
      </c>
      <c r="D1146" s="5" t="s">
        <v>17</v>
      </c>
      <c r="E1146" s="2">
        <f>IF(Tabla2[[#This Row],[Frecuencia]]="Annual", Tabla2[[#This Row],[Cosecha/Tarea]]/12,Tabla2[[#This Row],[Cosecha/Tarea]])</f>
        <v>4417</v>
      </c>
      <c r="F1146" s="2">
        <v>150225</v>
      </c>
      <c r="G1146" t="s">
        <v>18</v>
      </c>
      <c r="H1146">
        <f>F1146/Tabla2[[#This Row],[Cosecha Mensual]]</f>
        <v>34.010640706361784</v>
      </c>
      <c r="I1146">
        <f>H1146*_xlfn.XLOOKUP(Tabla2[[#This Row],[Unidad de producción]],Tabla3[Medida],Tabla3[Equivalencia en Kg],"ELVIS",0)</f>
        <v>1542.7226624405705</v>
      </c>
      <c r="J1146">
        <v>1022.5</v>
      </c>
      <c r="K1146" t="s">
        <v>18</v>
      </c>
      <c r="L1146">
        <f>J1146/_xlfn.XLOOKUP(Tabla2[[#This Row],[Unidad de precio]],Tabla3[Medida],Tabla3[Equivalencia en Kg],"ELVIS",0)</f>
        <v>22.541887125220459</v>
      </c>
      <c r="M1146">
        <v>12092.41</v>
      </c>
      <c r="N1146" s="2">
        <f>(Tabla2[[#This Row],[Productividad (kg/TAS)]]*Tabla2[[#This Row],[Precio por kg]]-Tabla2[[#This Row],[Costos (En RD$/Tarea)]])</f>
        <v>22683.470122254923</v>
      </c>
      <c r="O1146" s="6">
        <f>IF(Tabla2[[#This Row],[Costos (En RD$/Tarea)]]=0,0,Tabla2[[#This Row],[Beneficio Neto  (En RD$/Tarea)]]/Tabla2[[#This Row],[Costos (En RD$/Tarea)]])</f>
        <v>1.8758436177945441</v>
      </c>
      <c r="P1146" s="4">
        <f>Tabla2[[#This Row],[Rentabilidad (%)]]/12</f>
        <v>0.15632030148287868</v>
      </c>
    </row>
    <row r="1147" spans="1:16" x14ac:dyDescent="0.35">
      <c r="A1147" s="1">
        <v>39417</v>
      </c>
      <c r="B1147" t="s">
        <v>24</v>
      </c>
      <c r="C1147" s="2">
        <v>9526</v>
      </c>
      <c r="D1147" s="5" t="s">
        <v>17</v>
      </c>
      <c r="E1147" s="2">
        <f>IF(Tabla2[[#This Row],[Frecuencia]]="Annual", Tabla2[[#This Row],[Cosecha/Tarea]]/12,Tabla2[[#This Row],[Cosecha/Tarea]])</f>
        <v>9526</v>
      </c>
      <c r="F1147" s="2">
        <v>89431</v>
      </c>
      <c r="G1147" t="s">
        <v>18</v>
      </c>
      <c r="H1147">
        <f>F1147/Tabla2[[#This Row],[Cosecha Mensual]]</f>
        <v>9.3880957379802652</v>
      </c>
      <c r="I1147">
        <f>H1147*_xlfn.XLOOKUP(Tabla2[[#This Row],[Unidad de producción]],Tabla3[Medida],Tabla3[Equivalencia en Kg],"ELVIS",0)</f>
        <v>425.84402267478481</v>
      </c>
      <c r="J1147">
        <v>1005.72166666667</v>
      </c>
      <c r="K1147" t="s">
        <v>18</v>
      </c>
      <c r="L1147">
        <f>J1147/_xlfn.XLOOKUP(Tabla2[[#This Row],[Unidad de precio]],Tabla3[Medida],Tabla3[Equivalencia en Kg],"ELVIS",0)</f>
        <v>22.171994415050044</v>
      </c>
      <c r="M1147">
        <v>4803.45</v>
      </c>
      <c r="N1147" s="2">
        <f>(Tabla2[[#This Row],[Productividad (kg/TAS)]]*Tabla2[[#This Row],[Precio por kg]]-Tabla2[[#This Row],[Costos (En RD$/Tarea)]])</f>
        <v>4638.3612924277741</v>
      </c>
      <c r="O1147" s="6">
        <f>IF(Tabla2[[#This Row],[Costos (En RD$/Tarea)]]=0,0,Tabla2[[#This Row],[Beneficio Neto  (En RD$/Tarea)]]/Tabla2[[#This Row],[Costos (En RD$/Tarea)]])</f>
        <v>0.96563122181510674</v>
      </c>
      <c r="P1147" s="4">
        <f>Tabla2[[#This Row],[Rentabilidad (%)]]/12</f>
        <v>8.0469268484592224E-2</v>
      </c>
    </row>
    <row r="1148" spans="1:16" x14ac:dyDescent="0.35">
      <c r="A1148" s="1">
        <v>39417</v>
      </c>
      <c r="B1148" t="s">
        <v>25</v>
      </c>
      <c r="C1148" s="2">
        <v>19122</v>
      </c>
      <c r="D1148" s="5" t="s">
        <v>17</v>
      </c>
      <c r="E1148" s="2">
        <f>IF(Tabla2[[#This Row],[Frecuencia]]="Annual", Tabla2[[#This Row],[Cosecha/Tarea]]/12,Tabla2[[#This Row],[Cosecha/Tarea]])</f>
        <v>19122</v>
      </c>
      <c r="F1148" s="2">
        <v>205005</v>
      </c>
      <c r="G1148" t="s">
        <v>18</v>
      </c>
      <c r="H1148">
        <f>F1148/Tabla2[[#This Row],[Cosecha Mensual]]</f>
        <v>10.720897395669908</v>
      </c>
      <c r="I1148">
        <f>H1148*_xlfn.XLOOKUP(Tabla2[[#This Row],[Unidad de producción]],Tabla3[Medida],Tabla3[Equivalencia en Kg],"ELVIS",0)</f>
        <v>486.29990586758703</v>
      </c>
      <c r="J1148">
        <v>354.457071428571</v>
      </c>
      <c r="K1148" t="s">
        <v>18</v>
      </c>
      <c r="L1148">
        <f>J1148/_xlfn.XLOOKUP(Tabla2[[#This Row],[Unidad de precio]],Tabla3[Medida],Tabla3[Equivalencia en Kg],"ELVIS",0)</f>
        <v>7.8143093348450394</v>
      </c>
      <c r="M1148">
        <v>2341.04</v>
      </c>
      <c r="N1148" s="2">
        <f>(Tabla2[[#This Row],[Productividad (kg/TAS)]]*Tabla2[[#This Row],[Precio por kg]]-Tabla2[[#This Row],[Costos (En RD$/Tarea)]])</f>
        <v>1459.0578939553493</v>
      </c>
      <c r="O1148" s="6">
        <f>IF(Tabla2[[#This Row],[Costos (En RD$/Tarea)]]=0,0,Tabla2[[#This Row],[Beneficio Neto  (En RD$/Tarea)]]/Tabla2[[#This Row],[Costos (En RD$/Tarea)]])</f>
        <v>0.62325201361589266</v>
      </c>
      <c r="P1148" s="4">
        <f>Tabla2[[#This Row],[Rentabilidad (%)]]/12</f>
        <v>5.1937667801324389E-2</v>
      </c>
    </row>
    <row r="1149" spans="1:16" x14ac:dyDescent="0.35">
      <c r="A1149" s="1">
        <v>39417</v>
      </c>
      <c r="B1149" t="s">
        <v>26</v>
      </c>
      <c r="C1149" s="2">
        <v>9831</v>
      </c>
      <c r="D1149" s="5" t="s">
        <v>17</v>
      </c>
      <c r="E1149" s="2">
        <f>IF(Tabla2[[#This Row],[Frecuencia]]="Annual", Tabla2[[#This Row],[Cosecha/Tarea]]/12,Tabla2[[#This Row],[Cosecha/Tarea]])</f>
        <v>9831</v>
      </c>
      <c r="F1149" s="2">
        <v>55142</v>
      </c>
      <c r="G1149" t="s">
        <v>18</v>
      </c>
      <c r="H1149">
        <f>F1149/Tabla2[[#This Row],[Cosecha Mensual]]</f>
        <v>5.6089919641948933</v>
      </c>
      <c r="I1149">
        <f>H1149*_xlfn.XLOOKUP(Tabla2[[#This Row],[Unidad de producción]],Tabla3[Medida],Tabla3[Equivalencia en Kg],"ELVIS",0)</f>
        <v>254.42387549588037</v>
      </c>
      <c r="J1149">
        <v>674.63400000000001</v>
      </c>
      <c r="K1149" t="s">
        <v>18</v>
      </c>
      <c r="L1149">
        <f>J1149/_xlfn.XLOOKUP(Tabla2[[#This Row],[Unidad de precio]],Tabla3[Medida],Tabla3[Equivalencia en Kg],"ELVIS",0)</f>
        <v>14.872883597883598</v>
      </c>
      <c r="M1149">
        <v>970.18</v>
      </c>
      <c r="N1149" s="2">
        <f>(Tabla2[[#This Row],[Productividad (kg/TAS)]]*Tabla2[[#This Row],[Precio por kg]]-Tabla2[[#This Row],[Costos (En RD$/Tarea)]])</f>
        <v>2813.8366847726579</v>
      </c>
      <c r="O1149" s="6">
        <f>IF(Tabla2[[#This Row],[Costos (En RD$/Tarea)]]=0,0,Tabla2[[#This Row],[Beneficio Neto  (En RD$/Tarea)]]/Tabla2[[#This Row],[Costos (En RD$/Tarea)]])</f>
        <v>2.9003243571014226</v>
      </c>
      <c r="P1149" s="4">
        <f>Tabla2[[#This Row],[Rentabilidad (%)]]/12</f>
        <v>0.24169369642511854</v>
      </c>
    </row>
    <row r="1150" spans="1:16" x14ac:dyDescent="0.35">
      <c r="A1150" s="1">
        <v>39417</v>
      </c>
      <c r="B1150" t="s">
        <v>27</v>
      </c>
      <c r="C1150" s="2">
        <v>3330</v>
      </c>
      <c r="D1150" s="5" t="s">
        <v>17</v>
      </c>
      <c r="E1150" s="2">
        <f>IF(Tabla2[[#This Row],[Frecuencia]]="Annual", Tabla2[[#This Row],[Cosecha/Tarea]]/12,Tabla2[[#This Row],[Cosecha/Tarea]])</f>
        <v>3330</v>
      </c>
      <c r="F1150" s="2">
        <v>22575</v>
      </c>
      <c r="G1150" t="s">
        <v>18</v>
      </c>
      <c r="H1150">
        <f>F1150/Tabla2[[#This Row],[Cosecha Mensual]]</f>
        <v>6.7792792792792795</v>
      </c>
      <c r="I1150">
        <f>H1150*_xlfn.XLOOKUP(Tabla2[[#This Row],[Unidad de producción]],Tabla3[Medida],Tabla3[Equivalencia en Kg],"ELVIS",0)</f>
        <v>307.5081081081081</v>
      </c>
      <c r="J1150">
        <v>473.10666666666702</v>
      </c>
      <c r="K1150" t="s">
        <v>18</v>
      </c>
      <c r="L1150">
        <f>J1150/_xlfn.XLOOKUP(Tabla2[[#This Row],[Unidad de precio]],Tabla3[Medida],Tabla3[Equivalencia en Kg],"ELVIS",0)</f>
        <v>10.430041152263383</v>
      </c>
      <c r="M1150">
        <v>5280.51</v>
      </c>
      <c r="N1150" s="2">
        <f>(Tabla2[[#This Row],[Productividad (kg/TAS)]]*Tabla2[[#This Row],[Precio por kg]]-Tabla2[[#This Row],[Costos (En RD$/Tarea)]])</f>
        <v>-2073.1877777777754</v>
      </c>
      <c r="O1150" s="6">
        <f>IF(Tabla2[[#This Row],[Costos (En RD$/Tarea)]]=0,0,Tabla2[[#This Row],[Beneficio Neto  (En RD$/Tarea)]]/Tabla2[[#This Row],[Costos (En RD$/Tarea)]])</f>
        <v>-0.39261127765647169</v>
      </c>
      <c r="P1150" s="4">
        <f>Tabla2[[#This Row],[Rentabilidad (%)]]/12</f>
        <v>-3.2717606471372639E-2</v>
      </c>
    </row>
    <row r="1151" spans="1:16" x14ac:dyDescent="0.35">
      <c r="A1151" s="1">
        <v>39417</v>
      </c>
      <c r="B1151" t="s">
        <v>28</v>
      </c>
      <c r="C1151" s="2">
        <v>50775</v>
      </c>
      <c r="D1151" s="5" t="s">
        <v>17</v>
      </c>
      <c r="E1151" s="2">
        <f>IF(Tabla2[[#This Row],[Frecuencia]]="Annual", Tabla2[[#This Row],[Cosecha/Tarea]]/12,Tabla2[[#This Row],[Cosecha/Tarea]])</f>
        <v>50775</v>
      </c>
      <c r="F1151" s="2">
        <v>44499</v>
      </c>
      <c r="G1151" t="s">
        <v>29</v>
      </c>
      <c r="H1151">
        <f>F1151/Tabla2[[#This Row],[Cosecha Mensual]]</f>
        <v>0.87639586410635151</v>
      </c>
      <c r="I1151">
        <f>H1151*_xlfn.XLOOKUP(Tabla2[[#This Row],[Unidad de producción]],Tabla3[Medida],Tabla3[Equivalencia en Kg],"ELVIS",0)</f>
        <v>492.83245022156575</v>
      </c>
      <c r="J1151">
        <v>6762.9</v>
      </c>
      <c r="K1151" t="s">
        <v>29</v>
      </c>
      <c r="L1151">
        <f>J1151/_xlfn.XLOOKUP(Tabla2[[#This Row],[Unidad de precio]],Tabla3[Medida],Tabla3[Equivalencia en Kg],"ELVIS",0)</f>
        <v>12.026354162961908</v>
      </c>
      <c r="M1151">
        <v>10097.26</v>
      </c>
      <c r="N1151" s="2">
        <f>(Tabla2[[#This Row],[Productividad (kg/TAS)]]*Tabla2[[#This Row],[Precio por kg]]-Tabla2[[#This Row],[Costos (En RD$/Tarea)]])</f>
        <v>-4170.2824106351554</v>
      </c>
      <c r="O1151" s="6">
        <f>IF(Tabla2[[#This Row],[Costos (En RD$/Tarea)]]=0,0,Tabla2[[#This Row],[Beneficio Neto  (En RD$/Tarea)]]/Tabla2[[#This Row],[Costos (En RD$/Tarea)]])</f>
        <v>-0.41301129322560332</v>
      </c>
      <c r="P1151" s="4">
        <f>Tabla2[[#This Row],[Rentabilidad (%)]]/12</f>
        <v>-3.4417607768800276E-2</v>
      </c>
    </row>
    <row r="1152" spans="1:16" x14ac:dyDescent="0.35">
      <c r="A1152" s="1">
        <v>39417</v>
      </c>
      <c r="B1152" t="s">
        <v>30</v>
      </c>
      <c r="C1152" s="2">
        <v>292710</v>
      </c>
      <c r="D1152" s="2" t="s">
        <v>31</v>
      </c>
      <c r="E1152" s="2">
        <f>IF(Tabla2[[#This Row],[Frecuencia]]="Annual", Tabla2[[#This Row],[Cosecha/Tarea]]/12,Tabla2[[#This Row],[Cosecha/Tarea]])</f>
        <v>24392.5</v>
      </c>
      <c r="F1152" s="2">
        <v>1519316</v>
      </c>
      <c r="G1152" t="s">
        <v>32</v>
      </c>
      <c r="H1152">
        <f>F1152/Tabla2[[#This Row],[Cosecha Mensual]]</f>
        <v>62.286194527006252</v>
      </c>
      <c r="I1152">
        <f>H1152*_xlfn.XLOOKUP(Tabla2[[#This Row],[Unidad de producción]],Tabla3[Medida],Tabla3[Equivalencia en Kg],"ELVIS",0)</f>
        <v>1694.8073530798401</v>
      </c>
      <c r="J1152">
        <v>109.56</v>
      </c>
      <c r="K1152" t="s">
        <v>32</v>
      </c>
      <c r="L1152">
        <f>J1152/_xlfn.XLOOKUP(Tabla2[[#This Row],[Unidad de precio]],Tabla3[Medida],Tabla3[Equivalencia en Kg],"ELVIS",0)</f>
        <v>4.0264608599779494</v>
      </c>
      <c r="M1152" s="2">
        <v>8303.36</v>
      </c>
      <c r="N1152" s="2">
        <f>(Tabla2[[#This Row],[Productividad (kg/TAS)]]*Tabla2[[#This Row],[Precio por kg]]-Tabla2[[#This Row],[Costos (En RD$/Tarea)]])</f>
        <v>-1479.2845276211956</v>
      </c>
      <c r="O1152" s="6">
        <f>IF(Tabla2[[#This Row],[Costos (En RD$/Tarea)]]=0,0,Tabla2[[#This Row],[Beneficio Neto  (En RD$/Tarea)]]/Tabla2[[#This Row],[Costos (En RD$/Tarea)]])</f>
        <v>-0.17815493097025728</v>
      </c>
      <c r="P1152" s="4">
        <f>Tabla2[[#This Row],[Rentabilidad (%)]]/12</f>
        <v>-1.4846244247521441E-2</v>
      </c>
    </row>
    <row r="1153" spans="1:16" x14ac:dyDescent="0.35">
      <c r="A1153" s="1">
        <v>39417</v>
      </c>
      <c r="B1153" t="s">
        <v>33</v>
      </c>
      <c r="C1153" s="2">
        <v>583764</v>
      </c>
      <c r="D1153" s="2" t="s">
        <v>31</v>
      </c>
      <c r="E1153" s="2">
        <f>IF(Tabla2[[#This Row],[Frecuencia]]="Annual", Tabla2[[#This Row],[Cosecha/Tarea]]/12,Tabla2[[#This Row],[Cosecha/Tarea]])</f>
        <v>48647</v>
      </c>
      <c r="F1153" s="2">
        <v>84357</v>
      </c>
      <c r="G1153" t="s">
        <v>34</v>
      </c>
      <c r="H1153">
        <f>F1153/Tabla2[[#This Row],[Cosecha Mensual]]</f>
        <v>1.734063765494275</v>
      </c>
      <c r="I1153">
        <f>H1153*_xlfn.XLOOKUP(Tabla2[[#This Row],[Unidad de producción]],Tabla3[Medida],Tabla3[Equivalencia en Kg],"ELVIS",0)</f>
        <v>707.7581258864883</v>
      </c>
      <c r="J1153">
        <v>4499.0714285714303</v>
      </c>
      <c r="K1153" t="s">
        <v>34</v>
      </c>
      <c r="L1153">
        <f>J1153/_xlfn.XLOOKUP(Tabla2[[#This Row],[Unidad de precio]],Tabla3[Medida],Tabla3[Equivalencia en Kg],"ELVIS",0)</f>
        <v>11.023083250205637</v>
      </c>
      <c r="M1153" s="2">
        <v>11167.89</v>
      </c>
      <c r="N1153" s="2">
        <f>(Tabla2[[#This Row],[Productividad (kg/TAS)]]*Tabla2[[#This Row],[Precio por kg]]-Tabla2[[#This Row],[Costos (En RD$/Tarea)]])</f>
        <v>-3366.2132573437175</v>
      </c>
      <c r="O1153" s="6">
        <f>IF(Tabla2[[#This Row],[Costos (En RD$/Tarea)]]=0,0,Tabla2[[#This Row],[Beneficio Neto  (En RD$/Tarea)]]/Tabla2[[#This Row],[Costos (En RD$/Tarea)]])</f>
        <v>-0.30141891237679791</v>
      </c>
      <c r="P1153" s="4">
        <f>Tabla2[[#This Row],[Rentabilidad (%)]]/12</f>
        <v>-2.5118242698066492E-2</v>
      </c>
    </row>
    <row r="1154" spans="1:16" x14ac:dyDescent="0.35">
      <c r="A1154" s="1">
        <v>39448</v>
      </c>
      <c r="B1154" t="s">
        <v>16</v>
      </c>
      <c r="C1154" s="2">
        <v>47655</v>
      </c>
      <c r="D1154" s="5" t="s">
        <v>17</v>
      </c>
      <c r="E1154" s="2">
        <f>IF(Tabla2[[#This Row],[Frecuencia]]="Annual", Tabla2[[#This Row],[Cosecha/Tarea]]/12,Tabla2[[#This Row],[Cosecha/Tarea]])</f>
        <v>47655</v>
      </c>
      <c r="F1154" s="2">
        <v>145489</v>
      </c>
      <c r="G1154" t="s">
        <v>18</v>
      </c>
      <c r="H1154">
        <f>F1154/Tabla2[[#This Row],[Cosecha Mensual]]</f>
        <v>3.0529640121708113</v>
      </c>
      <c r="I1154">
        <f>H1154*_xlfn.XLOOKUP(Tabla2[[#This Row],[Unidad de producción]],Tabla3[Medida],Tabla3[Equivalencia en Kg],"ELVIS",0)</f>
        <v>138.48244759206798</v>
      </c>
      <c r="J1154">
        <v>1161.5</v>
      </c>
      <c r="K1154" t="s">
        <v>19</v>
      </c>
      <c r="L1154">
        <f>J1154/_xlfn.XLOOKUP(Tabla2[[#This Row],[Unidad de precio]],Tabla3[Medida],Tabla3[Equivalencia en Kg],"ELVIS",0)</f>
        <v>10.559090909090909</v>
      </c>
      <c r="M1154">
        <v>6402.1671715266002</v>
      </c>
      <c r="N1154" s="2">
        <f>(Tabla2[[#This Row],[Productividad (kg/TAS)]]*Tabla2[[#This Row],[Precio por kg]]-Tabla2[[#This Row],[Costos (En RD$/Tarea)]])</f>
        <v>-4939.9184180885368</v>
      </c>
      <c r="O1154" s="6">
        <f>IF(Tabla2[[#This Row],[Costos (En RD$/Tarea)]]=0,0,Tabla2[[#This Row],[Beneficio Neto  (En RD$/Tarea)]]/Tabla2[[#This Row],[Costos (En RD$/Tarea)]])</f>
        <v>-0.77160097287972107</v>
      </c>
      <c r="P1154" s="4">
        <f>Tabla2[[#This Row],[Rentabilidad (%)]]/12</f>
        <v>-6.4300081073310089E-2</v>
      </c>
    </row>
    <row r="1155" spans="1:16" x14ac:dyDescent="0.35">
      <c r="A1155" s="1">
        <v>39448</v>
      </c>
      <c r="B1155" t="s">
        <v>20</v>
      </c>
      <c r="C1155" s="2">
        <v>31802</v>
      </c>
      <c r="D1155" s="5" t="s">
        <v>17</v>
      </c>
      <c r="E1155" s="2">
        <f>IF(Tabla2[[#This Row],[Frecuencia]]="Annual", Tabla2[[#This Row],[Cosecha/Tarea]]/12,Tabla2[[#This Row],[Cosecha/Tarea]])</f>
        <v>31802</v>
      </c>
      <c r="F1155" s="2">
        <v>42577</v>
      </c>
      <c r="G1155" t="s">
        <v>18</v>
      </c>
      <c r="H1155">
        <f>F1155/Tabla2[[#This Row],[Cosecha Mensual]]</f>
        <v>1.3388151688573047</v>
      </c>
      <c r="I1155">
        <f>H1155*_xlfn.XLOOKUP(Tabla2[[#This Row],[Unidad de producción]],Tabla3[Medida],Tabla3[Equivalencia en Kg],"ELVIS",0)</f>
        <v>60.728656059367339</v>
      </c>
      <c r="J1155">
        <v>495.90037142857102</v>
      </c>
      <c r="K1155" t="s">
        <v>18</v>
      </c>
      <c r="L1155">
        <f>J1155/_xlfn.XLOOKUP(Tabla2[[#This Row],[Unidad de precio]],Tabla3[Medida],Tabla3[Equivalencia en Kg],"ELVIS",0)</f>
        <v>10.932547871000244</v>
      </c>
      <c r="M1155">
        <v>1490.9040199825199</v>
      </c>
      <c r="N1155" s="2">
        <f>(Tabla2[[#This Row],[Productividad (kg/TAS)]]*Tabla2[[#This Row],[Precio por kg]]-Tabla2[[#This Row],[Costos (En RD$/Tarea)]])</f>
        <v>-826.98508047197743</v>
      </c>
      <c r="O1155" s="6">
        <f>IF(Tabla2[[#This Row],[Costos (En RD$/Tarea)]]=0,0,Tabla2[[#This Row],[Beneficio Neto  (En RD$/Tarea)]]/Tabla2[[#This Row],[Costos (En RD$/Tarea)]])</f>
        <v>-0.55468700156947282</v>
      </c>
      <c r="P1155" s="4">
        <f>Tabla2[[#This Row],[Rentabilidad (%)]]/12</f>
        <v>-4.622391679745607E-2</v>
      </c>
    </row>
    <row r="1156" spans="1:16" x14ac:dyDescent="0.35">
      <c r="A1156" s="1">
        <v>39448</v>
      </c>
      <c r="B1156" t="s">
        <v>21</v>
      </c>
      <c r="C1156" s="2">
        <v>3507</v>
      </c>
      <c r="D1156" s="5" t="s">
        <v>17</v>
      </c>
      <c r="E1156" s="2">
        <f>IF(Tabla2[[#This Row],[Frecuencia]]="Annual", Tabla2[[#This Row],[Cosecha/Tarea]]/12,Tabla2[[#This Row],[Cosecha/Tarea]])</f>
        <v>3507</v>
      </c>
      <c r="F1156" s="2">
        <v>26961</v>
      </c>
      <c r="G1156" t="s">
        <v>18</v>
      </c>
      <c r="H1156">
        <f>F1156/Tabla2[[#This Row],[Cosecha Mensual]]</f>
        <v>7.6877673224978613</v>
      </c>
      <c r="I1156">
        <f>H1156*_xlfn.XLOOKUP(Tabla2[[#This Row],[Unidad de producción]],Tabla3[Medida],Tabla3[Equivalencia en Kg],"ELVIS",0)</f>
        <v>348.71712574850301</v>
      </c>
      <c r="J1156">
        <v>586.54999999999995</v>
      </c>
      <c r="K1156" t="s">
        <v>18</v>
      </c>
      <c r="L1156">
        <f>J1156/_xlfn.XLOOKUP(Tabla2[[#This Row],[Unidad de precio]],Tabla3[Medida],Tabla3[Equivalencia en Kg],"ELVIS",0)</f>
        <v>12.930996472663139</v>
      </c>
      <c r="M1156">
        <v>3935.0401959000001</v>
      </c>
      <c r="N1156" s="2">
        <f>(Tabla2[[#This Row],[Productividad (kg/TAS)]]*Tabla2[[#This Row],[Precio por kg]]-Tabla2[[#This Row],[Costos (En RD$/Tarea)]])</f>
        <v>574.21972711112085</v>
      </c>
      <c r="O1156" s="6">
        <f>IF(Tabla2[[#This Row],[Costos (En RD$/Tarea)]]=0,0,Tabla2[[#This Row],[Beneficio Neto  (En RD$/Tarea)]]/Tabla2[[#This Row],[Costos (En RD$/Tarea)]])</f>
        <v>0.14592474244847925</v>
      </c>
      <c r="P1156" s="4">
        <f>Tabla2[[#This Row],[Rentabilidad (%)]]/12</f>
        <v>1.2160395204039937E-2</v>
      </c>
    </row>
    <row r="1157" spans="1:16" x14ac:dyDescent="0.35">
      <c r="A1157" s="1">
        <v>39448</v>
      </c>
      <c r="B1157" t="s">
        <v>22</v>
      </c>
      <c r="C1157" s="2">
        <v>6343</v>
      </c>
      <c r="D1157" s="5" t="s">
        <v>17</v>
      </c>
      <c r="E1157" s="2">
        <f>IF(Tabla2[[#This Row],[Frecuencia]]="Annual", Tabla2[[#This Row],[Cosecha/Tarea]]/12,Tabla2[[#This Row],[Cosecha/Tarea]])</f>
        <v>6343</v>
      </c>
      <c r="F1157" s="2">
        <v>60598</v>
      </c>
      <c r="G1157" t="s">
        <v>18</v>
      </c>
      <c r="H1157">
        <f>F1157/Tabla2[[#This Row],[Cosecha Mensual]]</f>
        <v>9.5535235692889806</v>
      </c>
      <c r="I1157">
        <f>H1157*_xlfn.XLOOKUP(Tabla2[[#This Row],[Unidad de producción]],Tabla3[Medida],Tabla3[Equivalencia en Kg],"ELVIS",0)</f>
        <v>433.34782910294814</v>
      </c>
      <c r="J1157">
        <v>934.01333333333298</v>
      </c>
      <c r="K1157" t="s">
        <v>18</v>
      </c>
      <c r="L1157">
        <f>J1157/_xlfn.XLOOKUP(Tabla2[[#This Row],[Unidad de precio]],Tabla3[Medida],Tabla3[Equivalencia en Kg],"ELVIS",0)</f>
        <v>20.591122868900641</v>
      </c>
      <c r="M1157">
        <v>6901.0735717535999</v>
      </c>
      <c r="N1157" s="2">
        <f>(Tabla2[[#This Row],[Productividad (kg/TAS)]]*Tabla2[[#This Row],[Precio por kg]]-Tabla2[[#This Row],[Costos (En RD$/Tarea)]])</f>
        <v>2022.0448222765617</v>
      </c>
      <c r="O1157" s="6">
        <f>IF(Tabla2[[#This Row],[Costos (En RD$/Tarea)]]=0,0,Tabla2[[#This Row],[Beneficio Neto  (En RD$/Tarea)]]/Tabla2[[#This Row],[Costos (En RD$/Tarea)]])</f>
        <v>0.29300438565861414</v>
      </c>
      <c r="P1157" s="4">
        <f>Tabla2[[#This Row],[Rentabilidad (%)]]/12</f>
        <v>2.4417032138217845E-2</v>
      </c>
    </row>
    <row r="1158" spans="1:16" x14ac:dyDescent="0.35">
      <c r="A1158" s="1">
        <v>39448</v>
      </c>
      <c r="B1158" t="s">
        <v>23</v>
      </c>
      <c r="C1158" s="2">
        <v>1600</v>
      </c>
      <c r="D1158" s="5" t="s">
        <v>17</v>
      </c>
      <c r="E1158" s="2">
        <f>IF(Tabla2[[#This Row],[Frecuencia]]="Annual", Tabla2[[#This Row],[Cosecha/Tarea]]/12,Tabla2[[#This Row],[Cosecha/Tarea]])</f>
        <v>1600</v>
      </c>
      <c r="F1158" s="2">
        <v>65315</v>
      </c>
      <c r="G1158" t="s">
        <v>18</v>
      </c>
      <c r="H1158">
        <f>F1158/Tabla2[[#This Row],[Cosecha Mensual]]</f>
        <v>40.821874999999999</v>
      </c>
      <c r="I1158">
        <f>H1158*_xlfn.XLOOKUP(Tabla2[[#This Row],[Unidad de producción]],Tabla3[Medida],Tabla3[Equivalencia en Kg],"ELVIS",0)</f>
        <v>1851.6802499999999</v>
      </c>
      <c r="J1158">
        <v>1089.3333333333301</v>
      </c>
      <c r="K1158" t="s">
        <v>18</v>
      </c>
      <c r="L1158">
        <f>J1158/_xlfn.XLOOKUP(Tabla2[[#This Row],[Unidad de precio]],Tabla3[Medida],Tabla3[Equivalencia en Kg],"ELVIS",0)</f>
        <v>24.015285126396165</v>
      </c>
      <c r="M1158">
        <v>17874.25</v>
      </c>
      <c r="N1158" s="2">
        <f>(Tabla2[[#This Row],[Productividad (kg/TAS)]]*Tabla2[[#This Row],[Precio por kg]]-Tabla2[[#This Row],[Costos (En RD$/Tarea)]])</f>
        <v>26594.379166666527</v>
      </c>
      <c r="O1158" s="6">
        <f>IF(Tabla2[[#This Row],[Costos (En RD$/Tarea)]]=0,0,Tabla2[[#This Row],[Beneficio Neto  (En RD$/Tarea)]]/Tabla2[[#This Row],[Costos (En RD$/Tarea)]])</f>
        <v>1.4878598635840121</v>
      </c>
      <c r="P1158" s="4">
        <f>Tabla2[[#This Row],[Rentabilidad (%)]]/12</f>
        <v>0.12398832196533434</v>
      </c>
    </row>
    <row r="1159" spans="1:16" x14ac:dyDescent="0.35">
      <c r="A1159" s="1">
        <v>39448</v>
      </c>
      <c r="B1159" t="s">
        <v>24</v>
      </c>
      <c r="C1159" s="2">
        <v>6490</v>
      </c>
      <c r="D1159" s="5" t="s">
        <v>17</v>
      </c>
      <c r="E1159" s="2">
        <f>IF(Tabla2[[#This Row],[Frecuencia]]="Annual", Tabla2[[#This Row],[Cosecha/Tarea]]/12,Tabla2[[#This Row],[Cosecha/Tarea]])</f>
        <v>6490</v>
      </c>
      <c r="F1159" s="2">
        <v>58448</v>
      </c>
      <c r="G1159" t="s">
        <v>18</v>
      </c>
      <c r="H1159">
        <f>F1159/Tabla2[[#This Row],[Cosecha Mensual]]</f>
        <v>9.0058551617873643</v>
      </c>
      <c r="I1159">
        <f>H1159*_xlfn.XLOOKUP(Tabla2[[#This Row],[Unidad de producción]],Tabla3[Medida],Tabla3[Equivalencia en Kg],"ELVIS",0)</f>
        <v>408.50559013867485</v>
      </c>
      <c r="J1159">
        <v>1085.4000000000001</v>
      </c>
      <c r="K1159" t="s">
        <v>18</v>
      </c>
      <c r="L1159">
        <f>J1159/_xlfn.XLOOKUP(Tabla2[[#This Row],[Unidad de precio]],Tabla3[Medida],Tabla3[Equivalencia en Kg],"ELVIS",0)</f>
        <v>23.928571428571431</v>
      </c>
      <c r="M1159">
        <v>5602.3420621674204</v>
      </c>
      <c r="N1159" s="2">
        <f>(Tabla2[[#This Row],[Productividad (kg/TAS)]]*Tabla2[[#This Row],[Precio por kg]]-Tabla2[[#This Row],[Costos (En RD$/Tarea)]])</f>
        <v>4172.6131304365854</v>
      </c>
      <c r="O1159" s="6">
        <f>IF(Tabla2[[#This Row],[Costos (En RD$/Tarea)]]=0,0,Tabla2[[#This Row],[Beneficio Neto  (En RD$/Tarea)]]/Tabla2[[#This Row],[Costos (En RD$/Tarea)]])</f>
        <v>0.74479799414859271</v>
      </c>
      <c r="P1159" s="4">
        <f>Tabla2[[#This Row],[Rentabilidad (%)]]/12</f>
        <v>6.2066499512382724E-2</v>
      </c>
    </row>
    <row r="1160" spans="1:16" x14ac:dyDescent="0.35">
      <c r="A1160" s="1">
        <v>39448</v>
      </c>
      <c r="B1160" t="s">
        <v>25</v>
      </c>
      <c r="C1160" s="2">
        <v>18988</v>
      </c>
      <c r="D1160" s="5" t="s">
        <v>17</v>
      </c>
      <c r="E1160" s="2">
        <f>IF(Tabla2[[#This Row],[Frecuencia]]="Annual", Tabla2[[#This Row],[Cosecha/Tarea]]/12,Tabla2[[#This Row],[Cosecha/Tarea]])</f>
        <v>18988</v>
      </c>
      <c r="F1160" s="2">
        <v>194452</v>
      </c>
      <c r="G1160" t="s">
        <v>18</v>
      </c>
      <c r="H1160">
        <f>F1160/Tabla2[[#This Row],[Cosecha Mensual]]</f>
        <v>10.240783652833368</v>
      </c>
      <c r="I1160">
        <f>H1160*_xlfn.XLOOKUP(Tabla2[[#This Row],[Unidad de producción]],Tabla3[Medida],Tabla3[Equivalencia en Kg],"ELVIS",0)</f>
        <v>464.52194649252158</v>
      </c>
      <c r="J1160">
        <v>459.19791666666703</v>
      </c>
      <c r="K1160" t="s">
        <v>18</v>
      </c>
      <c r="L1160">
        <f>J1160/_xlfn.XLOOKUP(Tabla2[[#This Row],[Unidad de precio]],Tabla3[Medida],Tabla3[Equivalencia en Kg],"ELVIS",0)</f>
        <v>10.123410861258092</v>
      </c>
      <c r="M1160">
        <v>3201.64901153456</v>
      </c>
      <c r="N1160" s="2">
        <f>(Tabla2[[#This Row],[Productividad (kg/TAS)]]*Tabla2[[#This Row],[Precio por kg]]-Tabla2[[#This Row],[Costos (En RD$/Tarea)]])</f>
        <v>1500.8975068805835</v>
      </c>
      <c r="O1160" s="6">
        <f>IF(Tabla2[[#This Row],[Costos (En RD$/Tarea)]]=0,0,Tabla2[[#This Row],[Beneficio Neto  (En RD$/Tarea)]]/Tabla2[[#This Row],[Costos (En RD$/Tarea)]])</f>
        <v>0.46878889643221661</v>
      </c>
      <c r="P1160" s="4">
        <f>Tabla2[[#This Row],[Rentabilidad (%)]]/12</f>
        <v>3.9065741369351384E-2</v>
      </c>
    </row>
    <row r="1161" spans="1:16" x14ac:dyDescent="0.35">
      <c r="A1161" s="1">
        <v>39448</v>
      </c>
      <c r="B1161" t="s">
        <v>26</v>
      </c>
      <c r="C1161" s="2">
        <v>13264</v>
      </c>
      <c r="D1161" s="5" t="s">
        <v>17</v>
      </c>
      <c r="E1161" s="2">
        <f>IF(Tabla2[[#This Row],[Frecuencia]]="Annual", Tabla2[[#This Row],[Cosecha/Tarea]]/12,Tabla2[[#This Row],[Cosecha/Tarea]])</f>
        <v>13264</v>
      </c>
      <c r="F1161" s="2">
        <v>68295</v>
      </c>
      <c r="G1161" t="s">
        <v>18</v>
      </c>
      <c r="H1161">
        <f>F1161/Tabla2[[#This Row],[Cosecha Mensual]]</f>
        <v>5.1488992762364294</v>
      </c>
      <c r="I1161">
        <f>H1161*_xlfn.XLOOKUP(Tabla2[[#This Row],[Unidad de producción]],Tabla3[Medida],Tabla3[Equivalencia en Kg],"ELVIS",0)</f>
        <v>233.55407117008443</v>
      </c>
      <c r="J1161">
        <v>941.6</v>
      </c>
      <c r="K1161" t="s">
        <v>18</v>
      </c>
      <c r="L1161">
        <f>J1161/_xlfn.XLOOKUP(Tabla2[[#This Row],[Unidad de precio]],Tabla3[Medida],Tabla3[Equivalencia en Kg],"ELVIS",0)</f>
        <v>20.758377425044092</v>
      </c>
      <c r="M1161">
        <v>1294.9257376989401</v>
      </c>
      <c r="N1161" s="2">
        <f>(Tabla2[[#This Row],[Productividad (kg/TAS)]]*Tabla2[[#This Row],[Precio por kg]]-Tabla2[[#This Row],[Costos (En RD$/Tarea)]])</f>
        <v>3553.2778208052814</v>
      </c>
      <c r="O1161" s="6">
        <f>IF(Tabla2[[#This Row],[Costos (En RD$/Tarea)]]=0,0,Tabla2[[#This Row],[Beneficio Neto  (En RD$/Tarea)]]/Tabla2[[#This Row],[Costos (En RD$/Tarea)]])</f>
        <v>2.7440012329350969</v>
      </c>
      <c r="P1161" s="4">
        <f>Tabla2[[#This Row],[Rentabilidad (%)]]/12</f>
        <v>0.22866676941125808</v>
      </c>
    </row>
    <row r="1162" spans="1:16" x14ac:dyDescent="0.35">
      <c r="A1162" s="1">
        <v>39448</v>
      </c>
      <c r="B1162" t="s">
        <v>27</v>
      </c>
      <c r="C1162" s="2">
        <v>4667</v>
      </c>
      <c r="D1162" s="5" t="s">
        <v>17</v>
      </c>
      <c r="E1162" s="2">
        <f>IF(Tabla2[[#This Row],[Frecuencia]]="Annual", Tabla2[[#This Row],[Cosecha/Tarea]]/12,Tabla2[[#This Row],[Cosecha/Tarea]])</f>
        <v>4667</v>
      </c>
      <c r="F1162" s="2">
        <v>35085</v>
      </c>
      <c r="G1162" t="s">
        <v>18</v>
      </c>
      <c r="H1162">
        <f>F1162/Tabla2[[#This Row],[Cosecha Mensual]]</f>
        <v>7.5176773087636599</v>
      </c>
      <c r="I1162">
        <f>H1162*_xlfn.XLOOKUP(Tabla2[[#This Row],[Unidad de producción]],Tabla3[Medida],Tabla3[Equivalencia en Kg],"ELVIS",0)</f>
        <v>341.00184272551962</v>
      </c>
      <c r="J1162">
        <v>448.2765</v>
      </c>
      <c r="K1162" t="s">
        <v>18</v>
      </c>
      <c r="L1162">
        <f>J1162/_xlfn.XLOOKUP(Tabla2[[#This Row],[Unidad de precio]],Tabla3[Medida],Tabla3[Equivalencia en Kg],"ELVIS",0)</f>
        <v>9.8826388888888896</v>
      </c>
      <c r="M1162">
        <v>5429.7257056660201</v>
      </c>
      <c r="N1162" s="2">
        <f>(Tabla2[[#This Row],[Productividad (kg/TAS)]]*Tabla2[[#This Row],[Precio por kg]]-Tabla2[[#This Row],[Costos (En RD$/Tarea)]])</f>
        <v>-2059.7276335640267</v>
      </c>
      <c r="O1162" s="6">
        <f>IF(Tabla2[[#This Row],[Costos (En RD$/Tarea)]]=0,0,Tabla2[[#This Row],[Beneficio Neto  (En RD$/Tarea)]]/Tabla2[[#This Row],[Costos (En RD$/Tarea)]])</f>
        <v>-0.37934285177880395</v>
      </c>
      <c r="P1162" s="4">
        <f>Tabla2[[#This Row],[Rentabilidad (%)]]/12</f>
        <v>-3.1611904314900331E-2</v>
      </c>
    </row>
    <row r="1163" spans="1:16" x14ac:dyDescent="0.35">
      <c r="A1163" s="1">
        <v>39448</v>
      </c>
      <c r="B1163" t="s">
        <v>28</v>
      </c>
      <c r="C1163" s="2">
        <v>17161</v>
      </c>
      <c r="D1163" s="5" t="s">
        <v>17</v>
      </c>
      <c r="E1163" s="2">
        <f>IF(Tabla2[[#This Row],[Frecuencia]]="Annual", Tabla2[[#This Row],[Cosecha/Tarea]]/12,Tabla2[[#This Row],[Cosecha/Tarea]])</f>
        <v>17161</v>
      </c>
      <c r="F1163" s="2">
        <v>5713</v>
      </c>
      <c r="G1163" t="s">
        <v>29</v>
      </c>
      <c r="H1163">
        <f>F1163/Tabla2[[#This Row],[Cosecha Mensual]]</f>
        <v>0.33290600780840279</v>
      </c>
      <c r="I1163">
        <f>H1163*_xlfn.XLOOKUP(Tabla2[[#This Row],[Unidad de producción]],Tabla3[Medida],Tabla3[Equivalencia en Kg],"ELVIS",0)</f>
        <v>187.20636443097723</v>
      </c>
      <c r="J1163">
        <v>6565.4285714285697</v>
      </c>
      <c r="K1163" t="s">
        <v>29</v>
      </c>
      <c r="L1163">
        <f>J1163/_xlfn.XLOOKUP(Tabla2[[#This Row],[Unidad de precio]],Tabla3[Medida],Tabla3[Equivalencia en Kg],"ELVIS",0)</f>
        <v>11.675193959932727</v>
      </c>
      <c r="M1163">
        <v>4903.3716657183304</v>
      </c>
      <c r="N1163" s="2">
        <f>(Tabla2[[#This Row],[Productividad (kg/TAS)]]*Tabla2[[#This Row],[Precio por kg]]-Tabla2[[#This Row],[Costos (En RD$/Tarea)]])</f>
        <v>-2717.7010504528203</v>
      </c>
      <c r="O1163" s="6">
        <f>IF(Tabla2[[#This Row],[Costos (En RD$/Tarea)]]=0,0,Tabla2[[#This Row],[Beneficio Neto  (En RD$/Tarea)]]/Tabla2[[#This Row],[Costos (En RD$/Tarea)]])</f>
        <v>-0.55425148973582539</v>
      </c>
      <c r="P1163" s="4">
        <f>Tabla2[[#This Row],[Rentabilidad (%)]]/12</f>
        <v>-4.6187624144652113E-2</v>
      </c>
    </row>
    <row r="1164" spans="1:16" x14ac:dyDescent="0.35">
      <c r="A1164" s="1">
        <v>39448</v>
      </c>
      <c r="B1164" t="s">
        <v>30</v>
      </c>
      <c r="C1164" s="2">
        <v>301502</v>
      </c>
      <c r="D1164" s="2" t="s">
        <v>31</v>
      </c>
      <c r="E1164" s="2">
        <f>IF(Tabla2[[#This Row],[Frecuencia]]="Annual", Tabla2[[#This Row],[Cosecha/Tarea]]/12,Tabla2[[#This Row],[Cosecha/Tarea]])</f>
        <v>25125.166666666668</v>
      </c>
      <c r="F1164" s="2">
        <v>1689888</v>
      </c>
      <c r="G1164" t="s">
        <v>32</v>
      </c>
      <c r="H1164">
        <f>F1164/Tabla2[[#This Row],[Cosecha Mensual]]</f>
        <v>67.258777719550778</v>
      </c>
      <c r="I1164">
        <f>H1164*_xlfn.XLOOKUP(Tabla2[[#This Row],[Unidad de producción]],Tabla3[Medida],Tabla3[Equivalencia en Kg],"ELVIS",0)</f>
        <v>1830.1113417489767</v>
      </c>
      <c r="J1164">
        <v>105.43</v>
      </c>
      <c r="K1164" t="s">
        <v>32</v>
      </c>
      <c r="L1164">
        <f>J1164/_xlfn.XLOOKUP(Tabla2[[#This Row],[Unidad de precio]],Tabla3[Medida],Tabla3[Equivalencia en Kg],"ELVIS",0)</f>
        <v>3.8746784270488792</v>
      </c>
      <c r="M1164" s="2">
        <v>8644.7793050524706</v>
      </c>
      <c r="N1164" s="2">
        <f>(Tabla2[[#This Row],[Productividad (kg/TAS)]]*Tabla2[[#This Row],[Precio por kg]]-Tabla2[[#This Row],[Costos (En RD$/Tarea)]])</f>
        <v>-1553.6863700802323</v>
      </c>
      <c r="O1164" s="6">
        <f>IF(Tabla2[[#This Row],[Costos (En RD$/Tarea)]]=0,0,Tabla2[[#This Row],[Beneficio Neto  (En RD$/Tarea)]]/Tabla2[[#This Row],[Costos (En RD$/Tarea)]])</f>
        <v>-0.17972539439753829</v>
      </c>
      <c r="P1164" s="4">
        <f>Tabla2[[#This Row],[Rentabilidad (%)]]/12</f>
        <v>-1.4977116199794858E-2</v>
      </c>
    </row>
    <row r="1165" spans="1:16" x14ac:dyDescent="0.35">
      <c r="A1165" s="1">
        <v>39448</v>
      </c>
      <c r="B1165" t="s">
        <v>33</v>
      </c>
      <c r="C1165" s="2">
        <v>585186</v>
      </c>
      <c r="D1165" s="2" t="s">
        <v>31</v>
      </c>
      <c r="E1165" s="8">
        <f>IF(Tabla2[[#This Row],[Frecuencia]]="Annual", Tabla2[[#This Row],[Cosecha/Tarea]]/12,Tabla2[[#This Row],[Cosecha/Tarea]])</f>
        <v>48765.5</v>
      </c>
      <c r="F1165" s="2">
        <v>92281</v>
      </c>
      <c r="G1165" t="s">
        <v>34</v>
      </c>
      <c r="H1165">
        <f>F1165/Tabla2[[#This Row],[Cosecha Mensual]]</f>
        <v>1.8923419220555515</v>
      </c>
      <c r="I1165">
        <f>H1165*_xlfn.XLOOKUP(Tabla2[[#This Row],[Unidad de producción]],Tabla3[Medida],Tabla3[Equivalencia en Kg],"ELVIS",0)</f>
        <v>772.3593554869733</v>
      </c>
      <c r="J1165">
        <v>5126.76</v>
      </c>
      <c r="K1165" t="s">
        <v>34</v>
      </c>
      <c r="L1165">
        <f>J1165/_xlfn.XLOOKUP(Tabla2[[#This Row],[Unidad de precio]],Tabla3[Medida],Tabla3[Equivalencia en Kg],"ELVIS",0)</f>
        <v>12.560970231532526</v>
      </c>
      <c r="M1165" s="2">
        <v>8418.1288680949201</v>
      </c>
      <c r="N1165" s="2">
        <f>(Tabla2[[#This Row],[Productividad (kg/TAS)]]*Tabla2[[#This Row],[Precio por kg]]-Tabla2[[#This Row],[Costos (En RD$/Tarea)]])</f>
        <v>1283.4540042225999</v>
      </c>
      <c r="O1165" s="6">
        <f>IF(Tabla2[[#This Row],[Costos (En RD$/Tarea)]]=0,0,Tabla2[[#This Row],[Beneficio Neto  (En RD$/Tarea)]]/Tabla2[[#This Row],[Costos (En RD$/Tarea)]])</f>
        <v>0.15246309771841901</v>
      </c>
      <c r="P1165" s="4">
        <f>Tabla2[[#This Row],[Rentabilidad (%)]]/12</f>
        <v>1.2705258143201585E-2</v>
      </c>
    </row>
    <row r="1166" spans="1:16" x14ac:dyDescent="0.35">
      <c r="A1166" s="1">
        <v>39479</v>
      </c>
      <c r="B1166" t="s">
        <v>16</v>
      </c>
      <c r="C1166" s="2">
        <v>16988</v>
      </c>
      <c r="D1166" s="5" t="s">
        <v>17</v>
      </c>
      <c r="E1166" s="2">
        <f>IF(Tabla2[[#This Row],[Frecuencia]]="Annual", Tabla2[[#This Row],[Cosecha/Tarea]]/12,Tabla2[[#This Row],[Cosecha/Tarea]])</f>
        <v>16988</v>
      </c>
      <c r="F1166" s="2">
        <v>44861</v>
      </c>
      <c r="G1166" t="s">
        <v>18</v>
      </c>
      <c r="H1166">
        <f>F1166/Tabla2[[#This Row],[Cosecha Mensual]]</f>
        <v>2.6407464092300446</v>
      </c>
      <c r="I1166">
        <f>H1166*_xlfn.XLOOKUP(Tabla2[[#This Row],[Unidad de producción]],Tabla3[Medida],Tabla3[Equivalencia en Kg],"ELVIS",0)</f>
        <v>119.78425712267482</v>
      </c>
      <c r="J1166">
        <v>1132.25</v>
      </c>
      <c r="K1166" t="s">
        <v>19</v>
      </c>
      <c r="L1166">
        <f>J1166/_xlfn.XLOOKUP(Tabla2[[#This Row],[Unidad de precio]],Tabla3[Medida],Tabla3[Equivalencia en Kg],"ELVIS",0)</f>
        <v>10.293181818181818</v>
      </c>
      <c r="M1166">
        <v>6402.1671715266002</v>
      </c>
      <c r="N1166" s="2">
        <f>(Tabla2[[#This Row],[Productividad (kg/TAS)]]*Tabla2[[#This Row],[Precio por kg]]-Tabla2[[#This Row],[Costos (En RD$/Tarea)]])</f>
        <v>-5169.2060340070675</v>
      </c>
      <c r="O1166" s="6">
        <f>IF(Tabla2[[#This Row],[Costos (En RD$/Tarea)]]=0,0,Tabla2[[#This Row],[Beneficio Neto  (En RD$/Tarea)]]/Tabla2[[#This Row],[Costos (En RD$/Tarea)]])</f>
        <v>-0.80741503548937599</v>
      </c>
      <c r="P1166" s="4">
        <f>Tabla2[[#This Row],[Rentabilidad (%)]]/12</f>
        <v>-6.7284586290781337E-2</v>
      </c>
    </row>
    <row r="1167" spans="1:16" x14ac:dyDescent="0.35">
      <c r="A1167" s="1">
        <v>39479</v>
      </c>
      <c r="B1167" t="s">
        <v>20</v>
      </c>
      <c r="C1167" s="2">
        <v>17597</v>
      </c>
      <c r="D1167" s="5" t="s">
        <v>17</v>
      </c>
      <c r="E1167" s="2">
        <f>IF(Tabla2[[#This Row],[Frecuencia]]="Annual", Tabla2[[#This Row],[Cosecha/Tarea]]/12,Tabla2[[#This Row],[Cosecha/Tarea]])</f>
        <v>17597</v>
      </c>
      <c r="F1167" s="2">
        <v>29949</v>
      </c>
      <c r="G1167" t="s">
        <v>18</v>
      </c>
      <c r="H1167">
        <f>F1167/Tabla2[[#This Row],[Cosecha Mensual]]</f>
        <v>1.701937830311985</v>
      </c>
      <c r="I1167">
        <f>H1167*_xlfn.XLOOKUP(Tabla2[[#This Row],[Unidad de producción]],Tabla3[Medida],Tabla3[Equivalencia en Kg],"ELVIS",0)</f>
        <v>77.199899982951635</v>
      </c>
      <c r="J1167">
        <v>498.541114285714</v>
      </c>
      <c r="K1167" t="s">
        <v>18</v>
      </c>
      <c r="L1167">
        <f>J1167/_xlfn.XLOOKUP(Tabla2[[#This Row],[Unidad de precio]],Tabla3[Medida],Tabla3[Equivalencia en Kg],"ELVIS",0)</f>
        <v>10.990765306122443</v>
      </c>
      <c r="M1167">
        <v>1490.9040199825199</v>
      </c>
      <c r="N1167" s="2">
        <f>(Tabla2[[#This Row],[Productividad (kg/TAS)]]*Tabla2[[#This Row],[Precio por kg]]-Tabla2[[#This Row],[Costos (En RD$/Tarea)]])</f>
        <v>-642.41803761377253</v>
      </c>
      <c r="O1167" s="6">
        <f>IF(Tabla2[[#This Row],[Costos (En RD$/Tarea)]]=0,0,Tabla2[[#This Row],[Beneficio Neto  (En RD$/Tarea)]]/Tabla2[[#This Row],[Costos (En RD$/Tarea)]])</f>
        <v>-0.43089161274198223</v>
      </c>
      <c r="P1167" s="4">
        <f>Tabla2[[#This Row],[Rentabilidad (%)]]/12</f>
        <v>-3.5907634395165186E-2</v>
      </c>
    </row>
    <row r="1168" spans="1:16" x14ac:dyDescent="0.35">
      <c r="A1168" s="1">
        <v>39479</v>
      </c>
      <c r="B1168" t="s">
        <v>21</v>
      </c>
      <c r="C1168" s="2">
        <v>4016</v>
      </c>
      <c r="D1168" s="5" t="s">
        <v>17</v>
      </c>
      <c r="E1168" s="2">
        <f>IF(Tabla2[[#This Row],[Frecuencia]]="Annual", Tabla2[[#This Row],[Cosecha/Tarea]]/12,Tabla2[[#This Row],[Cosecha/Tarea]])</f>
        <v>4016</v>
      </c>
      <c r="F1168" s="2">
        <v>35581</v>
      </c>
      <c r="G1168" t="s">
        <v>18</v>
      </c>
      <c r="H1168">
        <f>F1168/Tabla2[[#This Row],[Cosecha Mensual]]</f>
        <v>8.8598107569721112</v>
      </c>
      <c r="I1168">
        <f>H1168*_xlfn.XLOOKUP(Tabla2[[#This Row],[Unidad de producción]],Tabla3[Medida],Tabla3[Equivalencia en Kg],"ELVIS",0)</f>
        <v>401.88101593625498</v>
      </c>
      <c r="J1168">
        <v>771.97666666666703</v>
      </c>
      <c r="K1168" t="s">
        <v>18</v>
      </c>
      <c r="L1168">
        <f>J1168/_xlfn.XLOOKUP(Tabla2[[#This Row],[Unidad de precio]],Tabla3[Medida],Tabla3[Equivalencia en Kg],"ELVIS",0)</f>
        <v>17.018885949441515</v>
      </c>
      <c r="M1168">
        <v>3935.0401959000001</v>
      </c>
      <c r="N1168" s="2">
        <f>(Tabla2[[#This Row],[Productividad (kg/TAS)]]*Tabla2[[#This Row],[Precio por kg]]-Tabla2[[#This Row],[Costos (En RD$/Tarea)]])</f>
        <v>2904.526979564811</v>
      </c>
      <c r="O1168" s="6">
        <f>IF(Tabla2[[#This Row],[Costos (En RD$/Tarea)]]=0,0,Tabla2[[#This Row],[Beneficio Neto  (En RD$/Tarea)]]/Tabla2[[#This Row],[Costos (En RD$/Tarea)]])</f>
        <v>0.73811875736138544</v>
      </c>
      <c r="P1168" s="4">
        <f>Tabla2[[#This Row],[Rentabilidad (%)]]/12</f>
        <v>6.150989644678212E-2</v>
      </c>
    </row>
    <row r="1169" spans="1:16" x14ac:dyDescent="0.35">
      <c r="A1169" s="1">
        <v>39479</v>
      </c>
      <c r="B1169" t="s">
        <v>22</v>
      </c>
      <c r="C1169" s="2">
        <v>9040</v>
      </c>
      <c r="D1169" s="5" t="s">
        <v>17</v>
      </c>
      <c r="E1169" s="2">
        <f>IF(Tabla2[[#This Row],[Frecuencia]]="Annual", Tabla2[[#This Row],[Cosecha/Tarea]]/12,Tabla2[[#This Row],[Cosecha/Tarea]])</f>
        <v>9040</v>
      </c>
      <c r="F1169" s="2">
        <v>88296</v>
      </c>
      <c r="G1169" t="s">
        <v>18</v>
      </c>
      <c r="H1169">
        <f>F1169/Tabla2[[#This Row],[Cosecha Mensual]]</f>
        <v>9.767256637168142</v>
      </c>
      <c r="I1169">
        <f>H1169*_xlfn.XLOOKUP(Tabla2[[#This Row],[Unidad de producción]],Tabla3[Medida],Tabla3[Equivalencia en Kg],"ELVIS",0)</f>
        <v>443.04276106194692</v>
      </c>
      <c r="J1169">
        <v>907.9</v>
      </c>
      <c r="K1169" t="s">
        <v>18</v>
      </c>
      <c r="L1169">
        <f>J1169/_xlfn.XLOOKUP(Tabla2[[#This Row],[Unidad de precio]],Tabla3[Medida],Tabla3[Equivalencia en Kg],"ELVIS",0)</f>
        <v>20.01543209876543</v>
      </c>
      <c r="M1169">
        <v>6901.0735717535999</v>
      </c>
      <c r="N1169" s="2">
        <f>(Tabla2[[#This Row],[Productividad (kg/TAS)]]*Tabla2[[#This Row],[Precio por kg]]-Tabla2[[#This Row],[Costos (En RD$/Tarea)]])</f>
        <v>1966.6187291313554</v>
      </c>
      <c r="O1169" s="6">
        <f>IF(Tabla2[[#This Row],[Costos (En RD$/Tarea)]]=0,0,Tabla2[[#This Row],[Beneficio Neto  (En RD$/Tarea)]]/Tabla2[[#This Row],[Costos (En RD$/Tarea)]])</f>
        <v>0.28497286816080514</v>
      </c>
      <c r="P1169" s="4">
        <f>Tabla2[[#This Row],[Rentabilidad (%)]]/12</f>
        <v>2.3747739013400427E-2</v>
      </c>
    </row>
    <row r="1170" spans="1:16" x14ac:dyDescent="0.35">
      <c r="A1170" s="1">
        <v>39479</v>
      </c>
      <c r="B1170" t="s">
        <v>23</v>
      </c>
      <c r="C1170" s="2">
        <v>3442</v>
      </c>
      <c r="D1170" s="5" t="s">
        <v>17</v>
      </c>
      <c r="E1170" s="2">
        <f>IF(Tabla2[[#This Row],[Frecuencia]]="Annual", Tabla2[[#This Row],[Cosecha/Tarea]]/12,Tabla2[[#This Row],[Cosecha/Tarea]])</f>
        <v>3442</v>
      </c>
      <c r="F1170" s="2">
        <v>76995</v>
      </c>
      <c r="G1170" t="s">
        <v>18</v>
      </c>
      <c r="H1170">
        <f>F1170/Tabla2[[#This Row],[Cosecha Mensual]]</f>
        <v>22.369262056943636</v>
      </c>
      <c r="I1170">
        <f>H1170*_xlfn.XLOOKUP(Tabla2[[#This Row],[Unidad de producción]],Tabla3[Medida],Tabla3[Equivalencia en Kg],"ELVIS",0)</f>
        <v>1014.6697269029634</v>
      </c>
      <c r="J1170">
        <v>795</v>
      </c>
      <c r="K1170" t="s">
        <v>18</v>
      </c>
      <c r="L1170">
        <f>J1170/_xlfn.XLOOKUP(Tabla2[[#This Row],[Unidad de precio]],Tabla3[Medida],Tabla3[Equivalencia en Kg],"ELVIS",0)</f>
        <v>17.526455026455025</v>
      </c>
      <c r="M1170">
        <v>17874.25</v>
      </c>
      <c r="N1170" s="2">
        <f>(Tabla2[[#This Row],[Productividad (kg/TAS)]]*Tabla2[[#This Row],[Precio por kg]]-Tabla2[[#This Row],[Costos (En RD$/Tarea)]])</f>
        <v>-90.686664729808399</v>
      </c>
      <c r="O1170" s="6">
        <f>IF(Tabla2[[#This Row],[Costos (En RD$/Tarea)]]=0,0,Tabla2[[#This Row],[Beneficio Neto  (En RD$/Tarea)]]/Tabla2[[#This Row],[Costos (En RD$/Tarea)]])</f>
        <v>-5.073592723040597E-3</v>
      </c>
      <c r="P1170" s="4">
        <f>Tabla2[[#This Row],[Rentabilidad (%)]]/12</f>
        <v>-4.227993935867164E-4</v>
      </c>
    </row>
    <row r="1171" spans="1:16" x14ac:dyDescent="0.35">
      <c r="A1171" s="1">
        <v>39479</v>
      </c>
      <c r="B1171" t="s">
        <v>24</v>
      </c>
      <c r="C1171" s="2">
        <v>6681</v>
      </c>
      <c r="D1171" s="5" t="s">
        <v>17</v>
      </c>
      <c r="E1171" s="2">
        <f>IF(Tabla2[[#This Row],[Frecuencia]]="Annual", Tabla2[[#This Row],[Cosecha/Tarea]]/12,Tabla2[[#This Row],[Cosecha/Tarea]])</f>
        <v>6681</v>
      </c>
      <c r="F1171" s="2">
        <v>60628</v>
      </c>
      <c r="G1171" t="s">
        <v>18</v>
      </c>
      <c r="H1171">
        <f>F1171/Tabla2[[#This Row],[Cosecha Mensual]]</f>
        <v>9.0746894177518342</v>
      </c>
      <c r="I1171">
        <f>H1171*_xlfn.XLOOKUP(Tabla2[[#This Row],[Unidad de producción]],Tabla3[Medida],Tabla3[Equivalencia en Kg],"ELVIS",0)</f>
        <v>411.62791198922321</v>
      </c>
      <c r="J1171">
        <v>1024.25</v>
      </c>
      <c r="K1171" t="s">
        <v>18</v>
      </c>
      <c r="L1171">
        <f>J1171/_xlfn.XLOOKUP(Tabla2[[#This Row],[Unidad de precio]],Tabla3[Medida],Tabla3[Equivalencia en Kg],"ELVIS",0)</f>
        <v>22.580467372134038</v>
      </c>
      <c r="M1171">
        <v>5602.3420621674204</v>
      </c>
      <c r="N1171" s="2">
        <f>(Tabla2[[#This Row],[Productividad (kg/TAS)]]*Tabla2[[#This Row],[Precio por kg]]-Tabla2[[#This Row],[Costos (En RD$/Tarea)]])</f>
        <v>3692.4085739648954</v>
      </c>
      <c r="O1171" s="6">
        <f>IF(Tabla2[[#This Row],[Costos (En RD$/Tarea)]]=0,0,Tabla2[[#This Row],[Beneficio Neto  (En RD$/Tarea)]]/Tabla2[[#This Row],[Costos (En RD$/Tarea)]])</f>
        <v>0.6590830286675472</v>
      </c>
      <c r="P1171" s="4">
        <f>Tabla2[[#This Row],[Rentabilidad (%)]]/12</f>
        <v>5.4923585722295602E-2</v>
      </c>
    </row>
    <row r="1172" spans="1:16" x14ac:dyDescent="0.35">
      <c r="A1172" s="1">
        <v>39479</v>
      </c>
      <c r="B1172" t="s">
        <v>25</v>
      </c>
      <c r="C1172" s="2">
        <v>23574</v>
      </c>
      <c r="D1172" s="5" t="s">
        <v>17</v>
      </c>
      <c r="E1172" s="2">
        <f>IF(Tabla2[[#This Row],[Frecuencia]]="Annual", Tabla2[[#This Row],[Cosecha/Tarea]]/12,Tabla2[[#This Row],[Cosecha/Tarea]])</f>
        <v>23574</v>
      </c>
      <c r="F1172" s="2">
        <v>243053</v>
      </c>
      <c r="G1172" t="s">
        <v>18</v>
      </c>
      <c r="H1172">
        <f>F1172/Tabla2[[#This Row],[Cosecha Mensual]]</f>
        <v>10.310214643251038</v>
      </c>
      <c r="I1172">
        <f>H1172*_xlfn.XLOOKUP(Tabla2[[#This Row],[Unidad de producción]],Tabla3[Medida],Tabla3[Equivalencia en Kg],"ELVIS",0)</f>
        <v>467.67133621786712</v>
      </c>
      <c r="J1172">
        <v>791.25714285714298</v>
      </c>
      <c r="K1172" t="s">
        <v>18</v>
      </c>
      <c r="L1172">
        <f>J1172/_xlfn.XLOOKUP(Tabla2[[#This Row],[Unidad de precio]],Tabla3[Medida],Tabla3[Equivalencia en Kg],"ELVIS",0)</f>
        <v>17.443940539178637</v>
      </c>
      <c r="M1172">
        <v>3201.64901153456</v>
      </c>
      <c r="N1172" s="2">
        <f>(Tabla2[[#This Row],[Productividad (kg/TAS)]]*Tabla2[[#This Row],[Precio por kg]]-Tabla2[[#This Row],[Costos (En RD$/Tarea)]])</f>
        <v>4956.3819693281348</v>
      </c>
      <c r="O1172" s="6">
        <f>IF(Tabla2[[#This Row],[Costos (En RD$/Tarea)]]=0,0,Tabla2[[#This Row],[Beneficio Neto  (En RD$/Tarea)]]/Tabla2[[#This Row],[Costos (En RD$/Tarea)]])</f>
        <v>1.5480716191786825</v>
      </c>
      <c r="P1172" s="4">
        <f>Tabla2[[#This Row],[Rentabilidad (%)]]/12</f>
        <v>0.12900596826489022</v>
      </c>
    </row>
    <row r="1173" spans="1:16" x14ac:dyDescent="0.35">
      <c r="A1173" s="1">
        <v>39479</v>
      </c>
      <c r="B1173" t="s">
        <v>26</v>
      </c>
      <c r="C1173" s="2">
        <v>16599</v>
      </c>
      <c r="D1173" s="5" t="s">
        <v>17</v>
      </c>
      <c r="E1173" s="2">
        <f>IF(Tabla2[[#This Row],[Frecuencia]]="Annual", Tabla2[[#This Row],[Cosecha/Tarea]]/12,Tabla2[[#This Row],[Cosecha/Tarea]])</f>
        <v>16599</v>
      </c>
      <c r="F1173" s="2">
        <v>107207</v>
      </c>
      <c r="G1173" t="s">
        <v>18</v>
      </c>
      <c r="H1173">
        <f>F1173/Tabla2[[#This Row],[Cosecha Mensual]]</f>
        <v>6.458642086872703</v>
      </c>
      <c r="I1173">
        <f>H1173*_xlfn.XLOOKUP(Tabla2[[#This Row],[Unidad de producción]],Tabla3[Medida],Tabla3[Equivalencia en Kg],"ELVIS",0)</f>
        <v>292.96400506054579</v>
      </c>
      <c r="J1173">
        <v>682.65499999999997</v>
      </c>
      <c r="K1173" t="s">
        <v>18</v>
      </c>
      <c r="L1173">
        <f>J1173/_xlfn.XLOOKUP(Tabla2[[#This Row],[Unidad de precio]],Tabla3[Medida],Tabla3[Equivalencia en Kg],"ELVIS",0)</f>
        <v>15.04971340388007</v>
      </c>
      <c r="M1173">
        <v>1294.9257376989401</v>
      </c>
      <c r="N1173" s="2">
        <f>(Tabla2[[#This Row],[Productividad (kg/TAS)]]*Tabla2[[#This Row],[Precio por kg]]-Tabla2[[#This Row],[Costos (En RD$/Tarea)]])</f>
        <v>3114.0985761151442</v>
      </c>
      <c r="O1173" s="6">
        <f>IF(Tabla2[[#This Row],[Costos (En RD$/Tarea)]]=0,0,Tabla2[[#This Row],[Beneficio Neto  (En RD$/Tarea)]]/Tabla2[[#This Row],[Costos (En RD$/Tarea)]])</f>
        <v>2.4048472321268721</v>
      </c>
      <c r="P1173" s="4">
        <f>Tabla2[[#This Row],[Rentabilidad (%)]]/12</f>
        <v>0.20040393601057269</v>
      </c>
    </row>
    <row r="1174" spans="1:16" x14ac:dyDescent="0.35">
      <c r="A1174" s="1">
        <v>39479</v>
      </c>
      <c r="B1174" t="s">
        <v>27</v>
      </c>
      <c r="C1174" s="2">
        <v>4778</v>
      </c>
      <c r="D1174" s="5" t="s">
        <v>17</v>
      </c>
      <c r="E1174" s="2">
        <f>IF(Tabla2[[#This Row],[Frecuencia]]="Annual", Tabla2[[#This Row],[Cosecha/Tarea]]/12,Tabla2[[#This Row],[Cosecha/Tarea]])</f>
        <v>4778</v>
      </c>
      <c r="F1174" s="2">
        <v>37777</v>
      </c>
      <c r="G1174" t="s">
        <v>18</v>
      </c>
      <c r="H1174">
        <f>F1174/Tabla2[[#This Row],[Cosecha Mensual]]</f>
        <v>7.9064462118041021</v>
      </c>
      <c r="I1174">
        <f>H1174*_xlfn.XLOOKUP(Tabla2[[#This Row],[Unidad de producción]],Tabla3[Medida],Tabla3[Equivalencia en Kg],"ELVIS",0)</f>
        <v>358.63640016743409</v>
      </c>
      <c r="J1174">
        <v>430.7328</v>
      </c>
      <c r="K1174" t="s">
        <v>18</v>
      </c>
      <c r="L1174">
        <f>J1174/_xlfn.XLOOKUP(Tabla2[[#This Row],[Unidad de precio]],Tabla3[Medida],Tabla3[Equivalencia en Kg],"ELVIS",0)</f>
        <v>9.4958730158730162</v>
      </c>
      <c r="M1174">
        <v>5429.7257056660201</v>
      </c>
      <c r="N1174" s="2">
        <f>(Tabla2[[#This Row],[Productividad (kg/TAS)]]*Tabla2[[#This Row],[Precio por kg]]-Tabla2[[#This Row],[Costos (En RD$/Tarea)]])</f>
        <v>-2024.1599908062458</v>
      </c>
      <c r="O1174" s="6">
        <f>IF(Tabla2[[#This Row],[Costos (En RD$/Tarea)]]=0,0,Tabla2[[#This Row],[Beneficio Neto  (En RD$/Tarea)]]/Tabla2[[#This Row],[Costos (En RD$/Tarea)]])</f>
        <v>-0.37279231042813027</v>
      </c>
      <c r="P1174" s="4">
        <f>Tabla2[[#This Row],[Rentabilidad (%)]]/12</f>
        <v>-3.1066025869010857E-2</v>
      </c>
    </row>
    <row r="1175" spans="1:16" x14ac:dyDescent="0.35">
      <c r="A1175" s="1">
        <v>39479</v>
      </c>
      <c r="B1175" t="s">
        <v>28</v>
      </c>
      <c r="C1175" s="2">
        <v>5684</v>
      </c>
      <c r="D1175" s="5" t="s">
        <v>17</v>
      </c>
      <c r="E1175" s="2">
        <f>IF(Tabla2[[#This Row],[Frecuencia]]="Annual", Tabla2[[#This Row],[Cosecha/Tarea]]/12,Tabla2[[#This Row],[Cosecha/Tarea]])</f>
        <v>5684</v>
      </c>
      <c r="F1175" s="2">
        <v>5791</v>
      </c>
      <c r="G1175" t="s">
        <v>29</v>
      </c>
      <c r="H1175">
        <f>F1175/Tabla2[[#This Row],[Cosecha Mensual]]</f>
        <v>1.0188247712878256</v>
      </c>
      <c r="I1175">
        <f>H1175*_xlfn.XLOOKUP(Tabla2[[#This Row],[Unidad de producción]],Tabla3[Medida],Tabla3[Equivalencia en Kg],"ELVIS",0)</f>
        <v>572.92592188599588</v>
      </c>
      <c r="J1175">
        <v>6185.5</v>
      </c>
      <c r="K1175" t="s">
        <v>29</v>
      </c>
      <c r="L1175">
        <f>J1175/_xlfn.XLOOKUP(Tabla2[[#This Row],[Unidad de precio]],Tabla3[Medida],Tabla3[Equivalencia en Kg],"ELVIS",0)</f>
        <v>10.999573211935839</v>
      </c>
      <c r="M1175">
        <v>4903.3716657183304</v>
      </c>
      <c r="N1175" s="2">
        <f>(Tabla2[[#This Row],[Productividad (kg/TAS)]]*Tabla2[[#This Row],[Precio por kg]]-Tabla2[[#This Row],[Costos (En RD$/Tarea)]])</f>
        <v>1398.5689570825152</v>
      </c>
      <c r="O1175" s="6">
        <f>IF(Tabla2[[#This Row],[Costos (En RD$/Tarea)]]=0,0,Tabla2[[#This Row],[Beneficio Neto  (En RD$/Tarea)]]/Tabla2[[#This Row],[Costos (En RD$/Tarea)]])</f>
        <v>0.28522597356030299</v>
      </c>
      <c r="P1175" s="4">
        <f>Tabla2[[#This Row],[Rentabilidad (%)]]/12</f>
        <v>2.3768831130025248E-2</v>
      </c>
    </row>
    <row r="1176" spans="1:16" x14ac:dyDescent="0.35">
      <c r="A1176" s="1">
        <v>39479</v>
      </c>
      <c r="B1176" t="s">
        <v>30</v>
      </c>
      <c r="C1176" s="2">
        <v>256704</v>
      </c>
      <c r="D1176" s="2" t="s">
        <v>31</v>
      </c>
      <c r="E1176" s="2">
        <f>IF(Tabla2[[#This Row],[Frecuencia]]="Annual", Tabla2[[#This Row],[Cosecha/Tarea]]/12,Tabla2[[#This Row],[Cosecha/Tarea]])</f>
        <v>21392</v>
      </c>
      <c r="F1176" s="2">
        <v>1363153</v>
      </c>
      <c r="G1176" t="s">
        <v>32</v>
      </c>
      <c r="H1176">
        <f>F1176/Tabla2[[#This Row],[Cosecha Mensual]]</f>
        <v>63.722559835452508</v>
      </c>
      <c r="I1176">
        <f>H1176*_xlfn.XLOOKUP(Tabla2[[#This Row],[Unidad de producción]],Tabla3[Medida],Tabla3[Equivalencia en Kg],"ELVIS",0)</f>
        <v>1733.8908531226627</v>
      </c>
      <c r="J1176">
        <v>109.19</v>
      </c>
      <c r="K1176" t="s">
        <v>32</v>
      </c>
      <c r="L1176">
        <f>J1176/_xlfn.XLOOKUP(Tabla2[[#This Row],[Unidad de precio]],Tabla3[Medida],Tabla3[Equivalencia en Kg],"ELVIS",0)</f>
        <v>4.0128629180448359</v>
      </c>
      <c r="M1176" s="2">
        <v>8644.7793050524706</v>
      </c>
      <c r="N1176" s="2">
        <f>(Tabla2[[#This Row],[Productividad (kg/TAS)]]*Tabla2[[#This Row],[Precio por kg]]-Tabla2[[#This Row],[Costos (En RD$/Tarea)]])</f>
        <v>-1686.9129966194123</v>
      </c>
      <c r="O1176" s="6">
        <f>IF(Tabla2[[#This Row],[Costos (En RD$/Tarea)]]=0,0,Tabla2[[#This Row],[Beneficio Neto  (En RD$/Tarea)]]/Tabla2[[#This Row],[Costos (En RD$/Tarea)]])</f>
        <v>-0.19513661796241463</v>
      </c>
      <c r="P1176" s="4">
        <f>Tabla2[[#This Row],[Rentabilidad (%)]]/12</f>
        <v>-1.6261384830201221E-2</v>
      </c>
    </row>
    <row r="1177" spans="1:16" x14ac:dyDescent="0.35">
      <c r="A1177" s="1">
        <v>39479</v>
      </c>
      <c r="B1177" t="s">
        <v>33</v>
      </c>
      <c r="C1177" s="2">
        <v>584582</v>
      </c>
      <c r="D1177" s="2" t="s">
        <v>31</v>
      </c>
      <c r="E1177" s="8">
        <f>IF(Tabla2[[#This Row],[Frecuencia]]="Annual", Tabla2[[#This Row],[Cosecha/Tarea]]/12,Tabla2[[#This Row],[Cosecha/Tarea]])</f>
        <v>48715.166666666664</v>
      </c>
      <c r="F1177" s="2">
        <v>92076</v>
      </c>
      <c r="G1177" t="s">
        <v>34</v>
      </c>
      <c r="H1177">
        <f>F1177/Tabla2[[#This Row],[Cosecha Mensual]]</f>
        <v>1.8900889866605541</v>
      </c>
      <c r="I1177">
        <f>H1177*_xlfn.XLOOKUP(Tabla2[[#This Row],[Unidad de producción]],Tabla3[Medida],Tabla3[Equivalencia en Kg],"ELVIS",0)</f>
        <v>771.43981990550515</v>
      </c>
      <c r="J1177">
        <v>5749.4757142857097</v>
      </c>
      <c r="K1177" t="s">
        <v>34</v>
      </c>
      <c r="L1177">
        <f>J1177/_xlfn.XLOOKUP(Tabla2[[#This Row],[Unidad de precio]],Tabla3[Medida],Tabla3[Equivalencia en Kg],"ELVIS",0)</f>
        <v>14.086673316882788</v>
      </c>
      <c r="M1177" s="2">
        <v>8418.1288680949201</v>
      </c>
      <c r="N1177" s="2">
        <f>(Tabla2[[#This Row],[Productividad (kg/TAS)]]*Tabla2[[#This Row],[Precio por kg]]-Tabla2[[#This Row],[Costos (En RD$/Tarea)]])</f>
        <v>2448.8918585488227</v>
      </c>
      <c r="O1177" s="6">
        <f>IF(Tabla2[[#This Row],[Costos (En RD$/Tarea)]]=0,0,Tabla2[[#This Row],[Beneficio Neto  (En RD$/Tarea)]]/Tabla2[[#This Row],[Costos (En RD$/Tarea)]])</f>
        <v>0.29090691018407083</v>
      </c>
      <c r="P1177" s="4">
        <f>Tabla2[[#This Row],[Rentabilidad (%)]]/12</f>
        <v>2.4242242515339237E-2</v>
      </c>
    </row>
    <row r="1178" spans="1:16" x14ac:dyDescent="0.35">
      <c r="A1178" s="1">
        <v>39508</v>
      </c>
      <c r="B1178" t="s">
        <v>16</v>
      </c>
      <c r="C1178" s="2">
        <v>5770</v>
      </c>
      <c r="D1178" s="5" t="s">
        <v>17</v>
      </c>
      <c r="E1178" s="2">
        <f>IF(Tabla2[[#This Row],[Frecuencia]]="Annual", Tabla2[[#This Row],[Cosecha/Tarea]]/12,Tabla2[[#This Row],[Cosecha/Tarea]])</f>
        <v>5770</v>
      </c>
      <c r="F1178" s="2">
        <v>28134</v>
      </c>
      <c r="G1178" t="s">
        <v>18</v>
      </c>
      <c r="H1178">
        <f>F1178/Tabla2[[#This Row],[Cosecha Mensual]]</f>
        <v>4.8759098786828421</v>
      </c>
      <c r="I1178">
        <f>H1178*_xlfn.XLOOKUP(Tabla2[[#This Row],[Unidad de producción]],Tabla3[Medida],Tabla3[Equivalencia en Kg],"ELVIS",0)</f>
        <v>221.1712720970537</v>
      </c>
      <c r="J1178">
        <v>1102</v>
      </c>
      <c r="K1178" t="s">
        <v>19</v>
      </c>
      <c r="L1178">
        <f>J1178/_xlfn.XLOOKUP(Tabla2[[#This Row],[Unidad de precio]],Tabla3[Medida],Tabla3[Equivalencia en Kg],"ELVIS",0)</f>
        <v>10.018181818181818</v>
      </c>
      <c r="M1178">
        <v>6402.1671715266002</v>
      </c>
      <c r="N1178" s="2">
        <f>(Tabla2[[#This Row],[Productividad (kg/TAS)]]*Tabla2[[#This Row],[Precio por kg]]-Tabla2[[#This Row],[Costos (En RD$/Tarea)]])</f>
        <v>-4186.4331546997528</v>
      </c>
      <c r="O1178" s="6">
        <f>IF(Tabla2[[#This Row],[Costos (En RD$/Tarea)]]=0,0,Tabla2[[#This Row],[Beneficio Neto  (En RD$/Tarea)]]/Tabla2[[#This Row],[Costos (En RD$/Tarea)]])</f>
        <v>-0.65390875347940902</v>
      </c>
      <c r="P1178" s="4">
        <f>Tabla2[[#This Row],[Rentabilidad (%)]]/12</f>
        <v>-5.4492396123284083E-2</v>
      </c>
    </row>
    <row r="1179" spans="1:16" x14ac:dyDescent="0.35">
      <c r="A1179" s="1">
        <v>39508</v>
      </c>
      <c r="B1179" t="s">
        <v>20</v>
      </c>
      <c r="C1179" s="2">
        <v>15880</v>
      </c>
      <c r="D1179" s="5" t="s">
        <v>17</v>
      </c>
      <c r="E1179" s="2">
        <f>IF(Tabla2[[#This Row],[Frecuencia]]="Annual", Tabla2[[#This Row],[Cosecha/Tarea]]/12,Tabla2[[#This Row],[Cosecha/Tarea]])</f>
        <v>15880</v>
      </c>
      <c r="F1179" s="2">
        <v>37608</v>
      </c>
      <c r="G1179" t="s">
        <v>18</v>
      </c>
      <c r="H1179">
        <f>F1179/Tabla2[[#This Row],[Cosecha Mensual]]</f>
        <v>2.3682619647355163</v>
      </c>
      <c r="I1179">
        <f>H1179*_xlfn.XLOOKUP(Tabla2[[#This Row],[Unidad de producción]],Tabla3[Medida],Tabla3[Equivalencia en Kg],"ELVIS",0)</f>
        <v>107.42436272040302</v>
      </c>
      <c r="J1179">
        <v>400.03028342857101</v>
      </c>
      <c r="K1179" t="s">
        <v>18</v>
      </c>
      <c r="L1179">
        <f>J1179/_xlfn.XLOOKUP(Tabla2[[#This Row],[Unidad de precio]],Tabla3[Medida],Tabla3[Equivalencia en Kg],"ELVIS",0)</f>
        <v>8.8190097757621473</v>
      </c>
      <c r="M1179">
        <v>1490.9040199825199</v>
      </c>
      <c r="N1179" s="2">
        <f>(Tabla2[[#This Row],[Productividad (kg/TAS)]]*Tabla2[[#This Row],[Precio por kg]]-Tabla2[[#This Row],[Costos (En RD$/Tarea)]])</f>
        <v>-543.52751499626686</v>
      </c>
      <c r="O1179" s="6">
        <f>IF(Tabla2[[#This Row],[Costos (En RD$/Tarea)]]=0,0,Tabla2[[#This Row],[Beneficio Neto  (En RD$/Tarea)]]/Tabla2[[#This Row],[Costos (En RD$/Tarea)]])</f>
        <v>-0.36456237806820013</v>
      </c>
      <c r="P1179" s="4">
        <f>Tabla2[[#This Row],[Rentabilidad (%)]]/12</f>
        <v>-3.038019817235001E-2</v>
      </c>
    </row>
    <row r="1180" spans="1:16" x14ac:dyDescent="0.35">
      <c r="A1180" s="1">
        <v>39508</v>
      </c>
      <c r="B1180" t="s">
        <v>21</v>
      </c>
      <c r="C1180" s="2">
        <v>6627</v>
      </c>
      <c r="D1180" s="5" t="s">
        <v>17</v>
      </c>
      <c r="E1180" s="2">
        <f>IF(Tabla2[[#This Row],[Frecuencia]]="Annual", Tabla2[[#This Row],[Cosecha/Tarea]]/12,Tabla2[[#This Row],[Cosecha/Tarea]])</f>
        <v>6627</v>
      </c>
      <c r="F1180" s="2">
        <v>57711</v>
      </c>
      <c r="G1180" t="s">
        <v>18</v>
      </c>
      <c r="H1180">
        <f>F1180/Tabla2[[#This Row],[Cosecha Mensual]]</f>
        <v>8.7084653689452249</v>
      </c>
      <c r="I1180">
        <f>H1180*_xlfn.XLOOKUP(Tabla2[[#This Row],[Unidad de producción]],Tabla3[Medida],Tabla3[Equivalencia en Kg],"ELVIS",0)</f>
        <v>395.01598913535543</v>
      </c>
      <c r="J1180">
        <v>989</v>
      </c>
      <c r="K1180" t="s">
        <v>18</v>
      </c>
      <c r="L1180">
        <f>J1180/_xlfn.XLOOKUP(Tabla2[[#This Row],[Unidad de precio]],Tabla3[Medida],Tabla3[Equivalencia en Kg],"ELVIS",0)</f>
        <v>21.803350970017636</v>
      </c>
      <c r="M1180">
        <v>3935.0401959000001</v>
      </c>
      <c r="N1180" s="2">
        <f>(Tabla2[[#This Row],[Productividad (kg/TAS)]]*Tabla2[[#This Row],[Precio por kg]]-Tabla2[[#This Row],[Costos (En RD$/Tarea)]])</f>
        <v>4677.6320539868275</v>
      </c>
      <c r="O1180" s="6">
        <f>IF(Tabla2[[#This Row],[Costos (En RD$/Tarea)]]=0,0,Tabla2[[#This Row],[Beneficio Neto  (En RD$/Tarea)]]/Tabla2[[#This Row],[Costos (En RD$/Tarea)]])</f>
        <v>1.1887126486943003</v>
      </c>
      <c r="P1180" s="4">
        <f>Tabla2[[#This Row],[Rentabilidad (%)]]/12</f>
        <v>9.9059387391191689E-2</v>
      </c>
    </row>
    <row r="1181" spans="1:16" x14ac:dyDescent="0.35">
      <c r="A1181" s="1">
        <v>39508</v>
      </c>
      <c r="B1181" t="s">
        <v>22</v>
      </c>
      <c r="C1181" s="2">
        <v>11955</v>
      </c>
      <c r="D1181" s="5" t="s">
        <v>17</v>
      </c>
      <c r="E1181" s="2">
        <f>IF(Tabla2[[#This Row],[Frecuencia]]="Annual", Tabla2[[#This Row],[Cosecha/Tarea]]/12,Tabla2[[#This Row],[Cosecha/Tarea]])</f>
        <v>11955</v>
      </c>
      <c r="F1181" s="2">
        <v>115159</v>
      </c>
      <c r="G1181" t="s">
        <v>18</v>
      </c>
      <c r="H1181">
        <f>F1181/Tabla2[[#This Row],[Cosecha Mensual]]</f>
        <v>9.6327059807611874</v>
      </c>
      <c r="I1181">
        <f>H1181*_xlfn.XLOOKUP(Tabla2[[#This Row],[Unidad de producción]],Tabla3[Medida],Tabla3[Equivalencia en Kg],"ELVIS",0)</f>
        <v>436.93954328732747</v>
      </c>
      <c r="J1181">
        <v>986.21249999999998</v>
      </c>
      <c r="K1181" t="s">
        <v>18</v>
      </c>
      <c r="L1181">
        <f>J1181/_xlfn.XLOOKUP(Tabla2[[#This Row],[Unidad de precio]],Tabla3[Medida],Tabla3[Equivalencia en Kg],"ELVIS",0)</f>
        <v>21.741898148148149</v>
      </c>
      <c r="M1181">
        <v>6901.0735717535999</v>
      </c>
      <c r="N1181" s="2">
        <f>(Tabla2[[#This Row],[Productividad (kg/TAS)]]*Tabla2[[#This Row],[Precio por kg]]-Tabla2[[#This Row],[Costos (En RD$/Tarea)]])</f>
        <v>2598.8214752978429</v>
      </c>
      <c r="O1181" s="6">
        <f>IF(Tabla2[[#This Row],[Costos (En RD$/Tarea)]]=0,0,Tabla2[[#This Row],[Beneficio Neto  (En RD$/Tarea)]]/Tabla2[[#This Row],[Costos (En RD$/Tarea)]])</f>
        <v>0.37658220105563495</v>
      </c>
      <c r="P1181" s="4">
        <f>Tabla2[[#This Row],[Rentabilidad (%)]]/12</f>
        <v>3.1381850087969579E-2</v>
      </c>
    </row>
    <row r="1182" spans="1:16" x14ac:dyDescent="0.35">
      <c r="A1182" s="1">
        <v>39508</v>
      </c>
      <c r="B1182" t="s">
        <v>23</v>
      </c>
      <c r="C1182" s="2">
        <v>2159</v>
      </c>
      <c r="D1182" s="5" t="s">
        <v>17</v>
      </c>
      <c r="E1182" s="2">
        <f>IF(Tabla2[[#This Row],[Frecuencia]]="Annual", Tabla2[[#This Row],[Cosecha/Tarea]]/12,Tabla2[[#This Row],[Cosecha/Tarea]])</f>
        <v>2159</v>
      </c>
      <c r="F1182" s="2">
        <v>50875</v>
      </c>
      <c r="G1182" t="s">
        <v>18</v>
      </c>
      <c r="H1182">
        <f>F1182/Tabla2[[#This Row],[Cosecha Mensual]]</f>
        <v>23.564150069476611</v>
      </c>
      <c r="I1182">
        <f>H1182*_xlfn.XLOOKUP(Tabla2[[#This Row],[Unidad de producción]],Tabla3[Medida],Tabla3[Equivalencia en Kg],"ELVIS",0)</f>
        <v>1068.869847151459</v>
      </c>
      <c r="J1182">
        <v>1150</v>
      </c>
      <c r="K1182" t="s">
        <v>18</v>
      </c>
      <c r="L1182">
        <f>J1182/_xlfn.XLOOKUP(Tabla2[[#This Row],[Unidad de precio]],Tabla3[Medida],Tabla3[Equivalencia en Kg],"ELVIS",0)</f>
        <v>25.352733686067019</v>
      </c>
      <c r="M1182">
        <v>17874.25</v>
      </c>
      <c r="N1182" s="2">
        <f>(Tabla2[[#This Row],[Productividad (kg/TAS)]]*Tabla2[[#This Row],[Precio por kg]]-Tabla2[[#This Row],[Costos (En RD$/Tarea)]])</f>
        <v>9224.522579898101</v>
      </c>
      <c r="O1182" s="6">
        <f>IF(Tabla2[[#This Row],[Costos (En RD$/Tarea)]]=0,0,Tabla2[[#This Row],[Beneficio Neto  (En RD$/Tarea)]]/Tabla2[[#This Row],[Costos (En RD$/Tarea)]])</f>
        <v>0.51607886092552702</v>
      </c>
      <c r="P1182" s="4">
        <f>Tabla2[[#This Row],[Rentabilidad (%)]]/12</f>
        <v>4.3006571743793916E-2</v>
      </c>
    </row>
    <row r="1183" spans="1:16" x14ac:dyDescent="0.35">
      <c r="A1183" s="1">
        <v>39508</v>
      </c>
      <c r="B1183" t="s">
        <v>24</v>
      </c>
      <c r="C1183" s="2">
        <v>6642</v>
      </c>
      <c r="D1183" s="5" t="s">
        <v>17</v>
      </c>
      <c r="E1183" s="2">
        <f>IF(Tabla2[[#This Row],[Frecuencia]]="Annual", Tabla2[[#This Row],[Cosecha/Tarea]]/12,Tabla2[[#This Row],[Cosecha/Tarea]])</f>
        <v>6642</v>
      </c>
      <c r="F1183" s="2">
        <v>59734</v>
      </c>
      <c r="G1183" t="s">
        <v>18</v>
      </c>
      <c r="H1183">
        <f>F1183/Tabla2[[#This Row],[Cosecha Mensual]]</f>
        <v>8.9933754893104485</v>
      </c>
      <c r="I1183">
        <f>H1183*_xlfn.XLOOKUP(Tabla2[[#This Row],[Unidad de producción]],Tabla3[Medida],Tabla3[Equivalencia en Kg],"ELVIS",0)</f>
        <v>407.93951219512195</v>
      </c>
      <c r="J1183">
        <v>1040</v>
      </c>
      <c r="K1183" t="s">
        <v>18</v>
      </c>
      <c r="L1183">
        <f>J1183/_xlfn.XLOOKUP(Tabla2[[#This Row],[Unidad de precio]],Tabla3[Medida],Tabla3[Equivalencia en Kg],"ELVIS",0)</f>
        <v>22.927689594356263</v>
      </c>
      <c r="M1183">
        <v>5602.3420621674204</v>
      </c>
      <c r="N1183" s="2">
        <f>(Tabla2[[#This Row],[Productividad (kg/TAS)]]*Tabla2[[#This Row],[Precio por kg]]-Tabla2[[#This Row],[Costos (En RD$/Tarea)]])</f>
        <v>3750.7684467154477</v>
      </c>
      <c r="O1183" s="6">
        <f>IF(Tabla2[[#This Row],[Costos (En RD$/Tarea)]]=0,0,Tabla2[[#This Row],[Beneficio Neto  (En RD$/Tarea)]]/Tabla2[[#This Row],[Costos (En RD$/Tarea)]])</f>
        <v>0.6695000778414375</v>
      </c>
      <c r="P1183" s="4">
        <f>Tabla2[[#This Row],[Rentabilidad (%)]]/12</f>
        <v>5.5791673153453125E-2</v>
      </c>
    </row>
    <row r="1184" spans="1:16" x14ac:dyDescent="0.35">
      <c r="A1184" s="1">
        <v>39508</v>
      </c>
      <c r="B1184" t="s">
        <v>25</v>
      </c>
      <c r="C1184" s="2">
        <v>23441</v>
      </c>
      <c r="D1184" s="5" t="s">
        <v>17</v>
      </c>
      <c r="E1184" s="2">
        <f>IF(Tabla2[[#This Row],[Frecuencia]]="Annual", Tabla2[[#This Row],[Cosecha/Tarea]]/12,Tabla2[[#This Row],[Cosecha/Tarea]])</f>
        <v>23441</v>
      </c>
      <c r="F1184" s="2">
        <v>235347</v>
      </c>
      <c r="G1184" t="s">
        <v>18</v>
      </c>
      <c r="H1184">
        <f>F1184/Tabla2[[#This Row],[Cosecha Mensual]]</f>
        <v>10.039972697410519</v>
      </c>
      <c r="I1184">
        <f>H1184*_xlfn.XLOOKUP(Tabla2[[#This Row],[Unidad de producción]],Tabla3[Medida],Tabla3[Equivalencia en Kg],"ELVIS",0)</f>
        <v>455.41316155454115</v>
      </c>
      <c r="J1184">
        <v>974.03499999999997</v>
      </c>
      <c r="K1184" t="s">
        <v>18</v>
      </c>
      <c r="L1184">
        <f>J1184/_xlfn.XLOOKUP(Tabla2[[#This Row],[Unidad de precio]],Tabla3[Medida],Tabla3[Equivalencia en Kg],"ELVIS",0)</f>
        <v>21.473434744268076</v>
      </c>
      <c r="M1184">
        <v>3201.64901153456</v>
      </c>
      <c r="N1184" s="2">
        <f>(Tabla2[[#This Row],[Productividad (kg/TAS)]]*Tabla2[[#This Row],[Precio por kg]]-Tabla2[[#This Row],[Costos (En RD$/Tarea)]])</f>
        <v>6577.6357947876932</v>
      </c>
      <c r="O1184" s="6">
        <f>IF(Tabla2[[#This Row],[Costos (En RD$/Tarea)]]=0,0,Tabla2[[#This Row],[Beneficio Neto  (En RD$/Tarea)]]/Tabla2[[#This Row],[Costos (En RD$/Tarea)]])</f>
        <v>2.0544524934152641</v>
      </c>
      <c r="P1184" s="4">
        <f>Tabla2[[#This Row],[Rentabilidad (%)]]/12</f>
        <v>0.17120437445127201</v>
      </c>
    </row>
    <row r="1185" spans="1:16" x14ac:dyDescent="0.35">
      <c r="A1185" s="1">
        <v>39508</v>
      </c>
      <c r="B1185" t="s">
        <v>26</v>
      </c>
      <c r="C1185" s="2">
        <v>18103</v>
      </c>
      <c r="D1185" s="5" t="s">
        <v>17</v>
      </c>
      <c r="E1185" s="2">
        <f>IF(Tabla2[[#This Row],[Frecuencia]]="Annual", Tabla2[[#This Row],[Cosecha/Tarea]]/12,Tabla2[[#This Row],[Cosecha/Tarea]])</f>
        <v>18103</v>
      </c>
      <c r="F1185" s="2">
        <v>99361</v>
      </c>
      <c r="G1185" t="s">
        <v>18</v>
      </c>
      <c r="H1185">
        <f>F1185/Tabla2[[#This Row],[Cosecha Mensual]]</f>
        <v>5.4886482903386176</v>
      </c>
      <c r="I1185">
        <f>H1185*_xlfn.XLOOKUP(Tabla2[[#This Row],[Unidad de producción]],Tabla3[Medida],Tabla3[Equivalencia en Kg],"ELVIS",0)</f>
        <v>248.9650864497597</v>
      </c>
      <c r="J1185">
        <v>804.93399999999997</v>
      </c>
      <c r="K1185" t="s">
        <v>18</v>
      </c>
      <c r="L1185">
        <f>J1185/_xlfn.XLOOKUP(Tabla2[[#This Row],[Unidad de precio]],Tabla3[Medida],Tabla3[Equivalencia en Kg],"ELVIS",0)</f>
        <v>17.745458553791888</v>
      </c>
      <c r="M1185">
        <v>1294.9257376989401</v>
      </c>
      <c r="N1185" s="2">
        <f>(Tabla2[[#This Row],[Productividad (kg/TAS)]]*Tabla2[[#This Row],[Precio por kg]]-Tabla2[[#This Row],[Costos (En RD$/Tarea)]])</f>
        <v>3123.0738852364848</v>
      </c>
      <c r="O1185" s="6">
        <f>IF(Tabla2[[#This Row],[Costos (En RD$/Tarea)]]=0,0,Tabla2[[#This Row],[Beneficio Neto  (En RD$/Tarea)]]/Tabla2[[#This Row],[Costos (En RD$/Tarea)]])</f>
        <v>2.4117783702300422</v>
      </c>
      <c r="P1185" s="4">
        <f>Tabla2[[#This Row],[Rentabilidad (%)]]/12</f>
        <v>0.2009815308525035</v>
      </c>
    </row>
    <row r="1186" spans="1:16" x14ac:dyDescent="0.35">
      <c r="A1186" s="1">
        <v>39508</v>
      </c>
      <c r="B1186" t="s">
        <v>27</v>
      </c>
      <c r="C1186" s="2">
        <v>6810</v>
      </c>
      <c r="D1186" s="5" t="s">
        <v>17</v>
      </c>
      <c r="E1186" s="2">
        <f>IF(Tabla2[[#This Row],[Frecuencia]]="Annual", Tabla2[[#This Row],[Cosecha/Tarea]]/12,Tabla2[[#This Row],[Cosecha/Tarea]])</f>
        <v>6810</v>
      </c>
      <c r="F1186" s="2">
        <v>48481</v>
      </c>
      <c r="G1186" t="s">
        <v>18</v>
      </c>
      <c r="H1186">
        <f>F1186/Tabla2[[#This Row],[Cosecha Mensual]]</f>
        <v>7.1190895741556535</v>
      </c>
      <c r="I1186">
        <f>H1186*_xlfn.XLOOKUP(Tabla2[[#This Row],[Unidad de producción]],Tabla3[Medida],Tabla3[Equivalencia en Kg],"ELVIS",0)</f>
        <v>322.92190308370044</v>
      </c>
      <c r="J1186">
        <v>405.34710000000001</v>
      </c>
      <c r="K1186" t="s">
        <v>18</v>
      </c>
      <c r="L1186">
        <f>J1186/_xlfn.XLOOKUP(Tabla2[[#This Row],[Unidad de precio]],Tabla3[Medida],Tabla3[Equivalencia en Kg],"ELVIS",0)</f>
        <v>8.9362235449735454</v>
      </c>
      <c r="M1186">
        <v>5429.7257056660201</v>
      </c>
      <c r="N1186" s="2">
        <f>(Tabla2[[#This Row],[Productividad (kg/TAS)]]*Tabla2[[#This Row],[Precio por kg]]-Tabla2[[#This Row],[Costos (En RD$/Tarea)]])</f>
        <v>-2544.0233921417907</v>
      </c>
      <c r="O1186" s="6">
        <f>IF(Tabla2[[#This Row],[Costos (En RD$/Tarea)]]=0,0,Tabla2[[#This Row],[Beneficio Neto  (En RD$/Tarea)]]/Tabla2[[#This Row],[Costos (En RD$/Tarea)]])</f>
        <v>-0.46853626316464841</v>
      </c>
      <c r="P1186" s="4">
        <f>Tabla2[[#This Row],[Rentabilidad (%)]]/12</f>
        <v>-3.9044688597054032E-2</v>
      </c>
    </row>
    <row r="1187" spans="1:16" x14ac:dyDescent="0.35">
      <c r="A1187" s="1">
        <v>39508</v>
      </c>
      <c r="B1187" t="s">
        <v>28</v>
      </c>
      <c r="C1187" s="2">
        <v>2295</v>
      </c>
      <c r="D1187" s="5" t="s">
        <v>17</v>
      </c>
      <c r="E1187" s="2">
        <f>IF(Tabla2[[#This Row],[Frecuencia]]="Annual", Tabla2[[#This Row],[Cosecha/Tarea]]/12,Tabla2[[#This Row],[Cosecha/Tarea]])</f>
        <v>2295</v>
      </c>
      <c r="F1187" s="2">
        <v>1099</v>
      </c>
      <c r="G1187" t="s">
        <v>29</v>
      </c>
      <c r="H1187">
        <f>F1187/Tabla2[[#This Row],[Cosecha Mensual]]</f>
        <v>0.47886710239651414</v>
      </c>
      <c r="I1187">
        <f>H1187*_xlfn.XLOOKUP(Tabla2[[#This Row],[Unidad de producción]],Tabla3[Medida],Tabla3[Equivalencia en Kg],"ELVIS",0)</f>
        <v>269.28612636165576</v>
      </c>
      <c r="J1187">
        <v>6619.75</v>
      </c>
      <c r="K1187" t="s">
        <v>29</v>
      </c>
      <c r="L1187">
        <f>J1187/_xlfn.XLOOKUP(Tabla2[[#This Row],[Unidad de precio]],Tabla3[Medida],Tabla3[Equivalencia en Kg],"ELVIS",0)</f>
        <v>11.771792865526194</v>
      </c>
      <c r="M1187">
        <v>4903.3716657183304</v>
      </c>
      <c r="N1187" s="2">
        <f>(Tabla2[[#This Row],[Productividad (kg/TAS)]]*Tabla2[[#This Row],[Precio por kg]]-Tabla2[[#This Row],[Costos (En RD$/Tarea)]])</f>
        <v>-1733.3911646290057</v>
      </c>
      <c r="O1187" s="6">
        <f>IF(Tabla2[[#This Row],[Costos (En RD$/Tarea)]]=0,0,Tabla2[[#This Row],[Beneficio Neto  (En RD$/Tarea)]]/Tabla2[[#This Row],[Costos (En RD$/Tarea)]])</f>
        <v>-0.35351005039000416</v>
      </c>
      <c r="P1187" s="4">
        <f>Tabla2[[#This Row],[Rentabilidad (%)]]/12</f>
        <v>-2.9459170865833679E-2</v>
      </c>
    </row>
    <row r="1188" spans="1:16" x14ac:dyDescent="0.35">
      <c r="A1188" s="1">
        <v>39508</v>
      </c>
      <c r="B1188" t="s">
        <v>30</v>
      </c>
      <c r="C1188" s="2">
        <v>298677</v>
      </c>
      <c r="D1188" s="2" t="s">
        <v>31</v>
      </c>
      <c r="E1188" s="2">
        <f>IF(Tabla2[[#This Row],[Frecuencia]]="Annual", Tabla2[[#This Row],[Cosecha/Tarea]]/12,Tabla2[[#This Row],[Cosecha/Tarea]])</f>
        <v>24889.75</v>
      </c>
      <c r="F1188" s="2">
        <v>1436282</v>
      </c>
      <c r="G1188" t="s">
        <v>32</v>
      </c>
      <c r="H1188">
        <f>F1188/Tabla2[[#This Row],[Cosecha Mensual]]</f>
        <v>57.705762412237966</v>
      </c>
      <c r="I1188">
        <f>H1188*_xlfn.XLOOKUP(Tabla2[[#This Row],[Unidad de producción]],Tabla3[Medida],Tabla3[Equivalencia en Kg],"ELVIS",0)</f>
        <v>1570.1737952369951</v>
      </c>
      <c r="J1188">
        <v>117.821428571429</v>
      </c>
      <c r="K1188" t="s">
        <v>32</v>
      </c>
      <c r="L1188">
        <f>J1188/_xlfn.XLOOKUP(Tabla2[[#This Row],[Unidad de precio]],Tabla3[Medida],Tabla3[Equivalencia en Kg],"ELVIS",0)</f>
        <v>4.330078227542411</v>
      </c>
      <c r="M1188" s="2">
        <v>8644.7793050524706</v>
      </c>
      <c r="N1188" s="2">
        <f>(Tabla2[[#This Row],[Productividad (kg/TAS)]]*Tabla2[[#This Row],[Precio por kg]]-Tabla2[[#This Row],[Costos (En RD$/Tarea)]])</f>
        <v>-1845.8039408391223</v>
      </c>
      <c r="O1188" s="6">
        <f>IF(Tabla2[[#This Row],[Costos (En RD$/Tarea)]]=0,0,Tabla2[[#This Row],[Beneficio Neto  (En RD$/Tarea)]]/Tabla2[[#This Row],[Costos (En RD$/Tarea)]])</f>
        <v>-0.2135166064633178</v>
      </c>
      <c r="P1188" s="4">
        <f>Tabla2[[#This Row],[Rentabilidad (%)]]/12</f>
        <v>-1.7793050538609818E-2</v>
      </c>
    </row>
    <row r="1189" spans="1:16" x14ac:dyDescent="0.35">
      <c r="A1189" s="1">
        <v>39508</v>
      </c>
      <c r="B1189" t="s">
        <v>33</v>
      </c>
      <c r="C1189" s="2">
        <v>578370</v>
      </c>
      <c r="D1189" s="2" t="s">
        <v>31</v>
      </c>
      <c r="E1189" s="8">
        <f>IF(Tabla2[[#This Row],[Frecuencia]]="Annual", Tabla2[[#This Row],[Cosecha/Tarea]]/12,Tabla2[[#This Row],[Cosecha/Tarea]])</f>
        <v>48197.5</v>
      </c>
      <c r="F1189" s="2">
        <v>100492</v>
      </c>
      <c r="G1189" t="s">
        <v>34</v>
      </c>
      <c r="H1189">
        <f>F1189/Tabla2[[#This Row],[Cosecha Mensual]]</f>
        <v>2.0850044089423725</v>
      </c>
      <c r="I1189">
        <f>H1189*_xlfn.XLOOKUP(Tabla2[[#This Row],[Unidad de producción]],Tabla3[Medida],Tabla3[Equivalencia en Kg],"ELVIS",0)</f>
        <v>850.99454950982931</v>
      </c>
      <c r="J1189">
        <v>5426.7142857142899</v>
      </c>
      <c r="K1189" t="s">
        <v>34</v>
      </c>
      <c r="L1189">
        <f>J1189/_xlfn.XLOOKUP(Tabla2[[#This Row],[Unidad de precio]],Tabla3[Medida],Tabla3[Equivalencia en Kg],"ELVIS",0)</f>
        <v>13.295882116168787</v>
      </c>
      <c r="M1189" s="2">
        <v>8418.1288680949201</v>
      </c>
      <c r="N1189" s="2">
        <f>(Tabla2[[#This Row],[Productividad (kg/TAS)]]*Tabla2[[#This Row],[Precio por kg]]-Tabla2[[#This Row],[Costos (En RD$/Tarea)]])</f>
        <v>2896.5943436899324</v>
      </c>
      <c r="O1189" s="6">
        <f>IF(Tabla2[[#This Row],[Costos (En RD$/Tarea)]]=0,0,Tabla2[[#This Row],[Beneficio Neto  (En RD$/Tarea)]]/Tabla2[[#This Row],[Costos (En RD$/Tarea)]])</f>
        <v>0.34409004531495746</v>
      </c>
      <c r="P1189" s="4">
        <f>Tabla2[[#This Row],[Rentabilidad (%)]]/12</f>
        <v>2.8674170442913122E-2</v>
      </c>
    </row>
    <row r="1190" spans="1:16" x14ac:dyDescent="0.35">
      <c r="A1190" s="1">
        <v>39539</v>
      </c>
      <c r="B1190" t="s">
        <v>16</v>
      </c>
      <c r="C1190" s="2">
        <v>193612</v>
      </c>
      <c r="D1190" s="5" t="s">
        <v>17</v>
      </c>
      <c r="E1190" s="2">
        <f>IF(Tabla2[[#This Row],[Frecuencia]]="Annual", Tabla2[[#This Row],[Cosecha/Tarea]]/12,Tabla2[[#This Row],[Cosecha/Tarea]])</f>
        <v>193612</v>
      </c>
      <c r="F1190" s="2">
        <v>1054130</v>
      </c>
      <c r="G1190" t="s">
        <v>18</v>
      </c>
      <c r="H1190">
        <f>F1190/Tabla2[[#This Row],[Cosecha Mensual]]</f>
        <v>5.4445488915976279</v>
      </c>
      <c r="I1190">
        <f>H1190*_xlfn.XLOOKUP(Tabla2[[#This Row],[Unidad de producción]],Tabla3[Medida],Tabla3[Equivalencia en Kg],"ELVIS",0)</f>
        <v>246.96473772286839</v>
      </c>
      <c r="J1190">
        <v>1160.7103999999999</v>
      </c>
      <c r="K1190" t="s">
        <v>19</v>
      </c>
      <c r="L1190">
        <f>J1190/_xlfn.XLOOKUP(Tabla2[[#This Row],[Unidad de precio]],Tabla3[Medida],Tabla3[Equivalencia en Kg],"ELVIS",0)</f>
        <v>10.551912727272727</v>
      </c>
      <c r="M1190">
        <v>6402.1671715266002</v>
      </c>
      <c r="N1190" s="2">
        <f>(Tabla2[[#This Row],[Productividad (kg/TAS)]]*Tabla2[[#This Row],[Precio por kg]]-Tabla2[[#This Row],[Costos (En RD$/Tarea)]])</f>
        <v>-3796.2168123610941</v>
      </c>
      <c r="O1190" s="6">
        <f>IF(Tabla2[[#This Row],[Costos (En RD$/Tarea)]]=0,0,Tabla2[[#This Row],[Beneficio Neto  (En RD$/Tarea)]]/Tabla2[[#This Row],[Costos (En RD$/Tarea)]])</f>
        <v>-0.59295808913653902</v>
      </c>
      <c r="P1190" s="4">
        <f>Tabla2[[#This Row],[Rentabilidad (%)]]/12</f>
        <v>-4.9413174094711583E-2</v>
      </c>
    </row>
    <row r="1191" spans="1:16" x14ac:dyDescent="0.35">
      <c r="A1191" s="1">
        <v>39539</v>
      </c>
      <c r="B1191" t="s">
        <v>20</v>
      </c>
      <c r="C1191" s="2">
        <v>21177</v>
      </c>
      <c r="D1191" s="5" t="s">
        <v>17</v>
      </c>
      <c r="E1191" s="2">
        <f>IF(Tabla2[[#This Row],[Frecuencia]]="Annual", Tabla2[[#This Row],[Cosecha/Tarea]]/12,Tabla2[[#This Row],[Cosecha/Tarea]])</f>
        <v>21177</v>
      </c>
      <c r="F1191" s="2">
        <v>43706</v>
      </c>
      <c r="G1191" t="s">
        <v>18</v>
      </c>
      <c r="H1191">
        <f>F1191/Tabla2[[#This Row],[Cosecha Mensual]]</f>
        <v>2.063842848373235</v>
      </c>
      <c r="I1191">
        <f>H1191*_xlfn.XLOOKUP(Tabla2[[#This Row],[Unidad de producción]],Tabla3[Medida],Tabla3[Equivalencia en Kg],"ELVIS",0)</f>
        <v>93.615911602209934</v>
      </c>
      <c r="J1191">
        <v>591.62400000000002</v>
      </c>
      <c r="K1191" t="s">
        <v>18</v>
      </c>
      <c r="L1191">
        <f>J1191/_xlfn.XLOOKUP(Tabla2[[#This Row],[Unidad de precio]],Tabla3[Medida],Tabla3[Equivalencia en Kg],"ELVIS",0)</f>
        <v>13.042857142857143</v>
      </c>
      <c r="M1191">
        <v>1490.9040199825199</v>
      </c>
      <c r="N1191" s="2">
        <f>(Tabla2[[#This Row],[Productividad (kg/TAS)]]*Tabla2[[#This Row],[Precio por kg]]-Tabla2[[#This Row],[Costos (En RD$/Tarea)]])</f>
        <v>-269.88505865655316</v>
      </c>
      <c r="O1191" s="6">
        <f>IF(Tabla2[[#This Row],[Costos (En RD$/Tarea)]]=0,0,Tabla2[[#This Row],[Beneficio Neto  (En RD$/Tarea)]]/Tabla2[[#This Row],[Costos (En RD$/Tarea)]])</f>
        <v>-0.18102108186663649</v>
      </c>
      <c r="P1191" s="4">
        <f>Tabla2[[#This Row],[Rentabilidad (%)]]/12</f>
        <v>-1.508509015555304E-2</v>
      </c>
    </row>
    <row r="1192" spans="1:16" x14ac:dyDescent="0.35">
      <c r="A1192" s="1">
        <v>39539</v>
      </c>
      <c r="B1192" t="s">
        <v>21</v>
      </c>
      <c r="C1192" s="2">
        <v>8413</v>
      </c>
      <c r="D1192" s="5" t="s">
        <v>17</v>
      </c>
      <c r="E1192" s="2">
        <f>IF(Tabla2[[#This Row],[Frecuencia]]="Annual", Tabla2[[#This Row],[Cosecha/Tarea]]/12,Tabla2[[#This Row],[Cosecha/Tarea]])</f>
        <v>8413</v>
      </c>
      <c r="F1192" s="2">
        <v>59768</v>
      </c>
      <c r="G1192" t="s">
        <v>18</v>
      </c>
      <c r="H1192">
        <f>F1192/Tabla2[[#This Row],[Cosecha Mensual]]</f>
        <v>7.1042434327825985</v>
      </c>
      <c r="I1192">
        <f>H1192*_xlfn.XLOOKUP(Tabla2[[#This Row],[Unidad de producción]],Tabla3[Medida],Tabla3[Equivalencia en Kg],"ELVIS",0)</f>
        <v>322.24848211101869</v>
      </c>
      <c r="J1192">
        <v>833.55499999999995</v>
      </c>
      <c r="K1192" t="s">
        <v>18</v>
      </c>
      <c r="L1192">
        <f>J1192/_xlfn.XLOOKUP(Tabla2[[#This Row],[Unidad de precio]],Tabla3[Medida],Tabla3[Equivalencia en Kg],"ELVIS",0)</f>
        <v>18.376432980599645</v>
      </c>
      <c r="M1192">
        <v>3935.0401959000001</v>
      </c>
      <c r="N1192" s="2">
        <f>(Tabla2[[#This Row],[Productividad (kg/TAS)]]*Tabla2[[#This Row],[Precio por kg]]-Tabla2[[#This Row],[Costos (En RD$/Tarea)]])</f>
        <v>1986.7374387130985</v>
      </c>
      <c r="O1192" s="6">
        <f>IF(Tabla2[[#This Row],[Costos (En RD$/Tarea)]]=0,0,Tabla2[[#This Row],[Beneficio Neto  (En RD$/Tarea)]]/Tabla2[[#This Row],[Costos (En RD$/Tarea)]])</f>
        <v>0.50488364535211649</v>
      </c>
      <c r="P1192" s="4">
        <f>Tabla2[[#This Row],[Rentabilidad (%)]]/12</f>
        <v>4.2073637112676372E-2</v>
      </c>
    </row>
    <row r="1193" spans="1:16" x14ac:dyDescent="0.35">
      <c r="A1193" s="1">
        <v>39539</v>
      </c>
      <c r="B1193" t="s">
        <v>22</v>
      </c>
      <c r="C1193" s="2">
        <v>6511</v>
      </c>
      <c r="D1193" s="5" t="s">
        <v>17</v>
      </c>
      <c r="E1193" s="2">
        <f>IF(Tabla2[[#This Row],[Frecuencia]]="Annual", Tabla2[[#This Row],[Cosecha/Tarea]]/12,Tabla2[[#This Row],[Cosecha/Tarea]])</f>
        <v>6511</v>
      </c>
      <c r="F1193" s="2">
        <v>64446</v>
      </c>
      <c r="G1193" t="s">
        <v>18</v>
      </c>
      <c r="H1193">
        <f>F1193/Tabla2[[#This Row],[Cosecha Mensual]]</f>
        <v>9.8980187375211184</v>
      </c>
      <c r="I1193">
        <f>H1193*_xlfn.XLOOKUP(Tabla2[[#This Row],[Unidad de producción]],Tabla3[Medida],Tabla3[Equivalencia en Kg],"ELVIS",0)</f>
        <v>448.9741299339579</v>
      </c>
      <c r="J1193">
        <v>972.4</v>
      </c>
      <c r="K1193" t="s">
        <v>18</v>
      </c>
      <c r="L1193">
        <f>J1193/_xlfn.XLOOKUP(Tabla2[[#This Row],[Unidad de precio]],Tabla3[Medida],Tabla3[Equivalencia en Kg],"ELVIS",0)</f>
        <v>21.437389770723104</v>
      </c>
      <c r="M1193">
        <v>6901.0735717535999</v>
      </c>
      <c r="N1193" s="2">
        <f>(Tabla2[[#This Row],[Productividad (kg/TAS)]]*Tabla2[[#This Row],[Precio por kg]]-Tabla2[[#This Row],[Costos (En RD$/Tarea)]])</f>
        <v>2723.7598486119359</v>
      </c>
      <c r="O1193" s="6">
        <f>IF(Tabla2[[#This Row],[Costos (En RD$/Tarea)]]=0,0,Tabla2[[#This Row],[Beneficio Neto  (En RD$/Tarea)]]/Tabla2[[#This Row],[Costos (En RD$/Tarea)]])</f>
        <v>0.39468639484737644</v>
      </c>
      <c r="P1193" s="4">
        <f>Tabla2[[#This Row],[Rentabilidad (%)]]/12</f>
        <v>3.2890532903948035E-2</v>
      </c>
    </row>
    <row r="1194" spans="1:16" x14ac:dyDescent="0.35">
      <c r="A1194" s="1">
        <v>39539</v>
      </c>
      <c r="B1194" t="s">
        <v>23</v>
      </c>
      <c r="C1194" s="2">
        <v>2269</v>
      </c>
      <c r="D1194" s="5" t="s">
        <v>17</v>
      </c>
      <c r="E1194" s="2">
        <f>IF(Tabla2[[#This Row],[Frecuencia]]="Annual", Tabla2[[#This Row],[Cosecha/Tarea]]/12,Tabla2[[#This Row],[Cosecha/Tarea]])</f>
        <v>2269</v>
      </c>
      <c r="F1194" s="2">
        <v>57870</v>
      </c>
      <c r="G1194" t="s">
        <v>18</v>
      </c>
      <c r="H1194">
        <f>F1194/Tabla2[[#This Row],[Cosecha Mensual]]</f>
        <v>25.504627589246365</v>
      </c>
      <c r="I1194">
        <f>H1194*_xlfn.XLOOKUP(Tabla2[[#This Row],[Unidad de producción]],Tabla3[Medida],Tabla3[Equivalencia en Kg],"ELVIS",0)</f>
        <v>1156.8899074482151</v>
      </c>
      <c r="J1194">
        <v>820.83333333333303</v>
      </c>
      <c r="K1194" t="s">
        <v>18</v>
      </c>
      <c r="L1194">
        <f>J1194/_xlfn.XLOOKUP(Tabla2[[#This Row],[Unidad de precio]],Tabla3[Medida],Tabla3[Equivalencia en Kg],"ELVIS",0)</f>
        <v>18.095972957084062</v>
      </c>
      <c r="M1194">
        <v>17874.25</v>
      </c>
      <c r="N1194" s="2">
        <f>(Tabla2[[#This Row],[Productividad (kg/TAS)]]*Tabla2[[#This Row],[Precio por kg]]-Tabla2[[#This Row],[Costos (En RD$/Tarea)]])</f>
        <v>3060.7984795063821</v>
      </c>
      <c r="O1194" s="6">
        <f>IF(Tabla2[[#This Row],[Costos (En RD$/Tarea)]]=0,0,Tabla2[[#This Row],[Beneficio Neto  (En RD$/Tarea)]]/Tabla2[[#This Row],[Costos (En RD$/Tarea)]])</f>
        <v>0.17124066629404769</v>
      </c>
      <c r="P1194" s="4">
        <f>Tabla2[[#This Row],[Rentabilidad (%)]]/12</f>
        <v>1.4270055524503973E-2</v>
      </c>
    </row>
    <row r="1195" spans="1:16" x14ac:dyDescent="0.35">
      <c r="A1195" s="1">
        <v>39539</v>
      </c>
      <c r="B1195" t="s">
        <v>24</v>
      </c>
      <c r="C1195" s="2">
        <v>7310</v>
      </c>
      <c r="D1195" s="5" t="s">
        <v>17</v>
      </c>
      <c r="E1195" s="2">
        <f>IF(Tabla2[[#This Row],[Frecuencia]]="Annual", Tabla2[[#This Row],[Cosecha/Tarea]]/12,Tabla2[[#This Row],[Cosecha/Tarea]])</f>
        <v>7310</v>
      </c>
      <c r="F1195" s="2">
        <v>63033</v>
      </c>
      <c r="G1195" t="s">
        <v>18</v>
      </c>
      <c r="H1195">
        <f>F1195/Tabla2[[#This Row],[Cosecha Mensual]]</f>
        <v>8.6228454172366629</v>
      </c>
      <c r="I1195">
        <f>H1195*_xlfn.XLOOKUP(Tabla2[[#This Row],[Unidad de producción]],Tabla3[Medida],Tabla3[Equivalencia en Kg],"ELVIS",0)</f>
        <v>391.13226812585503</v>
      </c>
      <c r="J1195">
        <v>1032.125</v>
      </c>
      <c r="K1195" t="s">
        <v>18</v>
      </c>
      <c r="L1195">
        <f>J1195/_xlfn.XLOOKUP(Tabla2[[#This Row],[Unidad de precio]],Tabla3[Medida],Tabla3[Equivalencia en Kg],"ELVIS",0)</f>
        <v>22.754078483245149</v>
      </c>
      <c r="M1195">
        <v>5602.3420621674204</v>
      </c>
      <c r="N1195" s="2">
        <f>(Tabla2[[#This Row],[Productividad (kg/TAS)]]*Tabla2[[#This Row],[Precio por kg]]-Tabla2[[#This Row],[Costos (En RD$/Tarea)]])</f>
        <v>3297.5122640979707</v>
      </c>
      <c r="O1195" s="6">
        <f>IF(Tabla2[[#This Row],[Costos (En RD$/Tarea)]]=0,0,Tabla2[[#This Row],[Beneficio Neto  (En RD$/Tarea)]]/Tabla2[[#This Row],[Costos (En RD$/Tarea)]])</f>
        <v>0.58859531023034983</v>
      </c>
      <c r="P1195" s="4">
        <f>Tabla2[[#This Row],[Rentabilidad (%)]]/12</f>
        <v>4.9049609185862486E-2</v>
      </c>
    </row>
    <row r="1196" spans="1:16" x14ac:dyDescent="0.35">
      <c r="A1196" s="1">
        <v>39539</v>
      </c>
      <c r="B1196" t="s">
        <v>25</v>
      </c>
      <c r="C1196" s="2">
        <v>19157</v>
      </c>
      <c r="D1196" s="5" t="s">
        <v>17</v>
      </c>
      <c r="E1196" s="2">
        <f>IF(Tabla2[[#This Row],[Frecuencia]]="Annual", Tabla2[[#This Row],[Cosecha/Tarea]]/12,Tabla2[[#This Row],[Cosecha/Tarea]])</f>
        <v>19157</v>
      </c>
      <c r="F1196" s="2">
        <v>188599</v>
      </c>
      <c r="G1196" t="s">
        <v>18</v>
      </c>
      <c r="H1196">
        <f>F1196/Tabla2[[#This Row],[Cosecha Mensual]]</f>
        <v>9.844913086600199</v>
      </c>
      <c r="I1196">
        <f>H1196*_xlfn.XLOOKUP(Tabla2[[#This Row],[Unidad de producción]],Tabla3[Medida],Tabla3[Equivalencia en Kg],"ELVIS",0)</f>
        <v>446.56525760818505</v>
      </c>
      <c r="J1196">
        <v>1007.63333333333</v>
      </c>
      <c r="K1196" t="s">
        <v>18</v>
      </c>
      <c r="L1196">
        <f>J1196/_xlfn.XLOOKUP(Tabla2[[#This Row],[Unidad de precio]],Tabla3[Medida],Tabla3[Equivalencia en Kg],"ELVIS",0)</f>
        <v>22.214138741916447</v>
      </c>
      <c r="M1196">
        <v>3201.64901153456</v>
      </c>
      <c r="N1196" s="2">
        <f>(Tabla2[[#This Row],[Productividad (kg/TAS)]]*Tabla2[[#This Row],[Precio por kg]]-Tabla2[[#This Row],[Costos (En RD$/Tarea)]])</f>
        <v>6718.4135782933208</v>
      </c>
      <c r="O1196" s="6">
        <f>IF(Tabla2[[#This Row],[Costos (En RD$/Tarea)]]=0,0,Tabla2[[#This Row],[Beneficio Neto  (En RD$/Tarea)]]/Tabla2[[#This Row],[Costos (En RD$/Tarea)]])</f>
        <v>2.0984228921062038</v>
      </c>
      <c r="P1196" s="4">
        <f>Tabla2[[#This Row],[Rentabilidad (%)]]/12</f>
        <v>0.17486857434218364</v>
      </c>
    </row>
    <row r="1197" spans="1:16" x14ac:dyDescent="0.35">
      <c r="A1197" s="1">
        <v>39539</v>
      </c>
      <c r="B1197" t="s">
        <v>26</v>
      </c>
      <c r="C1197" s="2">
        <v>13802</v>
      </c>
      <c r="D1197" s="5" t="s">
        <v>17</v>
      </c>
      <c r="E1197" s="2">
        <f>IF(Tabla2[[#This Row],[Frecuencia]]="Annual", Tabla2[[#This Row],[Cosecha/Tarea]]/12,Tabla2[[#This Row],[Cosecha/Tarea]])</f>
        <v>13802</v>
      </c>
      <c r="F1197" s="2">
        <v>79357</v>
      </c>
      <c r="G1197" t="s">
        <v>18</v>
      </c>
      <c r="H1197">
        <f>F1197/Tabla2[[#This Row],[Cosecha Mensual]]</f>
        <v>5.7496739602956097</v>
      </c>
      <c r="I1197">
        <f>H1197*_xlfn.XLOOKUP(Tabla2[[#This Row],[Unidad de producción]],Tabla3[Medida],Tabla3[Equivalencia en Kg],"ELVIS",0)</f>
        <v>260.80521083900885</v>
      </c>
      <c r="J1197">
        <v>706.25</v>
      </c>
      <c r="K1197" t="s">
        <v>18</v>
      </c>
      <c r="L1197">
        <f>J1197/_xlfn.XLOOKUP(Tabla2[[#This Row],[Unidad de precio]],Tabla3[Medida],Tabla3[Equivalencia en Kg],"ELVIS",0)</f>
        <v>15.569885361552029</v>
      </c>
      <c r="M1197">
        <v>1294.9257376989401</v>
      </c>
      <c r="N1197" s="2">
        <f>(Tabla2[[#This Row],[Productividad (kg/TAS)]]*Tabla2[[#This Row],[Precio por kg]]-Tabla2[[#This Row],[Costos (En RD$/Tarea)]])</f>
        <v>2765.7814967598342</v>
      </c>
      <c r="O1197" s="6">
        <f>IF(Tabla2[[#This Row],[Costos (En RD$/Tarea)]]=0,0,Tabla2[[#This Row],[Beneficio Neto  (En RD$/Tarea)]]/Tabla2[[#This Row],[Costos (En RD$/Tarea)]])</f>
        <v>2.1358610893583587</v>
      </c>
      <c r="P1197" s="4">
        <f>Tabla2[[#This Row],[Rentabilidad (%)]]/12</f>
        <v>0.17798842411319657</v>
      </c>
    </row>
    <row r="1198" spans="1:16" x14ac:dyDescent="0.35">
      <c r="A1198" s="1">
        <v>39539</v>
      </c>
      <c r="B1198" t="s">
        <v>27</v>
      </c>
      <c r="C1198" s="2">
        <v>7767</v>
      </c>
      <c r="D1198" s="5" t="s">
        <v>17</v>
      </c>
      <c r="E1198" s="2">
        <f>IF(Tabla2[[#This Row],[Frecuencia]]="Annual", Tabla2[[#This Row],[Cosecha/Tarea]]/12,Tabla2[[#This Row],[Cosecha/Tarea]])</f>
        <v>7767</v>
      </c>
      <c r="F1198" s="2">
        <v>55228</v>
      </c>
      <c r="G1198" t="s">
        <v>18</v>
      </c>
      <c r="H1198">
        <f>F1198/Tabla2[[#This Row],[Cosecha Mensual]]</f>
        <v>7.1105961117548606</v>
      </c>
      <c r="I1198">
        <f>H1198*_xlfn.XLOOKUP(Tabla2[[#This Row],[Unidad de producción]],Tabla3[Medida],Tabla3[Equivalencia en Kg],"ELVIS",0)</f>
        <v>322.53663962920047</v>
      </c>
      <c r="J1198">
        <v>445.1216</v>
      </c>
      <c r="K1198" t="s">
        <v>18</v>
      </c>
      <c r="L1198">
        <f>J1198/_xlfn.XLOOKUP(Tabla2[[#This Row],[Unidad de precio]],Tabla3[Medida],Tabla3[Equivalencia en Kg],"ELVIS",0)</f>
        <v>9.8130864197530858</v>
      </c>
      <c r="M1198">
        <v>5429.7257056660201</v>
      </c>
      <c r="N1198" s="2">
        <f>(Tabla2[[#This Row],[Productividad (kg/TAS)]]*Tabla2[[#This Row],[Precio por kg]]-Tabla2[[#This Row],[Costos (En RD$/Tarea)]])</f>
        <v>-2264.6457874479179</v>
      </c>
      <c r="O1198" s="6">
        <f>IF(Tabla2[[#This Row],[Costos (En RD$/Tarea)]]=0,0,Tabla2[[#This Row],[Beneficio Neto  (En RD$/Tarea)]]/Tabla2[[#This Row],[Costos (En RD$/Tarea)]])</f>
        <v>-0.41708290808957765</v>
      </c>
      <c r="P1198" s="4">
        <f>Tabla2[[#This Row],[Rentabilidad (%)]]/12</f>
        <v>-3.4756909007464802E-2</v>
      </c>
    </row>
    <row r="1199" spans="1:16" x14ac:dyDescent="0.35">
      <c r="A1199" s="1">
        <v>39539</v>
      </c>
      <c r="B1199" t="s">
        <v>28</v>
      </c>
      <c r="C1199" s="2">
        <v>50</v>
      </c>
      <c r="D1199" s="5" t="s">
        <v>17</v>
      </c>
      <c r="E1199" s="2">
        <f>IF(Tabla2[[#This Row],[Frecuencia]]="Annual", Tabla2[[#This Row],[Cosecha/Tarea]]/12,Tabla2[[#This Row],[Cosecha/Tarea]])</f>
        <v>50</v>
      </c>
      <c r="F1199" s="2">
        <v>5</v>
      </c>
      <c r="G1199" t="s">
        <v>29</v>
      </c>
      <c r="H1199">
        <f>F1199/Tabla2[[#This Row],[Cosecha Mensual]]</f>
        <v>0.1</v>
      </c>
      <c r="I1199">
        <f>H1199*_xlfn.XLOOKUP(Tabla2[[#This Row],[Unidad de producción]],Tabla3[Medida],Tabla3[Equivalencia en Kg],"ELVIS",0)</f>
        <v>56.234000000000009</v>
      </c>
      <c r="J1199">
        <v>6500</v>
      </c>
      <c r="K1199" t="s">
        <v>29</v>
      </c>
      <c r="L1199">
        <f>J1199/_xlfn.XLOOKUP(Tabla2[[#This Row],[Unidad de precio]],Tabla3[Medida],Tabla3[Equivalencia en Kg],"ELVIS",0)</f>
        <v>11.558843404346124</v>
      </c>
      <c r="M1199">
        <v>4903.3716657183304</v>
      </c>
      <c r="N1199" s="2">
        <f>(Tabla2[[#This Row],[Productividad (kg/TAS)]]*Tabla2[[#This Row],[Precio por kg]]-Tabla2[[#This Row],[Costos (En RD$/Tarea)]])</f>
        <v>-4253.3716657183304</v>
      </c>
      <c r="O1199" s="6">
        <f>IF(Tabla2[[#This Row],[Costos (En RD$/Tarea)]]=0,0,Tabla2[[#This Row],[Beneficio Neto  (En RD$/Tarea)]]/Tabla2[[#This Row],[Costos (En RD$/Tarea)]])</f>
        <v>-0.86743815392489187</v>
      </c>
      <c r="P1199" s="4">
        <f>Tabla2[[#This Row],[Rentabilidad (%)]]/12</f>
        <v>-7.2286512827074323E-2</v>
      </c>
    </row>
    <row r="1200" spans="1:16" x14ac:dyDescent="0.35">
      <c r="A1200" s="1">
        <v>39539</v>
      </c>
      <c r="B1200" t="s">
        <v>30</v>
      </c>
      <c r="C1200" s="2">
        <v>287000</v>
      </c>
      <c r="D1200" s="2" t="s">
        <v>31</v>
      </c>
      <c r="E1200" s="2">
        <f>IF(Tabla2[[#This Row],[Frecuencia]]="Annual", Tabla2[[#This Row],[Cosecha/Tarea]]/12,Tabla2[[#This Row],[Cosecha/Tarea]])</f>
        <v>23916.666666666668</v>
      </c>
      <c r="F1200" s="2">
        <v>1435893</v>
      </c>
      <c r="G1200" t="s">
        <v>32</v>
      </c>
      <c r="H1200">
        <f>F1200/Tabla2[[#This Row],[Cosecha Mensual]]</f>
        <v>60.037337979094076</v>
      </c>
      <c r="I1200">
        <f>H1200*_xlfn.XLOOKUP(Tabla2[[#This Row],[Unidad de producción]],Tabla3[Medida],Tabla3[Equivalencia en Kg],"ELVIS",0)</f>
        <v>1633.6159664111499</v>
      </c>
      <c r="J1200">
        <v>103.166666666667</v>
      </c>
      <c r="K1200" t="s">
        <v>32</v>
      </c>
      <c r="L1200">
        <f>J1200/_xlfn.XLOOKUP(Tabla2[[#This Row],[Unidad de precio]],Tabla3[Medida],Tabla3[Equivalencia en Kg],"ELVIS",0)</f>
        <v>3.7914982236922823</v>
      </c>
      <c r="M1200" s="2">
        <v>8644.7793050524706</v>
      </c>
      <c r="N1200" s="2">
        <f>(Tabla2[[#This Row],[Productividad (kg/TAS)]]*Tabla2[[#This Row],[Precio por kg]]-Tabla2[[#This Row],[Costos (En RD$/Tarea)]])</f>
        <v>-2450.9272702092449</v>
      </c>
      <c r="O1200" s="6">
        <f>IF(Tabla2[[#This Row],[Costos (En RD$/Tarea)]]=0,0,Tabla2[[#This Row],[Beneficio Neto  (En RD$/Tarea)]]/Tabla2[[#This Row],[Costos (En RD$/Tarea)]])</f>
        <v>-0.28351530834069899</v>
      </c>
      <c r="P1200" s="4">
        <f>Tabla2[[#This Row],[Rentabilidad (%)]]/12</f>
        <v>-2.3626275695058249E-2</v>
      </c>
    </row>
    <row r="1201" spans="1:16" x14ac:dyDescent="0.35">
      <c r="A1201" s="1">
        <v>39539</v>
      </c>
      <c r="B1201" t="s">
        <v>33</v>
      </c>
      <c r="C1201" s="2">
        <v>587151</v>
      </c>
      <c r="D1201" s="2" t="s">
        <v>31</v>
      </c>
      <c r="E1201" s="8">
        <f>IF(Tabla2[[#This Row],[Frecuencia]]="Annual", Tabla2[[#This Row],[Cosecha/Tarea]]/12,Tabla2[[#This Row],[Cosecha/Tarea]])</f>
        <v>48929.25</v>
      </c>
      <c r="F1201" s="2">
        <v>99883</v>
      </c>
      <c r="G1201" t="s">
        <v>34</v>
      </c>
      <c r="H1201">
        <f>F1201/Tabla2[[#This Row],[Cosecha Mensual]]</f>
        <v>2.0413760685070792</v>
      </c>
      <c r="I1201">
        <f>H1201*_xlfn.XLOOKUP(Tabla2[[#This Row],[Unidad de producción]],Tabla3[Medida],Tabla3[Equivalencia en Kg],"ELVIS",0)</f>
        <v>833.18764236116431</v>
      </c>
      <c r="J1201">
        <v>4917.7083333333303</v>
      </c>
      <c r="K1201" t="s">
        <v>34</v>
      </c>
      <c r="L1201">
        <f>J1201/_xlfn.XLOOKUP(Tabla2[[#This Row],[Unidad de precio]],Tabla3[Medida],Tabla3[Equivalencia en Kg],"ELVIS",0)</f>
        <v>12.048777001919222</v>
      </c>
      <c r="M1201" s="2">
        <v>8418.1288680949201</v>
      </c>
      <c r="N1201" s="2">
        <f>(Tabla2[[#This Row],[Productividad (kg/TAS)]]*Tabla2[[#This Row],[Precio por kg]]-Tabla2[[#This Row],[Costos (En RD$/Tarea)]])</f>
        <v>1620.7632354695743</v>
      </c>
      <c r="O1201" s="6">
        <f>IF(Tabla2[[#This Row],[Costos (En RD$/Tarea)]]=0,0,Tabla2[[#This Row],[Beneficio Neto  (En RD$/Tarea)]]/Tabla2[[#This Row],[Costos (En RD$/Tarea)]])</f>
        <v>0.19253248089517119</v>
      </c>
      <c r="P1201" s="4">
        <f>Tabla2[[#This Row],[Rentabilidad (%)]]/12</f>
        <v>1.6044373407930933E-2</v>
      </c>
    </row>
    <row r="1202" spans="1:16" x14ac:dyDescent="0.35">
      <c r="A1202" s="1">
        <v>39569</v>
      </c>
      <c r="B1202" t="s">
        <v>16</v>
      </c>
      <c r="C1202" s="2">
        <v>438526</v>
      </c>
      <c r="D1202" s="5" t="s">
        <v>17</v>
      </c>
      <c r="E1202" s="2">
        <f>IF(Tabla2[[#This Row],[Frecuencia]]="Annual", Tabla2[[#This Row],[Cosecha/Tarea]]/12,Tabla2[[#This Row],[Cosecha/Tarea]])</f>
        <v>438526</v>
      </c>
      <c r="F1202" s="2">
        <v>2169959</v>
      </c>
      <c r="G1202" t="s">
        <v>18</v>
      </c>
      <c r="H1202">
        <f>F1202/Tabla2[[#This Row],[Cosecha Mensual]]</f>
        <v>4.9483018110670747</v>
      </c>
      <c r="I1202">
        <f>H1202*_xlfn.XLOOKUP(Tabla2[[#This Row],[Unidad de producción]],Tabla3[Medida],Tabla3[Equivalencia en Kg],"ELVIS",0)</f>
        <v>224.45497015000251</v>
      </c>
      <c r="J1202">
        <v>1120</v>
      </c>
      <c r="K1202" t="s">
        <v>19</v>
      </c>
      <c r="L1202">
        <f>J1202/_xlfn.XLOOKUP(Tabla2[[#This Row],[Unidad de precio]],Tabla3[Medida],Tabla3[Equivalencia en Kg],"ELVIS",0)</f>
        <v>10.181818181818182</v>
      </c>
      <c r="M1202">
        <v>6402.1671715266002</v>
      </c>
      <c r="N1202" s="2">
        <f>(Tabla2[[#This Row],[Productividad (kg/TAS)]]*Tabla2[[#This Row],[Precio por kg]]-Tabla2[[#This Row],[Costos (En RD$/Tarea)]])</f>
        <v>-4116.8074754538475</v>
      </c>
      <c r="O1202" s="6">
        <f>IF(Tabla2[[#This Row],[Costos (En RD$/Tarea)]]=0,0,Tabla2[[#This Row],[Beneficio Neto  (En RD$/Tarea)]]/Tabla2[[#This Row],[Costos (En RD$/Tarea)]])</f>
        <v>-0.64303342370739636</v>
      </c>
      <c r="P1202" s="4">
        <f>Tabla2[[#This Row],[Rentabilidad (%)]]/12</f>
        <v>-5.3586118642283027E-2</v>
      </c>
    </row>
    <row r="1203" spans="1:16" x14ac:dyDescent="0.35">
      <c r="A1203" s="1">
        <v>39569</v>
      </c>
      <c r="B1203" t="s">
        <v>20</v>
      </c>
      <c r="C1203" s="2">
        <v>16685</v>
      </c>
      <c r="D1203" s="5" t="s">
        <v>17</v>
      </c>
      <c r="E1203" s="2">
        <f>IF(Tabla2[[#This Row],[Frecuencia]]="Annual", Tabla2[[#This Row],[Cosecha/Tarea]]/12,Tabla2[[#This Row],[Cosecha/Tarea]])</f>
        <v>16685</v>
      </c>
      <c r="F1203" s="2">
        <v>32648</v>
      </c>
      <c r="G1203" t="s">
        <v>18</v>
      </c>
      <c r="H1203">
        <f>F1203/Tabla2[[#This Row],[Cosecha Mensual]]</f>
        <v>1.9567275996403957</v>
      </c>
      <c r="I1203">
        <f>H1203*_xlfn.XLOOKUP(Tabla2[[#This Row],[Unidad de producción]],Tabla3[Medida],Tabla3[Equivalencia en Kg],"ELVIS",0)</f>
        <v>88.757163919688352</v>
      </c>
      <c r="J1203">
        <v>812.84666666666703</v>
      </c>
      <c r="K1203" t="s">
        <v>18</v>
      </c>
      <c r="L1203">
        <f>J1203/_xlfn.XLOOKUP(Tabla2[[#This Row],[Unidad de precio]],Tabla3[Medida],Tabla3[Equivalencia en Kg],"ELVIS",0)</f>
        <v>17.919900058788954</v>
      </c>
      <c r="M1203">
        <v>1490.9040199825199</v>
      </c>
      <c r="N1203" s="2">
        <f>(Tabla2[[#This Row],[Productividad (kg/TAS)]]*Tabla2[[#This Row],[Precio por kg]]-Tabla2[[#This Row],[Costos (En RD$/Tarea)]])</f>
        <v>99.615486959844247</v>
      </c>
      <c r="O1203" s="6">
        <f>IF(Tabla2[[#This Row],[Costos (En RD$/Tarea)]]=0,0,Tabla2[[#This Row],[Beneficio Neto  (En RD$/Tarea)]]/Tabla2[[#This Row],[Costos (En RD$/Tarea)]])</f>
        <v>6.6815492898739504E-2</v>
      </c>
      <c r="P1203" s="4">
        <f>Tabla2[[#This Row],[Rentabilidad (%)]]/12</f>
        <v>5.5679577415616256E-3</v>
      </c>
    </row>
    <row r="1204" spans="1:16" x14ac:dyDescent="0.35">
      <c r="A1204" s="1">
        <v>39569</v>
      </c>
      <c r="B1204" t="s">
        <v>21</v>
      </c>
      <c r="C1204" s="2">
        <v>6905</v>
      </c>
      <c r="D1204" s="5" t="s">
        <v>17</v>
      </c>
      <c r="E1204" s="2">
        <f>IF(Tabla2[[#This Row],[Frecuencia]]="Annual", Tabla2[[#This Row],[Cosecha/Tarea]]/12,Tabla2[[#This Row],[Cosecha/Tarea]])</f>
        <v>6905</v>
      </c>
      <c r="F1204" s="2">
        <v>76423</v>
      </c>
      <c r="G1204" t="s">
        <v>18</v>
      </c>
      <c r="H1204">
        <f>F1204/Tabla2[[#This Row],[Cosecha Mensual]]</f>
        <v>11.06777697320782</v>
      </c>
      <c r="I1204">
        <f>H1204*_xlfn.XLOOKUP(Tabla2[[#This Row],[Unidad de producción]],Tabla3[Medida],Tabla3[Equivalencia en Kg],"ELVIS",0)</f>
        <v>502.03436350470673</v>
      </c>
      <c r="J1204">
        <v>664.24</v>
      </c>
      <c r="K1204" t="s">
        <v>18</v>
      </c>
      <c r="L1204">
        <f>J1204/_xlfn.XLOOKUP(Tabla2[[#This Row],[Unidad de precio]],Tabla3[Medida],Tabla3[Equivalencia en Kg],"ELVIS",0)</f>
        <v>14.64373897707231</v>
      </c>
      <c r="M1204">
        <v>3935.0401959000001</v>
      </c>
      <c r="N1204" s="2">
        <f>(Tabla2[[#This Row],[Productividad (kg/TAS)]]*Tabla2[[#This Row],[Precio por kg]]-Tabla2[[#This Row],[Costos (En RD$/Tarea)]])</f>
        <v>3416.6199807835628</v>
      </c>
      <c r="O1204" s="6">
        <f>IF(Tabla2[[#This Row],[Costos (En RD$/Tarea)]]=0,0,Tabla2[[#This Row],[Beneficio Neto  (En RD$/Tarea)]]/Tabla2[[#This Row],[Costos (En RD$/Tarea)]])</f>
        <v>0.86825542070533612</v>
      </c>
      <c r="P1204" s="4">
        <f>Tabla2[[#This Row],[Rentabilidad (%)]]/12</f>
        <v>7.2354618392111339E-2</v>
      </c>
    </row>
    <row r="1205" spans="1:16" x14ac:dyDescent="0.35">
      <c r="A1205" s="1">
        <v>39569</v>
      </c>
      <c r="B1205" t="s">
        <v>22</v>
      </c>
      <c r="C1205" s="2">
        <v>4947</v>
      </c>
      <c r="D1205" s="5" t="s">
        <v>17</v>
      </c>
      <c r="E1205" s="2">
        <f>IF(Tabla2[[#This Row],[Frecuencia]]="Annual", Tabla2[[#This Row],[Cosecha/Tarea]]/12,Tabla2[[#This Row],[Cosecha/Tarea]])</f>
        <v>4947</v>
      </c>
      <c r="F1205" s="2">
        <v>48128</v>
      </c>
      <c r="G1205" t="s">
        <v>18</v>
      </c>
      <c r="H1205">
        <f>F1205/Tabla2[[#This Row],[Cosecha Mensual]]</f>
        <v>9.7287244794825138</v>
      </c>
      <c r="I1205">
        <f>H1205*_xlfn.XLOOKUP(Tabla2[[#This Row],[Unidad de producción]],Tabla3[Medida],Tabla3[Equivalencia en Kg],"ELVIS",0)</f>
        <v>441.29494238932682</v>
      </c>
      <c r="J1205">
        <v>890.5</v>
      </c>
      <c r="K1205" t="s">
        <v>18</v>
      </c>
      <c r="L1205">
        <f>J1205/_xlfn.XLOOKUP(Tabla2[[#This Row],[Unidad de precio]],Tabla3[Medida],Tabla3[Equivalencia en Kg],"ELVIS",0)</f>
        <v>19.631834215167547</v>
      </c>
      <c r="M1205">
        <v>6901.0735717535999</v>
      </c>
      <c r="N1205" s="2">
        <f>(Tabla2[[#This Row],[Productividad (kg/TAS)]]*Tabla2[[#This Row],[Precio por kg]]-Tabla2[[#This Row],[Costos (En RD$/Tarea)]])</f>
        <v>1762.3555772255777</v>
      </c>
      <c r="O1205" s="6">
        <f>IF(Tabla2[[#This Row],[Costos (En RD$/Tarea)]]=0,0,Tabla2[[#This Row],[Beneficio Neto  (En RD$/Tarea)]]/Tabla2[[#This Row],[Costos (En RD$/Tarea)]])</f>
        <v>0.25537411808489874</v>
      </c>
      <c r="P1205" s="4">
        <f>Tabla2[[#This Row],[Rentabilidad (%)]]/12</f>
        <v>2.1281176507074895E-2</v>
      </c>
    </row>
    <row r="1206" spans="1:16" x14ac:dyDescent="0.35">
      <c r="A1206" s="1">
        <v>39569</v>
      </c>
      <c r="B1206" t="s">
        <v>23</v>
      </c>
      <c r="C1206" s="2">
        <v>3709</v>
      </c>
      <c r="D1206" s="5" t="s">
        <v>17</v>
      </c>
      <c r="E1206" s="2">
        <f>IF(Tabla2[[#This Row],[Frecuencia]]="Annual", Tabla2[[#This Row],[Cosecha/Tarea]]/12,Tabla2[[#This Row],[Cosecha/Tarea]])</f>
        <v>3709</v>
      </c>
      <c r="F1206" s="2">
        <v>89261</v>
      </c>
      <c r="G1206" t="s">
        <v>18</v>
      </c>
      <c r="H1206">
        <f>F1206/Tabla2[[#This Row],[Cosecha Mensual]]</f>
        <v>24.066055540576976</v>
      </c>
      <c r="I1206">
        <f>H1206*_xlfn.XLOOKUP(Tabla2[[#This Row],[Unidad de producción]],Tabla3[Medida],Tabla3[Equivalencia en Kg],"ELVIS",0)</f>
        <v>1091.6362793205717</v>
      </c>
      <c r="J1206">
        <v>816.66666666666697</v>
      </c>
      <c r="K1206" t="s">
        <v>18</v>
      </c>
      <c r="L1206">
        <f>J1206/_xlfn.XLOOKUP(Tabla2[[#This Row],[Unidad de precio]],Tabla3[Medida],Tabla3[Equivalencia en Kg],"ELVIS",0)</f>
        <v>18.004115226337454</v>
      </c>
      <c r="M1206">
        <v>17874.25</v>
      </c>
      <c r="N1206" s="2">
        <f>(Tabla2[[#This Row],[Productividad (kg/TAS)]]*Tabla2[[#This Row],[Precio por kg]]-Tabla2[[#This Row],[Costos (En RD$/Tarea)]])</f>
        <v>1779.695358137873</v>
      </c>
      <c r="O1206" s="6">
        <f>IF(Tabla2[[#This Row],[Costos (En RD$/Tarea)]]=0,0,Tabla2[[#This Row],[Beneficio Neto  (En RD$/Tarea)]]/Tabla2[[#This Row],[Costos (En RD$/Tarea)]])</f>
        <v>9.9567554338664446E-2</v>
      </c>
      <c r="P1206" s="4">
        <f>Tabla2[[#This Row],[Rentabilidad (%)]]/12</f>
        <v>8.2972961948887033E-3</v>
      </c>
    </row>
    <row r="1207" spans="1:16" x14ac:dyDescent="0.35">
      <c r="A1207" s="1">
        <v>39569</v>
      </c>
      <c r="B1207" t="s">
        <v>24</v>
      </c>
      <c r="C1207" s="2">
        <v>5173</v>
      </c>
      <c r="D1207" s="5" t="s">
        <v>17</v>
      </c>
      <c r="E1207" s="2">
        <f>IF(Tabla2[[#This Row],[Frecuencia]]="Annual", Tabla2[[#This Row],[Cosecha/Tarea]]/12,Tabla2[[#This Row],[Cosecha/Tarea]])</f>
        <v>5173</v>
      </c>
      <c r="F1207" s="2">
        <v>41885</v>
      </c>
      <c r="G1207" t="s">
        <v>18</v>
      </c>
      <c r="H1207">
        <f>F1207/Tabla2[[#This Row],[Cosecha Mensual]]</f>
        <v>8.0968490237773061</v>
      </c>
      <c r="I1207">
        <f>H1207*_xlfn.XLOOKUP(Tabla2[[#This Row],[Unidad de producción]],Tabla3[Medida],Tabla3[Equivalencia en Kg],"ELVIS",0)</f>
        <v>367.27307171853857</v>
      </c>
      <c r="J1207">
        <v>1057.5</v>
      </c>
      <c r="K1207" t="s">
        <v>18</v>
      </c>
      <c r="L1207">
        <f>J1207/_xlfn.XLOOKUP(Tabla2[[#This Row],[Unidad de precio]],Tabla3[Medida],Tabla3[Equivalencia en Kg],"ELVIS",0)</f>
        <v>23.313492063492063</v>
      </c>
      <c r="M1207">
        <v>5602.3420621674204</v>
      </c>
      <c r="N1207" s="2">
        <f>(Tabla2[[#This Row],[Productividad (kg/TAS)]]*Tabla2[[#This Row],[Precio por kg]]-Tabla2[[#This Row],[Costos (En RD$/Tarea)]])</f>
        <v>2960.0757804770792</v>
      </c>
      <c r="O1207" s="6">
        <f>IF(Tabla2[[#This Row],[Costos (En RD$/Tarea)]]=0,0,Tabla2[[#This Row],[Beneficio Neto  (En RD$/Tarea)]]/Tabla2[[#This Row],[Costos (En RD$/Tarea)]])</f>
        <v>0.52836398556711694</v>
      </c>
      <c r="P1207" s="4">
        <f>Tabla2[[#This Row],[Rentabilidad (%)]]/12</f>
        <v>4.4030332130593076E-2</v>
      </c>
    </row>
    <row r="1208" spans="1:16" x14ac:dyDescent="0.35">
      <c r="A1208" s="1">
        <v>39569</v>
      </c>
      <c r="B1208" t="s">
        <v>25</v>
      </c>
      <c r="C1208" s="2">
        <v>15882</v>
      </c>
      <c r="D1208" s="5" t="s">
        <v>17</v>
      </c>
      <c r="E1208" s="2">
        <f>IF(Tabla2[[#This Row],[Frecuencia]]="Annual", Tabla2[[#This Row],[Cosecha/Tarea]]/12,Tabla2[[#This Row],[Cosecha/Tarea]])</f>
        <v>15882</v>
      </c>
      <c r="F1208" s="2">
        <v>158884</v>
      </c>
      <c r="G1208" t="s">
        <v>18</v>
      </c>
      <c r="H1208">
        <f>F1208/Tabla2[[#This Row],[Cosecha Mensual]]</f>
        <v>10.004029719178945</v>
      </c>
      <c r="I1208">
        <f>H1208*_xlfn.XLOOKUP(Tabla2[[#This Row],[Unidad de producción]],Tabla3[Medida],Tabla3[Equivalencia en Kg],"ELVIS",0)</f>
        <v>453.78278806195692</v>
      </c>
      <c r="J1208">
        <v>1096.9960000000001</v>
      </c>
      <c r="K1208" t="s">
        <v>18</v>
      </c>
      <c r="L1208">
        <f>J1208/_xlfn.XLOOKUP(Tabla2[[#This Row],[Unidad de precio]],Tabla3[Medida],Tabla3[Equivalencia en Kg],"ELVIS",0)</f>
        <v>24.184215167548505</v>
      </c>
      <c r="M1208">
        <v>3201.64901153456</v>
      </c>
      <c r="N1208" s="2">
        <f>(Tabla2[[#This Row],[Productividad (kg/TAS)]]*Tabla2[[#This Row],[Precio por kg]]-Tabla2[[#This Row],[Costos (En RD$/Tarea)]])</f>
        <v>7772.7315742858664</v>
      </c>
      <c r="O1208" s="6">
        <f>IF(Tabla2[[#This Row],[Costos (En RD$/Tarea)]]=0,0,Tabla2[[#This Row],[Beneficio Neto  (En RD$/Tarea)]]/Tabla2[[#This Row],[Costos (En RD$/Tarea)]])</f>
        <v>2.4277275698501293</v>
      </c>
      <c r="P1208" s="4">
        <f>Tabla2[[#This Row],[Rentabilidad (%)]]/12</f>
        <v>0.20231063082084411</v>
      </c>
    </row>
    <row r="1209" spans="1:16" x14ac:dyDescent="0.35">
      <c r="A1209" s="1">
        <v>39569</v>
      </c>
      <c r="B1209" t="s">
        <v>26</v>
      </c>
      <c r="C1209" s="2">
        <v>12349</v>
      </c>
      <c r="D1209" s="5" t="s">
        <v>17</v>
      </c>
      <c r="E1209" s="2">
        <f>IF(Tabla2[[#This Row],[Frecuencia]]="Annual", Tabla2[[#This Row],[Cosecha/Tarea]]/12,Tabla2[[#This Row],[Cosecha/Tarea]])</f>
        <v>12349</v>
      </c>
      <c r="F1209" s="2">
        <v>85193</v>
      </c>
      <c r="G1209" t="s">
        <v>18</v>
      </c>
      <c r="H1209">
        <f>F1209/Tabla2[[#This Row],[Cosecha Mensual]]</f>
        <v>6.898777228925419</v>
      </c>
      <c r="I1209">
        <f>H1209*_xlfn.XLOOKUP(Tabla2[[#This Row],[Unidad de producción]],Tabla3[Medida],Tabla3[Equivalencia en Kg],"ELVIS",0)</f>
        <v>312.928535104057</v>
      </c>
      <c r="J1209">
        <v>657.8125</v>
      </c>
      <c r="K1209" t="s">
        <v>18</v>
      </c>
      <c r="L1209">
        <f>J1209/_xlfn.XLOOKUP(Tabla2[[#This Row],[Unidad de precio]],Tabla3[Medida],Tabla3[Equivalencia en Kg],"ELVIS",0)</f>
        <v>14.502039241622574</v>
      </c>
      <c r="M1209">
        <v>1294.9257376989401</v>
      </c>
      <c r="N1209" s="2">
        <f>(Tabla2[[#This Row],[Productividad (kg/TAS)]]*Tabla2[[#This Row],[Precio por kg]]-Tabla2[[#This Row],[Costos (En RD$/Tarea)]])</f>
        <v>3243.1761582035624</v>
      </c>
      <c r="O1209" s="6">
        <f>IF(Tabla2[[#This Row],[Costos (En RD$/Tarea)]]=0,0,Tabla2[[#This Row],[Beneficio Neto  (En RD$/Tarea)]]/Tabla2[[#This Row],[Costos (En RD$/Tarea)]])</f>
        <v>2.5045267568521949</v>
      </c>
      <c r="P1209" s="4">
        <f>Tabla2[[#This Row],[Rentabilidad (%)]]/12</f>
        <v>0.20871056307101624</v>
      </c>
    </row>
    <row r="1210" spans="1:16" x14ac:dyDescent="0.35">
      <c r="A1210" s="1">
        <v>39569</v>
      </c>
      <c r="B1210" t="s">
        <v>27</v>
      </c>
      <c r="C1210" s="2">
        <v>7939</v>
      </c>
      <c r="D1210" s="5" t="s">
        <v>17</v>
      </c>
      <c r="E1210" s="2">
        <f>IF(Tabla2[[#This Row],[Frecuencia]]="Annual", Tabla2[[#This Row],[Cosecha/Tarea]]/12,Tabla2[[#This Row],[Cosecha/Tarea]])</f>
        <v>7939</v>
      </c>
      <c r="F1210" s="2">
        <v>50477</v>
      </c>
      <c r="G1210" t="s">
        <v>18</v>
      </c>
      <c r="H1210">
        <f>F1210/Tabla2[[#This Row],[Cosecha Mensual]]</f>
        <v>6.3581055548557757</v>
      </c>
      <c r="I1210">
        <f>H1210*_xlfn.XLOOKUP(Tabla2[[#This Row],[Unidad de producción]],Tabla3[Medida],Tabla3[Equivalencia en Kg],"ELVIS",0)</f>
        <v>288.40366796825799</v>
      </c>
      <c r="J1210">
        <v>402.42160000000001</v>
      </c>
      <c r="K1210" t="s">
        <v>18</v>
      </c>
      <c r="L1210">
        <f>J1210/_xlfn.XLOOKUP(Tabla2[[#This Row],[Unidad de precio]],Tabla3[Medida],Tabla3[Equivalencia en Kg],"ELVIS",0)</f>
        <v>8.8717283950617283</v>
      </c>
      <c r="M1210">
        <v>5429.7257056660201</v>
      </c>
      <c r="N1210" s="2">
        <f>(Tabla2[[#This Row],[Productividad (kg/TAS)]]*Tabla2[[#This Row],[Precio por kg]]-Tabla2[[#This Row],[Costos (En RD$/Tarea)]])</f>
        <v>-2871.0866953120712</v>
      </c>
      <c r="O1210" s="6">
        <f>IF(Tabla2[[#This Row],[Costos (En RD$/Tarea)]]=0,0,Tabla2[[#This Row],[Beneficio Neto  (En RD$/Tarea)]]/Tabla2[[#This Row],[Costos (En RD$/Tarea)]])</f>
        <v>-0.52877195846487024</v>
      </c>
      <c r="P1210" s="4">
        <f>Tabla2[[#This Row],[Rentabilidad (%)]]/12</f>
        <v>-4.4064329872072518E-2</v>
      </c>
    </row>
    <row r="1211" spans="1:16" x14ac:dyDescent="0.35">
      <c r="A1211" s="1">
        <v>39569</v>
      </c>
      <c r="B1211" t="s">
        <v>28</v>
      </c>
      <c r="C1211" s="2">
        <v>212</v>
      </c>
      <c r="D1211" s="5" t="s">
        <v>17</v>
      </c>
      <c r="E1211" s="2">
        <f>IF(Tabla2[[#This Row],[Frecuencia]]="Annual", Tabla2[[#This Row],[Cosecha/Tarea]]/12,Tabla2[[#This Row],[Cosecha/Tarea]])</f>
        <v>212</v>
      </c>
      <c r="F1211" s="2">
        <v>53</v>
      </c>
      <c r="G1211" t="s">
        <v>29</v>
      </c>
      <c r="H1211">
        <f>F1211/Tabla2[[#This Row],[Cosecha Mensual]]</f>
        <v>0.25</v>
      </c>
      <c r="I1211">
        <f>H1211*_xlfn.XLOOKUP(Tabla2[[#This Row],[Unidad de producción]],Tabla3[Medida],Tabla3[Equivalencia en Kg],"ELVIS",0)</f>
        <v>140.58500000000001</v>
      </c>
      <c r="J1211">
        <v>6200</v>
      </c>
      <c r="K1211" t="s">
        <v>29</v>
      </c>
      <c r="L1211">
        <f>J1211/_xlfn.XLOOKUP(Tabla2[[#This Row],[Unidad de precio]],Tabla3[Medida],Tabla3[Equivalencia en Kg],"ELVIS",0)</f>
        <v>11.025358324145534</v>
      </c>
      <c r="M1211">
        <v>4903.3716657183304</v>
      </c>
      <c r="N1211" s="2">
        <f>(Tabla2[[#This Row],[Productividad (kg/TAS)]]*Tabla2[[#This Row],[Precio por kg]]-Tabla2[[#This Row],[Costos (En RD$/Tarea)]])</f>
        <v>-3353.3716657183304</v>
      </c>
      <c r="O1211" s="6">
        <f>IF(Tabla2[[#This Row],[Costos (En RD$/Tarea)]]=0,0,Tabla2[[#This Row],[Beneficio Neto  (En RD$/Tarea)]]/Tabla2[[#This Row],[Costos (En RD$/Tarea)]])</f>
        <v>-0.68389098243628055</v>
      </c>
      <c r="P1211" s="4">
        <f>Tabla2[[#This Row],[Rentabilidad (%)]]/12</f>
        <v>-5.6990915203023379E-2</v>
      </c>
    </row>
    <row r="1212" spans="1:16" x14ac:dyDescent="0.35">
      <c r="A1212" s="1">
        <v>39569</v>
      </c>
      <c r="B1212" t="s">
        <v>30</v>
      </c>
      <c r="C1212" s="2">
        <v>292588</v>
      </c>
      <c r="D1212" s="2" t="s">
        <v>31</v>
      </c>
      <c r="E1212" s="2">
        <f>IF(Tabla2[[#This Row],[Frecuencia]]="Annual", Tabla2[[#This Row],[Cosecha/Tarea]]/12,Tabla2[[#This Row],[Cosecha/Tarea]])</f>
        <v>24382.333333333332</v>
      </c>
      <c r="F1212" s="2">
        <v>1508833</v>
      </c>
      <c r="G1212" t="s">
        <v>32</v>
      </c>
      <c r="H1212">
        <f>F1212/Tabla2[[#This Row],[Cosecha Mensual]]</f>
        <v>61.8822234678114</v>
      </c>
      <c r="I1212">
        <f>H1212*_xlfn.XLOOKUP(Tabla2[[#This Row],[Unidad de producción]],Tabla3[Medida],Tabla3[Equivalencia en Kg],"ELVIS",0)</f>
        <v>1683.8153005591482</v>
      </c>
      <c r="J1212">
        <v>109.9</v>
      </c>
      <c r="K1212" t="s">
        <v>32</v>
      </c>
      <c r="L1212">
        <f>J1212/_xlfn.XLOOKUP(Tabla2[[#This Row],[Unidad de precio]],Tabla3[Medida],Tabla3[Equivalencia en Kg],"ELVIS",0)</f>
        <v>4.0389562660786478</v>
      </c>
      <c r="M1212" s="2">
        <v>8644.7793050524706</v>
      </c>
      <c r="N1212" s="2">
        <f>(Tabla2[[#This Row],[Productividad (kg/TAS)]]*Tabla2[[#This Row],[Precio por kg]]-Tabla2[[#This Row],[Costos (En RD$/Tarea)]])</f>
        <v>-1843.9229459399976</v>
      </c>
      <c r="O1212" s="6">
        <f>IF(Tabla2[[#This Row],[Costos (En RD$/Tarea)]]=0,0,Tabla2[[#This Row],[Beneficio Neto  (En RD$/Tarea)]]/Tabla2[[#This Row],[Costos (En RD$/Tarea)]])</f>
        <v>-0.21329901908106672</v>
      </c>
      <c r="P1212" s="4">
        <f>Tabla2[[#This Row],[Rentabilidad (%)]]/12</f>
        <v>-1.7774918256755558E-2</v>
      </c>
    </row>
    <row r="1213" spans="1:16" x14ac:dyDescent="0.35">
      <c r="A1213" s="1">
        <v>39569</v>
      </c>
      <c r="B1213" t="s">
        <v>33</v>
      </c>
      <c r="C1213" s="2">
        <v>589591</v>
      </c>
      <c r="D1213" s="2" t="s">
        <v>31</v>
      </c>
      <c r="E1213" s="8">
        <f>IF(Tabla2[[#This Row],[Frecuencia]]="Annual", Tabla2[[#This Row],[Cosecha/Tarea]]/12,Tabla2[[#This Row],[Cosecha/Tarea]])</f>
        <v>49132.583333333336</v>
      </c>
      <c r="F1213" s="2">
        <v>100212</v>
      </c>
      <c r="G1213" t="s">
        <v>34</v>
      </c>
      <c r="H1213">
        <f>F1213/Tabla2[[#This Row],[Cosecha Mensual]]</f>
        <v>2.0396240783865425</v>
      </c>
      <c r="I1213">
        <f>H1213*_xlfn.XLOOKUP(Tabla2[[#This Row],[Unidad de producción]],Tabla3[Medida],Tabla3[Equivalencia en Kg],"ELVIS",0)</f>
        <v>832.47256759346726</v>
      </c>
      <c r="J1213">
        <v>4645.366</v>
      </c>
      <c r="K1213" t="s">
        <v>34</v>
      </c>
      <c r="L1213">
        <f>J1213/_xlfn.XLOOKUP(Tabla2[[#This Row],[Unidad de precio]],Tabla3[Medida],Tabla3[Equivalencia en Kg],"ELVIS",0)</f>
        <v>11.381516599289478</v>
      </c>
      <c r="M1213" s="2">
        <v>8418.1288680949201</v>
      </c>
      <c r="N1213" s="2">
        <f>(Tabla2[[#This Row],[Productividad (kg/TAS)]]*Tabla2[[#This Row],[Precio por kg]]-Tabla2[[#This Row],[Costos (En RD$/Tarea)]])</f>
        <v>1056.671478423259</v>
      </c>
      <c r="O1213" s="6">
        <f>IF(Tabla2[[#This Row],[Costos (En RD$/Tarea)]]=0,0,Tabla2[[#This Row],[Beneficio Neto  (En RD$/Tarea)]]/Tabla2[[#This Row],[Costos (En RD$/Tarea)]])</f>
        <v>0.12552331937184885</v>
      </c>
      <c r="P1213" s="4">
        <f>Tabla2[[#This Row],[Rentabilidad (%)]]/12</f>
        <v>1.0460276614320738E-2</v>
      </c>
    </row>
    <row r="1214" spans="1:16" x14ac:dyDescent="0.35">
      <c r="A1214" s="1">
        <v>39600</v>
      </c>
      <c r="B1214" t="s">
        <v>16</v>
      </c>
      <c r="C1214" s="2">
        <v>324591</v>
      </c>
      <c r="D1214" s="5" t="s">
        <v>17</v>
      </c>
      <c r="E1214" s="2">
        <f>IF(Tabla2[[#This Row],[Frecuencia]]="Annual", Tabla2[[#This Row],[Cosecha/Tarea]]/12,Tabla2[[#This Row],[Cosecha/Tarea]])</f>
        <v>324591</v>
      </c>
      <c r="F1214" s="2">
        <v>1747622</v>
      </c>
      <c r="G1214" t="s">
        <v>18</v>
      </c>
      <c r="H1214">
        <f>F1214/Tabla2[[#This Row],[Cosecha Mensual]]</f>
        <v>5.3840741117282978</v>
      </c>
      <c r="I1214">
        <f>H1214*_xlfn.XLOOKUP(Tabla2[[#This Row],[Unidad de producción]],Tabla3[Medida],Tabla3[Equivalencia en Kg],"ELVIS",0)</f>
        <v>244.22160170799557</v>
      </c>
      <c r="J1214">
        <v>1170.0840000000001</v>
      </c>
      <c r="K1214" t="s">
        <v>19</v>
      </c>
      <c r="L1214">
        <f>J1214/_xlfn.XLOOKUP(Tabla2[[#This Row],[Unidad de precio]],Tabla3[Medida],Tabla3[Equivalencia en Kg],"ELVIS",0)</f>
        <v>10.637127272727273</v>
      </c>
      <c r="M1214">
        <v>6402.1671715266002</v>
      </c>
      <c r="N1214" s="2">
        <f>(Tabla2[[#This Row],[Productividad (kg/TAS)]]*Tabla2[[#This Row],[Precio por kg]]-Tabla2[[#This Row],[Costos (En RD$/Tarea)]])</f>
        <v>-3804.3509114093431</v>
      </c>
      <c r="O1214" s="6">
        <f>IF(Tabla2[[#This Row],[Costos (En RD$/Tarea)]]=0,0,Tabla2[[#This Row],[Beneficio Neto  (En RD$/Tarea)]]/Tabla2[[#This Row],[Costos (En RD$/Tarea)]])</f>
        <v>-0.59422861188771392</v>
      </c>
      <c r="P1214" s="4">
        <f>Tabla2[[#This Row],[Rentabilidad (%)]]/12</f>
        <v>-4.9519050990642827E-2</v>
      </c>
    </row>
    <row r="1215" spans="1:16" x14ac:dyDescent="0.35">
      <c r="A1215" s="1">
        <v>39600</v>
      </c>
      <c r="B1215" t="s">
        <v>20</v>
      </c>
      <c r="C1215" s="2">
        <v>15505</v>
      </c>
      <c r="D1215" s="5" t="s">
        <v>17</v>
      </c>
      <c r="E1215" s="2">
        <f>IF(Tabla2[[#This Row],[Frecuencia]]="Annual", Tabla2[[#This Row],[Cosecha/Tarea]]/12,Tabla2[[#This Row],[Cosecha/Tarea]])</f>
        <v>15505</v>
      </c>
      <c r="F1215" s="2">
        <v>29055</v>
      </c>
      <c r="G1215" t="s">
        <v>18</v>
      </c>
      <c r="H1215">
        <f>F1215/Tabla2[[#This Row],[Cosecha Mensual]]</f>
        <v>1.873911641405998</v>
      </c>
      <c r="I1215">
        <f>H1215*_xlfn.XLOOKUP(Tabla2[[#This Row],[Unidad de producción]],Tabla3[Medida],Tabla3[Equivalencia en Kg],"ELVIS",0)</f>
        <v>85.000632054176066</v>
      </c>
      <c r="J1215">
        <v>925.25400000000002</v>
      </c>
      <c r="K1215" t="s">
        <v>18</v>
      </c>
      <c r="L1215">
        <f>J1215/_xlfn.XLOOKUP(Tabla2[[#This Row],[Unidad de precio]],Tabla3[Medida],Tabla3[Equivalencia en Kg],"ELVIS",0)</f>
        <v>20.398015873015872</v>
      </c>
      <c r="M1215">
        <v>1490.9040199825199</v>
      </c>
      <c r="N1215" s="2">
        <f>(Tabla2[[#This Row],[Productividad (kg/TAS)]]*Tabla2[[#This Row],[Precio por kg]]-Tabla2[[#This Row],[Costos (En RD$/Tarea)]])</f>
        <v>242.94022187494511</v>
      </c>
      <c r="O1215" s="6">
        <f>IF(Tabla2[[#This Row],[Costos (En RD$/Tarea)]]=0,0,Tabla2[[#This Row],[Beneficio Neto  (En RD$/Tarea)]]/Tabla2[[#This Row],[Costos (En RD$/Tarea)]])</f>
        <v>0.16294826401889603</v>
      </c>
      <c r="P1215" s="4">
        <f>Tabla2[[#This Row],[Rentabilidad (%)]]/12</f>
        <v>1.3579022001574669E-2</v>
      </c>
    </row>
    <row r="1216" spans="1:16" x14ac:dyDescent="0.35">
      <c r="A1216" s="1">
        <v>39600</v>
      </c>
      <c r="B1216" t="s">
        <v>21</v>
      </c>
      <c r="C1216" s="2">
        <v>7541</v>
      </c>
      <c r="D1216" s="5" t="s">
        <v>17</v>
      </c>
      <c r="E1216" s="2">
        <f>IF(Tabla2[[#This Row],[Frecuencia]]="Annual", Tabla2[[#This Row],[Cosecha/Tarea]]/12,Tabla2[[#This Row],[Cosecha/Tarea]])</f>
        <v>7541</v>
      </c>
      <c r="F1216" s="2">
        <v>81450</v>
      </c>
      <c r="G1216" t="s">
        <v>18</v>
      </c>
      <c r="H1216">
        <f>F1216/Tabla2[[#This Row],[Cosecha Mensual]]</f>
        <v>10.800954780533086</v>
      </c>
      <c r="I1216">
        <f>H1216*_xlfn.XLOOKUP(Tabla2[[#This Row],[Unidad de producción]],Tabla3[Medida],Tabla3[Equivalencia en Kg],"ELVIS",0)</f>
        <v>489.93130884498078</v>
      </c>
      <c r="J1216">
        <v>358.5406175</v>
      </c>
      <c r="K1216" t="s">
        <v>18</v>
      </c>
      <c r="L1216">
        <f>J1216/_xlfn.XLOOKUP(Tabla2[[#This Row],[Unidad de precio]],Tabla3[Medida],Tabla3[Equivalencia en Kg],"ELVIS",0)</f>
        <v>7.9043346009700173</v>
      </c>
      <c r="M1216">
        <v>3935.0401959000001</v>
      </c>
      <c r="N1216" s="2">
        <f>(Tabla2[[#This Row],[Productividad (kg/TAS)]]*Tabla2[[#This Row],[Precio por kg]]-Tabla2[[#This Row],[Costos (En RD$/Tarea)]])</f>
        <v>-62.459199298090425</v>
      </c>
      <c r="O1216" s="6">
        <f>IF(Tabla2[[#This Row],[Costos (En RD$/Tarea)]]=0,0,Tabla2[[#This Row],[Beneficio Neto  (En RD$/Tarea)]]/Tabla2[[#This Row],[Costos (En RD$/Tarea)]])</f>
        <v>-1.5872569577095541E-2</v>
      </c>
      <c r="P1216" s="4">
        <f>Tabla2[[#This Row],[Rentabilidad (%)]]/12</f>
        <v>-1.3227141314246283E-3</v>
      </c>
    </row>
    <row r="1217" spans="1:16" x14ac:dyDescent="0.35">
      <c r="A1217" s="1">
        <v>39600</v>
      </c>
      <c r="B1217" t="s">
        <v>22</v>
      </c>
      <c r="C1217" s="2">
        <v>2605</v>
      </c>
      <c r="D1217" s="5" t="s">
        <v>17</v>
      </c>
      <c r="E1217" s="2">
        <f>IF(Tabla2[[#This Row],[Frecuencia]]="Annual", Tabla2[[#This Row],[Cosecha/Tarea]]/12,Tabla2[[#This Row],[Cosecha/Tarea]])</f>
        <v>2605</v>
      </c>
      <c r="F1217" s="2">
        <v>25618</v>
      </c>
      <c r="G1217" t="s">
        <v>18</v>
      </c>
      <c r="H1217">
        <f>F1217/Tabla2[[#This Row],[Cosecha Mensual]]</f>
        <v>9.8341650671785033</v>
      </c>
      <c r="I1217">
        <f>H1217*_xlfn.XLOOKUP(Tabla2[[#This Row],[Unidad de producción]],Tabla3[Medida],Tabla3[Equivalencia en Kg],"ELVIS",0)</f>
        <v>446.07772744721689</v>
      </c>
      <c r="J1217">
        <v>1075</v>
      </c>
      <c r="K1217" t="s">
        <v>18</v>
      </c>
      <c r="L1217">
        <f>J1217/_xlfn.XLOOKUP(Tabla2[[#This Row],[Unidad de precio]],Tabla3[Medida],Tabla3[Equivalencia en Kg],"ELVIS",0)</f>
        <v>23.699294532627867</v>
      </c>
      <c r="M1217">
        <v>6901.0735717535999</v>
      </c>
      <c r="N1217" s="2">
        <f>(Tabla2[[#This Row],[Productividad (kg/TAS)]]*Tabla2[[#This Row],[Precio por kg]]-Tabla2[[#This Row],[Costos (En RD$/Tarea)]])</f>
        <v>3670.653875463292</v>
      </c>
      <c r="O1217" s="6">
        <f>IF(Tabla2[[#This Row],[Costos (En RD$/Tarea)]]=0,0,Tabla2[[#This Row],[Beneficio Neto  (En RD$/Tarea)]]/Tabla2[[#This Row],[Costos (En RD$/Tarea)]])</f>
        <v>0.53189606476410289</v>
      </c>
      <c r="P1217" s="4">
        <f>Tabla2[[#This Row],[Rentabilidad (%)]]/12</f>
        <v>4.4324672063675241E-2</v>
      </c>
    </row>
    <row r="1218" spans="1:16" x14ac:dyDescent="0.35">
      <c r="A1218" s="1">
        <v>39600</v>
      </c>
      <c r="B1218" t="s">
        <v>23</v>
      </c>
      <c r="C1218" s="2">
        <v>1658</v>
      </c>
      <c r="D1218" s="5" t="s">
        <v>17</v>
      </c>
      <c r="E1218" s="2">
        <f>IF(Tabla2[[#This Row],[Frecuencia]]="Annual", Tabla2[[#This Row],[Cosecha/Tarea]]/12,Tabla2[[#This Row],[Cosecha/Tarea]])</f>
        <v>1658</v>
      </c>
      <c r="F1218" s="2">
        <v>49669</v>
      </c>
      <c r="G1218" t="s">
        <v>18</v>
      </c>
      <c r="H1218">
        <f>F1218/Tabla2[[#This Row],[Cosecha Mensual]]</f>
        <v>29.957177322074788</v>
      </c>
      <c r="I1218">
        <f>H1218*_xlfn.XLOOKUP(Tabla2[[#This Row],[Unidad de producción]],Tabla3[Medida],Tabla3[Equivalencia en Kg],"ELVIS",0)</f>
        <v>1358.8575633293124</v>
      </c>
      <c r="J1218">
        <v>850</v>
      </c>
      <c r="K1218" t="s">
        <v>18</v>
      </c>
      <c r="L1218">
        <f>J1218/_xlfn.XLOOKUP(Tabla2[[#This Row],[Unidad de precio]],Tabla3[Medida],Tabla3[Equivalencia en Kg],"ELVIS",0)</f>
        <v>18.738977072310405</v>
      </c>
      <c r="M1218">
        <v>17874.25</v>
      </c>
      <c r="N1218" s="2">
        <f>(Tabla2[[#This Row],[Productividad (kg/TAS)]]*Tabla2[[#This Row],[Precio por kg]]-Tabla2[[#This Row],[Costos (En RD$/Tarea)]])</f>
        <v>7589.3507237635677</v>
      </c>
      <c r="O1218" s="6">
        <f>IF(Tabla2[[#This Row],[Costos (En RD$/Tarea)]]=0,0,Tabla2[[#This Row],[Beneficio Neto  (En RD$/Tarea)]]/Tabla2[[#This Row],[Costos (En RD$/Tarea)]])</f>
        <v>0.42459687672285928</v>
      </c>
      <c r="P1218" s="4">
        <f>Tabla2[[#This Row],[Rentabilidad (%)]]/12</f>
        <v>3.5383073060238274E-2</v>
      </c>
    </row>
    <row r="1219" spans="1:16" x14ac:dyDescent="0.35">
      <c r="A1219" s="1">
        <v>39600</v>
      </c>
      <c r="B1219" t="s">
        <v>24</v>
      </c>
      <c r="C1219" s="2">
        <v>3634</v>
      </c>
      <c r="D1219" s="5" t="s">
        <v>17</v>
      </c>
      <c r="E1219" s="2">
        <f>IF(Tabla2[[#This Row],[Frecuencia]]="Annual", Tabla2[[#This Row],[Cosecha/Tarea]]/12,Tabla2[[#This Row],[Cosecha/Tarea]])</f>
        <v>3634</v>
      </c>
      <c r="F1219" s="2">
        <v>38764</v>
      </c>
      <c r="G1219" t="s">
        <v>18</v>
      </c>
      <c r="H1219">
        <f>F1219/Tabla2[[#This Row],[Cosecha Mensual]]</f>
        <v>10.667033571821683</v>
      </c>
      <c r="I1219">
        <f>H1219*_xlfn.XLOOKUP(Tabla2[[#This Row],[Unidad de producción]],Tabla3[Medida],Tabla3[Equivalencia en Kg],"ELVIS",0)</f>
        <v>483.85664281783153</v>
      </c>
      <c r="J1219">
        <v>950</v>
      </c>
      <c r="K1219" t="s">
        <v>18</v>
      </c>
      <c r="L1219">
        <f>J1219/_xlfn.XLOOKUP(Tabla2[[#This Row],[Unidad de precio]],Tabla3[Medida],Tabla3[Equivalencia en Kg],"ELVIS",0)</f>
        <v>20.943562610229279</v>
      </c>
      <c r="M1219">
        <v>5602.3420621674204</v>
      </c>
      <c r="N1219" s="2">
        <f>(Tabla2[[#This Row],[Productividad (kg/TAS)]]*Tabla2[[#This Row],[Precio por kg]]-Tabla2[[#This Row],[Costos (En RD$/Tarea)]])</f>
        <v>4531.3398310631792</v>
      </c>
      <c r="O1219" s="6">
        <f>IF(Tabla2[[#This Row],[Costos (En RD$/Tarea)]]=0,0,Tabla2[[#This Row],[Beneficio Neto  (En RD$/Tarea)]]/Tabla2[[#This Row],[Costos (En RD$/Tarea)]])</f>
        <v>0.80882955392232969</v>
      </c>
      <c r="P1219" s="4">
        <f>Tabla2[[#This Row],[Rentabilidad (%)]]/12</f>
        <v>6.7402462826860812E-2</v>
      </c>
    </row>
    <row r="1220" spans="1:16" x14ac:dyDescent="0.35">
      <c r="A1220" s="1">
        <v>39600</v>
      </c>
      <c r="B1220" t="s">
        <v>25</v>
      </c>
      <c r="C1220" s="2">
        <v>13118</v>
      </c>
      <c r="D1220" s="5" t="s">
        <v>17</v>
      </c>
      <c r="E1220" s="2">
        <f>IF(Tabla2[[#This Row],[Frecuencia]]="Annual", Tabla2[[#This Row],[Cosecha/Tarea]]/12,Tabla2[[#This Row],[Cosecha/Tarea]])</f>
        <v>13118</v>
      </c>
      <c r="F1220" s="2">
        <v>147460</v>
      </c>
      <c r="G1220" t="s">
        <v>18</v>
      </c>
      <c r="H1220">
        <f>F1220/Tabla2[[#This Row],[Cosecha Mensual]]</f>
        <v>11.241042841896631</v>
      </c>
      <c r="I1220">
        <f>H1220*_xlfn.XLOOKUP(Tabla2[[#This Row],[Unidad de producción]],Tabla3[Medida],Tabla3[Equivalencia en Kg],"ELVIS",0)</f>
        <v>509.89370330843116</v>
      </c>
      <c r="J1220">
        <v>1088.8900000000001</v>
      </c>
      <c r="K1220" t="s">
        <v>18</v>
      </c>
      <c r="L1220">
        <f>J1220/_xlfn.XLOOKUP(Tabla2[[#This Row],[Unidad de precio]],Tabla3[Medida],Tabla3[Equivalencia en Kg],"ELVIS",0)</f>
        <v>24.005511463844801</v>
      </c>
      <c r="M1220">
        <v>3201.64901153456</v>
      </c>
      <c r="N1220" s="2">
        <f>(Tabla2[[#This Row],[Productividad (kg/TAS)]]*Tabla2[[#This Row],[Precio por kg]]-Tabla2[[#This Row],[Costos (En RD$/Tarea)]])</f>
        <v>9038.6101285782643</v>
      </c>
      <c r="O1220" s="6">
        <f>IF(Tabla2[[#This Row],[Costos (En RD$/Tarea)]]=0,0,Tabla2[[#This Row],[Beneficio Neto  (En RD$/Tarea)]]/Tabla2[[#This Row],[Costos (En RD$/Tarea)]])</f>
        <v>2.8231108706841139</v>
      </c>
      <c r="P1220" s="4">
        <f>Tabla2[[#This Row],[Rentabilidad (%)]]/12</f>
        <v>0.23525923922367617</v>
      </c>
    </row>
    <row r="1221" spans="1:16" x14ac:dyDescent="0.35">
      <c r="A1221" s="1">
        <v>39600</v>
      </c>
      <c r="B1221" t="s">
        <v>26</v>
      </c>
      <c r="C1221" s="2">
        <v>11116</v>
      </c>
      <c r="D1221" s="5" t="s">
        <v>17</v>
      </c>
      <c r="E1221" s="2">
        <f>IF(Tabla2[[#This Row],[Frecuencia]]="Annual", Tabla2[[#This Row],[Cosecha/Tarea]]/12,Tabla2[[#This Row],[Cosecha/Tarea]])</f>
        <v>11116</v>
      </c>
      <c r="F1221" s="2">
        <v>65275</v>
      </c>
      <c r="G1221" t="s">
        <v>18</v>
      </c>
      <c r="H1221">
        <f>F1221/Tabla2[[#This Row],[Cosecha Mensual]]</f>
        <v>5.8721662468513856</v>
      </c>
      <c r="I1221">
        <f>H1221*_xlfn.XLOOKUP(Tabla2[[#This Row],[Unidad de producción]],Tabla3[Medida],Tabla3[Equivalencia en Kg],"ELVIS",0)</f>
        <v>266.36146095717885</v>
      </c>
      <c r="J1221">
        <v>766.66666666666697</v>
      </c>
      <c r="K1221" t="s">
        <v>18</v>
      </c>
      <c r="L1221">
        <f>J1221/_xlfn.XLOOKUP(Tabla2[[#This Row],[Unidad de precio]],Tabla3[Medida],Tabla3[Equivalencia en Kg],"ELVIS",0)</f>
        <v>16.901822457378021</v>
      </c>
      <c r="M1221">
        <v>1294.9257376989401</v>
      </c>
      <c r="N1221" s="2">
        <f>(Tabla2[[#This Row],[Productividad (kg/TAS)]]*Tabla2[[#This Row],[Precio por kg]]-Tabla2[[#This Row],[Costos (En RD$/Tarea)]])</f>
        <v>3207.0683848871249</v>
      </c>
      <c r="O1221" s="6">
        <f>IF(Tabla2[[#This Row],[Costos (En RD$/Tarea)]]=0,0,Tabla2[[#This Row],[Beneficio Neto  (En RD$/Tarea)]]/Tabla2[[#This Row],[Costos (En RD$/Tarea)]])</f>
        <v>2.476642707392648</v>
      </c>
      <c r="P1221" s="4">
        <f>Tabla2[[#This Row],[Rentabilidad (%)]]/12</f>
        <v>0.20638689228272067</v>
      </c>
    </row>
    <row r="1222" spans="1:16" x14ac:dyDescent="0.35">
      <c r="A1222" s="1">
        <v>39600</v>
      </c>
      <c r="B1222" t="s">
        <v>27</v>
      </c>
      <c r="C1222" s="2">
        <v>7494</v>
      </c>
      <c r="D1222" s="5" t="s">
        <v>17</v>
      </c>
      <c r="E1222" s="2">
        <f>IF(Tabla2[[#This Row],[Frecuencia]]="Annual", Tabla2[[#This Row],[Cosecha/Tarea]]/12,Tabla2[[#This Row],[Cosecha/Tarea]])</f>
        <v>7494</v>
      </c>
      <c r="F1222" s="2">
        <v>56614</v>
      </c>
      <c r="G1222" t="s">
        <v>18</v>
      </c>
      <c r="H1222">
        <f>F1222/Tabla2[[#This Row],[Cosecha Mensual]]</f>
        <v>7.5545769949292767</v>
      </c>
      <c r="I1222">
        <f>H1222*_xlfn.XLOOKUP(Tabla2[[#This Row],[Unidad de producción]],Tabla3[Medida],Tabla3[Equivalencia en Kg],"ELVIS",0)</f>
        <v>342.67561248999198</v>
      </c>
      <c r="J1222">
        <v>313.60000000000002</v>
      </c>
      <c r="K1222" t="s">
        <v>18</v>
      </c>
      <c r="L1222">
        <f>J1222/_xlfn.XLOOKUP(Tabla2[[#This Row],[Unidad de precio]],Tabla3[Medida],Tabla3[Equivalencia en Kg],"ELVIS",0)</f>
        <v>6.9135802469135808</v>
      </c>
      <c r="M1222">
        <v>5429.7257056660201</v>
      </c>
      <c r="N1222" s="2">
        <f>(Tabla2[[#This Row],[Productividad (kg/TAS)]]*Tabla2[[#This Row],[Precio por kg]]-Tabla2[[#This Row],[Costos (En RD$/Tarea)]])</f>
        <v>-3060.6103600561987</v>
      </c>
      <c r="O1222" s="6">
        <f>IF(Tabla2[[#This Row],[Costos (En RD$/Tarea)]]=0,0,Tabla2[[#This Row],[Beneficio Neto  (En RD$/Tarea)]]/Tabla2[[#This Row],[Costos (En RD$/Tarea)]])</f>
        <v>-0.56367679068251919</v>
      </c>
      <c r="P1222" s="4">
        <f>Tabla2[[#This Row],[Rentabilidad (%)]]/12</f>
        <v>-4.6973065890209935E-2</v>
      </c>
    </row>
    <row r="1223" spans="1:16" x14ac:dyDescent="0.35">
      <c r="A1223" s="1">
        <v>39600</v>
      </c>
      <c r="B1223" t="s">
        <v>28</v>
      </c>
      <c r="C1223" s="2">
        <v>358</v>
      </c>
      <c r="D1223" s="5" t="s">
        <v>17</v>
      </c>
      <c r="E1223" s="2">
        <f>IF(Tabla2[[#This Row],[Frecuencia]]="Annual", Tabla2[[#This Row],[Cosecha/Tarea]]/12,Tabla2[[#This Row],[Cosecha/Tarea]])</f>
        <v>358</v>
      </c>
      <c r="F1223" s="2">
        <v>254</v>
      </c>
      <c r="G1223" t="s">
        <v>29</v>
      </c>
      <c r="H1223">
        <f>F1223/Tabla2[[#This Row],[Cosecha Mensual]]</f>
        <v>0.70949720670391059</v>
      </c>
      <c r="I1223">
        <f>H1223*_xlfn.XLOOKUP(Tabla2[[#This Row],[Unidad de producción]],Tabla3[Medida],Tabla3[Equivalencia en Kg],"ELVIS",0)</f>
        <v>398.97865921787712</v>
      </c>
      <c r="J1223">
        <v>7800</v>
      </c>
      <c r="K1223" t="s">
        <v>29</v>
      </c>
      <c r="L1223">
        <f>J1223/_xlfn.XLOOKUP(Tabla2[[#This Row],[Unidad de precio]],Tabla3[Medida],Tabla3[Equivalencia en Kg],"ELVIS",0)</f>
        <v>13.870612085215349</v>
      </c>
      <c r="M1223">
        <v>4903.3716657183304</v>
      </c>
      <c r="N1223" s="2">
        <f>(Tabla2[[#This Row],[Productividad (kg/TAS)]]*Tabla2[[#This Row],[Precio por kg]]-Tabla2[[#This Row],[Costos (En RD$/Tarea)]])</f>
        <v>630.70654657217256</v>
      </c>
      <c r="O1223" s="6">
        <f>IF(Tabla2[[#This Row],[Costos (En RD$/Tarea)]]=0,0,Tabla2[[#This Row],[Beneficio Neto  (En RD$/Tarea)]]/Tabla2[[#This Row],[Costos (En RD$/Tarea)]])</f>
        <v>0.12862711406963595</v>
      </c>
      <c r="P1223" s="4">
        <f>Tabla2[[#This Row],[Rentabilidad (%)]]/12</f>
        <v>1.0718926172469662E-2</v>
      </c>
    </row>
    <row r="1224" spans="1:16" x14ac:dyDescent="0.35">
      <c r="A1224" s="1">
        <v>39600</v>
      </c>
      <c r="B1224" t="s">
        <v>30</v>
      </c>
      <c r="C1224" s="2">
        <v>287072</v>
      </c>
      <c r="D1224" s="2" t="s">
        <v>31</v>
      </c>
      <c r="E1224" s="2">
        <f>IF(Tabla2[[#This Row],[Frecuencia]]="Annual", Tabla2[[#This Row],[Cosecha/Tarea]]/12,Tabla2[[#This Row],[Cosecha/Tarea]])</f>
        <v>23922.666666666668</v>
      </c>
      <c r="F1224" s="2">
        <v>1368313</v>
      </c>
      <c r="G1224" t="s">
        <v>32</v>
      </c>
      <c r="H1224">
        <f>F1224/Tabla2[[#This Row],[Cosecha Mensual]]</f>
        <v>57.197344220265293</v>
      </c>
      <c r="I1224">
        <f>H1224*_xlfn.XLOOKUP(Tabla2[[#This Row],[Unidad de producción]],Tabla3[Medida],Tabla3[Equivalencia en Kg],"ELVIS",0)</f>
        <v>1556.3397362334188</v>
      </c>
      <c r="J1224">
        <v>99.723333333333301</v>
      </c>
      <c r="K1224" t="s">
        <v>32</v>
      </c>
      <c r="L1224">
        <f>J1224/_xlfn.XLOOKUP(Tabla2[[#This Row],[Unidad de precio]],Tabla3[Medida],Tabla3[Equivalencia en Kg],"ELVIS",0)</f>
        <v>3.6649516109273539</v>
      </c>
      <c r="M1224" s="2">
        <v>8644.7793050524706</v>
      </c>
      <c r="N1224" s="2">
        <f>(Tabla2[[#This Row],[Productividad (kg/TAS)]]*Tabla2[[#This Row],[Precio por kg]]-Tabla2[[#This Row],[Costos (En RD$/Tarea)]])</f>
        <v>-2940.8694815935496</v>
      </c>
      <c r="O1224" s="6">
        <f>IF(Tabla2[[#This Row],[Costos (En RD$/Tarea)]]=0,0,Tabla2[[#This Row],[Beneficio Neto  (En RD$/Tarea)]]/Tabla2[[#This Row],[Costos (En RD$/Tarea)]])</f>
        <v>-0.34019023248803454</v>
      </c>
      <c r="P1224" s="4">
        <f>Tabla2[[#This Row],[Rentabilidad (%)]]/12</f>
        <v>-2.8349186040669546E-2</v>
      </c>
    </row>
    <row r="1225" spans="1:16" x14ac:dyDescent="0.35">
      <c r="A1225" s="1">
        <v>39600</v>
      </c>
      <c r="B1225" t="s">
        <v>33</v>
      </c>
      <c r="C1225" s="2">
        <v>600819</v>
      </c>
      <c r="D1225" s="2" t="s">
        <v>31</v>
      </c>
      <c r="E1225" s="8">
        <f>IF(Tabla2[[#This Row],[Frecuencia]]="Annual", Tabla2[[#This Row],[Cosecha/Tarea]]/12,Tabla2[[#This Row],[Cosecha/Tarea]])</f>
        <v>50068.25</v>
      </c>
      <c r="F1225" s="2">
        <v>121850</v>
      </c>
      <c r="G1225" t="s">
        <v>34</v>
      </c>
      <c r="H1225">
        <f>F1225/Tabla2[[#This Row],[Cosecha Mensual]]</f>
        <v>2.4336780294897467</v>
      </c>
      <c r="I1225">
        <f>H1225*_xlfn.XLOOKUP(Tabla2[[#This Row],[Unidad de producción]],Tabla3[Medida],Tabla3[Equivalencia en Kg],"ELVIS",0)</f>
        <v>993.30568773624009</v>
      </c>
      <c r="J1225">
        <v>4700</v>
      </c>
      <c r="K1225" t="s">
        <v>34</v>
      </c>
      <c r="L1225">
        <f>J1225/_xlfn.XLOOKUP(Tabla2[[#This Row],[Unidad de precio]],Tabla3[Medida],Tabla3[Equivalencia en Kg],"ELVIS",0)</f>
        <v>11.515374249663115</v>
      </c>
      <c r="M1225" s="2">
        <v>8418.1288680949201</v>
      </c>
      <c r="N1225" s="2">
        <f>(Tabla2[[#This Row],[Productividad (kg/TAS)]]*Tabla2[[#This Row],[Precio por kg]]-Tabla2[[#This Row],[Costos (En RD$/Tarea)]])</f>
        <v>3020.1578705068896</v>
      </c>
      <c r="O1225" s="6">
        <f>IF(Tabla2[[#This Row],[Costos (En RD$/Tarea)]]=0,0,Tabla2[[#This Row],[Beneficio Neto  (En RD$/Tarea)]]/Tabla2[[#This Row],[Costos (En RD$/Tarea)]])</f>
        <v>0.35876831037279805</v>
      </c>
      <c r="P1225" s="4">
        <f>Tabla2[[#This Row],[Rentabilidad (%)]]/12</f>
        <v>2.9897359197733172E-2</v>
      </c>
    </row>
    <row r="1226" spans="1:16" x14ac:dyDescent="0.35">
      <c r="A1226" s="1">
        <v>39630</v>
      </c>
      <c r="B1226" t="s">
        <v>16</v>
      </c>
      <c r="C1226" s="2">
        <v>204471</v>
      </c>
      <c r="D1226" s="5" t="s">
        <v>17</v>
      </c>
      <c r="E1226" s="2">
        <f>IF(Tabla2[[#This Row],[Frecuencia]]="Annual", Tabla2[[#This Row],[Cosecha/Tarea]]/12,Tabla2[[#This Row],[Cosecha/Tarea]])</f>
        <v>204471</v>
      </c>
      <c r="F1226" s="2">
        <v>1159887</v>
      </c>
      <c r="G1226" t="s">
        <v>18</v>
      </c>
      <c r="H1226">
        <f>F1226/Tabla2[[#This Row],[Cosecha Mensual]]</f>
        <v>5.6726235016212572</v>
      </c>
      <c r="I1226">
        <f>H1226*_xlfn.XLOOKUP(Tabla2[[#This Row],[Unidad de producción]],Tabla3[Medida],Tabla3[Equivalencia en Kg],"ELVIS",0)</f>
        <v>257.31020203354024</v>
      </c>
      <c r="J1226">
        <v>1273.05376</v>
      </c>
      <c r="K1226" t="s">
        <v>19</v>
      </c>
      <c r="L1226">
        <f>J1226/_xlfn.XLOOKUP(Tabla2[[#This Row],[Unidad de precio]],Tabla3[Medida],Tabla3[Equivalencia en Kg],"ELVIS",0)</f>
        <v>11.573216</v>
      </c>
      <c r="M1226">
        <v>6402.1671715266002</v>
      </c>
      <c r="N1226" s="2">
        <f>(Tabla2[[#This Row],[Productividad (kg/TAS)]]*Tabla2[[#This Row],[Precio por kg]]-Tabla2[[#This Row],[Costos (En RD$/Tarea)]])</f>
        <v>-3424.2606243887999</v>
      </c>
      <c r="O1226" s="6">
        <f>IF(Tabla2[[#This Row],[Costos (En RD$/Tarea)]]=0,0,Tabla2[[#This Row],[Beneficio Neto  (En RD$/Tarea)]]/Tabla2[[#This Row],[Costos (En RD$/Tarea)]])</f>
        <v>-0.53485960810552891</v>
      </c>
      <c r="P1226" s="4">
        <f>Tabla2[[#This Row],[Rentabilidad (%)]]/12</f>
        <v>-4.4571634008794075E-2</v>
      </c>
    </row>
    <row r="1227" spans="1:16" x14ac:dyDescent="0.35">
      <c r="A1227" s="1">
        <v>39630</v>
      </c>
      <c r="B1227" t="s">
        <v>20</v>
      </c>
      <c r="C1227" s="2">
        <v>20816</v>
      </c>
      <c r="D1227" s="5" t="s">
        <v>17</v>
      </c>
      <c r="E1227" s="2">
        <f>IF(Tabla2[[#This Row],[Frecuencia]]="Annual", Tabla2[[#This Row],[Cosecha/Tarea]]/12,Tabla2[[#This Row],[Cosecha/Tarea]])</f>
        <v>20816</v>
      </c>
      <c r="F1227" s="2">
        <v>62877</v>
      </c>
      <c r="G1227" t="s">
        <v>18</v>
      </c>
      <c r="H1227">
        <f>F1227/Tabla2[[#This Row],[Cosecha Mensual]]</f>
        <v>3.0206091468101461</v>
      </c>
      <c r="I1227">
        <f>H1227*_xlfn.XLOOKUP(Tabla2[[#This Row],[Unidad de producción]],Tabla3[Medida],Tabla3[Equivalencia en Kg],"ELVIS",0)</f>
        <v>137.01483089930824</v>
      </c>
      <c r="J1227">
        <v>880.97</v>
      </c>
      <c r="K1227" t="s">
        <v>18</v>
      </c>
      <c r="L1227">
        <f>J1227/_xlfn.XLOOKUP(Tabla2[[#This Row],[Unidad de precio]],Tabla3[Medida],Tabla3[Equivalencia en Kg],"ELVIS",0)</f>
        <v>19.42173721340388</v>
      </c>
      <c r="M1227">
        <v>1490.9040199825199</v>
      </c>
      <c r="N1227" s="2">
        <f>(Tabla2[[#This Row],[Productividad (kg/TAS)]]*Tabla2[[#This Row],[Precio por kg]]-Tabla2[[#This Row],[Costos (En RD$/Tarea)]])</f>
        <v>1170.1620200828147</v>
      </c>
      <c r="O1227" s="6">
        <f>IF(Tabla2[[#This Row],[Costos (En RD$/Tarea)]]=0,0,Tabla2[[#This Row],[Beneficio Neto  (En RD$/Tarea)]]/Tabla2[[#This Row],[Costos (En RD$/Tarea)]])</f>
        <v>0.78486743908339196</v>
      </c>
      <c r="P1227" s="4">
        <f>Tabla2[[#This Row],[Rentabilidad (%)]]/12</f>
        <v>6.5405619923616001E-2</v>
      </c>
    </row>
    <row r="1228" spans="1:16" x14ac:dyDescent="0.35">
      <c r="A1228" s="1">
        <v>39630</v>
      </c>
      <c r="B1228" t="s">
        <v>21</v>
      </c>
      <c r="C1228" s="2">
        <v>6022</v>
      </c>
      <c r="D1228" s="5" t="s">
        <v>17</v>
      </c>
      <c r="E1228" s="2">
        <f>IF(Tabla2[[#This Row],[Frecuencia]]="Annual", Tabla2[[#This Row],[Cosecha/Tarea]]/12,Tabla2[[#This Row],[Cosecha/Tarea]])</f>
        <v>6022</v>
      </c>
      <c r="F1228" s="2">
        <v>56692</v>
      </c>
      <c r="G1228" t="s">
        <v>18</v>
      </c>
      <c r="H1228">
        <f>F1228/Tabla2[[#This Row],[Cosecha Mensual]]</f>
        <v>9.4141481235469939</v>
      </c>
      <c r="I1228">
        <f>H1228*_xlfn.XLOOKUP(Tabla2[[#This Row],[Unidad de producción]],Tabla3[Medida],Tabla3[Equivalencia en Kg],"ELVIS",0)</f>
        <v>427.02575888409166</v>
      </c>
      <c r="J1228">
        <v>393.33867299999997</v>
      </c>
      <c r="K1228" t="s">
        <v>18</v>
      </c>
      <c r="L1228">
        <f>J1228/_xlfn.XLOOKUP(Tabla2[[#This Row],[Unidad de precio]],Tabla3[Medida],Tabla3[Equivalencia en Kg],"ELVIS",0)</f>
        <v>8.6714874999999996</v>
      </c>
      <c r="M1228">
        <v>3935.0401959000001</v>
      </c>
      <c r="N1228" s="2">
        <f>(Tabla2[[#This Row],[Productividad (kg/TAS)]]*Tabla2[[#This Row],[Precio por kg]]-Tabla2[[#This Row],[Costos (En RD$/Tarea)]])</f>
        <v>-232.09166555858565</v>
      </c>
      <c r="O1228" s="6">
        <f>IF(Tabla2[[#This Row],[Costos (En RD$/Tarea)]]=0,0,Tabla2[[#This Row],[Beneficio Neto  (En RD$/Tarea)]]/Tabla2[[#This Row],[Costos (En RD$/Tarea)]])</f>
        <v>-5.8980761060689231E-2</v>
      </c>
      <c r="P1228" s="4">
        <f>Tabla2[[#This Row],[Rentabilidad (%)]]/12</f>
        <v>-4.9150634217241026E-3</v>
      </c>
    </row>
    <row r="1229" spans="1:16" x14ac:dyDescent="0.35">
      <c r="A1229" s="1">
        <v>39630</v>
      </c>
      <c r="B1229" t="s">
        <v>22</v>
      </c>
      <c r="C1229" s="2">
        <v>3565</v>
      </c>
      <c r="D1229" s="5" t="s">
        <v>17</v>
      </c>
      <c r="E1229" s="2">
        <f>IF(Tabla2[[#This Row],[Frecuencia]]="Annual", Tabla2[[#This Row],[Cosecha/Tarea]]/12,Tabla2[[#This Row],[Cosecha/Tarea]])</f>
        <v>3565</v>
      </c>
      <c r="F1229" s="2">
        <v>28552</v>
      </c>
      <c r="G1229" t="s">
        <v>18</v>
      </c>
      <c r="H1229">
        <f>F1229/Tabla2[[#This Row],[Cosecha Mensual]]</f>
        <v>8.0089761570827491</v>
      </c>
      <c r="I1229">
        <f>H1229*_xlfn.XLOOKUP(Tabla2[[#This Row],[Unidad de producción]],Tabla3[Medida],Tabla3[Equivalencia en Kg],"ELVIS",0)</f>
        <v>363.28715848527349</v>
      </c>
      <c r="J1229">
        <v>1260</v>
      </c>
      <c r="K1229" t="s">
        <v>18</v>
      </c>
      <c r="L1229">
        <f>J1229/_xlfn.XLOOKUP(Tabla2[[#This Row],[Unidad de precio]],Tabla3[Medida],Tabla3[Equivalencia en Kg],"ELVIS",0)</f>
        <v>27.777777777777779</v>
      </c>
      <c r="M1229">
        <v>6901.0735717535999</v>
      </c>
      <c r="N1229" s="2">
        <f>(Tabla2[[#This Row],[Productividad (kg/TAS)]]*Tabla2[[#This Row],[Precio por kg]]-Tabla2[[#This Row],[Costos (En RD$/Tarea)]])</f>
        <v>3190.2363861706644</v>
      </c>
      <c r="O1229" s="6">
        <f>IF(Tabla2[[#This Row],[Costos (En RD$/Tarea)]]=0,0,Tabla2[[#This Row],[Beneficio Neto  (En RD$/Tarea)]]/Tabla2[[#This Row],[Costos (En RD$/Tarea)]])</f>
        <v>0.46228117306681721</v>
      </c>
      <c r="P1229" s="4">
        <f>Tabla2[[#This Row],[Rentabilidad (%)]]/12</f>
        <v>3.8523431088901432E-2</v>
      </c>
    </row>
    <row r="1230" spans="1:16" x14ac:dyDescent="0.35">
      <c r="A1230" s="1">
        <v>39630</v>
      </c>
      <c r="B1230" t="s">
        <v>23</v>
      </c>
      <c r="C1230" s="2">
        <v>1655</v>
      </c>
      <c r="D1230" s="5" t="s">
        <v>17</v>
      </c>
      <c r="E1230" s="2">
        <f>IF(Tabla2[[#This Row],[Frecuencia]]="Annual", Tabla2[[#This Row],[Cosecha/Tarea]]/12,Tabla2[[#This Row],[Cosecha/Tarea]])</f>
        <v>1655</v>
      </c>
      <c r="F1230" s="2">
        <v>41245</v>
      </c>
      <c r="G1230" t="s">
        <v>18</v>
      </c>
      <c r="H1230">
        <f>F1230/Tabla2[[#This Row],[Cosecha Mensual]]</f>
        <v>24.921450151057403</v>
      </c>
      <c r="I1230">
        <f>H1230*_xlfn.XLOOKUP(Tabla2[[#This Row],[Unidad de producción]],Tabla3[Medida],Tabla3[Equivalencia en Kg],"ELVIS",0)</f>
        <v>1130.4369788519639</v>
      </c>
      <c r="J1230">
        <v>937.5</v>
      </c>
      <c r="K1230" t="s">
        <v>18</v>
      </c>
      <c r="L1230">
        <f>J1230/_xlfn.XLOOKUP(Tabla2[[#This Row],[Unidad de precio]],Tabla3[Medida],Tabla3[Equivalencia en Kg],"ELVIS",0)</f>
        <v>20.667989417989418</v>
      </c>
      <c r="M1230">
        <v>17874.25</v>
      </c>
      <c r="N1230" s="2">
        <f>(Tabla2[[#This Row],[Productividad (kg/TAS)]]*Tabla2[[#This Row],[Precio por kg]]-Tabla2[[#This Row],[Costos (En RD$/Tarea)]])</f>
        <v>5489.6095166163177</v>
      </c>
      <c r="O1230" s="6">
        <f>IF(Tabla2[[#This Row],[Costos (En RD$/Tarea)]]=0,0,Tabla2[[#This Row],[Beneficio Neto  (En RD$/Tarea)]]/Tabla2[[#This Row],[Costos (En RD$/Tarea)]])</f>
        <v>0.30712390822643287</v>
      </c>
      <c r="P1230" s="4">
        <f>Tabla2[[#This Row],[Rentabilidad (%)]]/12</f>
        <v>2.5593659018869407E-2</v>
      </c>
    </row>
    <row r="1231" spans="1:16" x14ac:dyDescent="0.35">
      <c r="A1231" s="1">
        <v>39630</v>
      </c>
      <c r="B1231" t="s">
        <v>24</v>
      </c>
      <c r="C1231" s="2">
        <v>3675</v>
      </c>
      <c r="D1231" s="5" t="s">
        <v>17</v>
      </c>
      <c r="E1231" s="2">
        <f>IF(Tabla2[[#This Row],[Frecuencia]]="Annual", Tabla2[[#This Row],[Cosecha/Tarea]]/12,Tabla2[[#This Row],[Cosecha/Tarea]])</f>
        <v>3675</v>
      </c>
      <c r="F1231" s="2">
        <v>27679</v>
      </c>
      <c r="G1231" t="s">
        <v>18</v>
      </c>
      <c r="H1231">
        <f>F1231/Tabla2[[#This Row],[Cosecha Mensual]]</f>
        <v>7.5317006802721087</v>
      </c>
      <c r="I1231">
        <f>H1231*_xlfn.XLOOKUP(Tabla2[[#This Row],[Unidad de producción]],Tabla3[Medida],Tabla3[Equivalencia en Kg],"ELVIS",0)</f>
        <v>341.63794285714283</v>
      </c>
      <c r="J1231">
        <v>1200</v>
      </c>
      <c r="K1231" t="s">
        <v>18</v>
      </c>
      <c r="L1231">
        <f>J1231/_xlfn.XLOOKUP(Tabla2[[#This Row],[Unidad de precio]],Tabla3[Medida],Tabla3[Equivalencia en Kg],"ELVIS",0)</f>
        <v>26.455026455026456</v>
      </c>
      <c r="M1231">
        <v>5602.3420621674204</v>
      </c>
      <c r="N1231" s="2">
        <f>(Tabla2[[#This Row],[Productividad (kg/TAS)]]*Tabla2[[#This Row],[Precio por kg]]-Tabla2[[#This Row],[Costos (En RD$/Tarea)]])</f>
        <v>3435.6987541591106</v>
      </c>
      <c r="O1231" s="6">
        <f>IF(Tabla2[[#This Row],[Costos (En RD$/Tarea)]]=0,0,Tabla2[[#This Row],[Beneficio Neto  (En RD$/Tarea)]]/Tabla2[[#This Row],[Costos (En RD$/Tarea)]])</f>
        <v>0.61326115328807962</v>
      </c>
      <c r="P1231" s="4">
        <f>Tabla2[[#This Row],[Rentabilidad (%)]]/12</f>
        <v>5.1105096107339966E-2</v>
      </c>
    </row>
    <row r="1232" spans="1:16" x14ac:dyDescent="0.35">
      <c r="A1232" s="1">
        <v>39630</v>
      </c>
      <c r="B1232" t="s">
        <v>25</v>
      </c>
      <c r="C1232" s="2">
        <v>14471</v>
      </c>
      <c r="D1232" s="5" t="s">
        <v>17</v>
      </c>
      <c r="E1232" s="2">
        <f>IF(Tabla2[[#This Row],[Frecuencia]]="Annual", Tabla2[[#This Row],[Cosecha/Tarea]]/12,Tabla2[[#This Row],[Cosecha/Tarea]])</f>
        <v>14471</v>
      </c>
      <c r="F1232" s="2">
        <v>165914</v>
      </c>
      <c r="G1232" t="s">
        <v>18</v>
      </c>
      <c r="H1232">
        <f>F1232/Tabla2[[#This Row],[Cosecha Mensual]]</f>
        <v>11.465275378342893</v>
      </c>
      <c r="I1232">
        <f>H1232*_xlfn.XLOOKUP(Tabla2[[#This Row],[Unidad de producción]],Tabla3[Medida],Tabla3[Equivalencia en Kg],"ELVIS",0)</f>
        <v>520.06489116163368</v>
      </c>
      <c r="J1232">
        <v>1049.0039999999999</v>
      </c>
      <c r="K1232" t="s">
        <v>18</v>
      </c>
      <c r="L1232">
        <f>J1232/_xlfn.XLOOKUP(Tabla2[[#This Row],[Unidad de precio]],Tabla3[Medida],Tabla3[Equivalencia en Kg],"ELVIS",0)</f>
        <v>23.126190476190473</v>
      </c>
      <c r="M1232">
        <v>3201.64901153456</v>
      </c>
      <c r="N1232" s="2">
        <f>(Tabla2[[#This Row],[Productividad (kg/TAS)]]*Tabla2[[#This Row],[Precio por kg]]-Tabla2[[#This Row],[Costos (En RD$/Tarea)]])</f>
        <v>8825.470721448648</v>
      </c>
      <c r="O1232" s="6">
        <f>IF(Tabla2[[#This Row],[Costos (En RD$/Tarea)]]=0,0,Tabla2[[#This Row],[Beneficio Neto  (En RD$/Tarea)]]/Tabla2[[#This Row],[Costos (En RD$/Tarea)]])</f>
        <v>2.7565391114557474</v>
      </c>
      <c r="P1232" s="4">
        <f>Tabla2[[#This Row],[Rentabilidad (%)]]/12</f>
        <v>0.22971159262131227</v>
      </c>
    </row>
    <row r="1233" spans="1:16" x14ac:dyDescent="0.35">
      <c r="A1233" s="1">
        <v>39630</v>
      </c>
      <c r="B1233" t="s">
        <v>26</v>
      </c>
      <c r="C1233" s="2">
        <v>11948</v>
      </c>
      <c r="D1233" s="5" t="s">
        <v>17</v>
      </c>
      <c r="E1233" s="2">
        <f>IF(Tabla2[[#This Row],[Frecuencia]]="Annual", Tabla2[[#This Row],[Cosecha/Tarea]]/12,Tabla2[[#This Row],[Cosecha/Tarea]])</f>
        <v>11948</v>
      </c>
      <c r="F1233" s="2">
        <v>66743</v>
      </c>
      <c r="G1233" t="s">
        <v>18</v>
      </c>
      <c r="H1233">
        <f>F1233/Tabla2[[#This Row],[Cosecha Mensual]]</f>
        <v>5.5861232005356545</v>
      </c>
      <c r="I1233">
        <f>H1233*_xlfn.XLOOKUP(Tabla2[[#This Row],[Unidad de producción]],Tabla3[Medida],Tabla3[Equivalencia en Kg],"ELVIS",0)</f>
        <v>253.38654837629727</v>
      </c>
      <c r="J1233">
        <v>649.0625</v>
      </c>
      <c r="K1233" t="s">
        <v>18</v>
      </c>
      <c r="L1233">
        <f>J1233/_xlfn.XLOOKUP(Tabla2[[#This Row],[Unidad de precio]],Tabla3[Medida],Tabla3[Equivalencia en Kg],"ELVIS",0)</f>
        <v>14.309138007054674</v>
      </c>
      <c r="M1233">
        <v>1294.9257376989401</v>
      </c>
      <c r="N1233" s="2">
        <f>(Tabla2[[#This Row],[Productividad (kg/TAS)]]*Tabla2[[#This Row],[Precio por kg]]-Tabla2[[#This Row],[Costos (En RD$/Tarea)]])</f>
        <v>2330.8173521487333</v>
      </c>
      <c r="O1233" s="6">
        <f>IF(Tabla2[[#This Row],[Costos (En RD$/Tarea)]]=0,0,Tabla2[[#This Row],[Beneficio Neto  (En RD$/Tarea)]]/Tabla2[[#This Row],[Costos (En RD$/Tarea)]])</f>
        <v>1.7999621787505391</v>
      </c>
      <c r="P1233" s="4">
        <f>Tabla2[[#This Row],[Rentabilidad (%)]]/12</f>
        <v>0.14999684822921158</v>
      </c>
    </row>
    <row r="1234" spans="1:16" x14ac:dyDescent="0.35">
      <c r="A1234" s="1">
        <v>39630</v>
      </c>
      <c r="B1234" t="s">
        <v>27</v>
      </c>
      <c r="C1234" s="2">
        <v>6080</v>
      </c>
      <c r="D1234" s="5" t="s">
        <v>17</v>
      </c>
      <c r="E1234" s="2">
        <f>IF(Tabla2[[#This Row],[Frecuencia]]="Annual", Tabla2[[#This Row],[Cosecha/Tarea]]/12,Tabla2[[#This Row],[Cosecha/Tarea]])</f>
        <v>6080</v>
      </c>
      <c r="F1234" s="2">
        <v>53427</v>
      </c>
      <c r="G1234" t="s">
        <v>18</v>
      </c>
      <c r="H1234">
        <f>F1234/Tabla2[[#This Row],[Cosecha Mensual]]</f>
        <v>8.7873355263157897</v>
      </c>
      <c r="I1234">
        <f>H1234*_xlfn.XLOOKUP(Tabla2[[#This Row],[Unidad de producción]],Tabla3[Medida],Tabla3[Equivalencia en Kg],"ELVIS",0)</f>
        <v>398.59353947368425</v>
      </c>
      <c r="J1234">
        <v>381.25</v>
      </c>
      <c r="K1234" t="s">
        <v>18</v>
      </c>
      <c r="L1234">
        <f>J1234/_xlfn.XLOOKUP(Tabla2[[#This Row],[Unidad de precio]],Tabla3[Medida],Tabla3[Equivalencia en Kg],"ELVIS",0)</f>
        <v>8.4049823633156961</v>
      </c>
      <c r="M1234">
        <v>5429.7257056660201</v>
      </c>
      <c r="N1234" s="2">
        <f>(Tabla2[[#This Row],[Productividad (kg/TAS)]]*Tabla2[[#This Row],[Precio por kg]]-Tabla2[[#This Row],[Costos (En RD$/Tarea)]])</f>
        <v>-2079.5540362581251</v>
      </c>
      <c r="O1234" s="6">
        <f>IF(Tabla2[[#This Row],[Costos (En RD$/Tarea)]]=0,0,Tabla2[[#This Row],[Beneficio Neto  (En RD$/Tarea)]]/Tabla2[[#This Row],[Costos (En RD$/Tarea)]])</f>
        <v>-0.38299430744504676</v>
      </c>
      <c r="P1234" s="4">
        <f>Tabla2[[#This Row],[Rentabilidad (%)]]/12</f>
        <v>-3.1916192287087232E-2</v>
      </c>
    </row>
    <row r="1235" spans="1:16" x14ac:dyDescent="0.35">
      <c r="A1235" s="1">
        <v>39630</v>
      </c>
      <c r="B1235" t="s">
        <v>28</v>
      </c>
      <c r="C1235" s="2">
        <v>13034</v>
      </c>
      <c r="D1235" s="5" t="s">
        <v>17</v>
      </c>
      <c r="E1235" s="2">
        <f>IF(Tabla2[[#This Row],[Frecuencia]]="Annual", Tabla2[[#This Row],[Cosecha/Tarea]]/12,Tabla2[[#This Row],[Cosecha/Tarea]])</f>
        <v>13034</v>
      </c>
      <c r="F1235" s="2">
        <v>14552</v>
      </c>
      <c r="G1235" t="s">
        <v>29</v>
      </c>
      <c r="H1235">
        <f>F1235/Tabla2[[#This Row],[Cosecha Mensual]]</f>
        <v>1.116464630965168</v>
      </c>
      <c r="I1235">
        <f>H1235*_xlfn.XLOOKUP(Tabla2[[#This Row],[Unidad de producción]],Tabla3[Medida],Tabla3[Equivalencia en Kg],"ELVIS",0)</f>
        <v>627.83272057695262</v>
      </c>
      <c r="J1235">
        <v>5759.26</v>
      </c>
      <c r="K1235" t="s">
        <v>29</v>
      </c>
      <c r="L1235">
        <f>J1235/_xlfn.XLOOKUP(Tabla2[[#This Row],[Unidad de precio]],Tabla3[Medida],Tabla3[Equivalencia en Kg],"ELVIS",0)</f>
        <v>10.24159760998684</v>
      </c>
      <c r="M1235">
        <v>4903.3716657183304</v>
      </c>
      <c r="N1235" s="2">
        <f>(Tabla2[[#This Row],[Productividad (kg/TAS)]]*Tabla2[[#This Row],[Precio por kg]]-Tabla2[[#This Row],[Costos (En RD$/Tarea)]])</f>
        <v>1526.638424814123</v>
      </c>
      <c r="O1235" s="6">
        <f>IF(Tabla2[[#This Row],[Costos (En RD$/Tarea)]]=0,0,Tabla2[[#This Row],[Beneficio Neto  (En RD$/Tarea)]]/Tabla2[[#This Row],[Costos (En RD$/Tarea)]])</f>
        <v>0.31134462751162362</v>
      </c>
      <c r="P1235" s="4">
        <f>Tabla2[[#This Row],[Rentabilidad (%)]]/12</f>
        <v>2.5945385625968636E-2</v>
      </c>
    </row>
    <row r="1236" spans="1:16" x14ac:dyDescent="0.35">
      <c r="A1236" s="1">
        <v>39630</v>
      </c>
      <c r="B1236" t="s">
        <v>30</v>
      </c>
      <c r="C1236" s="2">
        <v>280000</v>
      </c>
      <c r="D1236" s="2" t="s">
        <v>31</v>
      </c>
      <c r="E1236" s="2">
        <f>IF(Tabla2[[#This Row],[Frecuencia]]="Annual", Tabla2[[#This Row],[Cosecha/Tarea]]/12,Tabla2[[#This Row],[Cosecha/Tarea]])</f>
        <v>23333.333333333332</v>
      </c>
      <c r="F1236" s="2">
        <v>1590945</v>
      </c>
      <c r="G1236" t="s">
        <v>32</v>
      </c>
      <c r="H1236">
        <f>F1236/Tabla2[[#This Row],[Cosecha Mensual]]</f>
        <v>68.183357142857147</v>
      </c>
      <c r="I1236">
        <f>H1236*_xlfn.XLOOKUP(Tabla2[[#This Row],[Unidad de producción]],Tabla3[Medida],Tabla3[Equivalencia en Kg],"ELVIS",0)</f>
        <v>1855.269147857143</v>
      </c>
      <c r="J1236">
        <v>101.07250000000001</v>
      </c>
      <c r="K1236" t="s">
        <v>32</v>
      </c>
      <c r="L1236">
        <f>J1236/_xlfn.XLOOKUP(Tabla2[[#This Row],[Unidad de precio]],Tabla3[Medida],Tabla3[Equivalencia en Kg],"ELVIS",0)</f>
        <v>3.7145350973906655</v>
      </c>
      <c r="M1236" s="2">
        <v>8644.7793050524706</v>
      </c>
      <c r="N1236" s="2">
        <f>(Tabla2[[#This Row],[Productividad (kg/TAS)]]*Tabla2[[#This Row],[Precio por kg]]-Tabla2[[#This Row],[Costos (En RD$/Tarea)]])</f>
        <v>-1753.3169402310414</v>
      </c>
      <c r="O1236" s="6">
        <f>IF(Tabla2[[#This Row],[Costos (En RD$/Tarea)]]=0,0,Tabla2[[#This Row],[Beneficio Neto  (En RD$/Tarea)]]/Tabla2[[#This Row],[Costos (En RD$/Tarea)]])</f>
        <v>-0.20281801054265311</v>
      </c>
      <c r="P1236" s="4">
        <f>Tabla2[[#This Row],[Rentabilidad (%)]]/12</f>
        <v>-1.6901500878554427E-2</v>
      </c>
    </row>
    <row r="1237" spans="1:16" x14ac:dyDescent="0.35">
      <c r="A1237" s="1">
        <v>39630</v>
      </c>
      <c r="B1237" t="s">
        <v>33</v>
      </c>
      <c r="C1237" s="2">
        <v>563312</v>
      </c>
      <c r="D1237" s="2" t="s">
        <v>31</v>
      </c>
      <c r="E1237" s="8">
        <f>IF(Tabla2[[#This Row],[Frecuencia]]="Annual", Tabla2[[#This Row],[Cosecha/Tarea]]/12,Tabla2[[#This Row],[Cosecha/Tarea]])</f>
        <v>46942.666666666664</v>
      </c>
      <c r="F1237" s="2">
        <v>112702</v>
      </c>
      <c r="G1237" t="s">
        <v>34</v>
      </c>
      <c r="H1237">
        <f>F1237/Tabla2[[#This Row],[Cosecha Mensual]]</f>
        <v>2.4008435822421679</v>
      </c>
      <c r="I1237">
        <f>H1237*_xlfn.XLOOKUP(Tabla2[[#This Row],[Unidad de producción]],Tabla3[Medida],Tabla3[Equivalencia en Kg],"ELVIS",0)</f>
        <v>979.90430809214081</v>
      </c>
      <c r="J1237">
        <v>5031.6000000000004</v>
      </c>
      <c r="K1237" t="s">
        <v>34</v>
      </c>
      <c r="L1237">
        <f>J1237/_xlfn.XLOOKUP(Tabla2[[#This Row],[Unidad de precio]],Tabla3[Medida],Tabla3[Equivalencia en Kg],"ELVIS",0)</f>
        <v>12.327820654171262</v>
      </c>
      <c r="M1237" s="2">
        <v>8418.1288680949201</v>
      </c>
      <c r="N1237" s="2">
        <f>(Tabla2[[#This Row],[Productividad (kg/TAS)]]*Tabla2[[#This Row],[Precio por kg]]-Tabla2[[#This Row],[Costos (En RD$/Tarea)]])</f>
        <v>3661.9557003147729</v>
      </c>
      <c r="O1237" s="6">
        <f>IF(Tabla2[[#This Row],[Costos (En RD$/Tarea)]]=0,0,Tabla2[[#This Row],[Beneficio Neto  (En RD$/Tarea)]]/Tabla2[[#This Row],[Costos (En RD$/Tarea)]])</f>
        <v>0.43500827294219108</v>
      </c>
      <c r="P1237" s="4">
        <f>Tabla2[[#This Row],[Rentabilidad (%)]]/12</f>
        <v>3.6250689411849259E-2</v>
      </c>
    </row>
    <row r="1238" spans="1:16" x14ac:dyDescent="0.35">
      <c r="A1238" s="1">
        <v>39661</v>
      </c>
      <c r="B1238" t="s">
        <v>16</v>
      </c>
      <c r="C1238" s="2">
        <v>84496</v>
      </c>
      <c r="D1238" s="5" t="s">
        <v>17</v>
      </c>
      <c r="E1238" s="2">
        <f>IF(Tabla2[[#This Row],[Frecuencia]]="Annual", Tabla2[[#This Row],[Cosecha/Tarea]]/12,Tabla2[[#This Row],[Cosecha/Tarea]])</f>
        <v>84496</v>
      </c>
      <c r="F1238" s="2">
        <v>362797</v>
      </c>
      <c r="G1238" t="s">
        <v>18</v>
      </c>
      <c r="H1238">
        <f>F1238/Tabla2[[#This Row],[Cosecha Mensual]]</f>
        <v>4.2936588714258663</v>
      </c>
      <c r="I1238">
        <f>H1238*_xlfn.XLOOKUP(Tabla2[[#This Row],[Unidad de producción]],Tabla3[Medida],Tabla3[Equivalencia en Kg],"ELVIS",0)</f>
        <v>194.76036640787729</v>
      </c>
      <c r="J1238">
        <v>1317.0288</v>
      </c>
      <c r="K1238" t="s">
        <v>19</v>
      </c>
      <c r="L1238">
        <f>J1238/_xlfn.XLOOKUP(Tabla2[[#This Row],[Unidad de precio]],Tabla3[Medida],Tabla3[Equivalencia en Kg],"ELVIS",0)</f>
        <v>11.972989090909092</v>
      </c>
      <c r="M1238">
        <v>6402.1671715266002</v>
      </c>
      <c r="N1238" s="2">
        <f>(Tabla2[[#This Row],[Productividad (kg/TAS)]]*Tabla2[[#This Row],[Precio por kg]]-Tabla2[[#This Row],[Costos (En RD$/Tarea)]])</f>
        <v>-4070.3034291836279</v>
      </c>
      <c r="O1238" s="6">
        <f>IF(Tabla2[[#This Row],[Costos (En RD$/Tarea)]]=0,0,Tabla2[[#This Row],[Beneficio Neto  (En RD$/Tarea)]]/Tabla2[[#This Row],[Costos (En RD$/Tarea)]])</f>
        <v>-0.63576962614880639</v>
      </c>
      <c r="P1238" s="4">
        <f>Tabla2[[#This Row],[Rentabilidad (%)]]/12</f>
        <v>-5.2980802179067199E-2</v>
      </c>
    </row>
    <row r="1239" spans="1:16" x14ac:dyDescent="0.35">
      <c r="A1239" s="1">
        <v>39661</v>
      </c>
      <c r="B1239" t="s">
        <v>20</v>
      </c>
      <c r="C1239" s="2">
        <v>42049</v>
      </c>
      <c r="D1239" s="5" t="s">
        <v>17</v>
      </c>
      <c r="E1239" s="2">
        <f>IF(Tabla2[[#This Row],[Frecuencia]]="Annual", Tabla2[[#This Row],[Cosecha/Tarea]]/12,Tabla2[[#This Row],[Cosecha/Tarea]])</f>
        <v>42049</v>
      </c>
      <c r="F1239" s="2">
        <v>80507</v>
      </c>
      <c r="G1239" t="s">
        <v>18</v>
      </c>
      <c r="H1239">
        <f>F1239/Tabla2[[#This Row],[Cosecha Mensual]]</f>
        <v>1.9145996337606126</v>
      </c>
      <c r="I1239">
        <f>H1239*_xlfn.XLOOKUP(Tabla2[[#This Row],[Unidad de producción]],Tabla3[Medida],Tabla3[Equivalencia en Kg],"ELVIS",0)</f>
        <v>86.846239387381388</v>
      </c>
      <c r="J1239">
        <v>836.58199999999999</v>
      </c>
      <c r="K1239" t="s">
        <v>18</v>
      </c>
      <c r="L1239">
        <f>J1239/_xlfn.XLOOKUP(Tabla2[[#This Row],[Unidad de precio]],Tabla3[Medida],Tabla3[Equivalencia en Kg],"ELVIS",0)</f>
        <v>18.443165784832452</v>
      </c>
      <c r="M1239">
        <v>1490.9040199825199</v>
      </c>
      <c r="N1239" s="2">
        <f>(Tabla2[[#This Row],[Productividad (kg/TAS)]]*Tabla2[[#This Row],[Precio por kg]]-Tabla2[[#This Row],[Costos (En RD$/Tarea)]])</f>
        <v>110.81557082820086</v>
      </c>
      <c r="O1239" s="6">
        <f>IF(Tabla2[[#This Row],[Costos (En RD$/Tarea)]]=0,0,Tabla2[[#This Row],[Beneficio Neto  (En RD$/Tarea)]]/Tabla2[[#This Row],[Costos (En RD$/Tarea)]])</f>
        <v>7.4327769824847692E-2</v>
      </c>
      <c r="P1239" s="4">
        <f>Tabla2[[#This Row],[Rentabilidad (%)]]/12</f>
        <v>6.193980818737308E-3</v>
      </c>
    </row>
    <row r="1240" spans="1:16" x14ac:dyDescent="0.35">
      <c r="A1240" s="1">
        <v>39661</v>
      </c>
      <c r="B1240" t="s">
        <v>21</v>
      </c>
      <c r="C1240" s="2">
        <v>7918</v>
      </c>
      <c r="D1240" s="5" t="s">
        <v>17</v>
      </c>
      <c r="E1240" s="2">
        <f>IF(Tabla2[[#This Row],[Frecuencia]]="Annual", Tabla2[[#This Row],[Cosecha/Tarea]]/12,Tabla2[[#This Row],[Cosecha/Tarea]])</f>
        <v>7918</v>
      </c>
      <c r="F1240" s="2">
        <v>88589</v>
      </c>
      <c r="G1240" t="s">
        <v>18</v>
      </c>
      <c r="H1240">
        <f>F1240/Tabla2[[#This Row],[Cosecha Mensual]]</f>
        <v>11.188305127557465</v>
      </c>
      <c r="I1240">
        <f>H1240*_xlfn.XLOOKUP(Tabla2[[#This Row],[Unidad de producción]],Tabla3[Medida],Tabla3[Equivalencia en Kg],"ELVIS",0)</f>
        <v>507.50152058600662</v>
      </c>
      <c r="J1240">
        <v>298.90249999999997</v>
      </c>
      <c r="K1240" t="s">
        <v>18</v>
      </c>
      <c r="L1240">
        <f>J1240/_xlfn.XLOOKUP(Tabla2[[#This Row],[Unidad de precio]],Tabla3[Medida],Tabla3[Equivalencia en Kg],"ELVIS",0)</f>
        <v>6.5895612874779541</v>
      </c>
      <c r="M1240">
        <v>3935.0401959000001</v>
      </c>
      <c r="N1240" s="2">
        <f>(Tabla2[[#This Row],[Productividad (kg/TAS)]]*Tabla2[[#This Row],[Precio por kg]]-Tabla2[[#This Row],[Costos (En RD$/Tarea)]])</f>
        <v>-590.82782251025492</v>
      </c>
      <c r="O1240" s="6">
        <f>IF(Tabla2[[#This Row],[Costos (En RD$/Tarea)]]=0,0,Tabla2[[#This Row],[Beneficio Neto  (En RD$/Tarea)]]/Tabla2[[#This Row],[Costos (En RD$/Tarea)]])</f>
        <v>-0.15014530807737381</v>
      </c>
      <c r="P1240" s="4">
        <f>Tabla2[[#This Row],[Rentabilidad (%)]]/12</f>
        <v>-1.2512109006447817E-2</v>
      </c>
    </row>
    <row r="1241" spans="1:16" x14ac:dyDescent="0.35">
      <c r="A1241" s="1">
        <v>39661</v>
      </c>
      <c r="B1241" t="s">
        <v>22</v>
      </c>
      <c r="C1241" s="2">
        <v>1959</v>
      </c>
      <c r="D1241" s="5" t="s">
        <v>17</v>
      </c>
      <c r="E1241" s="2">
        <f>IF(Tabla2[[#This Row],[Frecuencia]]="Annual", Tabla2[[#This Row],[Cosecha/Tarea]]/12,Tabla2[[#This Row],[Cosecha/Tarea]])</f>
        <v>1959</v>
      </c>
      <c r="F1241" s="2">
        <v>19098</v>
      </c>
      <c r="G1241" t="s">
        <v>18</v>
      </c>
      <c r="H1241">
        <f>F1241/Tabla2[[#This Row],[Cosecha Mensual]]</f>
        <v>9.7488514548238889</v>
      </c>
      <c r="I1241">
        <f>H1241*_xlfn.XLOOKUP(Tabla2[[#This Row],[Unidad de producción]],Tabla3[Medida],Tabla3[Equivalencia en Kg],"ELVIS",0)</f>
        <v>442.20790199081159</v>
      </c>
      <c r="J1241">
        <v>983.25</v>
      </c>
      <c r="K1241" t="s">
        <v>18</v>
      </c>
      <c r="L1241">
        <f>J1241/_xlfn.XLOOKUP(Tabla2[[#This Row],[Unidad de precio]],Tabla3[Medida],Tabla3[Equivalencia en Kg],"ELVIS",0)</f>
        <v>21.676587301587301</v>
      </c>
      <c r="M1241">
        <v>6901.0735717535999</v>
      </c>
      <c r="N1241" s="2">
        <f>(Tabla2[[#This Row],[Productividad (kg/TAS)]]*Tabla2[[#This Row],[Precio por kg]]-Tabla2[[#This Row],[Costos (En RD$/Tarea)]])</f>
        <v>2684.4846212019884</v>
      </c>
      <c r="O1241" s="6">
        <f>IF(Tabla2[[#This Row],[Costos (En RD$/Tarea)]]=0,0,Tabla2[[#This Row],[Beneficio Neto  (En RD$/Tarea)]]/Tabla2[[#This Row],[Costos (En RD$/Tarea)]])</f>
        <v>0.38899521839467166</v>
      </c>
      <c r="P1241" s="4">
        <f>Tabla2[[#This Row],[Rentabilidad (%)]]/12</f>
        <v>3.2416268199555974E-2</v>
      </c>
    </row>
    <row r="1242" spans="1:16" x14ac:dyDescent="0.35">
      <c r="A1242" s="1">
        <v>39661</v>
      </c>
      <c r="B1242" t="s">
        <v>23</v>
      </c>
      <c r="C1242" s="2">
        <v>1243</v>
      </c>
      <c r="D1242" s="5" t="s">
        <v>17</v>
      </c>
      <c r="E1242" s="2">
        <f>IF(Tabla2[[#This Row],[Frecuencia]]="Annual", Tabla2[[#This Row],[Cosecha/Tarea]]/12,Tabla2[[#This Row],[Cosecha/Tarea]])</f>
        <v>1243</v>
      </c>
      <c r="F1242" s="2">
        <v>28280</v>
      </c>
      <c r="G1242" t="s">
        <v>18</v>
      </c>
      <c r="H1242">
        <f>F1242/Tabla2[[#This Row],[Cosecha Mensual]]</f>
        <v>22.751407884151249</v>
      </c>
      <c r="I1242">
        <f>H1242*_xlfn.XLOOKUP(Tabla2[[#This Row],[Unidad de producción]],Tabla3[Medida],Tabla3[Equivalencia en Kg],"ELVIS",0)</f>
        <v>1032.0038616251006</v>
      </c>
      <c r="J1242">
        <v>950</v>
      </c>
      <c r="K1242" t="s">
        <v>18</v>
      </c>
      <c r="L1242">
        <f>J1242/_xlfn.XLOOKUP(Tabla2[[#This Row],[Unidad de precio]],Tabla3[Medida],Tabla3[Equivalencia en Kg],"ELVIS",0)</f>
        <v>20.943562610229279</v>
      </c>
      <c r="M1242">
        <v>17874.25</v>
      </c>
      <c r="N1242" s="2">
        <f>(Tabla2[[#This Row],[Productividad (kg/TAS)]]*Tabla2[[#This Row],[Precio por kg]]-Tabla2[[#This Row],[Costos (En RD$/Tarea)]])</f>
        <v>3739.5874899436894</v>
      </c>
      <c r="O1242" s="6">
        <f>IF(Tabla2[[#This Row],[Costos (En RD$/Tarea)]]=0,0,Tabla2[[#This Row],[Beneficio Neto  (En RD$/Tarea)]]/Tabla2[[#This Row],[Costos (En RD$/Tarea)]])</f>
        <v>0.20921647005853053</v>
      </c>
      <c r="P1242" s="4">
        <f>Tabla2[[#This Row],[Rentabilidad (%)]]/12</f>
        <v>1.7434705838210877E-2</v>
      </c>
    </row>
    <row r="1243" spans="1:16" x14ac:dyDescent="0.35">
      <c r="A1243" s="1">
        <v>39661</v>
      </c>
      <c r="B1243" t="s">
        <v>24</v>
      </c>
      <c r="C1243" s="2">
        <v>4807</v>
      </c>
      <c r="D1243" s="5" t="s">
        <v>17</v>
      </c>
      <c r="E1243" s="2">
        <f>IF(Tabla2[[#This Row],[Frecuencia]]="Annual", Tabla2[[#This Row],[Cosecha/Tarea]]/12,Tabla2[[#This Row],[Cosecha/Tarea]])</f>
        <v>4807</v>
      </c>
      <c r="F1243" s="2">
        <v>35821</v>
      </c>
      <c r="G1243" t="s">
        <v>18</v>
      </c>
      <c r="H1243">
        <f>F1243/Tabla2[[#This Row],[Cosecha Mensual]]</f>
        <v>7.451841065113376</v>
      </c>
      <c r="I1243">
        <f>H1243*_xlfn.XLOOKUP(Tabla2[[#This Row],[Unidad de producción]],Tabla3[Medida],Tabla3[Equivalencia en Kg],"ELVIS",0)</f>
        <v>338.01551071354271</v>
      </c>
      <c r="J1243">
        <v>1200</v>
      </c>
      <c r="K1243" t="s">
        <v>18</v>
      </c>
      <c r="L1243">
        <f>J1243/_xlfn.XLOOKUP(Tabla2[[#This Row],[Unidad de precio]],Tabla3[Medida],Tabla3[Equivalencia en Kg],"ELVIS",0)</f>
        <v>26.455026455026456</v>
      </c>
      <c r="M1243">
        <v>5602.3420621674204</v>
      </c>
      <c r="N1243" s="2">
        <f>(Tabla2[[#This Row],[Productividad (kg/TAS)]]*Tabla2[[#This Row],[Precio por kg]]-Tabla2[[#This Row],[Costos (En RD$/Tarea)]])</f>
        <v>3339.8672159686312</v>
      </c>
      <c r="O1243" s="6">
        <f>IF(Tabla2[[#This Row],[Costos (En RD$/Tarea)]]=0,0,Tabla2[[#This Row],[Beneficio Neto  (En RD$/Tarea)]]/Tabla2[[#This Row],[Costos (En RD$/Tarea)]])</f>
        <v>0.59615553261603438</v>
      </c>
      <c r="P1243" s="4">
        <f>Tabla2[[#This Row],[Rentabilidad (%)]]/12</f>
        <v>4.9679627718002863E-2</v>
      </c>
    </row>
    <row r="1244" spans="1:16" x14ac:dyDescent="0.35">
      <c r="A1244" s="1">
        <v>39661</v>
      </c>
      <c r="B1244" t="s">
        <v>25</v>
      </c>
      <c r="C1244" s="2">
        <v>18121</v>
      </c>
      <c r="D1244" s="5" t="s">
        <v>17</v>
      </c>
      <c r="E1244" s="2">
        <f>IF(Tabla2[[#This Row],[Frecuencia]]="Annual", Tabla2[[#This Row],[Cosecha/Tarea]]/12,Tabla2[[#This Row],[Cosecha/Tarea]])</f>
        <v>18121</v>
      </c>
      <c r="F1244" s="2">
        <v>175292</v>
      </c>
      <c r="G1244" t="s">
        <v>18</v>
      </c>
      <c r="H1244">
        <f>F1244/Tabla2[[#This Row],[Cosecha Mensual]]</f>
        <v>9.6734175818111581</v>
      </c>
      <c r="I1244">
        <f>H1244*_xlfn.XLOOKUP(Tabla2[[#This Row],[Unidad de producción]],Tabla3[Medida],Tabla3[Equivalencia en Kg],"ELVIS",0)</f>
        <v>438.78622151095414</v>
      </c>
      <c r="J1244">
        <v>952.06200000000001</v>
      </c>
      <c r="K1244" t="s">
        <v>18</v>
      </c>
      <c r="L1244">
        <f>J1244/_xlfn.XLOOKUP(Tabla2[[#This Row],[Unidad de precio]],Tabla3[Medida],Tabla3[Equivalencia en Kg],"ELVIS",0)</f>
        <v>20.989021164021164</v>
      </c>
      <c r="M1244">
        <v>3201.64901153456</v>
      </c>
      <c r="N1244" s="2">
        <f>(Tabla2[[#This Row],[Productividad (kg/TAS)]]*Tabla2[[#This Row],[Precio por kg]]-Tabla2[[#This Row],[Costos (En RD$/Tarea)]])</f>
        <v>6008.0442782397349</v>
      </c>
      <c r="O1244" s="6">
        <f>IF(Tabla2[[#This Row],[Costos (En RD$/Tarea)]]=0,0,Tabla2[[#This Row],[Beneficio Neto  (En RD$/Tarea)]]/Tabla2[[#This Row],[Costos (En RD$/Tarea)]])</f>
        <v>1.8765468221515202</v>
      </c>
      <c r="P1244" s="4">
        <f>Tabla2[[#This Row],[Rentabilidad (%)]]/12</f>
        <v>0.15637890184596001</v>
      </c>
    </row>
    <row r="1245" spans="1:16" x14ac:dyDescent="0.35">
      <c r="A1245" s="1">
        <v>39661</v>
      </c>
      <c r="B1245" t="s">
        <v>26</v>
      </c>
      <c r="C1245" s="2">
        <v>10476</v>
      </c>
      <c r="D1245" s="5" t="s">
        <v>17</v>
      </c>
      <c r="E1245" s="2">
        <f>IF(Tabla2[[#This Row],[Frecuencia]]="Annual", Tabla2[[#This Row],[Cosecha/Tarea]]/12,Tabla2[[#This Row],[Cosecha/Tarea]])</f>
        <v>10476</v>
      </c>
      <c r="F1245" s="2">
        <v>57380</v>
      </c>
      <c r="G1245" t="s">
        <v>18</v>
      </c>
      <c r="H1245">
        <f>F1245/Tabla2[[#This Row],[Cosecha Mensual]]</f>
        <v>5.4772814051164564</v>
      </c>
      <c r="I1245">
        <f>H1245*_xlfn.XLOOKUP(Tabla2[[#This Row],[Unidad de producción]],Tabla3[Medida],Tabla3[Equivalencia en Kg],"ELVIS",0)</f>
        <v>248.44948453608245</v>
      </c>
      <c r="J1245">
        <v>672.29200000000003</v>
      </c>
      <c r="K1245" t="s">
        <v>18</v>
      </c>
      <c r="L1245">
        <f>J1245/_xlfn.XLOOKUP(Tabla2[[#This Row],[Unidad de precio]],Tabla3[Medida],Tabla3[Equivalencia en Kg],"ELVIS",0)</f>
        <v>14.821252204585539</v>
      </c>
      <c r="M1245">
        <v>1294.9257376989401</v>
      </c>
      <c r="N1245" s="2">
        <f>(Tabla2[[#This Row],[Productividad (kg/TAS)]]*Tabla2[[#This Row],[Precio por kg]]-Tabla2[[#This Row],[Costos (En RD$/Tarea)]])</f>
        <v>2387.4067327096127</v>
      </c>
      <c r="O1245" s="6">
        <f>IF(Tabla2[[#This Row],[Costos (En RD$/Tarea)]]=0,0,Tabla2[[#This Row],[Beneficio Neto  (En RD$/Tarea)]]/Tabla2[[#This Row],[Costos (En RD$/Tarea)]])</f>
        <v>1.8436630481621223</v>
      </c>
      <c r="P1245" s="4">
        <f>Tabla2[[#This Row],[Rentabilidad (%)]]/12</f>
        <v>0.15363858734684352</v>
      </c>
    </row>
    <row r="1246" spans="1:16" x14ac:dyDescent="0.35">
      <c r="A1246" s="1">
        <v>39661</v>
      </c>
      <c r="B1246" t="s">
        <v>27</v>
      </c>
      <c r="C1246" s="2">
        <v>6618</v>
      </c>
      <c r="D1246" s="5" t="s">
        <v>17</v>
      </c>
      <c r="E1246" s="2">
        <f>IF(Tabla2[[#This Row],[Frecuencia]]="Annual", Tabla2[[#This Row],[Cosecha/Tarea]]/12,Tabla2[[#This Row],[Cosecha/Tarea]])</f>
        <v>6618</v>
      </c>
      <c r="F1246" s="2">
        <v>43534</v>
      </c>
      <c r="G1246" t="s">
        <v>18</v>
      </c>
      <c r="H1246">
        <f>F1246/Tabla2[[#This Row],[Cosecha Mensual]]</f>
        <v>6.5781202780296164</v>
      </c>
      <c r="I1246">
        <f>H1246*_xlfn.XLOOKUP(Tabla2[[#This Row],[Unidad de producción]],Tabla3[Medida],Tabla3[Equivalencia en Kg],"ELVIS",0)</f>
        <v>298.38353581142337</v>
      </c>
      <c r="J1246">
        <v>387.53399999999999</v>
      </c>
      <c r="K1246" t="s">
        <v>18</v>
      </c>
      <c r="L1246">
        <f>J1246/_xlfn.XLOOKUP(Tabla2[[#This Row],[Unidad de precio]],Tabla3[Medida],Tabla3[Equivalencia en Kg],"ELVIS",0)</f>
        <v>8.5435185185185176</v>
      </c>
      <c r="M1246">
        <v>5429.7257056660201</v>
      </c>
      <c r="N1246" s="2">
        <f>(Tabla2[[#This Row],[Productividad (kg/TAS)]]*Tabla2[[#This Row],[Precio por kg]]-Tabla2[[#This Row],[Costos (En RD$/Tarea)]])</f>
        <v>-2880.4804418400913</v>
      </c>
      <c r="O1246" s="6">
        <f>IF(Tabla2[[#This Row],[Costos (En RD$/Tarea)]]=0,0,Tabla2[[#This Row],[Beneficio Neto  (En RD$/Tarea)]]/Tabla2[[#This Row],[Costos (En RD$/Tarea)]])</f>
        <v>-0.53050201759441662</v>
      </c>
      <c r="P1246" s="4">
        <f>Tabla2[[#This Row],[Rentabilidad (%)]]/12</f>
        <v>-4.4208501466201387E-2</v>
      </c>
    </row>
    <row r="1247" spans="1:16" x14ac:dyDescent="0.35">
      <c r="A1247" s="1">
        <v>39661</v>
      </c>
      <c r="B1247" t="s">
        <v>28</v>
      </c>
      <c r="C1247" s="2">
        <v>41200</v>
      </c>
      <c r="D1247" s="5" t="s">
        <v>17</v>
      </c>
      <c r="E1247" s="2">
        <f>IF(Tabla2[[#This Row],[Frecuencia]]="Annual", Tabla2[[#This Row],[Cosecha/Tarea]]/12,Tabla2[[#This Row],[Cosecha/Tarea]])</f>
        <v>41200</v>
      </c>
      <c r="F1247" s="2">
        <v>66841</v>
      </c>
      <c r="G1247" t="s">
        <v>29</v>
      </c>
      <c r="H1247">
        <f>F1247/Tabla2[[#This Row],[Cosecha Mensual]]</f>
        <v>1.6223543689320388</v>
      </c>
      <c r="I1247">
        <f>H1247*_xlfn.XLOOKUP(Tabla2[[#This Row],[Unidad de producción]],Tabla3[Medida],Tabla3[Equivalencia en Kg],"ELVIS",0)</f>
        <v>912.31475582524274</v>
      </c>
      <c r="J1247">
        <v>4542.3333333333303</v>
      </c>
      <c r="K1247" t="s">
        <v>29</v>
      </c>
      <c r="L1247">
        <f>J1247/_xlfn.XLOOKUP(Tabla2[[#This Row],[Unidad de precio]],Tabla3[Medida],Tabla3[Equivalencia en Kg],"ELVIS",0)</f>
        <v>8.0775568754371552</v>
      </c>
      <c r="M1247">
        <v>4903.3716657183304</v>
      </c>
      <c r="N1247" s="2">
        <f>(Tabla2[[#This Row],[Productividad (kg/TAS)]]*Tabla2[[#This Row],[Precio por kg]]-Tabla2[[#This Row],[Costos (En RD$/Tarea)]])</f>
        <v>2465.9026627606281</v>
      </c>
      <c r="O1247" s="6">
        <f>IF(Tabla2[[#This Row],[Costos (En RD$/Tarea)]]=0,0,Tabla2[[#This Row],[Beneficio Neto  (En RD$/Tarea)]]/Tabla2[[#This Row],[Costos (En RD$/Tarea)]])</f>
        <v>0.50289939879549805</v>
      </c>
      <c r="P1247" s="4">
        <f>Tabla2[[#This Row],[Rentabilidad (%)]]/12</f>
        <v>4.1908283232958171E-2</v>
      </c>
    </row>
    <row r="1248" spans="1:16" x14ac:dyDescent="0.35">
      <c r="A1248" s="1">
        <v>39661</v>
      </c>
      <c r="B1248" t="s">
        <v>30</v>
      </c>
      <c r="C1248" s="2">
        <v>271041</v>
      </c>
      <c r="D1248" s="2" t="s">
        <v>31</v>
      </c>
      <c r="E1248" s="2">
        <f>IF(Tabla2[[#This Row],[Frecuencia]]="Annual", Tabla2[[#This Row],[Cosecha/Tarea]]/12,Tabla2[[#This Row],[Cosecha/Tarea]])</f>
        <v>22586.75</v>
      </c>
      <c r="F1248" s="2">
        <v>1580253</v>
      </c>
      <c r="G1248" t="s">
        <v>32</v>
      </c>
      <c r="H1248">
        <f>F1248/Tabla2[[#This Row],[Cosecha Mensual]]</f>
        <v>69.963717666330922</v>
      </c>
      <c r="I1248">
        <f>H1248*_xlfn.XLOOKUP(Tabla2[[#This Row],[Unidad de producción]],Tabla3[Medida],Tabla3[Equivalencia en Kg],"ELVIS",0)</f>
        <v>1903.7127577008644</v>
      </c>
      <c r="J1248">
        <v>125.69499999999999</v>
      </c>
      <c r="K1248" t="s">
        <v>32</v>
      </c>
      <c r="L1248">
        <f>J1248/_xlfn.XLOOKUP(Tabla2[[#This Row],[Unidad de precio]],Tabla3[Medida],Tabla3[Equivalencia en Kg],"ELVIS",0)</f>
        <v>4.6194413818449096</v>
      </c>
      <c r="M1248" s="2">
        <v>8644.7793050524706</v>
      </c>
      <c r="N1248" s="2">
        <f>(Tabla2[[#This Row],[Productividad (kg/TAS)]]*Tabla2[[#This Row],[Precio por kg]]-Tabla2[[#This Row],[Costos (En RD$/Tarea)]])</f>
        <v>149.31018701699395</v>
      </c>
      <c r="O1248" s="6">
        <f>IF(Tabla2[[#This Row],[Costos (En RD$/Tarea)]]=0,0,Tabla2[[#This Row],[Beneficio Neto  (En RD$/Tarea)]]/Tabla2[[#This Row],[Costos (En RD$/Tarea)]])</f>
        <v>1.7271717616866068E-2</v>
      </c>
      <c r="P1248" s="4">
        <f>Tabla2[[#This Row],[Rentabilidad (%)]]/12</f>
        <v>1.4393098014055057E-3</v>
      </c>
    </row>
    <row r="1249" spans="1:16" x14ac:dyDescent="0.35">
      <c r="A1249" s="1">
        <v>39661</v>
      </c>
      <c r="B1249" t="s">
        <v>33</v>
      </c>
      <c r="C1249" s="2">
        <v>600864</v>
      </c>
      <c r="D1249" s="2" t="s">
        <v>31</v>
      </c>
      <c r="E1249" s="8">
        <f>IF(Tabla2[[#This Row],[Frecuencia]]="Annual", Tabla2[[#This Row],[Cosecha/Tarea]]/12,Tabla2[[#This Row],[Cosecha/Tarea]])</f>
        <v>50072</v>
      </c>
      <c r="F1249" s="2">
        <v>131999</v>
      </c>
      <c r="G1249" t="s">
        <v>34</v>
      </c>
      <c r="H1249">
        <f>F1249/Tabla2[[#This Row],[Cosecha Mensual]]</f>
        <v>2.6361838951909249</v>
      </c>
      <c r="I1249">
        <f>H1249*_xlfn.XLOOKUP(Tabla2[[#This Row],[Unidad de producción]],Tabla3[Medida],Tabla3[Equivalencia en Kg],"ELVIS",0)</f>
        <v>1075.958456822176</v>
      </c>
      <c r="J1249">
        <v>5337.22166666667</v>
      </c>
      <c r="K1249" t="s">
        <v>34</v>
      </c>
      <c r="L1249">
        <f>J1249/_xlfn.XLOOKUP(Tabla2[[#This Row],[Unidad de precio]],Tabla3[Medida],Tabla3[Equivalencia en Kg],"ELVIS",0)</f>
        <v>13.076618073420729</v>
      </c>
      <c r="M1249" s="2">
        <v>8418.1288680949201</v>
      </c>
      <c r="N1249" s="2">
        <f>(Tabla2[[#This Row],[Productividad (kg/TAS)]]*Tabla2[[#This Row],[Precio por kg]]-Tabla2[[#This Row],[Costos (En RD$/Tarea)]])</f>
        <v>5651.7689346358238</v>
      </c>
      <c r="O1249" s="6">
        <f>IF(Tabla2[[#This Row],[Costos (En RD$/Tarea)]]=0,0,Tabla2[[#This Row],[Beneficio Neto  (En RD$/Tarea)]]/Tabla2[[#This Row],[Costos (En RD$/Tarea)]])</f>
        <v>0.6713806622818852</v>
      </c>
      <c r="P1249" s="4">
        <f>Tabla2[[#This Row],[Rentabilidad (%)]]/12</f>
        <v>5.5948388523490433E-2</v>
      </c>
    </row>
    <row r="1250" spans="1:16" x14ac:dyDescent="0.35">
      <c r="A1250" s="1">
        <v>39692</v>
      </c>
      <c r="B1250" t="s">
        <v>16</v>
      </c>
      <c r="C1250" s="2">
        <v>153957</v>
      </c>
      <c r="D1250" s="5" t="s">
        <v>17</v>
      </c>
      <c r="E1250" s="2">
        <f>IF(Tabla2[[#This Row],[Frecuencia]]="Annual", Tabla2[[#This Row],[Cosecha/Tarea]]/12,Tabla2[[#This Row],[Cosecha/Tarea]])</f>
        <v>153957</v>
      </c>
      <c r="F1250" s="2">
        <v>550703</v>
      </c>
      <c r="G1250" t="s">
        <v>18</v>
      </c>
      <c r="H1250">
        <f>F1250/Tabla2[[#This Row],[Cosecha Mensual]]</f>
        <v>3.5769922770643752</v>
      </c>
      <c r="I1250">
        <f>H1250*_xlfn.XLOOKUP(Tabla2[[#This Row],[Unidad de producción]],Tabla3[Medida],Tabla3[Equivalencia en Kg],"ELVIS",0)</f>
        <v>162.25236968764005</v>
      </c>
      <c r="J1250">
        <v>1406.56</v>
      </c>
      <c r="K1250" t="s">
        <v>19</v>
      </c>
      <c r="L1250">
        <f>J1250/_xlfn.XLOOKUP(Tabla2[[#This Row],[Unidad de precio]],Tabla3[Medida],Tabla3[Equivalencia en Kg],"ELVIS",0)</f>
        <v>12.78690909090909</v>
      </c>
      <c r="M1250">
        <v>6402.1671715266002</v>
      </c>
      <c r="N1250" s="2">
        <f>(Tabla2[[#This Row],[Productividad (kg/TAS)]]*Tabla2[[#This Row],[Precio por kg]]-Tabla2[[#This Row],[Costos (En RD$/Tarea)]])</f>
        <v>-4327.4608705461733</v>
      </c>
      <c r="O1250" s="6">
        <f>IF(Tabla2[[#This Row],[Costos (En RD$/Tarea)]]=0,0,Tabla2[[#This Row],[Beneficio Neto  (En RD$/Tarea)]]/Tabla2[[#This Row],[Costos (En RD$/Tarea)]])</f>
        <v>-0.67593687490579657</v>
      </c>
      <c r="P1250" s="4">
        <f>Tabla2[[#This Row],[Rentabilidad (%)]]/12</f>
        <v>-5.6328072908816383E-2</v>
      </c>
    </row>
    <row r="1251" spans="1:16" x14ac:dyDescent="0.35">
      <c r="A1251" s="1">
        <v>39692</v>
      </c>
      <c r="B1251" t="s">
        <v>20</v>
      </c>
      <c r="C1251" s="2">
        <v>40595</v>
      </c>
      <c r="D1251" s="5" t="s">
        <v>17</v>
      </c>
      <c r="E1251" s="2">
        <f>IF(Tabla2[[#This Row],[Frecuencia]]="Annual", Tabla2[[#This Row],[Cosecha/Tarea]]/12,Tabla2[[#This Row],[Cosecha/Tarea]])</f>
        <v>40595</v>
      </c>
      <c r="F1251" s="2">
        <v>76546</v>
      </c>
      <c r="G1251" t="s">
        <v>18</v>
      </c>
      <c r="H1251">
        <f>F1251/Tabla2[[#This Row],[Cosecha Mensual]]</f>
        <v>1.8856016750831384</v>
      </c>
      <c r="I1251">
        <f>H1251*_xlfn.XLOOKUP(Tabla2[[#This Row],[Unidad de producción]],Tabla3[Medida],Tabla3[Equivalencia en Kg],"ELVIS",0)</f>
        <v>85.530891981771148</v>
      </c>
      <c r="J1251">
        <v>598.16071428571399</v>
      </c>
      <c r="K1251" t="s">
        <v>18</v>
      </c>
      <c r="L1251">
        <f>J1251/_xlfn.XLOOKUP(Tabla2[[#This Row],[Unidad de precio]],Tabla3[Medida],Tabla3[Equivalencia en Kg],"ELVIS",0)</f>
        <v>13.18696460065507</v>
      </c>
      <c r="M1251">
        <v>1490.9040199825199</v>
      </c>
      <c r="N1251" s="2">
        <f>(Tabla2[[#This Row],[Productividad (kg/TAS)]]*Tabla2[[#This Row],[Precio por kg]]-Tabla2[[#This Row],[Costos (En RD$/Tarea)]])</f>
        <v>-363.01117515645115</v>
      </c>
      <c r="O1251" s="6">
        <f>IF(Tabla2[[#This Row],[Costos (En RD$/Tarea)]]=0,0,Tabla2[[#This Row],[Beneficio Neto  (En RD$/Tarea)]]/Tabla2[[#This Row],[Costos (En RD$/Tarea)]])</f>
        <v>-0.24348393343302357</v>
      </c>
      <c r="P1251" s="4">
        <f>Tabla2[[#This Row],[Rentabilidad (%)]]/12</f>
        <v>-2.0290327786085298E-2</v>
      </c>
    </row>
    <row r="1252" spans="1:16" x14ac:dyDescent="0.35">
      <c r="A1252" s="1">
        <v>39692</v>
      </c>
      <c r="B1252" t="s">
        <v>21</v>
      </c>
      <c r="C1252" s="2">
        <v>7672</v>
      </c>
      <c r="D1252" s="5" t="s">
        <v>17</v>
      </c>
      <c r="E1252" s="2">
        <f>IF(Tabla2[[#This Row],[Frecuencia]]="Annual", Tabla2[[#This Row],[Cosecha/Tarea]]/12,Tabla2[[#This Row],[Cosecha/Tarea]])</f>
        <v>7672</v>
      </c>
      <c r="F1252" s="2">
        <v>81165</v>
      </c>
      <c r="G1252" t="s">
        <v>18</v>
      </c>
      <c r="H1252">
        <f>F1252/Tabla2[[#This Row],[Cosecha Mensual]]</f>
        <v>10.579379562043796</v>
      </c>
      <c r="I1252">
        <f>H1252*_xlfn.XLOOKUP(Tabla2[[#This Row],[Unidad de producción]],Tabla3[Medida],Tabla3[Equivalencia en Kg],"ELVIS",0)</f>
        <v>479.88065693430656</v>
      </c>
      <c r="J1252">
        <v>277.96491666666702</v>
      </c>
      <c r="K1252" t="s">
        <v>18</v>
      </c>
      <c r="L1252">
        <f>J1252/_xlfn.XLOOKUP(Tabla2[[#This Row],[Unidad de precio]],Tabla3[Medida],Tabla3[Equivalencia en Kg],"ELVIS",0)</f>
        <v>6.1279743533215836</v>
      </c>
      <c r="M1252">
        <v>3935.0401959000001</v>
      </c>
      <c r="N1252" s="2">
        <f>(Tabla2[[#This Row],[Productividad (kg/TAS)]]*Tabla2[[#This Row],[Precio por kg]]-Tabla2[[#This Row],[Costos (En RD$/Tarea)]])</f>
        <v>-994.34383755145609</v>
      </c>
      <c r="O1252" s="6">
        <f>IF(Tabla2[[#This Row],[Costos (En RD$/Tarea)]]=0,0,Tabla2[[#This Row],[Beneficio Neto  (En RD$/Tarea)]]/Tabla2[[#This Row],[Costos (En RD$/Tarea)]])</f>
        <v>-0.25268962654752131</v>
      </c>
      <c r="P1252" s="4">
        <f>Tabla2[[#This Row],[Rentabilidad (%)]]/12</f>
        <v>-2.1057468878960109E-2</v>
      </c>
    </row>
    <row r="1253" spans="1:16" x14ac:dyDescent="0.35">
      <c r="A1253" s="1">
        <v>39692</v>
      </c>
      <c r="B1253" t="s">
        <v>22</v>
      </c>
      <c r="C1253" s="2">
        <v>1861</v>
      </c>
      <c r="D1253" s="5" t="s">
        <v>17</v>
      </c>
      <c r="E1253" s="2">
        <f>IF(Tabla2[[#This Row],[Frecuencia]]="Annual", Tabla2[[#This Row],[Cosecha/Tarea]]/12,Tabla2[[#This Row],[Cosecha/Tarea]])</f>
        <v>1861</v>
      </c>
      <c r="F1253" s="2">
        <v>17939</v>
      </c>
      <c r="G1253" t="s">
        <v>18</v>
      </c>
      <c r="H1253">
        <f>F1253/Tabla2[[#This Row],[Cosecha Mensual]]</f>
        <v>9.6394411606663084</v>
      </c>
      <c r="I1253">
        <f>H1253*_xlfn.XLOOKUP(Tabla2[[#This Row],[Unidad de producción]],Tabla3[Medida],Tabla3[Equivalencia en Kg],"ELVIS",0)</f>
        <v>437.24505104782372</v>
      </c>
      <c r="J1253">
        <v>1093.8</v>
      </c>
      <c r="K1253" t="s">
        <v>18</v>
      </c>
      <c r="L1253">
        <f>J1253/_xlfn.XLOOKUP(Tabla2[[#This Row],[Unidad de precio]],Tabla3[Medida],Tabla3[Equivalencia en Kg],"ELVIS",0)</f>
        <v>24.113756613756614</v>
      </c>
      <c r="M1253">
        <v>6901.0735717535999</v>
      </c>
      <c r="N1253" s="2">
        <f>(Tabla2[[#This Row],[Productividad (kg/TAS)]]*Tabla2[[#This Row],[Precio por kg]]-Tabla2[[#This Row],[Costos (En RD$/Tarea)]])</f>
        <v>3642.5471697832081</v>
      </c>
      <c r="O1253" s="6">
        <f>IF(Tabla2[[#This Row],[Costos (En RD$/Tarea)]]=0,0,Tabla2[[#This Row],[Beneficio Neto  (En RD$/Tarea)]]/Tabla2[[#This Row],[Costos (En RD$/Tarea)]])</f>
        <v>0.52782326284598891</v>
      </c>
      <c r="P1253" s="4">
        <f>Tabla2[[#This Row],[Rentabilidad (%)]]/12</f>
        <v>4.3985271903832411E-2</v>
      </c>
    </row>
    <row r="1254" spans="1:16" x14ac:dyDescent="0.35">
      <c r="A1254" s="1">
        <v>39692</v>
      </c>
      <c r="B1254" t="s">
        <v>23</v>
      </c>
      <c r="C1254" s="2">
        <v>2641</v>
      </c>
      <c r="D1254" s="5" t="s">
        <v>17</v>
      </c>
      <c r="E1254" s="2">
        <f>IF(Tabla2[[#This Row],[Frecuencia]]="Annual", Tabla2[[#This Row],[Cosecha/Tarea]]/12,Tabla2[[#This Row],[Cosecha/Tarea]])</f>
        <v>2641</v>
      </c>
      <c r="F1254" s="2">
        <v>100600</v>
      </c>
      <c r="G1254" t="s">
        <v>18</v>
      </c>
      <c r="H1254">
        <f>F1254/Tabla2[[#This Row],[Cosecha Mensual]]</f>
        <v>38.091631957591822</v>
      </c>
      <c r="I1254">
        <f>H1254*_xlfn.XLOOKUP(Tabla2[[#This Row],[Unidad de producción]],Tabla3[Medida],Tabla3[Equivalencia en Kg],"ELVIS",0)</f>
        <v>1727.836425596365</v>
      </c>
      <c r="J1254">
        <v>850</v>
      </c>
      <c r="K1254" t="s">
        <v>18</v>
      </c>
      <c r="L1254">
        <f>J1254/_xlfn.XLOOKUP(Tabla2[[#This Row],[Unidad de precio]],Tabla3[Medida],Tabla3[Equivalencia en Kg],"ELVIS",0)</f>
        <v>18.738977072310405</v>
      </c>
      <c r="M1254">
        <v>17874.25</v>
      </c>
      <c r="N1254" s="2">
        <f>(Tabla2[[#This Row],[Productividad (kg/TAS)]]*Tabla2[[#This Row],[Precio por kg]]-Tabla2[[#This Row],[Costos (En RD$/Tarea)]])</f>
        <v>14503.637163953044</v>
      </c>
      <c r="O1254" s="6">
        <f>IF(Tabla2[[#This Row],[Costos (En RD$/Tarea)]]=0,0,Tabla2[[#This Row],[Beneficio Neto  (En RD$/Tarea)]]/Tabla2[[#This Row],[Costos (En RD$/Tarea)]])</f>
        <v>0.81142633475267745</v>
      </c>
      <c r="P1254" s="4">
        <f>Tabla2[[#This Row],[Rentabilidad (%)]]/12</f>
        <v>6.7618861229389787E-2</v>
      </c>
    </row>
    <row r="1255" spans="1:16" x14ac:dyDescent="0.35">
      <c r="A1255" s="1">
        <v>39692</v>
      </c>
      <c r="B1255" t="s">
        <v>24</v>
      </c>
      <c r="C1255" s="2">
        <v>3465</v>
      </c>
      <c r="D1255" s="5" t="s">
        <v>17</v>
      </c>
      <c r="E1255" s="2">
        <f>IF(Tabla2[[#This Row],[Frecuencia]]="Annual", Tabla2[[#This Row],[Cosecha/Tarea]]/12,Tabla2[[#This Row],[Cosecha/Tarea]])</f>
        <v>3465</v>
      </c>
      <c r="F1255" s="2">
        <v>27588</v>
      </c>
      <c r="G1255" t="s">
        <v>18</v>
      </c>
      <c r="H1255">
        <f>F1255/Tabla2[[#This Row],[Cosecha Mensual]]</f>
        <v>7.961904761904762</v>
      </c>
      <c r="I1255">
        <f>H1255*_xlfn.XLOOKUP(Tabla2[[#This Row],[Unidad de producción]],Tabla3[Medida],Tabla3[Equivalencia en Kg],"ELVIS",0)</f>
        <v>361.15199999999999</v>
      </c>
      <c r="J1255">
        <v>1350</v>
      </c>
      <c r="K1255" t="s">
        <v>18</v>
      </c>
      <c r="L1255">
        <f>J1255/_xlfn.XLOOKUP(Tabla2[[#This Row],[Unidad de precio]],Tabla3[Medida],Tabla3[Equivalencia en Kg],"ELVIS",0)</f>
        <v>29.761904761904763</v>
      </c>
      <c r="M1255">
        <v>5602.3420621674204</v>
      </c>
      <c r="N1255" s="2">
        <f>(Tabla2[[#This Row],[Productividad (kg/TAS)]]*Tabla2[[#This Row],[Precio por kg]]-Tabla2[[#This Row],[Costos (En RD$/Tarea)]])</f>
        <v>5146.2293664040089</v>
      </c>
      <c r="O1255" s="6">
        <f>IF(Tabla2[[#This Row],[Costos (En RD$/Tarea)]]=0,0,Tabla2[[#This Row],[Beneficio Neto  (En RD$/Tarea)]]/Tabla2[[#This Row],[Costos (En RD$/Tarea)]])</f>
        <v>0.91858535399979635</v>
      </c>
      <c r="P1255" s="4">
        <f>Tabla2[[#This Row],[Rentabilidad (%)]]/12</f>
        <v>7.6548779499983025E-2</v>
      </c>
    </row>
    <row r="1256" spans="1:16" x14ac:dyDescent="0.35">
      <c r="A1256" s="1">
        <v>39692</v>
      </c>
      <c r="B1256" t="s">
        <v>25</v>
      </c>
      <c r="C1256" s="2">
        <v>16620</v>
      </c>
      <c r="D1256" s="5" t="s">
        <v>17</v>
      </c>
      <c r="E1256" s="2">
        <f>IF(Tabla2[[#This Row],[Frecuencia]]="Annual", Tabla2[[#This Row],[Cosecha/Tarea]]/12,Tabla2[[#This Row],[Cosecha/Tarea]])</f>
        <v>16620</v>
      </c>
      <c r="F1256" s="2">
        <v>174511</v>
      </c>
      <c r="G1256" t="s">
        <v>18</v>
      </c>
      <c r="H1256">
        <f>F1256/Tabla2[[#This Row],[Cosecha Mensual]]</f>
        <v>10.500060168471721</v>
      </c>
      <c r="I1256">
        <f>H1256*_xlfn.XLOOKUP(Tabla2[[#This Row],[Unidad de producción]],Tabla3[Medida],Tabla3[Equivalencia en Kg],"ELVIS",0)</f>
        <v>476.28272924187729</v>
      </c>
      <c r="J1256">
        <v>643.79250000000002</v>
      </c>
      <c r="K1256" t="s">
        <v>18</v>
      </c>
      <c r="L1256">
        <f>J1256/_xlfn.XLOOKUP(Tabla2[[#This Row],[Unidad de precio]],Tabla3[Medida],Tabla3[Equivalencia en Kg],"ELVIS",0)</f>
        <v>14.19295634920635</v>
      </c>
      <c r="M1256">
        <v>3201.64901153456</v>
      </c>
      <c r="N1256" s="2">
        <f>(Tabla2[[#This Row],[Productividad (kg/TAS)]]*Tabla2[[#This Row],[Precio por kg]]-Tabla2[[#This Row],[Costos (En RD$/Tarea)]])</f>
        <v>3558.2109744762706</v>
      </c>
      <c r="O1256" s="6">
        <f>IF(Tabla2[[#This Row],[Costos (En RD$/Tarea)]]=0,0,Tabla2[[#This Row],[Beneficio Neto  (En RD$/Tarea)]]/Tabla2[[#This Row],[Costos (En RD$/Tarea)]])</f>
        <v>1.1113682235801385</v>
      </c>
      <c r="P1256" s="4">
        <f>Tabla2[[#This Row],[Rentabilidad (%)]]/12</f>
        <v>9.2614018631678216E-2</v>
      </c>
    </row>
    <row r="1257" spans="1:16" x14ac:dyDescent="0.35">
      <c r="A1257" s="1">
        <v>39692</v>
      </c>
      <c r="B1257" t="s">
        <v>26</v>
      </c>
      <c r="C1257" s="2">
        <v>9389</v>
      </c>
      <c r="D1257" s="5" t="s">
        <v>17</v>
      </c>
      <c r="E1257" s="2">
        <f>IF(Tabla2[[#This Row],[Frecuencia]]="Annual", Tabla2[[#This Row],[Cosecha/Tarea]]/12,Tabla2[[#This Row],[Cosecha/Tarea]])</f>
        <v>9389</v>
      </c>
      <c r="F1257" s="2">
        <v>61120</v>
      </c>
      <c r="G1257" t="s">
        <v>18</v>
      </c>
      <c r="H1257">
        <f>F1257/Tabla2[[#This Row],[Cosecha Mensual]]</f>
        <v>6.509745446799446</v>
      </c>
      <c r="I1257">
        <f>H1257*_xlfn.XLOOKUP(Tabla2[[#This Row],[Unidad de producción]],Tabla3[Medida],Tabla3[Equivalencia en Kg],"ELVIS",0)</f>
        <v>295.28205346682284</v>
      </c>
      <c r="J1257">
        <v>656.25</v>
      </c>
      <c r="K1257" t="s">
        <v>18</v>
      </c>
      <c r="L1257">
        <f>J1257/_xlfn.XLOOKUP(Tabla2[[#This Row],[Unidad de precio]],Tabla3[Medida],Tabla3[Equivalencia en Kg],"ELVIS",0)</f>
        <v>14.467592592592593</v>
      </c>
      <c r="M1257">
        <v>1294.9257376989401</v>
      </c>
      <c r="N1257" s="2">
        <f>(Tabla2[[#This Row],[Productividad (kg/TAS)]]*Tabla2[[#This Row],[Precio por kg]]-Tabla2[[#This Row],[Costos (En RD$/Tarea)]])</f>
        <v>2977.0947117631968</v>
      </c>
      <c r="O1257" s="6">
        <f>IF(Tabla2[[#This Row],[Costos (En RD$/Tarea)]]=0,0,Tabla2[[#This Row],[Beneficio Neto  (En RD$/Tarea)]]/Tabla2[[#This Row],[Costos (En RD$/Tarea)]])</f>
        <v>2.2990466751038872</v>
      </c>
      <c r="P1257" s="4">
        <f>Tabla2[[#This Row],[Rentabilidad (%)]]/12</f>
        <v>0.19158722292532393</v>
      </c>
    </row>
    <row r="1258" spans="1:16" x14ac:dyDescent="0.35">
      <c r="A1258" s="1">
        <v>39692</v>
      </c>
      <c r="B1258" t="s">
        <v>27</v>
      </c>
      <c r="C1258" s="2">
        <v>4558</v>
      </c>
      <c r="D1258" s="5" t="s">
        <v>17</v>
      </c>
      <c r="E1258" s="2">
        <f>IF(Tabla2[[#This Row],[Frecuencia]]="Annual", Tabla2[[#This Row],[Cosecha/Tarea]]/12,Tabla2[[#This Row],[Cosecha/Tarea]])</f>
        <v>4558</v>
      </c>
      <c r="F1258" s="2">
        <v>35098</v>
      </c>
      <c r="G1258" t="s">
        <v>18</v>
      </c>
      <c r="H1258">
        <f>F1258/Tabla2[[#This Row],[Cosecha Mensual]]</f>
        <v>7.7003071522597635</v>
      </c>
      <c r="I1258">
        <f>H1258*_xlfn.XLOOKUP(Tabla2[[#This Row],[Unidad de producción]],Tabla3[Medida],Tabla3[Equivalencia en Kg],"ELVIS",0)</f>
        <v>349.28593242650288</v>
      </c>
      <c r="J1258">
        <v>519.4588</v>
      </c>
      <c r="K1258" t="s">
        <v>18</v>
      </c>
      <c r="L1258">
        <f>J1258/_xlfn.XLOOKUP(Tabla2[[#This Row],[Unidad de precio]],Tabla3[Medida],Tabla3[Equivalencia en Kg],"ELVIS",0)</f>
        <v>11.451913580246913</v>
      </c>
      <c r="M1258">
        <v>5429.7257056660201</v>
      </c>
      <c r="N1258" s="2">
        <f>(Tabla2[[#This Row],[Productividad (kg/TAS)]]*Tabla2[[#This Row],[Precio por kg]]-Tabla2[[#This Row],[Costos (En RD$/Tarea)]])</f>
        <v>-1429.733392721746</v>
      </c>
      <c r="O1258" s="6">
        <f>IF(Tabla2[[#This Row],[Costos (En RD$/Tarea)]]=0,0,Tabla2[[#This Row],[Beneficio Neto  (En RD$/Tarea)]]/Tabla2[[#This Row],[Costos (En RD$/Tarea)]])</f>
        <v>-0.26331595189602164</v>
      </c>
      <c r="P1258" s="4">
        <f>Tabla2[[#This Row],[Rentabilidad (%)]]/12</f>
        <v>-2.1942995991335135E-2</v>
      </c>
    </row>
    <row r="1259" spans="1:16" x14ac:dyDescent="0.35">
      <c r="A1259" s="1">
        <v>39692</v>
      </c>
      <c r="B1259" t="s">
        <v>28</v>
      </c>
      <c r="C1259" s="2">
        <v>54874</v>
      </c>
      <c r="D1259" s="5" t="s">
        <v>17</v>
      </c>
      <c r="E1259" s="2">
        <f>IF(Tabla2[[#This Row],[Frecuencia]]="Annual", Tabla2[[#This Row],[Cosecha/Tarea]]/12,Tabla2[[#This Row],[Cosecha/Tarea]])</f>
        <v>54874</v>
      </c>
      <c r="F1259" s="2">
        <v>99390</v>
      </c>
      <c r="G1259" t="s">
        <v>29</v>
      </c>
      <c r="H1259">
        <f>F1259/Tabla2[[#This Row],[Cosecha Mensual]]</f>
        <v>1.8112402959507234</v>
      </c>
      <c r="I1259">
        <f>H1259*_xlfn.XLOOKUP(Tabla2[[#This Row],[Unidad de producción]],Tabla3[Medida],Tabla3[Equivalencia en Kg],"ELVIS",0)</f>
        <v>1018.5328680249298</v>
      </c>
      <c r="J1259">
        <v>6142.68</v>
      </c>
      <c r="K1259" t="s">
        <v>29</v>
      </c>
      <c r="L1259">
        <f>J1259/_xlfn.XLOOKUP(Tabla2[[#This Row],[Unidad de precio]],Tabla3[Medida],Tabla3[Equivalencia en Kg],"ELVIS",0)</f>
        <v>10.923427108155208</v>
      </c>
      <c r="M1259">
        <v>4903.3716657183304</v>
      </c>
      <c r="N1259" s="2">
        <f>(Tabla2[[#This Row],[Productividad (kg/TAS)]]*Tabla2[[#This Row],[Precio por kg]]-Tabla2[[#This Row],[Costos (En RD$/Tarea)]])</f>
        <v>6222.4978754122585</v>
      </c>
      <c r="O1259" s="6">
        <f>IF(Tabla2[[#This Row],[Costos (En RD$/Tarea)]]=0,0,Tabla2[[#This Row],[Beneficio Neto  (En RD$/Tarea)]]/Tabla2[[#This Row],[Costos (En RD$/Tarea)]])</f>
        <v>1.2690243162509036</v>
      </c>
      <c r="P1259" s="4">
        <f>Tabla2[[#This Row],[Rentabilidad (%)]]/12</f>
        <v>0.10575202635424197</v>
      </c>
    </row>
    <row r="1260" spans="1:16" x14ac:dyDescent="0.35">
      <c r="A1260" s="1">
        <v>39692</v>
      </c>
      <c r="B1260" t="s">
        <v>30</v>
      </c>
      <c r="C1260" s="2">
        <v>280690</v>
      </c>
      <c r="D1260" s="2" t="s">
        <v>31</v>
      </c>
      <c r="E1260" s="2">
        <f>IF(Tabla2[[#This Row],[Frecuencia]]="Annual", Tabla2[[#This Row],[Cosecha/Tarea]]/12,Tabla2[[#This Row],[Cosecha/Tarea]])</f>
        <v>23390.833333333332</v>
      </c>
      <c r="F1260" s="2">
        <v>1504583</v>
      </c>
      <c r="G1260" t="s">
        <v>32</v>
      </c>
      <c r="H1260">
        <f>F1260/Tabla2[[#This Row],[Cosecha Mensual]]</f>
        <v>64.323616801453568</v>
      </c>
      <c r="I1260">
        <f>H1260*_xlfn.XLOOKUP(Tabla2[[#This Row],[Unidad de producción]],Tabla3[Medida],Tabla3[Equivalencia en Kg],"ELVIS",0)</f>
        <v>1750.2456131675517</v>
      </c>
      <c r="J1260">
        <v>120.316</v>
      </c>
      <c r="K1260" t="s">
        <v>32</v>
      </c>
      <c r="L1260">
        <f>J1260/_xlfn.XLOOKUP(Tabla2[[#This Row],[Unidad de precio]],Tabla3[Medida],Tabla3[Equivalencia en Kg],"ELVIS",0)</f>
        <v>4.4217567070929809</v>
      </c>
      <c r="M1260" s="2">
        <v>8644.7793050524706</v>
      </c>
      <c r="N1260" s="2">
        <f>(Tabla2[[#This Row],[Productividad (kg/TAS)]]*Tabla2[[#This Row],[Precio por kg]]-Tabla2[[#This Row],[Costos (En RD$/Tarea)]])</f>
        <v>-905.6190259687819</v>
      </c>
      <c r="O1260" s="6">
        <f>IF(Tabla2[[#This Row],[Costos (En RD$/Tarea)]]=0,0,Tabla2[[#This Row],[Beneficio Neto  (En RD$/Tarea)]]/Tabla2[[#This Row],[Costos (En RD$/Tarea)]])</f>
        <v>-0.1047590683361332</v>
      </c>
      <c r="P1260" s="4">
        <f>Tabla2[[#This Row],[Rentabilidad (%)]]/12</f>
        <v>-8.7299223613444329E-3</v>
      </c>
    </row>
    <row r="1261" spans="1:16" x14ac:dyDescent="0.35">
      <c r="A1261" s="1">
        <v>39692</v>
      </c>
      <c r="B1261" t="s">
        <v>33</v>
      </c>
      <c r="C1261" s="2">
        <v>622240</v>
      </c>
      <c r="D1261" s="2" t="s">
        <v>31</v>
      </c>
      <c r="E1261" s="8">
        <f>IF(Tabla2[[#This Row],[Frecuencia]]="Annual", Tabla2[[#This Row],[Cosecha/Tarea]]/12,Tabla2[[#This Row],[Cosecha/Tarea]])</f>
        <v>51853.333333333336</v>
      </c>
      <c r="F1261" s="2">
        <v>136417</v>
      </c>
      <c r="G1261" t="s">
        <v>34</v>
      </c>
      <c r="H1261">
        <f>F1261/Tabla2[[#This Row],[Cosecha Mensual]]</f>
        <v>2.6308241193108768</v>
      </c>
      <c r="I1261">
        <f>H1261*_xlfn.XLOOKUP(Tabla2[[#This Row],[Unidad de producción]],Tabla3[Medida],Tabla3[Equivalencia en Kg],"ELVIS",0)</f>
        <v>1073.7708642967343</v>
      </c>
      <c r="J1261">
        <v>5574.1116666666703</v>
      </c>
      <c r="K1261" t="s">
        <v>34</v>
      </c>
      <c r="L1261">
        <f>J1261/_xlfn.XLOOKUP(Tabla2[[#This Row],[Unidad de precio]],Tabla3[Medida],Tabla3[Equivalencia en Kg],"ELVIS",0)</f>
        <v>13.657017436400025</v>
      </c>
      <c r="M1261" s="2">
        <v>8418.1288680949201</v>
      </c>
      <c r="N1261" s="2">
        <f>(Tabla2[[#This Row],[Productividad (kg/TAS)]]*Tabla2[[#This Row],[Precio por kg]]-Tabla2[[#This Row],[Costos (En RD$/Tarea)]])</f>
        <v>6246.3785483039064</v>
      </c>
      <c r="O1261" s="6">
        <f>IF(Tabla2[[#This Row],[Costos (En RD$/Tarea)]]=0,0,Tabla2[[#This Row],[Beneficio Neto  (En RD$/Tarea)]]/Tabla2[[#This Row],[Costos (En RD$/Tarea)]])</f>
        <v>0.74201507795609511</v>
      </c>
      <c r="P1261" s="4">
        <f>Tabla2[[#This Row],[Rentabilidad (%)]]/12</f>
        <v>6.1834589829674595E-2</v>
      </c>
    </row>
    <row r="1262" spans="1:16" x14ac:dyDescent="0.35">
      <c r="A1262" s="1">
        <v>39722</v>
      </c>
      <c r="B1262" t="s">
        <v>16</v>
      </c>
      <c r="C1262" s="2">
        <v>532684</v>
      </c>
      <c r="D1262" s="5" t="s">
        <v>17</v>
      </c>
      <c r="E1262" s="2">
        <f>IF(Tabla2[[#This Row],[Frecuencia]]="Annual", Tabla2[[#This Row],[Cosecha/Tarea]]/12,Tabla2[[#This Row],[Cosecha/Tarea]])</f>
        <v>532684</v>
      </c>
      <c r="F1262" s="2">
        <v>1990772</v>
      </c>
      <c r="G1262" t="s">
        <v>18</v>
      </c>
      <c r="H1262">
        <f>F1262/Tabla2[[#This Row],[Cosecha Mensual]]</f>
        <v>3.7372475989517238</v>
      </c>
      <c r="I1262">
        <f>H1262*_xlfn.XLOOKUP(Tabla2[[#This Row],[Unidad de producción]],Tabla3[Medida],Tabla3[Equivalencia en Kg],"ELVIS",0)</f>
        <v>169.5215510884502</v>
      </c>
      <c r="J1262">
        <v>1368.8262400000001</v>
      </c>
      <c r="K1262" t="s">
        <v>19</v>
      </c>
      <c r="L1262">
        <f>J1262/_xlfn.XLOOKUP(Tabla2[[#This Row],[Unidad de precio]],Tabla3[Medida],Tabla3[Equivalencia en Kg],"ELVIS",0)</f>
        <v>12.44387490909091</v>
      </c>
      <c r="M1262">
        <v>6402.1671715266002</v>
      </c>
      <c r="N1262" s="2">
        <f>(Tabla2[[#This Row],[Productividad (kg/TAS)]]*Tabla2[[#This Row],[Precio por kg]]-Tabla2[[#This Row],[Costos (En RD$/Tarea)]])</f>
        <v>-4292.6621953868616</v>
      </c>
      <c r="O1262" s="6">
        <f>IF(Tabla2[[#This Row],[Costos (En RD$/Tarea)]]=0,0,Tabla2[[#This Row],[Beneficio Neto  (En RD$/Tarea)]]/Tabla2[[#This Row],[Costos (En RD$/Tarea)]])</f>
        <v>-0.67050142246805378</v>
      </c>
      <c r="P1262" s="4">
        <f>Tabla2[[#This Row],[Rentabilidad (%)]]/12</f>
        <v>-5.5875118539004481E-2</v>
      </c>
    </row>
    <row r="1263" spans="1:16" x14ac:dyDescent="0.35">
      <c r="A1263" s="1">
        <v>39722</v>
      </c>
      <c r="B1263" t="s">
        <v>20</v>
      </c>
      <c r="C1263" s="2">
        <v>34978</v>
      </c>
      <c r="D1263" s="5" t="s">
        <v>17</v>
      </c>
      <c r="E1263" s="2">
        <f>IF(Tabla2[[#This Row],[Frecuencia]]="Annual", Tabla2[[#This Row],[Cosecha/Tarea]]/12,Tabla2[[#This Row],[Cosecha/Tarea]])</f>
        <v>34978</v>
      </c>
      <c r="F1263" s="2">
        <v>88930</v>
      </c>
      <c r="G1263" t="s">
        <v>18</v>
      </c>
      <c r="H1263">
        <f>F1263/Tabla2[[#This Row],[Cosecha Mensual]]</f>
        <v>2.5424552575904853</v>
      </c>
      <c r="I1263">
        <f>H1263*_xlfn.XLOOKUP(Tabla2[[#This Row],[Unidad de producción]],Tabla3[Medida],Tabla3[Equivalencia en Kg],"ELVIS",0)</f>
        <v>115.32577048430441</v>
      </c>
      <c r="J1263">
        <v>589.56050000000005</v>
      </c>
      <c r="K1263" t="s">
        <v>18</v>
      </c>
      <c r="L1263">
        <f>J1263/_xlfn.XLOOKUP(Tabla2[[#This Row],[Unidad de precio]],Tabla3[Medida],Tabla3[Equivalencia en Kg],"ELVIS",0)</f>
        <v>12.997365520282187</v>
      </c>
      <c r="M1263">
        <v>1490.9040199825199</v>
      </c>
      <c r="N1263" s="2">
        <f>(Tabla2[[#This Row],[Productividad (kg/TAS)]]*Tabla2[[#This Row],[Precio por kg]]-Tabla2[[#This Row],[Costos (En RD$/Tarea)]])</f>
        <v>8.0271729101555138</v>
      </c>
      <c r="O1263" s="6">
        <f>IF(Tabla2[[#This Row],[Costos (En RD$/Tarea)]]=0,0,Tabla2[[#This Row],[Beneficio Neto  (En RD$/Tarea)]]/Tabla2[[#This Row],[Costos (En RD$/Tarea)]])</f>
        <v>5.3840977035192568E-3</v>
      </c>
      <c r="P1263" s="4">
        <f>Tabla2[[#This Row],[Rentabilidad (%)]]/12</f>
        <v>4.4867480862660473E-4</v>
      </c>
    </row>
    <row r="1264" spans="1:16" x14ac:dyDescent="0.35">
      <c r="A1264" s="1">
        <v>39722</v>
      </c>
      <c r="B1264" t="s">
        <v>21</v>
      </c>
      <c r="C1264" s="2">
        <v>9197</v>
      </c>
      <c r="D1264" s="5" t="s">
        <v>17</v>
      </c>
      <c r="E1264" s="2">
        <f>IF(Tabla2[[#This Row],[Frecuencia]]="Annual", Tabla2[[#This Row],[Cosecha/Tarea]]/12,Tabla2[[#This Row],[Cosecha/Tarea]])</f>
        <v>9197</v>
      </c>
      <c r="F1264" s="2">
        <v>100572</v>
      </c>
      <c r="G1264" t="s">
        <v>18</v>
      </c>
      <c r="H1264">
        <f>F1264/Tabla2[[#This Row],[Cosecha Mensual]]</f>
        <v>10.935304990757857</v>
      </c>
      <c r="I1264">
        <f>H1264*_xlfn.XLOOKUP(Tabla2[[#This Row],[Unidad de producción]],Tabla3[Medida],Tabla3[Equivalencia en Kg],"ELVIS",0)</f>
        <v>496.02543438077635</v>
      </c>
      <c r="J1264">
        <v>267.46199999999999</v>
      </c>
      <c r="K1264" t="s">
        <v>18</v>
      </c>
      <c r="L1264">
        <f>J1264/_xlfn.XLOOKUP(Tabla2[[#This Row],[Unidad de precio]],Tabla3[Medida],Tabla3[Equivalencia en Kg],"ELVIS",0)</f>
        <v>5.8964285714285714</v>
      </c>
      <c r="M1264">
        <v>3935.0401959000001</v>
      </c>
      <c r="N1264" s="2">
        <f>(Tabla2[[#This Row],[Productividad (kg/TAS)]]*Tabla2[[#This Row],[Precio por kg]]-Tabla2[[#This Row],[Costos (En RD$/Tarea)]])</f>
        <v>-1010.2616524619225</v>
      </c>
      <c r="O1264" s="6">
        <f>IF(Tabla2[[#This Row],[Costos (En RD$/Tarea)]]=0,0,Tabla2[[#This Row],[Beneficio Neto  (En RD$/Tarea)]]/Tabla2[[#This Row],[Costos (En RD$/Tarea)]])</f>
        <v>-0.25673477325963151</v>
      </c>
      <c r="P1264" s="4">
        <f>Tabla2[[#This Row],[Rentabilidad (%)]]/12</f>
        <v>-2.1394564438302625E-2</v>
      </c>
    </row>
    <row r="1265" spans="1:16" x14ac:dyDescent="0.35">
      <c r="A1265" s="1">
        <v>39722</v>
      </c>
      <c r="B1265" t="s">
        <v>22</v>
      </c>
      <c r="C1265" s="2">
        <v>7189</v>
      </c>
      <c r="D1265" s="5" t="s">
        <v>17</v>
      </c>
      <c r="E1265" s="2">
        <f>IF(Tabla2[[#This Row],[Frecuencia]]="Annual", Tabla2[[#This Row],[Cosecha/Tarea]]/12,Tabla2[[#This Row],[Cosecha/Tarea]])</f>
        <v>7189</v>
      </c>
      <c r="F1265" s="2">
        <v>71394</v>
      </c>
      <c r="G1265" t="s">
        <v>18</v>
      </c>
      <c r="H1265">
        <f>F1265/Tabla2[[#This Row],[Cosecha Mensual]]</f>
        <v>9.9310057031576022</v>
      </c>
      <c r="I1265">
        <f>H1265*_xlfn.XLOOKUP(Tabla2[[#This Row],[Unidad de producción]],Tabla3[Medida],Tabla3[Equivalencia en Kg],"ELVIS",0)</f>
        <v>450.47041869522883</v>
      </c>
      <c r="J1265">
        <v>1168.75</v>
      </c>
      <c r="K1265" t="s">
        <v>18</v>
      </c>
      <c r="L1265">
        <f>J1265/_xlfn.XLOOKUP(Tabla2[[#This Row],[Unidad de precio]],Tabla3[Medida],Tabla3[Equivalencia en Kg],"ELVIS",0)</f>
        <v>25.766093474426807</v>
      </c>
      <c r="M1265">
        <v>6901.0735717535999</v>
      </c>
      <c r="N1265" s="2">
        <f>(Tabla2[[#This Row],[Productividad (kg/TAS)]]*Tabla2[[#This Row],[Precio por kg]]-Tabla2[[#This Row],[Costos (En RD$/Tarea)]])</f>
        <v>4705.7893438118472</v>
      </c>
      <c r="O1265" s="6">
        <f>IF(Tabla2[[#This Row],[Costos (En RD$/Tarea)]]=0,0,Tabla2[[#This Row],[Beneficio Neto  (En RD$/Tarea)]]/Tabla2[[#This Row],[Costos (En RD$/Tarea)]])</f>
        <v>0.68189235991815123</v>
      </c>
      <c r="P1265" s="4">
        <f>Tabla2[[#This Row],[Rentabilidad (%)]]/12</f>
        <v>5.6824363326512604E-2</v>
      </c>
    </row>
    <row r="1266" spans="1:16" x14ac:dyDescent="0.35">
      <c r="A1266" s="1">
        <v>39722</v>
      </c>
      <c r="B1266" t="s">
        <v>23</v>
      </c>
      <c r="C1266" s="2">
        <v>3581</v>
      </c>
      <c r="D1266" s="5" t="s">
        <v>17</v>
      </c>
      <c r="E1266" s="2">
        <f>IF(Tabla2[[#This Row],[Frecuencia]]="Annual", Tabla2[[#This Row],[Cosecha/Tarea]]/12,Tabla2[[#This Row],[Cosecha/Tarea]])</f>
        <v>3581</v>
      </c>
      <c r="F1266" s="2">
        <v>115720</v>
      </c>
      <c r="G1266" t="s">
        <v>18</v>
      </c>
      <c r="H1266">
        <f>F1266/Tabla2[[#This Row],[Cosecha Mensual]]</f>
        <v>32.314995811225913</v>
      </c>
      <c r="I1266">
        <f>H1266*_xlfn.XLOOKUP(Tabla2[[#This Row],[Unidad de producción]],Tabla3[Medida],Tabla3[Equivalencia en Kg],"ELVIS",0)</f>
        <v>1465.8082099972073</v>
      </c>
      <c r="J1266">
        <v>900.83500000000004</v>
      </c>
      <c r="K1266" t="s">
        <v>18</v>
      </c>
      <c r="L1266">
        <f>J1266/_xlfn.XLOOKUP(Tabla2[[#This Row],[Unidad de precio]],Tabla3[Medida],Tabla3[Equivalencia en Kg],"ELVIS",0)</f>
        <v>19.859678130511465</v>
      </c>
      <c r="M1266">
        <v>17874.25</v>
      </c>
      <c r="N1266" s="2">
        <f>(Tabla2[[#This Row],[Productividad (kg/TAS)]]*Tabla2[[#This Row],[Precio por kg]]-Tabla2[[#This Row],[Costos (En RD$/Tarea)]])</f>
        <v>11236.229251605695</v>
      </c>
      <c r="O1266" s="6">
        <f>IF(Tabla2[[#This Row],[Costos (En RD$/Tarea)]]=0,0,Tabla2[[#This Row],[Beneficio Neto  (En RD$/Tarea)]]/Tabla2[[#This Row],[Costos (En RD$/Tarea)]])</f>
        <v>0.62862661379390439</v>
      </c>
      <c r="P1266" s="4">
        <f>Tabla2[[#This Row],[Rentabilidad (%)]]/12</f>
        <v>5.2385551149492032E-2</v>
      </c>
    </row>
    <row r="1267" spans="1:16" x14ac:dyDescent="0.35">
      <c r="A1267" s="1">
        <v>39722</v>
      </c>
      <c r="B1267" t="s">
        <v>24</v>
      </c>
      <c r="C1267" s="2">
        <v>3643</v>
      </c>
      <c r="D1267" s="5" t="s">
        <v>17</v>
      </c>
      <c r="E1267" s="2">
        <f>IF(Tabla2[[#This Row],[Frecuencia]]="Annual", Tabla2[[#This Row],[Cosecha/Tarea]]/12,Tabla2[[#This Row],[Cosecha/Tarea]])</f>
        <v>3643</v>
      </c>
      <c r="F1267" s="2">
        <v>29318</v>
      </c>
      <c r="G1267" t="s">
        <v>18</v>
      </c>
      <c r="H1267">
        <f>F1267/Tabla2[[#This Row],[Cosecha Mensual]]</f>
        <v>8.0477628328300845</v>
      </c>
      <c r="I1267">
        <f>H1267*_xlfn.XLOOKUP(Tabla2[[#This Row],[Unidad de producción]],Tabla3[Medida],Tabla3[Equivalencia en Kg],"ELVIS",0)</f>
        <v>365.04652209717261</v>
      </c>
      <c r="J1267">
        <v>1641.6</v>
      </c>
      <c r="K1267" t="s">
        <v>18</v>
      </c>
      <c r="L1267">
        <f>J1267/_xlfn.XLOOKUP(Tabla2[[#This Row],[Unidad de precio]],Tabla3[Medida],Tabla3[Equivalencia en Kg],"ELVIS",0)</f>
        <v>36.19047619047619</v>
      </c>
      <c r="M1267">
        <v>5602.3420621674204</v>
      </c>
      <c r="N1267" s="2">
        <f>(Tabla2[[#This Row],[Productividad (kg/TAS)]]*Tabla2[[#This Row],[Precio por kg]]-Tabla2[[#This Row],[Costos (En RD$/Tarea)]])</f>
        <v>7608.8654042064454</v>
      </c>
      <c r="O1267" s="6">
        <f>IF(Tabla2[[#This Row],[Costos (En RD$/Tarea)]]=0,0,Tabla2[[#This Row],[Beneficio Neto  (En RD$/Tarea)]]/Tabla2[[#This Row],[Costos (En RD$/Tarea)]])</f>
        <v>1.3581579489030247</v>
      </c>
      <c r="P1267" s="4">
        <f>Tabla2[[#This Row],[Rentabilidad (%)]]/12</f>
        <v>0.11317982907525205</v>
      </c>
    </row>
    <row r="1268" spans="1:16" x14ac:dyDescent="0.35">
      <c r="A1268" s="1">
        <v>39722</v>
      </c>
      <c r="B1268" t="s">
        <v>25</v>
      </c>
      <c r="C1268" s="2">
        <v>21546</v>
      </c>
      <c r="D1268" s="5" t="s">
        <v>17</v>
      </c>
      <c r="E1268" s="2">
        <f>IF(Tabla2[[#This Row],[Frecuencia]]="Annual", Tabla2[[#This Row],[Cosecha/Tarea]]/12,Tabla2[[#This Row],[Cosecha/Tarea]])</f>
        <v>21546</v>
      </c>
      <c r="F1268" s="2">
        <v>229714</v>
      </c>
      <c r="G1268" t="s">
        <v>18</v>
      </c>
      <c r="H1268">
        <f>F1268/Tabla2[[#This Row],[Cosecha Mensual]]</f>
        <v>10.661561310684117</v>
      </c>
      <c r="I1268">
        <f>H1268*_xlfn.XLOOKUP(Tabla2[[#This Row],[Unidad de producción]],Tabla3[Medida],Tabla3[Equivalencia en Kg],"ELVIS",0)</f>
        <v>483.60842105263157</v>
      </c>
      <c r="J1268">
        <v>556.41600000000005</v>
      </c>
      <c r="K1268" t="s">
        <v>18</v>
      </c>
      <c r="L1268">
        <f>J1268/_xlfn.XLOOKUP(Tabla2[[#This Row],[Unidad de precio]],Tabla3[Medida],Tabla3[Equivalencia en Kg],"ELVIS",0)</f>
        <v>12.266666666666667</v>
      </c>
      <c r="M1268">
        <v>3201.64901153456</v>
      </c>
      <c r="N1268" s="2">
        <f>(Tabla2[[#This Row],[Productividad (kg/TAS)]]*Tabla2[[#This Row],[Precio por kg]]-Tabla2[[#This Row],[Costos (En RD$/Tarea)]])</f>
        <v>2730.6142867110543</v>
      </c>
      <c r="O1268" s="6">
        <f>IF(Tabla2[[#This Row],[Costos (En RD$/Tarea)]]=0,0,Tabla2[[#This Row],[Beneficio Neto  (En RD$/Tarea)]]/Tabla2[[#This Row],[Costos (En RD$/Tarea)]])</f>
        <v>0.85287746310525858</v>
      </c>
      <c r="P1268" s="4">
        <f>Tabla2[[#This Row],[Rentabilidad (%)]]/12</f>
        <v>7.1073121925438215E-2</v>
      </c>
    </row>
    <row r="1269" spans="1:16" x14ac:dyDescent="0.35">
      <c r="A1269" s="1">
        <v>39722</v>
      </c>
      <c r="B1269" t="s">
        <v>26</v>
      </c>
      <c r="C1269" s="2">
        <v>10207</v>
      </c>
      <c r="D1269" s="5" t="s">
        <v>17</v>
      </c>
      <c r="E1269" s="2">
        <f>IF(Tabla2[[#This Row],[Frecuencia]]="Annual", Tabla2[[#This Row],[Cosecha/Tarea]]/12,Tabla2[[#This Row],[Cosecha/Tarea]])</f>
        <v>10207</v>
      </c>
      <c r="F1269" s="2">
        <v>61802</v>
      </c>
      <c r="G1269" t="s">
        <v>18</v>
      </c>
      <c r="H1269">
        <f>F1269/Tabla2[[#This Row],[Cosecha Mensual]]</f>
        <v>6.054864308807681</v>
      </c>
      <c r="I1269">
        <f>H1269*_xlfn.XLOOKUP(Tabla2[[#This Row],[Unidad de producción]],Tabla3[Medida],Tabla3[Equivalencia en Kg],"ELVIS",0)</f>
        <v>274.64864504751642</v>
      </c>
      <c r="J1269">
        <v>647.91600000000005</v>
      </c>
      <c r="K1269" t="s">
        <v>18</v>
      </c>
      <c r="L1269">
        <f>J1269/_xlfn.XLOOKUP(Tabla2[[#This Row],[Unidad de precio]],Tabla3[Medida],Tabla3[Equivalencia en Kg],"ELVIS",0)</f>
        <v>14.283862433862435</v>
      </c>
      <c r="M1269">
        <v>1294.9257376989401</v>
      </c>
      <c r="N1269" s="2">
        <f>(Tabla2[[#This Row],[Productividad (kg/TAS)]]*Tabla2[[#This Row],[Precio por kg]]-Tabla2[[#This Row],[Costos (En RD$/Tarea)]])</f>
        <v>2628.1177258064981</v>
      </c>
      <c r="O1269" s="6">
        <f>IF(Tabla2[[#This Row],[Costos (En RD$/Tarea)]]=0,0,Tabla2[[#This Row],[Beneficio Neto  (En RD$/Tarea)]]/Tabla2[[#This Row],[Costos (En RD$/Tarea)]])</f>
        <v>2.0295509227244306</v>
      </c>
      <c r="P1269" s="4">
        <f>Tabla2[[#This Row],[Rentabilidad (%)]]/12</f>
        <v>0.16912924356036921</v>
      </c>
    </row>
    <row r="1270" spans="1:16" x14ac:dyDescent="0.35">
      <c r="A1270" s="1">
        <v>39722</v>
      </c>
      <c r="B1270" t="s">
        <v>27</v>
      </c>
      <c r="C1270" s="2">
        <v>5063</v>
      </c>
      <c r="D1270" s="5" t="s">
        <v>17</v>
      </c>
      <c r="E1270" s="2">
        <f>IF(Tabla2[[#This Row],[Frecuencia]]="Annual", Tabla2[[#This Row],[Cosecha/Tarea]]/12,Tabla2[[#This Row],[Cosecha/Tarea]])</f>
        <v>5063</v>
      </c>
      <c r="F1270" s="2">
        <v>36126</v>
      </c>
      <c r="G1270" t="s">
        <v>18</v>
      </c>
      <c r="H1270">
        <f>F1270/Tabla2[[#This Row],[Cosecha Mensual]]</f>
        <v>7.1352952794785702</v>
      </c>
      <c r="I1270">
        <f>H1270*_xlfn.XLOOKUP(Tabla2[[#This Row],[Unidad de producción]],Tabla3[Medida],Tabla3[Equivalencia en Kg],"ELVIS",0)</f>
        <v>323.65699387714795</v>
      </c>
      <c r="J1270">
        <v>330.22500000000002</v>
      </c>
      <c r="K1270" t="s">
        <v>18</v>
      </c>
      <c r="L1270">
        <f>J1270/_xlfn.XLOOKUP(Tabla2[[#This Row],[Unidad de precio]],Tabla3[Medida],Tabla3[Equivalencia en Kg],"ELVIS",0)</f>
        <v>7.2800925925925934</v>
      </c>
      <c r="M1270">
        <v>5429.7257056660201</v>
      </c>
      <c r="N1270" s="2">
        <f>(Tabla2[[#This Row],[Productividad (kg/TAS)]]*Tabla2[[#This Row],[Precio por kg]]-Tabla2[[#This Row],[Costos (En RD$/Tarea)]])</f>
        <v>-3073.4728220002089</v>
      </c>
      <c r="O1270" s="6">
        <f>IF(Tabla2[[#This Row],[Costos (En RD$/Tarea)]]=0,0,Tabla2[[#This Row],[Beneficio Neto  (En RD$/Tarea)]]/Tabla2[[#This Row],[Costos (En RD$/Tarea)]])</f>
        <v>-0.56604568786835452</v>
      </c>
      <c r="P1270" s="4">
        <f>Tabla2[[#This Row],[Rentabilidad (%)]]/12</f>
        <v>-4.7170473989029543E-2</v>
      </c>
    </row>
    <row r="1271" spans="1:16" x14ac:dyDescent="0.35">
      <c r="A1271" s="1">
        <v>39722</v>
      </c>
      <c r="B1271" t="s">
        <v>28</v>
      </c>
      <c r="C1271" s="2">
        <v>65403</v>
      </c>
      <c r="D1271" s="5" t="s">
        <v>17</v>
      </c>
      <c r="E1271" s="2">
        <f>IF(Tabla2[[#This Row],[Frecuencia]]="Annual", Tabla2[[#This Row],[Cosecha/Tarea]]/12,Tabla2[[#This Row],[Cosecha/Tarea]])</f>
        <v>65403</v>
      </c>
      <c r="F1271" s="2">
        <v>110667</v>
      </c>
      <c r="G1271" t="s">
        <v>29</v>
      </c>
      <c r="H1271">
        <f>F1271/Tabla2[[#This Row],[Cosecha Mensual]]</f>
        <v>1.6920783450300445</v>
      </c>
      <c r="I1271">
        <f>H1271*_xlfn.XLOOKUP(Tabla2[[#This Row],[Unidad de producción]],Tabla3[Medida],Tabla3[Equivalencia en Kg],"ELVIS",0)</f>
        <v>951.52333654419533</v>
      </c>
      <c r="J1271">
        <v>4089.0416666666702</v>
      </c>
      <c r="K1271" t="s">
        <v>29</v>
      </c>
      <c r="L1271">
        <f>J1271/_xlfn.XLOOKUP(Tabla2[[#This Row],[Unidad de precio]],Tabla3[Medida],Tabla3[Equivalencia en Kg],"ELVIS",0)</f>
        <v>7.2714757382840807</v>
      </c>
      <c r="M1271">
        <v>4903.3716657183304</v>
      </c>
      <c r="N1271" s="2">
        <f>(Tabla2[[#This Row],[Productividad (kg/TAS)]]*Tabla2[[#This Row],[Precio por kg]]-Tabla2[[#This Row],[Costos (En RD$/Tarea)]])</f>
        <v>2015.6071903739039</v>
      </c>
      <c r="O1271" s="6">
        <f>IF(Tabla2[[#This Row],[Costos (En RD$/Tarea)]]=0,0,Tabla2[[#This Row],[Beneficio Neto  (En RD$/Tarea)]]/Tabla2[[#This Row],[Costos (En RD$/Tarea)]])</f>
        <v>0.41106555402804101</v>
      </c>
      <c r="P1271" s="4">
        <f>Tabla2[[#This Row],[Rentabilidad (%)]]/12</f>
        <v>3.4255462835670082E-2</v>
      </c>
    </row>
    <row r="1272" spans="1:16" x14ac:dyDescent="0.35">
      <c r="A1272" s="1">
        <v>39722</v>
      </c>
      <c r="B1272" t="s">
        <v>30</v>
      </c>
      <c r="C1272" s="2">
        <v>393212</v>
      </c>
      <c r="D1272" s="2" t="s">
        <v>31</v>
      </c>
      <c r="E1272" s="2">
        <f>IF(Tabla2[[#This Row],[Frecuencia]]="Annual", Tabla2[[#This Row],[Cosecha/Tarea]]/12,Tabla2[[#This Row],[Cosecha/Tarea]])</f>
        <v>32767.666666666668</v>
      </c>
      <c r="F1272" s="2">
        <v>1555969</v>
      </c>
      <c r="G1272" t="s">
        <v>32</v>
      </c>
      <c r="H1272">
        <f>F1272/Tabla2[[#This Row],[Cosecha Mensual]]</f>
        <v>47.484888558843572</v>
      </c>
      <c r="I1272">
        <f>H1272*_xlfn.XLOOKUP(Tabla2[[#This Row],[Unidad de producción]],Tabla3[Medida],Tabla3[Equivalencia en Kg],"ELVIS",0)</f>
        <v>1292.0638176861337</v>
      </c>
      <c r="J1272">
        <v>128.875</v>
      </c>
      <c r="K1272" t="s">
        <v>32</v>
      </c>
      <c r="L1272">
        <f>J1272/_xlfn.XLOOKUP(Tabla2[[#This Row],[Unidad de precio]],Tabla3[Medida],Tabla3[Equivalencia en Kg],"ELVIS",0)</f>
        <v>4.7363101800808529</v>
      </c>
      <c r="M1272" s="2">
        <v>8644.7793050524706</v>
      </c>
      <c r="N1272" s="2">
        <f>(Tabla2[[#This Row],[Productividad (kg/TAS)]]*Tabla2[[#This Row],[Precio por kg]]-Tabla2[[#This Row],[Costos (En RD$/Tarea)]])</f>
        <v>-2525.1642920315044</v>
      </c>
      <c r="O1272" s="6">
        <f>IF(Tabla2[[#This Row],[Costos (En RD$/Tarea)]]=0,0,Tabla2[[#This Row],[Beneficio Neto  (En RD$/Tarea)]]/Tabla2[[#This Row],[Costos (En RD$/Tarea)]])</f>
        <v>-0.29210280597396671</v>
      </c>
      <c r="P1272" s="4">
        <f>Tabla2[[#This Row],[Rentabilidad (%)]]/12</f>
        <v>-2.4341900497830558E-2</v>
      </c>
    </row>
    <row r="1273" spans="1:16" x14ac:dyDescent="0.35">
      <c r="A1273" s="1">
        <v>39722</v>
      </c>
      <c r="B1273" t="s">
        <v>33</v>
      </c>
      <c r="C1273" s="2">
        <v>491621</v>
      </c>
      <c r="D1273" s="2" t="s">
        <v>31</v>
      </c>
      <c r="E1273" s="8">
        <f>IF(Tabla2[[#This Row],[Frecuencia]]="Annual", Tabla2[[#This Row],[Cosecha/Tarea]]/12,Tabla2[[#This Row],[Cosecha/Tarea]])</f>
        <v>40968.416666666664</v>
      </c>
      <c r="F1273" s="2">
        <v>132903</v>
      </c>
      <c r="G1273" t="s">
        <v>34</v>
      </c>
      <c r="H1273">
        <f>F1273/Tabla2[[#This Row],[Cosecha Mensual]]</f>
        <v>3.2440355477084992</v>
      </c>
      <c r="I1273">
        <f>H1273*_xlfn.XLOOKUP(Tabla2[[#This Row],[Unidad de producción]],Tabla3[Medida],Tabla3[Equivalencia en Kg],"ELVIS",0)</f>
        <v>1324.0531087972238</v>
      </c>
      <c r="J1273">
        <v>4788.6899999999996</v>
      </c>
      <c r="K1273" t="s">
        <v>34</v>
      </c>
      <c r="L1273">
        <f>J1273/_xlfn.XLOOKUP(Tabla2[[#This Row],[Unidad de precio]],Tabla3[Medida],Tabla3[Equivalencia en Kg],"ELVIS",0)</f>
        <v>11.732671811833884</v>
      </c>
      <c r="M1273" s="2">
        <v>8418.1288680949201</v>
      </c>
      <c r="N1273" s="2">
        <f>(Tabla2[[#This Row],[Productividad (kg/TAS)]]*Tabla2[[#This Row],[Precio por kg]]-Tabla2[[#This Row],[Costos (En RD$/Tarea)]])</f>
        <v>7116.5517188612903</v>
      </c>
      <c r="O1273" s="6">
        <f>IF(Tabla2[[#This Row],[Costos (En RD$/Tarea)]]=0,0,Tabla2[[#This Row],[Beneficio Neto  (En RD$/Tarea)]]/Tabla2[[#This Row],[Costos (En RD$/Tarea)]])</f>
        <v>0.84538403134137508</v>
      </c>
      <c r="P1273" s="4">
        <f>Tabla2[[#This Row],[Rentabilidad (%)]]/12</f>
        <v>7.0448669278447923E-2</v>
      </c>
    </row>
    <row r="1274" spans="1:16" x14ac:dyDescent="0.35">
      <c r="A1274" s="1">
        <v>39753</v>
      </c>
      <c r="B1274" t="s">
        <v>16</v>
      </c>
      <c r="C1274" s="2">
        <v>478083</v>
      </c>
      <c r="D1274" s="5" t="s">
        <v>17</v>
      </c>
      <c r="E1274" s="2">
        <f>IF(Tabla2[[#This Row],[Frecuencia]]="Annual", Tabla2[[#This Row],[Cosecha/Tarea]]/12,Tabla2[[#This Row],[Cosecha/Tarea]])</f>
        <v>478083</v>
      </c>
      <c r="F1274" s="2">
        <v>1594435</v>
      </c>
      <c r="G1274" t="s">
        <v>18</v>
      </c>
      <c r="H1274">
        <f>F1274/Tabla2[[#This Row],[Cosecha Mensual]]</f>
        <v>3.3350589751151998</v>
      </c>
      <c r="I1274">
        <f>H1274*_xlfn.XLOOKUP(Tabla2[[#This Row],[Unidad de producción]],Tabla3[Medida],Tabla3[Equivalencia en Kg],"ELVIS",0)</f>
        <v>151.27827511122547</v>
      </c>
      <c r="J1274">
        <v>1366.8340000000001</v>
      </c>
      <c r="K1274" t="s">
        <v>19</v>
      </c>
      <c r="L1274">
        <f>J1274/_xlfn.XLOOKUP(Tabla2[[#This Row],[Unidad de precio]],Tabla3[Medida],Tabla3[Equivalencia en Kg],"ELVIS",0)</f>
        <v>12.425763636363637</v>
      </c>
      <c r="M1274">
        <v>6402.1671715266002</v>
      </c>
      <c r="N1274" s="2">
        <f>(Tabla2[[#This Row],[Productividad (kg/TAS)]]*Tabla2[[#This Row],[Precio por kg]]-Tabla2[[#This Row],[Costos (En RD$/Tarea)]])</f>
        <v>-4522.4190816777209</v>
      </c>
      <c r="O1274" s="6">
        <f>IF(Tabla2[[#This Row],[Costos (En RD$/Tarea)]]=0,0,Tabla2[[#This Row],[Beneficio Neto  (En RD$/Tarea)]]/Tabla2[[#This Row],[Costos (En RD$/Tarea)]])</f>
        <v>-0.70638878375294711</v>
      </c>
      <c r="P1274" s="4">
        <f>Tabla2[[#This Row],[Rentabilidad (%)]]/12</f>
        <v>-5.8865731979412257E-2</v>
      </c>
    </row>
    <row r="1275" spans="1:16" x14ac:dyDescent="0.35">
      <c r="A1275" s="1">
        <v>39753</v>
      </c>
      <c r="B1275" t="s">
        <v>20</v>
      </c>
      <c r="C1275" s="2">
        <v>21750</v>
      </c>
      <c r="D1275" s="5" t="s">
        <v>17</v>
      </c>
      <c r="E1275" s="2">
        <f>IF(Tabla2[[#This Row],[Frecuencia]]="Annual", Tabla2[[#This Row],[Cosecha/Tarea]]/12,Tabla2[[#This Row],[Cosecha/Tarea]])</f>
        <v>21750</v>
      </c>
      <c r="F1275" s="2">
        <v>44997</v>
      </c>
      <c r="G1275" t="s">
        <v>18</v>
      </c>
      <c r="H1275">
        <f>F1275/Tabla2[[#This Row],[Cosecha Mensual]]</f>
        <v>2.0688275862068966</v>
      </c>
      <c r="I1275">
        <f>H1275*_xlfn.XLOOKUP(Tabla2[[#This Row],[Unidad de producción]],Tabla3[Medida],Tabla3[Equivalencia en Kg],"ELVIS",0)</f>
        <v>93.842019310344824</v>
      </c>
      <c r="J1275">
        <v>594.99</v>
      </c>
      <c r="K1275" t="s">
        <v>18</v>
      </c>
      <c r="L1275">
        <f>J1275/_xlfn.XLOOKUP(Tabla2[[#This Row],[Unidad de precio]],Tabla3[Medida],Tabla3[Equivalencia en Kg],"ELVIS",0)</f>
        <v>13.117063492063492</v>
      </c>
      <c r="M1275">
        <v>1490.9040199825199</v>
      </c>
      <c r="N1275" s="2">
        <f>(Tabla2[[#This Row],[Productividad (kg/TAS)]]*Tabla2[[#This Row],[Precio por kg]]-Tabla2[[#This Row],[Costos (En RD$/Tarea)]])</f>
        <v>-259.97229446527854</v>
      </c>
      <c r="O1275" s="6">
        <f>IF(Tabla2[[#This Row],[Costos (En RD$/Tarea)]]=0,0,Tabla2[[#This Row],[Beneficio Neto  (En RD$/Tarea)]]/Tabla2[[#This Row],[Costos (En RD$/Tarea)]])</f>
        <v>-0.17437225400219028</v>
      </c>
      <c r="P1275" s="4">
        <f>Tabla2[[#This Row],[Rentabilidad (%)]]/12</f>
        <v>-1.4531021166849191E-2</v>
      </c>
    </row>
    <row r="1276" spans="1:16" x14ac:dyDescent="0.35">
      <c r="A1276" s="1">
        <v>39753</v>
      </c>
      <c r="B1276" t="s">
        <v>21</v>
      </c>
      <c r="C1276" s="2">
        <v>8999</v>
      </c>
      <c r="D1276" s="5" t="s">
        <v>17</v>
      </c>
      <c r="E1276" s="2">
        <f>IF(Tabla2[[#This Row],[Frecuencia]]="Annual", Tabla2[[#This Row],[Cosecha/Tarea]]/12,Tabla2[[#This Row],[Cosecha/Tarea]])</f>
        <v>8999</v>
      </c>
      <c r="F1276" s="2">
        <v>78093</v>
      </c>
      <c r="G1276" t="s">
        <v>18</v>
      </c>
      <c r="H1276">
        <f>F1276/Tabla2[[#This Row],[Cosecha Mensual]]</f>
        <v>8.6779642182464727</v>
      </c>
      <c r="I1276">
        <f>H1276*_xlfn.XLOOKUP(Tabla2[[#This Row],[Unidad de producción]],Tabla3[Medida],Tabla3[Equivalencia en Kg],"ELVIS",0)</f>
        <v>393.63245693966002</v>
      </c>
      <c r="J1276">
        <v>209.30799999999999</v>
      </c>
      <c r="K1276" t="s">
        <v>18</v>
      </c>
      <c r="L1276">
        <f>J1276/_xlfn.XLOOKUP(Tabla2[[#This Row],[Unidad de precio]],Tabla3[Medida],Tabla3[Equivalencia en Kg],"ELVIS",0)</f>
        <v>4.6143738977072308</v>
      </c>
      <c r="M1276">
        <v>3935.0401959000001</v>
      </c>
      <c r="N1276" s="2">
        <f>(Tabla2[[#This Row],[Productividad (kg/TAS)]]*Tabla2[[#This Row],[Precio por kg]]-Tabla2[[#This Row],[Costos (En RD$/Tarea)]])</f>
        <v>-2118.6728613072673</v>
      </c>
      <c r="O1276" s="6">
        <f>IF(Tabla2[[#This Row],[Costos (En RD$/Tarea)]]=0,0,Tabla2[[#This Row],[Beneficio Neto  (En RD$/Tarea)]]/Tabla2[[#This Row],[Costos (En RD$/Tarea)]])</f>
        <v>-0.53841199983541632</v>
      </c>
      <c r="P1276" s="4">
        <f>Tabla2[[#This Row],[Rentabilidad (%)]]/12</f>
        <v>-4.486766665295136E-2</v>
      </c>
    </row>
    <row r="1277" spans="1:16" x14ac:dyDescent="0.35">
      <c r="A1277" s="1">
        <v>39753</v>
      </c>
      <c r="B1277" t="s">
        <v>22</v>
      </c>
      <c r="C1277" s="2">
        <v>3633</v>
      </c>
      <c r="D1277" s="5" t="s">
        <v>17</v>
      </c>
      <c r="E1277" s="2">
        <f>IF(Tabla2[[#This Row],[Frecuencia]]="Annual", Tabla2[[#This Row],[Cosecha/Tarea]]/12,Tabla2[[#This Row],[Cosecha/Tarea]])</f>
        <v>3633</v>
      </c>
      <c r="F1277" s="2">
        <v>34245</v>
      </c>
      <c r="G1277" t="s">
        <v>18</v>
      </c>
      <c r="H1277">
        <f>F1277/Tabla2[[#This Row],[Cosecha Mensual]]</f>
        <v>9.4260941370767952</v>
      </c>
      <c r="I1277">
        <f>H1277*_xlfn.XLOOKUP(Tabla2[[#This Row],[Unidad de producción]],Tabla3[Medida],Tabla3[Equivalencia en Kg],"ELVIS",0)</f>
        <v>427.5676300578034</v>
      </c>
      <c r="J1277">
        <v>1062.5</v>
      </c>
      <c r="K1277" t="s">
        <v>18</v>
      </c>
      <c r="L1277">
        <f>J1277/_xlfn.XLOOKUP(Tabla2[[#This Row],[Unidad de precio]],Tabla3[Medida],Tabla3[Equivalencia en Kg],"ELVIS",0)</f>
        <v>23.423721340388006</v>
      </c>
      <c r="M1277">
        <v>6901.0735717535999</v>
      </c>
      <c r="N1277" s="2">
        <f>(Tabla2[[#This Row],[Productividad (kg/TAS)]]*Tabla2[[#This Row],[Precio por kg]]-Tabla2[[#This Row],[Costos (En RD$/Tarea)]])</f>
        <v>3114.1514488904932</v>
      </c>
      <c r="O1277" s="6">
        <f>IF(Tabla2[[#This Row],[Costos (En RD$/Tarea)]]=0,0,Tabla2[[#This Row],[Beneficio Neto  (En RD$/Tarea)]]/Tabla2[[#This Row],[Costos (En RD$/Tarea)]])</f>
        <v>0.45125608595695216</v>
      </c>
      <c r="P1277" s="4">
        <f>Tabla2[[#This Row],[Rentabilidad (%)]]/12</f>
        <v>3.7604673829746013E-2</v>
      </c>
    </row>
    <row r="1278" spans="1:16" x14ac:dyDescent="0.35">
      <c r="A1278" s="1">
        <v>39753</v>
      </c>
      <c r="B1278" t="s">
        <v>23</v>
      </c>
      <c r="C1278" s="2">
        <v>1658</v>
      </c>
      <c r="D1278" s="5" t="s">
        <v>17</v>
      </c>
      <c r="E1278" s="2">
        <f>IF(Tabla2[[#This Row],[Frecuencia]]="Annual", Tabla2[[#This Row],[Cosecha/Tarea]]/12,Tabla2[[#This Row],[Cosecha/Tarea]])</f>
        <v>1658</v>
      </c>
      <c r="F1278" s="2">
        <v>50363</v>
      </c>
      <c r="G1278" t="s">
        <v>18</v>
      </c>
      <c r="H1278">
        <f>F1278/Tabla2[[#This Row],[Cosecha Mensual]]</f>
        <v>30.375753920386007</v>
      </c>
      <c r="I1278">
        <f>H1278*_xlfn.XLOOKUP(Tabla2[[#This Row],[Unidad de producción]],Tabla3[Medida],Tabla3[Equivalencia en Kg],"ELVIS",0)</f>
        <v>1377.8441978287092</v>
      </c>
      <c r="J1278">
        <v>942.5</v>
      </c>
      <c r="K1278" t="s">
        <v>18</v>
      </c>
      <c r="L1278">
        <f>J1278/_xlfn.XLOOKUP(Tabla2[[#This Row],[Unidad de precio]],Tabla3[Medida],Tabla3[Equivalencia en Kg],"ELVIS",0)</f>
        <v>20.778218694885361</v>
      </c>
      <c r="M1278">
        <v>17874.25</v>
      </c>
      <c r="N1278" s="2">
        <f>(Tabla2[[#This Row],[Productividad (kg/TAS)]]*Tabla2[[#This Row],[Precio por kg]]-Tabla2[[#This Row],[Costos (En RD$/Tarea)]])</f>
        <v>10754.898069963809</v>
      </c>
      <c r="O1278" s="6">
        <f>IF(Tabla2[[#This Row],[Costos (En RD$/Tarea)]]=0,0,Tabla2[[#This Row],[Beneficio Neto  (En RD$/Tarea)]]/Tabla2[[#This Row],[Costos (En RD$/Tarea)]])</f>
        <v>0.60169786536295555</v>
      </c>
      <c r="P1278" s="4">
        <f>Tabla2[[#This Row],[Rentabilidad (%)]]/12</f>
        <v>5.0141488780246296E-2</v>
      </c>
    </row>
    <row r="1279" spans="1:16" x14ac:dyDescent="0.35">
      <c r="A1279" s="1">
        <v>39753</v>
      </c>
      <c r="B1279" t="s">
        <v>24</v>
      </c>
      <c r="C1279" s="2">
        <v>3685</v>
      </c>
      <c r="D1279" s="5" t="s">
        <v>17</v>
      </c>
      <c r="E1279" s="2">
        <f>IF(Tabla2[[#This Row],[Frecuencia]]="Annual", Tabla2[[#This Row],[Cosecha/Tarea]]/12,Tabla2[[#This Row],[Cosecha/Tarea]])</f>
        <v>3685</v>
      </c>
      <c r="F1279" s="2">
        <v>31443</v>
      </c>
      <c r="G1279" t="s">
        <v>18</v>
      </c>
      <c r="H1279">
        <f>F1279/Tabla2[[#This Row],[Cosecha Mensual]]</f>
        <v>8.5327001356852108</v>
      </c>
      <c r="I1279">
        <f>H1279*_xlfn.XLOOKUP(Tabla2[[#This Row],[Unidad de producción]],Tabla3[Medida],Tabla3[Equivalencia en Kg],"ELVIS",0)</f>
        <v>387.04327815468116</v>
      </c>
      <c r="J1279">
        <v>1166.6666666666699</v>
      </c>
      <c r="K1279" t="s">
        <v>18</v>
      </c>
      <c r="L1279">
        <f>J1279/_xlfn.XLOOKUP(Tabla2[[#This Row],[Unidad de precio]],Tabla3[Medida],Tabla3[Equivalencia en Kg],"ELVIS",0)</f>
        <v>25.720164609053569</v>
      </c>
      <c r="M1279">
        <v>5602.3420621674204</v>
      </c>
      <c r="N1279" s="2">
        <f>(Tabla2[[#This Row],[Productividad (kg/TAS)]]*Tabla2[[#This Row],[Precio por kg]]-Tabla2[[#This Row],[Costos (En RD$/Tarea)]])</f>
        <v>4352.4747627986862</v>
      </c>
      <c r="O1279" s="6">
        <f>IF(Tabla2[[#This Row],[Costos (En RD$/Tarea)]]=0,0,Tabla2[[#This Row],[Beneficio Neto  (En RD$/Tarea)]]/Tabla2[[#This Row],[Costos (En RD$/Tarea)]])</f>
        <v>0.77690271577505421</v>
      </c>
      <c r="P1279" s="4">
        <f>Tabla2[[#This Row],[Rentabilidad (%)]]/12</f>
        <v>6.4741892981254517E-2</v>
      </c>
    </row>
    <row r="1280" spans="1:16" x14ac:dyDescent="0.35">
      <c r="A1280" s="1">
        <v>39753</v>
      </c>
      <c r="B1280" t="s">
        <v>25</v>
      </c>
      <c r="C1280" s="2">
        <v>18754</v>
      </c>
      <c r="D1280" s="5" t="s">
        <v>17</v>
      </c>
      <c r="E1280" s="2">
        <f>IF(Tabla2[[#This Row],[Frecuencia]]="Annual", Tabla2[[#This Row],[Cosecha/Tarea]]/12,Tabla2[[#This Row],[Cosecha/Tarea]])</f>
        <v>18754</v>
      </c>
      <c r="F1280" s="2">
        <v>207452</v>
      </c>
      <c r="G1280" t="s">
        <v>18</v>
      </c>
      <c r="H1280">
        <f>F1280/Tabla2[[#This Row],[Cosecha Mensual]]</f>
        <v>11.0617468273435</v>
      </c>
      <c r="I1280">
        <f>H1280*_xlfn.XLOOKUP(Tabla2[[#This Row],[Unidad de producción]],Tabla3[Medida],Tabla3[Equivalencia en Kg],"ELVIS",0)</f>
        <v>501.76083608830112</v>
      </c>
      <c r="J1280">
        <v>453.2724</v>
      </c>
      <c r="K1280" t="s">
        <v>18</v>
      </c>
      <c r="L1280">
        <f>J1280/_xlfn.XLOOKUP(Tabla2[[#This Row],[Unidad de precio]],Tabla3[Medida],Tabla3[Equivalencia en Kg],"ELVIS",0)</f>
        <v>9.9927777777777784</v>
      </c>
      <c r="M1280">
        <v>3201.64901153456</v>
      </c>
      <c r="N1280" s="2">
        <f>(Tabla2[[#This Row],[Productividad (kg/TAS)]]*Tabla2[[#This Row],[Precio por kg]]-Tabla2[[#This Row],[Costos (En RD$/Tarea)]])</f>
        <v>1812.335521087814</v>
      </c>
      <c r="O1280" s="6">
        <f>IF(Tabla2[[#This Row],[Costos (En RD$/Tarea)]]=0,0,Tabla2[[#This Row],[Beneficio Neto  (En RD$/Tarea)]]/Tabla2[[#This Row],[Costos (En RD$/Tarea)]])</f>
        <v>0.56606314888313014</v>
      </c>
      <c r="P1280" s="4">
        <f>Tabla2[[#This Row],[Rentabilidad (%)]]/12</f>
        <v>4.7171929073594181E-2</v>
      </c>
    </row>
    <row r="1281" spans="1:16" x14ac:dyDescent="0.35">
      <c r="A1281" s="1">
        <v>39753</v>
      </c>
      <c r="B1281" t="s">
        <v>26</v>
      </c>
      <c r="C1281" s="2">
        <v>10987</v>
      </c>
      <c r="D1281" s="5" t="s">
        <v>17</v>
      </c>
      <c r="E1281" s="2">
        <f>IF(Tabla2[[#This Row],[Frecuencia]]="Annual", Tabla2[[#This Row],[Cosecha/Tarea]]/12,Tabla2[[#This Row],[Cosecha/Tarea]])</f>
        <v>10987</v>
      </c>
      <c r="F1281" s="2">
        <v>67823</v>
      </c>
      <c r="G1281" t="s">
        <v>18</v>
      </c>
      <c r="H1281">
        <f>F1281/Tabla2[[#This Row],[Cosecha Mensual]]</f>
        <v>6.1730226631473561</v>
      </c>
      <c r="I1281">
        <f>H1281*_xlfn.XLOOKUP(Tabla2[[#This Row],[Unidad de producción]],Tabla3[Medida],Tabla3[Equivalencia en Kg],"ELVIS",0)</f>
        <v>280.00830800036408</v>
      </c>
      <c r="J1281">
        <v>621.63400000000001</v>
      </c>
      <c r="K1281" t="s">
        <v>18</v>
      </c>
      <c r="L1281">
        <f>J1281/_xlfn.XLOOKUP(Tabla2[[#This Row],[Unidad de precio]],Tabla3[Medida],Tabla3[Equivalencia en Kg],"ELVIS",0)</f>
        <v>13.704453262786597</v>
      </c>
      <c r="M1281">
        <v>1294.9257376989401</v>
      </c>
      <c r="N1281" s="2">
        <f>(Tabla2[[#This Row],[Productividad (kg/TAS)]]*Tabla2[[#This Row],[Precio por kg]]-Tabla2[[#This Row],[Costos (En RD$/Tarea)]])</f>
        <v>2542.4350324840034</v>
      </c>
      <c r="O1281" s="6">
        <f>IF(Tabla2[[#This Row],[Costos (En RD$/Tarea)]]=0,0,Tabla2[[#This Row],[Beneficio Neto  (En RD$/Tarea)]]/Tabla2[[#This Row],[Costos (En RD$/Tarea)]])</f>
        <v>1.9633828863436331</v>
      </c>
      <c r="P1281" s="4">
        <f>Tabla2[[#This Row],[Rentabilidad (%)]]/12</f>
        <v>0.1636152405286361</v>
      </c>
    </row>
    <row r="1282" spans="1:16" x14ac:dyDescent="0.35">
      <c r="A1282" s="1">
        <v>39753</v>
      </c>
      <c r="B1282" t="s">
        <v>27</v>
      </c>
      <c r="C1282" s="2">
        <v>4696</v>
      </c>
      <c r="D1282" s="5" t="s">
        <v>17</v>
      </c>
      <c r="E1282" s="2">
        <f>IF(Tabla2[[#This Row],[Frecuencia]]="Annual", Tabla2[[#This Row],[Cosecha/Tarea]]/12,Tabla2[[#This Row],[Cosecha/Tarea]])</f>
        <v>4696</v>
      </c>
      <c r="F1282" s="2">
        <v>31671</v>
      </c>
      <c r="G1282" t="s">
        <v>18</v>
      </c>
      <c r="H1282">
        <f>F1282/Tabla2[[#This Row],[Cosecha Mensual]]</f>
        <v>6.7442504258943785</v>
      </c>
      <c r="I1282">
        <f>H1282*_xlfn.XLOOKUP(Tabla2[[#This Row],[Unidad de producción]],Tabla3[Medida],Tabla3[Equivalencia en Kg],"ELVIS",0)</f>
        <v>305.91919931856899</v>
      </c>
      <c r="J1282">
        <v>291.66666666666703</v>
      </c>
      <c r="K1282" t="s">
        <v>18</v>
      </c>
      <c r="L1282">
        <f>J1282/_xlfn.XLOOKUP(Tabla2[[#This Row],[Unidad de precio]],Tabla3[Medida],Tabla3[Equivalencia en Kg],"ELVIS",0)</f>
        <v>6.4300411522633825</v>
      </c>
      <c r="M1282">
        <v>5429.7257056660201</v>
      </c>
      <c r="N1282" s="2">
        <f>(Tabla2[[#This Row],[Productividad (kg/TAS)]]*Tabla2[[#This Row],[Precio por kg]]-Tabla2[[#This Row],[Costos (En RD$/Tarea)]])</f>
        <v>-3462.6526647801575</v>
      </c>
      <c r="O1282" s="6">
        <f>IF(Tabla2[[#This Row],[Costos (En RD$/Tarea)]]=0,0,Tabla2[[#This Row],[Beneficio Neto  (En RD$/Tarea)]]/Tabla2[[#This Row],[Costos (En RD$/Tarea)]])</f>
        <v>-0.63772147111719013</v>
      </c>
      <c r="P1282" s="4">
        <f>Tabla2[[#This Row],[Rentabilidad (%)]]/12</f>
        <v>-5.3143455926432513E-2</v>
      </c>
    </row>
    <row r="1283" spans="1:16" x14ac:dyDescent="0.35">
      <c r="A1283" s="1">
        <v>39753</v>
      </c>
      <c r="B1283" t="s">
        <v>28</v>
      </c>
      <c r="C1283" s="2">
        <v>39444</v>
      </c>
      <c r="D1283" s="5" t="s">
        <v>17</v>
      </c>
      <c r="E1283" s="2">
        <f>IF(Tabla2[[#This Row],[Frecuencia]]="Annual", Tabla2[[#This Row],[Cosecha/Tarea]]/12,Tabla2[[#This Row],[Cosecha/Tarea]])</f>
        <v>39444</v>
      </c>
      <c r="F1283" s="2">
        <v>67707</v>
      </c>
      <c r="G1283" t="s">
        <v>29</v>
      </c>
      <c r="H1283">
        <f>F1283/Tabla2[[#This Row],[Cosecha Mensual]]</f>
        <v>1.7165348341953148</v>
      </c>
      <c r="I1283">
        <f>H1283*_xlfn.XLOOKUP(Tabla2[[#This Row],[Unidad de producción]],Tabla3[Medida],Tabla3[Equivalencia en Kg],"ELVIS",0)</f>
        <v>965.27619866139344</v>
      </c>
      <c r="J1283">
        <v>4606.25</v>
      </c>
      <c r="K1283" t="s">
        <v>29</v>
      </c>
      <c r="L1283">
        <f>J1283/_xlfn.XLOOKUP(Tabla2[[#This Row],[Unidad de precio]],Tabla3[Medida],Tabla3[Equivalencia en Kg],"ELVIS",0)</f>
        <v>8.1912188355798978</v>
      </c>
      <c r="M1283">
        <v>4903.3716657183304</v>
      </c>
      <c r="N1283" s="2">
        <f>(Tabla2[[#This Row],[Productividad (kg/TAS)]]*Tabla2[[#This Row],[Precio por kg]]-Tabla2[[#This Row],[Costos (En RD$/Tarea)]])</f>
        <v>3003.416914293839</v>
      </c>
      <c r="O1283" s="6">
        <f>IF(Tabla2[[#This Row],[Costos (En RD$/Tarea)]]=0,0,Tabla2[[#This Row],[Beneficio Neto  (En RD$/Tarea)]]/Tabla2[[#This Row],[Costos (En RD$/Tarea)]])</f>
        <v>0.61252075491076341</v>
      </c>
      <c r="P1283" s="4">
        <f>Tabla2[[#This Row],[Rentabilidad (%)]]/12</f>
        <v>5.104339624256362E-2</v>
      </c>
    </row>
    <row r="1284" spans="1:16" x14ac:dyDescent="0.35">
      <c r="A1284" s="1">
        <v>39753</v>
      </c>
      <c r="B1284" t="s">
        <v>30</v>
      </c>
      <c r="C1284" s="2">
        <v>277991</v>
      </c>
      <c r="D1284" s="2" t="s">
        <v>31</v>
      </c>
      <c r="E1284" s="2">
        <f>IF(Tabla2[[#This Row],[Frecuencia]]="Annual", Tabla2[[#This Row],[Cosecha/Tarea]]/12,Tabla2[[#This Row],[Cosecha/Tarea]])</f>
        <v>23165.916666666668</v>
      </c>
      <c r="F1284" s="2">
        <v>1524535</v>
      </c>
      <c r="G1284" t="s">
        <v>32</v>
      </c>
      <c r="H1284">
        <f>F1284/Tabla2[[#This Row],[Cosecha Mensual]]</f>
        <v>65.809396707087643</v>
      </c>
      <c r="I1284">
        <f>H1284*_xlfn.XLOOKUP(Tabla2[[#This Row],[Unidad de producción]],Tabla3[Medida],Tabla3[Equivalencia en Kg],"ELVIS",0)</f>
        <v>1790.6736843998549</v>
      </c>
      <c r="J1284">
        <v>111.884</v>
      </c>
      <c r="K1284" t="s">
        <v>32</v>
      </c>
      <c r="L1284">
        <f>J1284/_xlfn.XLOOKUP(Tabla2[[#This Row],[Unidad de precio]],Tabla3[Medida],Tabla3[Equivalencia en Kg],"ELVIS",0)</f>
        <v>4.1118706357956629</v>
      </c>
      <c r="M1284" s="2">
        <v>8644.7793050524706</v>
      </c>
      <c r="N1284" s="2">
        <f>(Tabla2[[#This Row],[Productividad (kg/TAS)]]*Tabla2[[#This Row],[Precio por kg]]-Tabla2[[#This Row],[Costos (En RD$/Tarea)]])</f>
        <v>-1281.7607638766767</v>
      </c>
      <c r="O1284" s="6">
        <f>IF(Tabla2[[#This Row],[Costos (En RD$/Tarea)]]=0,0,Tabla2[[#This Row],[Beneficio Neto  (En RD$/Tarea)]]/Tabla2[[#This Row],[Costos (En RD$/Tarea)]])</f>
        <v>-0.14826992322725316</v>
      </c>
      <c r="P1284" s="4">
        <f>Tabla2[[#This Row],[Rentabilidad (%)]]/12</f>
        <v>-1.2355826935604429E-2</v>
      </c>
    </row>
    <row r="1285" spans="1:16" x14ac:dyDescent="0.35">
      <c r="A1285" s="1">
        <v>39753</v>
      </c>
      <c r="B1285" t="s">
        <v>33</v>
      </c>
      <c r="C1285" s="2">
        <v>624064</v>
      </c>
      <c r="D1285" s="2" t="s">
        <v>31</v>
      </c>
      <c r="E1285" s="2">
        <f>IF(Tabla2[[#This Row],[Frecuencia]]="Annual", Tabla2[[#This Row],[Cosecha/Tarea]]/12,Tabla2[[#This Row],[Cosecha/Tarea]])</f>
        <v>52005.333333333336</v>
      </c>
      <c r="F1285" s="2">
        <v>101148</v>
      </c>
      <c r="G1285" t="s">
        <v>34</v>
      </c>
      <c r="H1285">
        <f>F1285/Tabla2[[#This Row],[Cosecha Mensual]]</f>
        <v>1.9449543636550097</v>
      </c>
      <c r="I1285">
        <f>H1285*_xlfn.XLOOKUP(Tabla2[[#This Row],[Unidad de producción]],Tabla3[Medida],Tabla3[Equivalencia en Kg],"ELVIS",0)</f>
        <v>793.83312352579219</v>
      </c>
      <c r="J1285">
        <v>3782.5340000000001</v>
      </c>
      <c r="K1285" t="s">
        <v>34</v>
      </c>
      <c r="L1285">
        <f>J1285/_xlfn.XLOOKUP(Tabla2[[#This Row],[Unidad de precio]],Tabla3[Medida],Tabla3[Equivalencia en Kg],"ELVIS",0)</f>
        <v>9.2675094940585581</v>
      </c>
      <c r="M1285" s="2">
        <v>8418.1288680949201</v>
      </c>
      <c r="N1285" s="2">
        <f>(Tabla2[[#This Row],[Productividad (kg/TAS)]]*Tabla2[[#This Row],[Precio por kg]]-Tabla2[[#This Row],[Costos (En RD$/Tarea)]])</f>
        <v>-1061.2728591214809</v>
      </c>
      <c r="O1285" s="6">
        <f>IF(Tabla2[[#This Row],[Costos (En RD$/Tarea)]]=0,0,Tabla2[[#This Row],[Beneficio Neto  (En RD$/Tarea)]]/Tabla2[[#This Row],[Costos (En RD$/Tarea)]])</f>
        <v>-0.12606992310889323</v>
      </c>
      <c r="P1285" s="4">
        <f>Tabla2[[#This Row],[Rentabilidad (%)]]/12</f>
        <v>-1.0505826925741103E-2</v>
      </c>
    </row>
    <row r="1286" spans="1:16" x14ac:dyDescent="0.35">
      <c r="A1286" s="1">
        <v>39783</v>
      </c>
      <c r="B1286" t="s">
        <v>16</v>
      </c>
      <c r="C1286" s="2">
        <v>83640</v>
      </c>
      <c r="D1286" s="5" t="s">
        <v>17</v>
      </c>
      <c r="E1286" s="2">
        <f>IF(Tabla2[[#This Row],[Frecuencia]]="Annual", Tabla2[[#This Row],[Cosecha/Tarea]]/12,Tabla2[[#This Row],[Cosecha/Tarea]])</f>
        <v>83640</v>
      </c>
      <c r="F1286" s="2">
        <v>307201</v>
      </c>
      <c r="G1286" t="s">
        <v>18</v>
      </c>
      <c r="H1286">
        <f>F1286/Tabla2[[#This Row],[Cosecha Mensual]]</f>
        <v>3.6728957436633189</v>
      </c>
      <c r="I1286">
        <f>H1286*_xlfn.XLOOKUP(Tabla2[[#This Row],[Unidad de producción]],Tabla3[Medida],Tabla3[Equivalencia en Kg],"ELVIS",0)</f>
        <v>166.60255093256814</v>
      </c>
      <c r="J1286">
        <v>1350.5</v>
      </c>
      <c r="K1286" t="s">
        <v>19</v>
      </c>
      <c r="L1286">
        <f>J1286/_xlfn.XLOOKUP(Tabla2[[#This Row],[Unidad de precio]],Tabla3[Medida],Tabla3[Equivalencia en Kg],"ELVIS",0)</f>
        <v>12.277272727272727</v>
      </c>
      <c r="M1286">
        <v>6402.1671715266002</v>
      </c>
      <c r="N1286" s="2">
        <f>(Tabla2[[#This Row],[Productividad (kg/TAS)]]*Tabla2[[#This Row],[Precio por kg]]-Tabla2[[#This Row],[Costos (En RD$/Tarea)]])</f>
        <v>-4356.7422166681163</v>
      </c>
      <c r="O1286" s="6">
        <f>IF(Tabla2[[#This Row],[Costos (En RD$/Tarea)]]=0,0,Tabla2[[#This Row],[Beneficio Neto  (En RD$/Tarea)]]/Tabla2[[#This Row],[Costos (En RD$/Tarea)]])</f>
        <v>-0.68051053650154048</v>
      </c>
      <c r="P1286" s="4">
        <f>Tabla2[[#This Row],[Rentabilidad (%)]]/12</f>
        <v>-5.6709211375128375E-2</v>
      </c>
    </row>
    <row r="1287" spans="1:16" x14ac:dyDescent="0.35">
      <c r="A1287" s="1">
        <v>39783</v>
      </c>
      <c r="B1287" t="s">
        <v>20</v>
      </c>
      <c r="C1287" s="2">
        <v>22467</v>
      </c>
      <c r="D1287" s="5" t="s">
        <v>17</v>
      </c>
      <c r="E1287" s="2">
        <f>IF(Tabla2[[#This Row],[Frecuencia]]="Annual", Tabla2[[#This Row],[Cosecha/Tarea]]/12,Tabla2[[#This Row],[Cosecha/Tarea]])</f>
        <v>22467</v>
      </c>
      <c r="F1287" s="2">
        <v>37670</v>
      </c>
      <c r="G1287" t="s">
        <v>18</v>
      </c>
      <c r="H1287">
        <f>F1287/Tabla2[[#This Row],[Cosecha Mensual]]</f>
        <v>1.6766813548760404</v>
      </c>
      <c r="I1287">
        <f>H1287*_xlfn.XLOOKUP(Tabla2[[#This Row],[Unidad de producción]],Tabla3[Medida],Tabla3[Equivalencia en Kg],"ELVIS",0)</f>
        <v>76.05426625717719</v>
      </c>
      <c r="J1287">
        <v>575.04</v>
      </c>
      <c r="K1287" t="s">
        <v>18</v>
      </c>
      <c r="L1287">
        <f>J1287/_xlfn.XLOOKUP(Tabla2[[#This Row],[Unidad de precio]],Tabla3[Medida],Tabla3[Equivalencia en Kg],"ELVIS",0)</f>
        <v>12.677248677248677</v>
      </c>
      <c r="M1287">
        <v>1490.9040199825199</v>
      </c>
      <c r="N1287" s="2">
        <f>(Tabla2[[#This Row],[Productividad (kg/TAS)]]*Tabla2[[#This Row],[Precio por kg]]-Tabla2[[#This Row],[Costos (En RD$/Tarea)]])</f>
        <v>-526.74517367460169</v>
      </c>
      <c r="O1287" s="6">
        <f>IF(Tabla2[[#This Row],[Costos (En RD$/Tarea)]]=0,0,Tabla2[[#This Row],[Beneficio Neto  (En RD$/Tarea)]]/Tabla2[[#This Row],[Costos (En RD$/Tarea)]])</f>
        <v>-0.35330589133482754</v>
      </c>
      <c r="P1287" s="4">
        <f>Tabla2[[#This Row],[Rentabilidad (%)]]/12</f>
        <v>-2.9442157611235628E-2</v>
      </c>
    </row>
    <row r="1288" spans="1:16" x14ac:dyDescent="0.35">
      <c r="A1288" s="1">
        <v>39783</v>
      </c>
      <c r="B1288" t="s">
        <v>21</v>
      </c>
      <c r="C1288" s="2">
        <v>8838</v>
      </c>
      <c r="D1288" s="5" t="s">
        <v>17</v>
      </c>
      <c r="E1288" s="2">
        <f>IF(Tabla2[[#This Row],[Frecuencia]]="Annual", Tabla2[[#This Row],[Cosecha/Tarea]]/12,Tabla2[[#This Row],[Cosecha/Tarea]])</f>
        <v>8838</v>
      </c>
      <c r="F1288" s="2">
        <v>100581</v>
      </c>
      <c r="G1288" t="s">
        <v>18</v>
      </c>
      <c r="H1288">
        <f>F1288/Tabla2[[#This Row],[Cosecha Mensual]]</f>
        <v>11.38051595383571</v>
      </c>
      <c r="I1288">
        <f>H1288*_xlfn.XLOOKUP(Tabla2[[#This Row],[Unidad de producción]],Tabla3[Medida],Tabla3[Equivalencia en Kg],"ELVIS",0)</f>
        <v>516.22020366598781</v>
      </c>
      <c r="J1288">
        <v>211.78678400000001</v>
      </c>
      <c r="K1288" t="s">
        <v>18</v>
      </c>
      <c r="L1288">
        <f>J1288/_xlfn.XLOOKUP(Tabla2[[#This Row],[Unidad de precio]],Tabla3[Medida],Tabla3[Equivalencia en Kg],"ELVIS",0)</f>
        <v>4.6690208112874787</v>
      </c>
      <c r="M1288">
        <v>3935.0401959000001</v>
      </c>
      <c r="N1288" s="2">
        <f>(Tabla2[[#This Row],[Productividad (kg/TAS)]]*Tabla2[[#This Row],[Precio por kg]]-Tabla2[[#This Row],[Costos (En RD$/Tarea)]])</f>
        <v>-1524.797321776442</v>
      </c>
      <c r="O1288" s="6">
        <f>IF(Tabla2[[#This Row],[Costos (En RD$/Tarea)]]=0,0,Tabla2[[#This Row],[Beneficio Neto  (En RD$/Tarea)]]/Tabla2[[#This Row],[Costos (En RD$/Tarea)]])</f>
        <v>-0.38749218454366996</v>
      </c>
      <c r="P1288" s="4">
        <f>Tabla2[[#This Row],[Rentabilidad (%)]]/12</f>
        <v>-3.2291015378639161E-2</v>
      </c>
    </row>
    <row r="1289" spans="1:16" x14ac:dyDescent="0.35">
      <c r="A1289" s="1">
        <v>39783</v>
      </c>
      <c r="B1289" t="s">
        <v>22</v>
      </c>
      <c r="C1289" s="2">
        <v>6623</v>
      </c>
      <c r="D1289" s="5" t="s">
        <v>17</v>
      </c>
      <c r="E1289" s="2">
        <f>IF(Tabla2[[#This Row],[Frecuencia]]="Annual", Tabla2[[#This Row],[Cosecha/Tarea]]/12,Tabla2[[#This Row],[Cosecha/Tarea]])</f>
        <v>6623</v>
      </c>
      <c r="F1289" s="2">
        <v>64088</v>
      </c>
      <c r="G1289" t="s">
        <v>18</v>
      </c>
      <c r="H1289">
        <f>F1289/Tabla2[[#This Row],[Cosecha Mensual]]</f>
        <v>9.6765816095425041</v>
      </c>
      <c r="I1289">
        <f>H1289*_xlfn.XLOOKUP(Tabla2[[#This Row],[Unidad de producción]],Tabla3[Medida],Tabla3[Equivalencia en Kg],"ELVIS",0)</f>
        <v>438.92974180884801</v>
      </c>
      <c r="J1289">
        <v>1042.6660999999999</v>
      </c>
      <c r="K1289" t="s">
        <v>18</v>
      </c>
      <c r="L1289">
        <f>J1289/_xlfn.XLOOKUP(Tabla2[[#This Row],[Unidad de precio]],Tabla3[Medida],Tabla3[Equivalencia en Kg],"ELVIS",0)</f>
        <v>22.986466049382713</v>
      </c>
      <c r="M1289">
        <v>6901.0735717535999</v>
      </c>
      <c r="N1289" s="2">
        <f>(Tabla2[[#This Row],[Productividad (kg/TAS)]]*Tabla2[[#This Row],[Precio por kg]]-Tabla2[[#This Row],[Costos (En RD$/Tarea)]])</f>
        <v>3188.3700363998041</v>
      </c>
      <c r="O1289" s="6">
        <f>IF(Tabla2[[#This Row],[Costos (En RD$/Tarea)]]=0,0,Tabla2[[#This Row],[Beneficio Neto  (En RD$/Tarea)]]/Tabla2[[#This Row],[Costos (En RD$/Tarea)]])</f>
        <v>0.46201072967109696</v>
      </c>
      <c r="P1289" s="4">
        <f>Tabla2[[#This Row],[Rentabilidad (%)]]/12</f>
        <v>3.8500894139258078E-2</v>
      </c>
    </row>
    <row r="1290" spans="1:16" x14ac:dyDescent="0.35">
      <c r="A1290" s="1">
        <v>39783</v>
      </c>
      <c r="B1290" t="s">
        <v>23</v>
      </c>
      <c r="C1290" s="2">
        <v>795</v>
      </c>
      <c r="D1290" s="5" t="s">
        <v>17</v>
      </c>
      <c r="E1290" s="2">
        <f>IF(Tabla2[[#This Row],[Frecuencia]]="Annual", Tabla2[[#This Row],[Cosecha/Tarea]]/12,Tabla2[[#This Row],[Cosecha/Tarea]])</f>
        <v>795</v>
      </c>
      <c r="F1290" s="2">
        <v>26140</v>
      </c>
      <c r="G1290" t="s">
        <v>18</v>
      </c>
      <c r="H1290">
        <f>F1290/Tabla2[[#This Row],[Cosecha Mensual]]</f>
        <v>32.880503144654085</v>
      </c>
      <c r="I1290">
        <f>H1290*_xlfn.XLOOKUP(Tabla2[[#This Row],[Unidad de producción]],Tabla3[Medida],Tabla3[Equivalencia en Kg],"ELVIS",0)</f>
        <v>1491.4596226415092</v>
      </c>
      <c r="J1290">
        <v>800</v>
      </c>
      <c r="K1290" t="s">
        <v>18</v>
      </c>
      <c r="L1290">
        <f>J1290/_xlfn.XLOOKUP(Tabla2[[#This Row],[Unidad de precio]],Tabla3[Medida],Tabla3[Equivalencia en Kg],"ELVIS",0)</f>
        <v>17.636684303350972</v>
      </c>
      <c r="M1290">
        <v>17874.25</v>
      </c>
      <c r="N1290" s="2">
        <f>(Tabla2[[#This Row],[Productividad (kg/TAS)]]*Tabla2[[#This Row],[Precio por kg]]-Tabla2[[#This Row],[Costos (En RD$/Tarea)]])</f>
        <v>8430.1525157232682</v>
      </c>
      <c r="O1290" s="6">
        <f>IF(Tabla2[[#This Row],[Costos (En RD$/Tarea)]]=0,0,Tabla2[[#This Row],[Beneficio Neto  (En RD$/Tarea)]]/Tabla2[[#This Row],[Costos (En RD$/Tarea)]])</f>
        <v>0.47163671290953568</v>
      </c>
      <c r="P1290" s="4">
        <f>Tabla2[[#This Row],[Rentabilidad (%)]]/12</f>
        <v>3.9303059409127976E-2</v>
      </c>
    </row>
    <row r="1291" spans="1:16" x14ac:dyDescent="0.35">
      <c r="A1291" s="1">
        <v>39783</v>
      </c>
      <c r="B1291" t="s">
        <v>24</v>
      </c>
      <c r="C1291" s="2">
        <v>7283</v>
      </c>
      <c r="D1291" s="5" t="s">
        <v>17</v>
      </c>
      <c r="E1291" s="2">
        <f>IF(Tabla2[[#This Row],[Frecuencia]]="Annual", Tabla2[[#This Row],[Cosecha/Tarea]]/12,Tabla2[[#This Row],[Cosecha/Tarea]])</f>
        <v>7283</v>
      </c>
      <c r="F1291" s="2">
        <v>62792</v>
      </c>
      <c r="G1291" t="s">
        <v>18</v>
      </c>
      <c r="H1291">
        <f>F1291/Tabla2[[#This Row],[Cosecha Mensual]]</f>
        <v>8.6217218179321709</v>
      </c>
      <c r="I1291">
        <f>H1291*_xlfn.XLOOKUP(Tabla2[[#This Row],[Unidad de producción]],Tabla3[Medida],Tabla3[Equivalencia en Kg],"ELVIS",0)</f>
        <v>391.08130166140324</v>
      </c>
      <c r="J1291">
        <v>1170</v>
      </c>
      <c r="K1291" t="s">
        <v>18</v>
      </c>
      <c r="L1291">
        <f>J1291/_xlfn.XLOOKUP(Tabla2[[#This Row],[Unidad de precio]],Tabla3[Medida],Tabla3[Equivalencia en Kg],"ELVIS",0)</f>
        <v>25.793650793650794</v>
      </c>
      <c r="M1291">
        <v>5602.3420621674204</v>
      </c>
      <c r="N1291" s="2">
        <f>(Tabla2[[#This Row],[Productividad (kg/TAS)]]*Tabla2[[#This Row],[Precio por kg]]-Tabla2[[#This Row],[Costos (En RD$/Tarea)]])</f>
        <v>4485.0724648132191</v>
      </c>
      <c r="O1291" s="6">
        <f>IF(Tabla2[[#This Row],[Costos (En RD$/Tarea)]]=0,0,Tabla2[[#This Row],[Beneficio Neto  (En RD$/Tarea)]]/Tabla2[[#This Row],[Costos (En RD$/Tarea)]])</f>
        <v>0.80057097818087264</v>
      </c>
      <c r="P1291" s="4">
        <f>Tabla2[[#This Row],[Rentabilidad (%)]]/12</f>
        <v>6.6714248181739391E-2</v>
      </c>
    </row>
    <row r="1292" spans="1:16" x14ac:dyDescent="0.35">
      <c r="A1292" s="1">
        <v>39783</v>
      </c>
      <c r="B1292" t="s">
        <v>25</v>
      </c>
      <c r="C1292" s="2">
        <v>21242</v>
      </c>
      <c r="D1292" s="5" t="s">
        <v>17</v>
      </c>
      <c r="E1292" s="2">
        <f>IF(Tabla2[[#This Row],[Frecuencia]]="Annual", Tabla2[[#This Row],[Cosecha/Tarea]]/12,Tabla2[[#This Row],[Cosecha/Tarea]])</f>
        <v>21242</v>
      </c>
      <c r="F1292" s="2">
        <v>222616</v>
      </c>
      <c r="G1292" t="s">
        <v>18</v>
      </c>
      <c r="H1292">
        <f>F1292/Tabla2[[#This Row],[Cosecha Mensual]]</f>
        <v>10.479992467752565</v>
      </c>
      <c r="I1292">
        <f>H1292*_xlfn.XLOOKUP(Tabla2[[#This Row],[Unidad de producción]],Tabla3[Medida],Tabla3[Equivalencia en Kg],"ELVIS",0)</f>
        <v>475.37245833725632</v>
      </c>
      <c r="J1292">
        <v>429.43016666666699</v>
      </c>
      <c r="K1292" t="s">
        <v>18</v>
      </c>
      <c r="L1292">
        <f>J1292/_xlfn.XLOOKUP(Tabla2[[#This Row],[Unidad de precio]],Tabla3[Medida],Tabla3[Equivalencia en Kg],"ELVIS",0)</f>
        <v>9.4671553497942451</v>
      </c>
      <c r="M1292">
        <v>3201.64901153456</v>
      </c>
      <c r="N1292" s="2">
        <f>(Tabla2[[#This Row],[Productividad (kg/TAS)]]*Tabla2[[#This Row],[Precio por kg]]-Tabla2[[#This Row],[Costos (En RD$/Tarea)]])</f>
        <v>1298.7759005578378</v>
      </c>
      <c r="O1292" s="6">
        <f>IF(Tabla2[[#This Row],[Costos (En RD$/Tarea)]]=0,0,Tabla2[[#This Row],[Beneficio Neto  (En RD$/Tarea)]]/Tabla2[[#This Row],[Costos (En RD$/Tarea)]])</f>
        <v>0.40565842660414875</v>
      </c>
      <c r="P1292" s="4">
        <f>Tabla2[[#This Row],[Rentabilidad (%)]]/12</f>
        <v>3.3804868883679062E-2</v>
      </c>
    </row>
    <row r="1293" spans="1:16" x14ac:dyDescent="0.35">
      <c r="A1293" s="1">
        <v>39783</v>
      </c>
      <c r="B1293" t="s">
        <v>26</v>
      </c>
      <c r="C1293" s="2">
        <v>14622</v>
      </c>
      <c r="D1293" s="5" t="s">
        <v>17</v>
      </c>
      <c r="E1293" s="2">
        <f>IF(Tabla2[[#This Row],[Frecuencia]]="Annual", Tabla2[[#This Row],[Cosecha/Tarea]]/12,Tabla2[[#This Row],[Cosecha/Tarea]])</f>
        <v>14622</v>
      </c>
      <c r="F1293" s="2">
        <v>83695</v>
      </c>
      <c r="G1293" t="s">
        <v>18</v>
      </c>
      <c r="H1293">
        <f>F1293/Tabla2[[#This Row],[Cosecha Mensual]]</f>
        <v>5.7239091779510325</v>
      </c>
      <c r="I1293">
        <f>H1293*_xlfn.XLOOKUP(Tabla2[[#This Row],[Unidad de producción]],Tabla3[Medida],Tabla3[Equivalencia en Kg],"ELVIS",0)</f>
        <v>259.63652031185882</v>
      </c>
      <c r="J1293">
        <v>688.51333333333298</v>
      </c>
      <c r="K1293" t="s">
        <v>18</v>
      </c>
      <c r="L1293">
        <f>J1293/_xlfn.XLOOKUP(Tabla2[[#This Row],[Unidad de precio]],Tabla3[Medida],Tabla3[Equivalencia en Kg],"ELVIS",0)</f>
        <v>15.17886537330981</v>
      </c>
      <c r="M1293">
        <v>1294.9257376989401</v>
      </c>
      <c r="N1293" s="2">
        <f>(Tabla2[[#This Row],[Productividad (kg/TAS)]]*Tabla2[[#This Row],[Precio por kg]]-Tabla2[[#This Row],[Costos (En RD$/Tarea)]])</f>
        <v>2646.0620501093827</v>
      </c>
      <c r="O1293" s="6">
        <f>IF(Tabla2[[#This Row],[Costos (En RD$/Tarea)]]=0,0,Tabla2[[#This Row],[Beneficio Neto  (En RD$/Tarea)]]/Tabla2[[#This Row],[Costos (En RD$/Tarea)]])</f>
        <v>2.0434083384668744</v>
      </c>
      <c r="P1293" s="4">
        <f>Tabla2[[#This Row],[Rentabilidad (%)]]/12</f>
        <v>0.17028402820557287</v>
      </c>
    </row>
    <row r="1294" spans="1:16" x14ac:dyDescent="0.35">
      <c r="A1294" s="1">
        <v>39783</v>
      </c>
      <c r="B1294" t="s">
        <v>27</v>
      </c>
      <c r="C1294" s="2">
        <v>5466</v>
      </c>
      <c r="D1294" s="5" t="s">
        <v>17</v>
      </c>
      <c r="E1294" s="2">
        <f>IF(Tabla2[[#This Row],[Frecuencia]]="Annual", Tabla2[[#This Row],[Cosecha/Tarea]]/12,Tabla2[[#This Row],[Cosecha/Tarea]])</f>
        <v>5466</v>
      </c>
      <c r="F1294" s="2">
        <v>35611</v>
      </c>
      <c r="G1294" t="s">
        <v>18</v>
      </c>
      <c r="H1294">
        <f>F1294/Tabla2[[#This Row],[Cosecha Mensual]]</f>
        <v>6.5150018294914016</v>
      </c>
      <c r="I1294">
        <f>H1294*_xlfn.XLOOKUP(Tabla2[[#This Row],[Unidad de producción]],Tabla3[Medida],Tabla3[Equivalencia en Kg],"ELVIS",0)</f>
        <v>295.52048298572998</v>
      </c>
      <c r="J1294">
        <v>307.94822499999998</v>
      </c>
      <c r="K1294" t="s">
        <v>18</v>
      </c>
      <c r="L1294">
        <f>J1294/_xlfn.XLOOKUP(Tabla2[[#This Row],[Unidad de precio]],Tabla3[Medida],Tabla3[Equivalencia en Kg],"ELVIS",0)</f>
        <v>6.7889820326278656</v>
      </c>
      <c r="M1294">
        <v>5429.7257056660201</v>
      </c>
      <c r="N1294" s="2">
        <f>(Tabla2[[#This Row],[Productividad (kg/TAS)]]*Tabla2[[#This Row],[Precio por kg]]-Tabla2[[#This Row],[Costos (En RD$/Tarea)]])</f>
        <v>-3423.4424564023902</v>
      </c>
      <c r="O1294" s="6">
        <f>IF(Tabla2[[#This Row],[Costos (En RD$/Tarea)]]=0,0,Tabla2[[#This Row],[Beneficio Neto  (En RD$/Tarea)]]/Tabla2[[#This Row],[Costos (En RD$/Tarea)]])</f>
        <v>-0.63050007348068504</v>
      </c>
      <c r="P1294" s="4">
        <f>Tabla2[[#This Row],[Rentabilidad (%)]]/12</f>
        <v>-5.2541672790057087E-2</v>
      </c>
    </row>
    <row r="1295" spans="1:16" x14ac:dyDescent="0.35">
      <c r="A1295" s="1">
        <v>39783</v>
      </c>
      <c r="B1295" t="s">
        <v>28</v>
      </c>
      <c r="C1295" s="2">
        <v>38448</v>
      </c>
      <c r="D1295" s="5" t="s">
        <v>17</v>
      </c>
      <c r="E1295" s="2">
        <f>IF(Tabla2[[#This Row],[Frecuencia]]="Annual", Tabla2[[#This Row],[Cosecha/Tarea]]/12,Tabla2[[#This Row],[Cosecha/Tarea]])</f>
        <v>38448</v>
      </c>
      <c r="F1295" s="2">
        <v>42700</v>
      </c>
      <c r="G1295" t="s">
        <v>29</v>
      </c>
      <c r="H1295">
        <f>F1295/Tabla2[[#This Row],[Cosecha Mensual]]</f>
        <v>1.1105909280066584</v>
      </c>
      <c r="I1295">
        <f>H1295*_xlfn.XLOOKUP(Tabla2[[#This Row],[Unidad de producción]],Tabla3[Medida],Tabla3[Equivalencia en Kg],"ELVIS",0)</f>
        <v>624.52970245526433</v>
      </c>
      <c r="J1295">
        <v>4674.2879999999996</v>
      </c>
      <c r="K1295" t="s">
        <v>29</v>
      </c>
      <c r="L1295">
        <f>J1295/_xlfn.XLOOKUP(Tabla2[[#This Row],[Unidad de precio]],Tabla3[Medida],Tabla3[Equivalencia en Kg],"ELVIS",0)</f>
        <v>8.3122096952021902</v>
      </c>
      <c r="M1295">
        <v>4903.3716657183304</v>
      </c>
      <c r="N1295" s="2">
        <f>(Tabla2[[#This Row],[Productividad (kg/TAS)]]*Tabla2[[#This Row],[Precio por kg]]-Tabla2[[#This Row],[Costos (En RD$/Tarea)]])</f>
        <v>287.85018197205682</v>
      </c>
      <c r="O1295" s="6">
        <f>IF(Tabla2[[#This Row],[Costos (En RD$/Tarea)]]=0,0,Tabla2[[#This Row],[Beneficio Neto  (En RD$/Tarea)]]/Tabla2[[#This Row],[Costos (En RD$/Tarea)]])</f>
        <v>5.8704540792725642E-2</v>
      </c>
      <c r="P1295" s="4">
        <f>Tabla2[[#This Row],[Rentabilidad (%)]]/12</f>
        <v>4.8920450660604698E-3</v>
      </c>
    </row>
    <row r="1296" spans="1:16" x14ac:dyDescent="0.35">
      <c r="A1296" s="1">
        <v>39783</v>
      </c>
      <c r="B1296" t="s">
        <v>30</v>
      </c>
      <c r="C1296" s="2">
        <v>286033</v>
      </c>
      <c r="D1296" s="2" t="s">
        <v>31</v>
      </c>
      <c r="E1296" s="2">
        <f>IF(Tabla2[[#This Row],[Frecuencia]]="Annual", Tabla2[[#This Row],[Cosecha/Tarea]]/12,Tabla2[[#This Row],[Cosecha/Tarea]])</f>
        <v>23836.083333333332</v>
      </c>
      <c r="F1296" s="2">
        <v>1672624</v>
      </c>
      <c r="G1296" t="s">
        <v>32</v>
      </c>
      <c r="H1296">
        <f>F1296/Tabla2[[#This Row],[Cosecha Mensual]]</f>
        <v>70.171931210734428</v>
      </c>
      <c r="I1296">
        <f>H1296*_xlfn.XLOOKUP(Tabla2[[#This Row],[Unidad de producción]],Tabla3[Medida],Tabla3[Equivalencia en Kg],"ELVIS",0)</f>
        <v>1909.3782482440838</v>
      </c>
      <c r="J1296">
        <v>119.46428571428601</v>
      </c>
      <c r="K1296" t="s">
        <v>32</v>
      </c>
      <c r="L1296">
        <f>J1296/_xlfn.XLOOKUP(Tabla2[[#This Row],[Unidad de precio]],Tabla3[Medida],Tabla3[Equivalencia en Kg],"ELVIS",0)</f>
        <v>4.3904551897936788</v>
      </c>
      <c r="M1296" s="2">
        <v>8644.7793050524706</v>
      </c>
      <c r="N1296" s="2">
        <f>(Tabla2[[#This Row],[Productividad (kg/TAS)]]*Tabla2[[#This Row],[Precio por kg]]-Tabla2[[#This Row],[Costos (En RD$/Tarea)]])</f>
        <v>-261.73966577007013</v>
      </c>
      <c r="O1296" s="6">
        <f>IF(Tabla2[[#This Row],[Costos (En RD$/Tarea)]]=0,0,Tabla2[[#This Row],[Beneficio Neto  (En RD$/Tarea)]]/Tabla2[[#This Row],[Costos (En RD$/Tarea)]])</f>
        <v>-3.0277194655171299E-2</v>
      </c>
      <c r="P1296" s="4">
        <f>Tabla2[[#This Row],[Rentabilidad (%)]]/12</f>
        <v>-2.5230995545976083E-3</v>
      </c>
    </row>
    <row r="1297" spans="1:16" x14ac:dyDescent="0.35">
      <c r="A1297" s="1">
        <v>39783</v>
      </c>
      <c r="B1297" t="s">
        <v>33</v>
      </c>
      <c r="C1297" s="2">
        <v>643771</v>
      </c>
      <c r="D1297" s="2" t="s">
        <v>31</v>
      </c>
      <c r="E1297" s="2">
        <f>IF(Tabla2[[#This Row],[Frecuencia]]="Annual", Tabla2[[#This Row],[Cosecha/Tarea]]/12,Tabla2[[#This Row],[Cosecha/Tarea]])</f>
        <v>53647.583333333336</v>
      </c>
      <c r="F1297" s="2">
        <v>93233</v>
      </c>
      <c r="G1297" t="s">
        <v>34</v>
      </c>
      <c r="H1297">
        <f>F1297/Tabla2[[#This Row],[Cosecha Mensual]]</f>
        <v>1.7378788420105906</v>
      </c>
      <c r="I1297">
        <f>H1297*_xlfn.XLOOKUP(Tabla2[[#This Row],[Unidad de producción]],Tabla3[Medida],Tabla3[Equivalencia en Kg],"ELVIS",0)</f>
        <v>709.31524936662254</v>
      </c>
      <c r="J1297">
        <v>4470.2857142857201</v>
      </c>
      <c r="K1297" t="s">
        <v>34</v>
      </c>
      <c r="L1297">
        <f>J1297/_xlfn.XLOOKUP(Tabla2[[#This Row],[Unidad de precio]],Tabla3[Medida],Tabla3[Equivalencia en Kg],"ELVIS",0)</f>
        <v>10.952555958068652</v>
      </c>
      <c r="M1297" s="2">
        <v>8418.1288680949201</v>
      </c>
      <c r="N1297" s="2">
        <f>(Tabla2[[#This Row],[Productividad (kg/TAS)]]*Tabla2[[#This Row],[Precio por kg]]-Tabla2[[#This Row],[Costos (En RD$/Tarea)]])</f>
        <v>-649.31390749556704</v>
      </c>
      <c r="O1297" s="6">
        <f>IF(Tabla2[[#This Row],[Costos (En RD$/Tarea)]]=0,0,Tabla2[[#This Row],[Beneficio Neto  (En RD$/Tarea)]]/Tabla2[[#This Row],[Costos (En RD$/Tarea)]])</f>
        <v>-7.713280678756243E-2</v>
      </c>
      <c r="P1297" s="4">
        <f>Tabla2[[#This Row],[Rentabilidad (%)]]/12</f>
        <v>-6.4277338989635361E-3</v>
      </c>
    </row>
    <row r="1298" spans="1:16" x14ac:dyDescent="0.35">
      <c r="A1298" s="1">
        <v>39814</v>
      </c>
      <c r="B1298" t="s">
        <v>16</v>
      </c>
      <c r="C1298" s="2">
        <v>41986</v>
      </c>
      <c r="D1298" s="5" t="s">
        <v>17</v>
      </c>
      <c r="E1298" s="2">
        <f>IF(Tabla2[[#This Row],[Frecuencia]]="Annual", Tabla2[[#This Row],[Cosecha/Tarea]]/12,Tabla2[[#This Row],[Cosecha/Tarea]])</f>
        <v>41986</v>
      </c>
      <c r="F1298" s="2">
        <v>129484</v>
      </c>
      <c r="G1298" t="s">
        <v>18</v>
      </c>
      <c r="H1298">
        <f>F1298/Tabla2[[#This Row],[Cosecha Mensual]]</f>
        <v>3.0839803744105176</v>
      </c>
      <c r="I1298">
        <f>H1298*_xlfn.XLOOKUP(Tabla2[[#This Row],[Unidad de producción]],Tabla3[Medida],Tabla3[Equivalencia en Kg],"ELVIS",0)</f>
        <v>139.88934978326108</v>
      </c>
      <c r="J1298">
        <v>2303.25505250069</v>
      </c>
      <c r="K1298" t="s">
        <v>19</v>
      </c>
      <c r="L1298">
        <f>J1298/_xlfn.XLOOKUP(Tabla2[[#This Row],[Unidad de precio]],Tabla3[Medida],Tabla3[Equivalencia en Kg],"ELVIS",0)</f>
        <v>20.938682295460818</v>
      </c>
      <c r="M1298">
        <v>6526.78</v>
      </c>
      <c r="N1298" s="2">
        <f>(Tabla2[[#This Row],[Productividad (kg/TAS)]]*Tabla2[[#This Row],[Precio por kg]]-Tabla2[[#This Row],[Costos (En RD$/Tarea)]])</f>
        <v>-3597.6813483697051</v>
      </c>
      <c r="O1298" s="6">
        <f>IF(Tabla2[[#This Row],[Costos (En RD$/Tarea)]]=0,0,Tabla2[[#This Row],[Beneficio Neto  (En RD$/Tarea)]]/Tabla2[[#This Row],[Costos (En RD$/Tarea)]])</f>
        <v>-0.55121841832721574</v>
      </c>
      <c r="P1298" s="4">
        <f>Tabla2[[#This Row],[Rentabilidad (%)]]/12</f>
        <v>-4.5934868193934643E-2</v>
      </c>
    </row>
    <row r="1299" spans="1:16" x14ac:dyDescent="0.35">
      <c r="A1299" s="1">
        <v>39814</v>
      </c>
      <c r="B1299" t="s">
        <v>20</v>
      </c>
      <c r="C1299" s="2">
        <v>48248</v>
      </c>
      <c r="D1299" s="5" t="s">
        <v>17</v>
      </c>
      <c r="E1299" s="2">
        <f>IF(Tabla2[[#This Row],[Frecuencia]]="Annual", Tabla2[[#This Row],[Cosecha/Tarea]]/12,Tabla2[[#This Row],[Cosecha/Tarea]])</f>
        <v>48248</v>
      </c>
      <c r="F1299" s="2">
        <v>79501</v>
      </c>
      <c r="G1299" t="s">
        <v>18</v>
      </c>
      <c r="H1299">
        <f>F1299/Tabla2[[#This Row],[Cosecha Mensual]]</f>
        <v>1.6477574199966838</v>
      </c>
      <c r="I1299">
        <f>H1299*_xlfn.XLOOKUP(Tabla2[[#This Row],[Unidad de producción]],Tabla3[Medida],Tabla3[Equivalencia en Kg],"ELVIS",0)</f>
        <v>74.742276571049572</v>
      </c>
      <c r="J1299">
        <v>614.46428571428601</v>
      </c>
      <c r="K1299" t="s">
        <v>18</v>
      </c>
      <c r="L1299">
        <f>J1299/_xlfn.XLOOKUP(Tabla2[[#This Row],[Unidad de precio]],Tabla3[Medida],Tabla3[Equivalencia en Kg],"ELVIS",0)</f>
        <v>13.546390778533642</v>
      </c>
      <c r="M1299">
        <v>1590.1032460281599</v>
      </c>
      <c r="N1299" s="2">
        <f>(Tabla2[[#This Row],[Productividad (kg/TAS)]]*Tabla2[[#This Row],[Precio por kg]]-Tabla2[[#This Row],[Costos (En RD$/Tarea)]])</f>
        <v>-577.61515991948295</v>
      </c>
      <c r="O1299" s="6">
        <f>IF(Tabla2[[#This Row],[Costos (En RD$/Tarea)]]=0,0,Tabla2[[#This Row],[Beneficio Neto  (En RD$/Tarea)]]/Tabla2[[#This Row],[Costos (En RD$/Tarea)]])</f>
        <v>-0.3632563868807131</v>
      </c>
      <c r="P1299" s="4">
        <f>Tabla2[[#This Row],[Rentabilidad (%)]]/12</f>
        <v>-3.0271365573392758E-2</v>
      </c>
    </row>
    <row r="1300" spans="1:16" x14ac:dyDescent="0.35">
      <c r="A1300" s="1">
        <v>39814</v>
      </c>
      <c r="B1300" t="s">
        <v>21</v>
      </c>
      <c r="C1300" s="2">
        <v>9843</v>
      </c>
      <c r="D1300" s="5" t="s">
        <v>17</v>
      </c>
      <c r="E1300" s="2">
        <f>IF(Tabla2[[#This Row],[Frecuencia]]="Annual", Tabla2[[#This Row],[Cosecha/Tarea]]/12,Tabla2[[#This Row],[Cosecha/Tarea]])</f>
        <v>9843</v>
      </c>
      <c r="F1300" s="2">
        <v>107050</v>
      </c>
      <c r="G1300" t="s">
        <v>18</v>
      </c>
      <c r="H1300">
        <f>F1300/Tabla2[[#This Row],[Cosecha Mensual]]</f>
        <v>10.875749263435944</v>
      </c>
      <c r="I1300">
        <f>H1300*_xlfn.XLOOKUP(Tabla2[[#This Row],[Unidad de producción]],Tabla3[Medida],Tabla3[Equivalencia en Kg],"ELVIS",0)</f>
        <v>493.32398658945442</v>
      </c>
      <c r="J1300">
        <v>209.418785714286</v>
      </c>
      <c r="K1300" t="s">
        <v>18</v>
      </c>
      <c r="L1300">
        <f>J1300/_xlfn.XLOOKUP(Tabla2[[#This Row],[Unidad de precio]],Tabla3[Medida],Tabla3[Equivalencia en Kg],"ELVIS",0)</f>
        <v>4.6168162635424608</v>
      </c>
      <c r="M1300">
        <v>4038.1847174999998</v>
      </c>
      <c r="N1300" s="2">
        <f>(Tabla2[[#This Row],[Productividad (kg/TAS)]]*Tabla2[[#This Row],[Precio por kg]]-Tabla2[[#This Row],[Costos (En RD$/Tarea)]])</f>
        <v>-1760.5985130182039</v>
      </c>
      <c r="O1300" s="6">
        <f>IF(Tabla2[[#This Row],[Costos (En RD$/Tarea)]]=0,0,Tabla2[[#This Row],[Beneficio Neto  (En RD$/Tarea)]]/Tabla2[[#This Row],[Costos (En RD$/Tarea)]])</f>
        <v>-0.43598761230223587</v>
      </c>
      <c r="P1300" s="4">
        <f>Tabla2[[#This Row],[Rentabilidad (%)]]/12</f>
        <v>-3.6332301025186323E-2</v>
      </c>
    </row>
    <row r="1301" spans="1:16" x14ac:dyDescent="0.35">
      <c r="A1301" s="1">
        <v>39814</v>
      </c>
      <c r="B1301" t="s">
        <v>22</v>
      </c>
      <c r="C1301" s="2">
        <v>8745</v>
      </c>
      <c r="D1301" s="5" t="s">
        <v>17</v>
      </c>
      <c r="E1301" s="2">
        <f>IF(Tabla2[[#This Row],[Frecuencia]]="Annual", Tabla2[[#This Row],[Cosecha/Tarea]]/12,Tabla2[[#This Row],[Cosecha/Tarea]])</f>
        <v>8745</v>
      </c>
      <c r="F1301" s="2">
        <v>84120</v>
      </c>
      <c r="G1301" t="s">
        <v>18</v>
      </c>
      <c r="H1301">
        <f>F1301/Tabla2[[#This Row],[Cosecha Mensual]]</f>
        <v>9.6192109777015435</v>
      </c>
      <c r="I1301">
        <f>H1301*_xlfn.XLOOKUP(Tabla2[[#This Row],[Unidad de producción]],Tabla3[Medida],Tabla3[Equivalencia en Kg],"ELVIS",0)</f>
        <v>436.32740994854203</v>
      </c>
      <c r="J1301">
        <v>956.928</v>
      </c>
      <c r="K1301" t="s">
        <v>18</v>
      </c>
      <c r="L1301">
        <f>J1301/_xlfn.XLOOKUP(Tabla2[[#This Row],[Unidad de precio]],Tabla3[Medida],Tabla3[Equivalencia en Kg],"ELVIS",0)</f>
        <v>21.096296296296295</v>
      </c>
      <c r="M1301">
        <v>7095.7961171999996</v>
      </c>
      <c r="N1301" s="2">
        <f>(Tabla2[[#This Row],[Productividad (kg/TAS)]]*Tabla2[[#This Row],[Precio por kg]]-Tabla2[[#This Row],[Costos (En RD$/Tarea)]])</f>
        <v>2109.0962052699833</v>
      </c>
      <c r="O1301" s="6">
        <f>IF(Tabla2[[#This Row],[Costos (En RD$/Tarea)]]=0,0,Tabla2[[#This Row],[Beneficio Neto  (En RD$/Tarea)]]/Tabla2[[#This Row],[Costos (En RD$/Tarea)]])</f>
        <v>0.29723179336531341</v>
      </c>
      <c r="P1301" s="4">
        <f>Tabla2[[#This Row],[Rentabilidad (%)]]/12</f>
        <v>2.4769316113776117E-2</v>
      </c>
    </row>
    <row r="1302" spans="1:16" x14ac:dyDescent="0.35">
      <c r="A1302" s="1">
        <v>39814</v>
      </c>
      <c r="B1302" t="s">
        <v>23</v>
      </c>
      <c r="C1302" s="2">
        <v>1916</v>
      </c>
      <c r="D1302" s="5" t="s">
        <v>17</v>
      </c>
      <c r="E1302" s="2">
        <f>IF(Tabla2[[#This Row],[Frecuencia]]="Annual", Tabla2[[#This Row],[Cosecha/Tarea]]/12,Tabla2[[#This Row],[Cosecha/Tarea]])</f>
        <v>1916</v>
      </c>
      <c r="F1302" s="2">
        <v>60890</v>
      </c>
      <c r="G1302" t="s">
        <v>18</v>
      </c>
      <c r="H1302">
        <f>F1302/Tabla2[[#This Row],[Cosecha Mensual]]</f>
        <v>31.779749478079331</v>
      </c>
      <c r="I1302">
        <f>H1302*_xlfn.XLOOKUP(Tabla2[[#This Row],[Unidad de producción]],Tabla3[Medida],Tabla3[Equivalencia en Kg],"ELVIS",0)</f>
        <v>1441.5294363256785</v>
      </c>
      <c r="J1302">
        <v>786.25</v>
      </c>
      <c r="K1302" t="s">
        <v>18</v>
      </c>
      <c r="L1302">
        <f>J1302/_xlfn.XLOOKUP(Tabla2[[#This Row],[Unidad de precio]],Tabla3[Medida],Tabla3[Equivalencia en Kg],"ELVIS",0)</f>
        <v>17.333553791887127</v>
      </c>
      <c r="M1302">
        <v>17661.808667508602</v>
      </c>
      <c r="N1302" s="2">
        <f>(Tabla2[[#This Row],[Productividad (kg/TAS)]]*Tabla2[[#This Row],[Precio por kg]]-Tabla2[[#This Row],[Costos (En RD$/Tarea)]])</f>
        <v>7325.0193596312747</v>
      </c>
      <c r="O1302" s="6">
        <f>IF(Tabla2[[#This Row],[Costos (En RD$/Tarea)]]=0,0,Tabla2[[#This Row],[Beneficio Neto  (En RD$/Tarea)]]/Tabla2[[#This Row],[Costos (En RD$/Tarea)]])</f>
        <v>0.41473778238276837</v>
      </c>
      <c r="P1302" s="4">
        <f>Tabla2[[#This Row],[Rentabilidad (%)]]/12</f>
        <v>3.4561481865230698E-2</v>
      </c>
    </row>
    <row r="1303" spans="1:16" x14ac:dyDescent="0.35">
      <c r="A1303" s="1">
        <v>39814</v>
      </c>
      <c r="B1303" t="s">
        <v>24</v>
      </c>
      <c r="C1303" s="2">
        <v>6809</v>
      </c>
      <c r="D1303" s="5" t="s">
        <v>17</v>
      </c>
      <c r="E1303" s="2">
        <f>IF(Tabla2[[#This Row],[Frecuencia]]="Annual", Tabla2[[#This Row],[Cosecha/Tarea]]/12,Tabla2[[#This Row],[Cosecha/Tarea]])</f>
        <v>6809</v>
      </c>
      <c r="F1303" s="2">
        <v>63672</v>
      </c>
      <c r="G1303" t="s">
        <v>18</v>
      </c>
      <c r="H1303">
        <f>F1303/Tabla2[[#This Row],[Cosecha Mensual]]</f>
        <v>9.3511528858863269</v>
      </c>
      <c r="I1303">
        <f>H1303*_xlfn.XLOOKUP(Tabla2[[#This Row],[Unidad de producción]],Tabla3[Medida],Tabla3[Equivalencia en Kg],"ELVIS",0)</f>
        <v>424.16829490380377</v>
      </c>
      <c r="J1303">
        <v>1266.5730000000001</v>
      </c>
      <c r="K1303" t="s">
        <v>18</v>
      </c>
      <c r="L1303">
        <f>J1303/_xlfn.XLOOKUP(Tabla2[[#This Row],[Unidad de precio]],Tabla3[Medida],Tabla3[Equivalencia en Kg],"ELVIS",0)</f>
        <v>27.922685185185188</v>
      </c>
      <c r="M1303">
        <v>5745.6881190335998</v>
      </c>
      <c r="N1303" s="2">
        <f>(Tabla2[[#This Row],[Productividad (kg/TAS)]]*Tabla2[[#This Row],[Precio por kg]]-Tabla2[[#This Row],[Costos (En RD$/Tarea)]])</f>
        <v>6098.2296451021039</v>
      </c>
      <c r="O1303" s="6">
        <f>IF(Tabla2[[#This Row],[Costos (En RD$/Tarea)]]=0,0,Tabla2[[#This Row],[Beneficio Neto  (En RD$/Tarea)]]/Tabla2[[#This Row],[Costos (En RD$/Tarea)]])</f>
        <v>1.0613575813314071</v>
      </c>
      <c r="P1303" s="4">
        <f>Tabla2[[#This Row],[Rentabilidad (%)]]/12</f>
        <v>8.8446465110950598E-2</v>
      </c>
    </row>
    <row r="1304" spans="1:16" x14ac:dyDescent="0.35">
      <c r="A1304" s="1">
        <v>39814</v>
      </c>
      <c r="B1304" t="s">
        <v>25</v>
      </c>
      <c r="C1304" s="2">
        <v>24520</v>
      </c>
      <c r="D1304" s="5" t="s">
        <v>17</v>
      </c>
      <c r="E1304" s="2">
        <f>IF(Tabla2[[#This Row],[Frecuencia]]="Annual", Tabla2[[#This Row],[Cosecha/Tarea]]/12,Tabla2[[#This Row],[Cosecha/Tarea]])</f>
        <v>24520</v>
      </c>
      <c r="F1304" s="2">
        <v>272658</v>
      </c>
      <c r="G1304" t="s">
        <v>18</v>
      </c>
      <c r="H1304">
        <f>F1304/Tabla2[[#This Row],[Cosecha Mensual]]</f>
        <v>11.119820554649266</v>
      </c>
      <c r="I1304">
        <f>H1304*_xlfn.XLOOKUP(Tabla2[[#This Row],[Unidad de producción]],Tabla3[Medida],Tabla3[Equivalencia en Kg],"ELVIS",0)</f>
        <v>504.3950603588907</v>
      </c>
      <c r="J1304">
        <v>358.12705714285698</v>
      </c>
      <c r="K1304" t="s">
        <v>18</v>
      </c>
      <c r="L1304">
        <f>J1304/_xlfn.XLOOKUP(Tabla2[[#This Row],[Unidad de precio]],Tabla3[Medida],Tabla3[Equivalencia en Kg],"ELVIS",0)</f>
        <v>7.8952173091458775</v>
      </c>
      <c r="M1304">
        <v>3380.6681837157598</v>
      </c>
      <c r="N1304" s="2">
        <f>(Tabla2[[#This Row],[Productividad (kg/TAS)]]*Tabla2[[#This Row],[Precio por kg]]-Tabla2[[#This Row],[Costos (En RD$/Tarea)]])</f>
        <v>601.6404274774336</v>
      </c>
      <c r="O1304" s="6">
        <f>IF(Tabla2[[#This Row],[Costos (En RD$/Tarea)]]=0,0,Tabla2[[#This Row],[Beneficio Neto  (En RD$/Tarea)]]/Tabla2[[#This Row],[Costos (En RD$/Tarea)]])</f>
        <v>0.17796494502934582</v>
      </c>
      <c r="P1304" s="4">
        <f>Tabla2[[#This Row],[Rentabilidad (%)]]/12</f>
        <v>1.4830412085778817E-2</v>
      </c>
    </row>
    <row r="1305" spans="1:16" x14ac:dyDescent="0.35">
      <c r="A1305" s="1">
        <v>39814</v>
      </c>
      <c r="B1305" t="s">
        <v>26</v>
      </c>
      <c r="C1305" s="2">
        <v>12823</v>
      </c>
      <c r="D1305" s="5" t="s">
        <v>17</v>
      </c>
      <c r="E1305" s="2">
        <f>IF(Tabla2[[#This Row],[Frecuencia]]="Annual", Tabla2[[#This Row],[Cosecha/Tarea]]/12,Tabla2[[#This Row],[Cosecha/Tarea]])</f>
        <v>12823</v>
      </c>
      <c r="F1305" s="2">
        <v>103056</v>
      </c>
      <c r="G1305" t="s">
        <v>18</v>
      </c>
      <c r="H1305">
        <f>F1305/Tabla2[[#This Row],[Cosecha Mensual]]</f>
        <v>8.0368088590813382</v>
      </c>
      <c r="I1305">
        <f>H1305*_xlfn.XLOOKUP(Tabla2[[#This Row],[Unidad de producción]],Tabla3[Medida],Tabla3[Equivalencia en Kg],"ELVIS",0)</f>
        <v>364.54964984792952</v>
      </c>
      <c r="J1305">
        <v>722.73142857142898</v>
      </c>
      <c r="K1305" t="s">
        <v>18</v>
      </c>
      <c r="L1305">
        <f>J1305/_xlfn.XLOOKUP(Tabla2[[#This Row],[Unidad de precio]],Tabla3[Medida],Tabla3[Equivalencia en Kg],"ELVIS",0)</f>
        <v>15.933232552280181</v>
      </c>
      <c r="M1305">
        <v>1376.3165203125</v>
      </c>
      <c r="N1305" s="2">
        <f>(Tabla2[[#This Row],[Productividad (kg/TAS)]]*Tabla2[[#This Row],[Precio por kg]]-Tabla2[[#This Row],[Costos (En RD$/Tarea)]])</f>
        <v>4432.1378275668721</v>
      </c>
      <c r="O1305" s="6">
        <f>IF(Tabla2[[#This Row],[Costos (En RD$/Tarea)]]=0,0,Tabla2[[#This Row],[Beneficio Neto  (En RD$/Tarea)]]/Tabla2[[#This Row],[Costos (En RD$/Tarea)]])</f>
        <v>3.2202896369801124</v>
      </c>
      <c r="P1305" s="4">
        <f>Tabla2[[#This Row],[Rentabilidad (%)]]/12</f>
        <v>0.26835746974834268</v>
      </c>
    </row>
    <row r="1306" spans="1:16" x14ac:dyDescent="0.35">
      <c r="A1306" s="1">
        <v>39814</v>
      </c>
      <c r="B1306" t="s">
        <v>27</v>
      </c>
      <c r="C1306" s="2">
        <v>5341</v>
      </c>
      <c r="D1306" s="5" t="s">
        <v>17</v>
      </c>
      <c r="E1306" s="2">
        <f>IF(Tabla2[[#This Row],[Frecuencia]]="Annual", Tabla2[[#This Row],[Cosecha/Tarea]]/12,Tabla2[[#This Row],[Cosecha/Tarea]])</f>
        <v>5341</v>
      </c>
      <c r="F1306" s="2">
        <v>39852</v>
      </c>
      <c r="G1306" t="s">
        <v>18</v>
      </c>
      <c r="H1306">
        <f>F1306/Tabla2[[#This Row],[Cosecha Mensual]]</f>
        <v>7.4615240591649501</v>
      </c>
      <c r="I1306">
        <f>H1306*_xlfn.XLOOKUP(Tabla2[[#This Row],[Unidad de producción]],Tabla3[Medida],Tabla3[Equivalencia en Kg],"ELVIS",0)</f>
        <v>338.45473132372211</v>
      </c>
      <c r="J1306">
        <v>267.65550000000002</v>
      </c>
      <c r="K1306" t="s">
        <v>18</v>
      </c>
      <c r="L1306">
        <f>J1306/_xlfn.XLOOKUP(Tabla2[[#This Row],[Unidad de precio]],Tabla3[Medida],Tabla3[Equivalencia en Kg],"ELVIS",0)</f>
        <v>5.9006944444444454</v>
      </c>
      <c r="M1306">
        <v>5690.0383784955002</v>
      </c>
      <c r="N1306" s="2">
        <f>(Tabla2[[#This Row],[Productividad (kg/TAS)]]*Tabla2[[#This Row],[Precio por kg]]-Tabla2[[#This Row],[Costos (En RD$/Tarea)]])</f>
        <v>-3692.9204256776757</v>
      </c>
      <c r="O1306" s="6">
        <f>IF(Tabla2[[#This Row],[Costos (En RD$/Tarea)]]=0,0,Tabla2[[#This Row],[Beneficio Neto  (En RD$/Tarea)]]/Tabla2[[#This Row],[Costos (En RD$/Tarea)]])</f>
        <v>-0.64901502943010358</v>
      </c>
      <c r="P1306" s="4">
        <f>Tabla2[[#This Row],[Rentabilidad (%)]]/12</f>
        <v>-5.4084585785841965E-2</v>
      </c>
    </row>
    <row r="1307" spans="1:16" x14ac:dyDescent="0.35">
      <c r="A1307" s="1">
        <v>39814</v>
      </c>
      <c r="B1307" t="s">
        <v>28</v>
      </c>
      <c r="C1307" s="2">
        <v>22114</v>
      </c>
      <c r="D1307" s="5" t="s">
        <v>17</v>
      </c>
      <c r="E1307" s="2">
        <f>IF(Tabla2[[#This Row],[Frecuencia]]="Annual", Tabla2[[#This Row],[Cosecha/Tarea]]/12,Tabla2[[#This Row],[Cosecha/Tarea]])</f>
        <v>22114</v>
      </c>
      <c r="F1307" s="2">
        <v>13590</v>
      </c>
      <c r="G1307" t="s">
        <v>29</v>
      </c>
      <c r="H1307">
        <f>F1307/Tabla2[[#This Row],[Cosecha Mensual]]</f>
        <v>0.6145428235506919</v>
      </c>
      <c r="I1307">
        <f>H1307*_xlfn.XLOOKUP(Tabla2[[#This Row],[Unidad de producción]],Tabla3[Medida],Tabla3[Equivalencia en Kg],"ELVIS",0)</f>
        <v>345.58201139549612</v>
      </c>
      <c r="J1307">
        <v>5800</v>
      </c>
      <c r="K1307" t="s">
        <v>29</v>
      </c>
      <c r="L1307">
        <f>J1307/_xlfn.XLOOKUP(Tabla2[[#This Row],[Unidad de precio]],Tabla3[Medida],Tabla3[Equivalencia en Kg],"ELVIS",0)</f>
        <v>10.314044883878081</v>
      </c>
      <c r="M1307">
        <v>5157.1623197653698</v>
      </c>
      <c r="N1307" s="2">
        <f>(Tabla2[[#This Row],[Productividad (kg/TAS)]]*Tabla2[[#This Row],[Precio por kg]]-Tabla2[[#This Row],[Costos (En RD$/Tarea)]])</f>
        <v>-1592.8139431713562</v>
      </c>
      <c r="O1307" s="6">
        <f>IF(Tabla2[[#This Row],[Costos (En RD$/Tarea)]]=0,0,Tabla2[[#This Row],[Beneficio Neto  (En RD$/Tarea)]]/Tabla2[[#This Row],[Costos (En RD$/Tarea)]])</f>
        <v>-0.30885472366590605</v>
      </c>
      <c r="P1307" s="4">
        <f>Tabla2[[#This Row],[Rentabilidad (%)]]/12</f>
        <v>-2.5737893638825504E-2</v>
      </c>
    </row>
    <row r="1308" spans="1:16" x14ac:dyDescent="0.35">
      <c r="A1308" s="1">
        <v>39814</v>
      </c>
      <c r="B1308" t="s">
        <v>30</v>
      </c>
      <c r="C1308" s="2">
        <v>287462</v>
      </c>
      <c r="D1308" s="2" t="s">
        <v>31</v>
      </c>
      <c r="E1308" s="2">
        <f>IF(Tabla2[[#This Row],[Frecuencia]]="Annual", Tabla2[[#This Row],[Cosecha/Tarea]]/12,Tabla2[[#This Row],[Cosecha/Tarea]])</f>
        <v>23955.166666666668</v>
      </c>
      <c r="F1308" s="2">
        <v>1619468</v>
      </c>
      <c r="G1308" t="s">
        <v>32</v>
      </c>
      <c r="H1308">
        <f>F1308/Tabla2[[#This Row],[Cosecha Mensual]]</f>
        <v>67.604121588244709</v>
      </c>
      <c r="I1308">
        <f>H1308*_xlfn.XLOOKUP(Tabla2[[#This Row],[Unidad de producción]],Tabla3[Medida],Tabla3[Equivalencia en Kg],"ELVIS",0)</f>
        <v>1839.5081484161385</v>
      </c>
      <c r="J1308">
        <v>119.91</v>
      </c>
      <c r="K1308" t="s">
        <v>32</v>
      </c>
      <c r="L1308">
        <f>J1308/_xlfn.XLOOKUP(Tabla2[[#This Row],[Unidad de precio]],Tabla3[Medida],Tabla3[Equivalencia en Kg],"ELVIS",0)</f>
        <v>4.4068357221609702</v>
      </c>
      <c r="M1308" s="2">
        <v>9253.9447792029805</v>
      </c>
      <c r="N1308" s="2">
        <f>(Tabla2[[#This Row],[Productividad (kg/TAS)]]*Tabla2[[#This Row],[Precio por kg]]-Tabla2[[#This Row],[Costos (En RD$/Tarea)]])</f>
        <v>-1147.5345595565577</v>
      </c>
      <c r="O1308" s="6">
        <f>IF(Tabla2[[#This Row],[Costos (En RD$/Tarea)]]=0,0,Tabla2[[#This Row],[Beneficio Neto  (En RD$/Tarea)]]/Tabla2[[#This Row],[Costos (En RD$/Tarea)]])</f>
        <v>-0.12400490676532781</v>
      </c>
      <c r="P1308" s="4">
        <f>Tabla2[[#This Row],[Rentabilidad (%)]]/12</f>
        <v>-1.0333742230443985E-2</v>
      </c>
    </row>
    <row r="1309" spans="1:16" x14ac:dyDescent="0.35">
      <c r="A1309" s="1">
        <v>39814</v>
      </c>
      <c r="B1309" t="s">
        <v>33</v>
      </c>
      <c r="C1309" s="2">
        <v>643190</v>
      </c>
      <c r="D1309" s="2" t="s">
        <v>31</v>
      </c>
      <c r="E1309" s="8">
        <f>IF(Tabla2[[#This Row],[Frecuencia]]="Annual", Tabla2[[#This Row],[Cosecha/Tarea]]/12,Tabla2[[#This Row],[Cosecha/Tarea]])</f>
        <v>53599.166666666664</v>
      </c>
      <c r="F1309" s="2">
        <v>219577</v>
      </c>
      <c r="G1309" t="s">
        <v>34</v>
      </c>
      <c r="H1309">
        <f>F1309/Tabla2[[#This Row],[Cosecha Mensual]]</f>
        <v>4.0966495125857056</v>
      </c>
      <c r="I1309">
        <f>H1309*_xlfn.XLOOKUP(Tabla2[[#This Row],[Unidad de producción]],Tabla3[Medida],Tabla3[Equivalencia en Kg],"ELVIS",0)</f>
        <v>1672.0474985618557</v>
      </c>
      <c r="J1309">
        <v>4369.0957142857096</v>
      </c>
      <c r="K1309" t="s">
        <v>34</v>
      </c>
      <c r="L1309">
        <f>J1309/_xlfn.XLOOKUP(Tabla2[[#This Row],[Unidad de precio]],Tabla3[Medida],Tabla3[Equivalencia en Kg],"ELVIS",0)</f>
        <v>10.704632400553008</v>
      </c>
      <c r="M1309" s="2">
        <v>8960.6721575976007</v>
      </c>
      <c r="N1309" s="2">
        <f>(Tabla2[[#This Row],[Productividad (kg/TAS)]]*Tabla2[[#This Row],[Precio por kg]]-Tabla2[[#This Row],[Costos (En RD$/Tarea)]])</f>
        <v>8937.9816707712489</v>
      </c>
      <c r="O1309" s="6">
        <f>IF(Tabla2[[#This Row],[Costos (En RD$/Tarea)]]=0,0,Tabla2[[#This Row],[Beneficio Neto  (En RD$/Tarea)]]/Tabla2[[#This Row],[Costos (En RD$/Tarea)]])</f>
        <v>0.99746776955709593</v>
      </c>
      <c r="P1309" s="4">
        <f>Tabla2[[#This Row],[Rentabilidad (%)]]/12</f>
        <v>8.3122314129757999E-2</v>
      </c>
    </row>
    <row r="1310" spans="1:16" x14ac:dyDescent="0.35">
      <c r="A1310" s="1">
        <v>39845</v>
      </c>
      <c r="B1310" t="s">
        <v>16</v>
      </c>
      <c r="C1310" s="2">
        <v>2776</v>
      </c>
      <c r="D1310" s="5" t="s">
        <v>17</v>
      </c>
      <c r="E1310" s="2">
        <f>IF(Tabla2[[#This Row],[Frecuencia]]="Annual", Tabla2[[#This Row],[Cosecha/Tarea]]/12,Tabla2[[#This Row],[Cosecha/Tarea]])</f>
        <v>2776</v>
      </c>
      <c r="F1310" s="2">
        <v>6204</v>
      </c>
      <c r="G1310" t="s">
        <v>18</v>
      </c>
      <c r="H1310">
        <f>F1310/Tabla2[[#This Row],[Cosecha Mensual]]</f>
        <v>2.2348703170028816</v>
      </c>
      <c r="I1310">
        <f>H1310*_xlfn.XLOOKUP(Tabla2[[#This Row],[Unidad de producción]],Tabla3[Medida],Tabla3[Equivalencia en Kg],"ELVIS",0)</f>
        <v>101.37371757925071</v>
      </c>
      <c r="J1310">
        <v>1873.6333629968899</v>
      </c>
      <c r="K1310" t="s">
        <v>19</v>
      </c>
      <c r="L1310">
        <f>J1310/_xlfn.XLOOKUP(Tabla2[[#This Row],[Unidad de precio]],Tabla3[Medida],Tabla3[Equivalencia en Kg],"ELVIS",0)</f>
        <v>17.033030572698998</v>
      </c>
      <c r="M1310">
        <v>6526.78</v>
      </c>
      <c r="N1310" s="2">
        <f>(Tabla2[[#This Row],[Productividad (kg/TAS)]]*Tabla2[[#This Row],[Precio por kg]]-Tabla2[[#This Row],[Costos (En RD$/Tarea)]])</f>
        <v>-4800.0783692044688</v>
      </c>
      <c r="O1310" s="6">
        <f>IF(Tabla2[[#This Row],[Costos (En RD$/Tarea)]]=0,0,Tabla2[[#This Row],[Beneficio Neto  (En RD$/Tarea)]]/Tabla2[[#This Row],[Costos (En RD$/Tarea)]])</f>
        <v>-0.73544356776304232</v>
      </c>
      <c r="P1310" s="4">
        <f>Tabla2[[#This Row],[Rentabilidad (%)]]/12</f>
        <v>-6.1286963980253524E-2</v>
      </c>
    </row>
    <row r="1311" spans="1:16" x14ac:dyDescent="0.35">
      <c r="A1311" s="1">
        <v>39845</v>
      </c>
      <c r="B1311" t="s">
        <v>20</v>
      </c>
      <c r="C1311" s="2">
        <v>16684</v>
      </c>
      <c r="D1311" s="5" t="s">
        <v>17</v>
      </c>
      <c r="E1311" s="2">
        <f>IF(Tabla2[[#This Row],[Frecuencia]]="Annual", Tabla2[[#This Row],[Cosecha/Tarea]]/12,Tabla2[[#This Row],[Cosecha/Tarea]])</f>
        <v>16684</v>
      </c>
      <c r="F1311" s="2">
        <v>41407</v>
      </c>
      <c r="G1311" t="s">
        <v>18</v>
      </c>
      <c r="H1311">
        <f>F1311/Tabla2[[#This Row],[Cosecha Mensual]]</f>
        <v>2.4818388875569406</v>
      </c>
      <c r="I1311">
        <f>H1311*_xlfn.XLOOKUP(Tabla2[[#This Row],[Unidad de producción]],Tabla3[Medida],Tabla3[Equivalencia en Kg],"ELVIS",0)</f>
        <v>112.57621193958282</v>
      </c>
      <c r="J1311">
        <v>620.41125</v>
      </c>
      <c r="K1311" t="s">
        <v>18</v>
      </c>
      <c r="L1311">
        <f>J1311/_xlfn.XLOOKUP(Tabla2[[#This Row],[Unidad de precio]],Tabla3[Medida],Tabla3[Equivalencia en Kg],"ELVIS",0)</f>
        <v>13.677496693121693</v>
      </c>
      <c r="M1311">
        <v>1590.1032460281599</v>
      </c>
      <c r="N1311" s="2">
        <f>(Tabla2[[#This Row],[Productividad (kg/TAS)]]*Tabla2[[#This Row],[Precio por kg]]-Tabla2[[#This Row],[Costos (En RD$/Tarea)]])</f>
        <v>-50.3424795003491</v>
      </c>
      <c r="O1311" s="6">
        <f>IF(Tabla2[[#This Row],[Costos (En RD$/Tarea)]]=0,0,Tabla2[[#This Row],[Beneficio Neto  (En RD$/Tarea)]]/Tabla2[[#This Row],[Costos (En RD$/Tarea)]])</f>
        <v>-3.1659880970683563E-2</v>
      </c>
      <c r="P1311" s="4">
        <f>Tabla2[[#This Row],[Rentabilidad (%)]]/12</f>
        <v>-2.6383234142236304E-3</v>
      </c>
    </row>
    <row r="1312" spans="1:16" x14ac:dyDescent="0.35">
      <c r="A1312" s="1">
        <v>39845</v>
      </c>
      <c r="B1312" t="s">
        <v>21</v>
      </c>
      <c r="C1312" s="2">
        <v>8697</v>
      </c>
      <c r="D1312" s="5" t="s">
        <v>17</v>
      </c>
      <c r="E1312" s="2">
        <f>IF(Tabla2[[#This Row],[Frecuencia]]="Annual", Tabla2[[#This Row],[Cosecha/Tarea]]/12,Tabla2[[#This Row],[Cosecha/Tarea]])</f>
        <v>8697</v>
      </c>
      <c r="F1312" s="2">
        <v>91060</v>
      </c>
      <c r="G1312" t="s">
        <v>18</v>
      </c>
      <c r="H1312">
        <f>F1312/Tabla2[[#This Row],[Cosecha Mensual]]</f>
        <v>10.470277107048407</v>
      </c>
      <c r="I1312">
        <f>H1312*_xlfn.XLOOKUP(Tabla2[[#This Row],[Unidad de producción]],Tabla3[Medida],Tabla3[Equivalencia en Kg],"ELVIS",0)</f>
        <v>474.93176957571575</v>
      </c>
      <c r="J1312">
        <v>215.33835714285701</v>
      </c>
      <c r="K1312" t="s">
        <v>18</v>
      </c>
      <c r="L1312">
        <f>J1312/_xlfn.XLOOKUP(Tabla2[[#This Row],[Unidad de precio]],Tabla3[Medida],Tabla3[Equivalencia en Kg],"ELVIS",0)</f>
        <v>4.7473182791635145</v>
      </c>
      <c r="M1312">
        <v>4038.1847174999998</v>
      </c>
      <c r="N1312" s="2">
        <f>(Tabla2[[#This Row],[Productividad (kg/TAS)]]*Tabla2[[#This Row],[Precio por kg]]-Tabla2[[#This Row],[Costos (En RD$/Tarea)]])</f>
        <v>-1783.53244643773</v>
      </c>
      <c r="O1312" s="6">
        <f>IF(Tabla2[[#This Row],[Costos (En RD$/Tarea)]]=0,0,Tabla2[[#This Row],[Beneficio Neto  (En RD$/Tarea)]]/Tabla2[[#This Row],[Costos (En RD$/Tarea)]])</f>
        <v>-0.44166688034565621</v>
      </c>
      <c r="P1312" s="4">
        <f>Tabla2[[#This Row],[Rentabilidad (%)]]/12</f>
        <v>-3.6805573362138015E-2</v>
      </c>
    </row>
    <row r="1313" spans="1:16" x14ac:dyDescent="0.35">
      <c r="A1313" s="1">
        <v>39845</v>
      </c>
      <c r="B1313" t="s">
        <v>22</v>
      </c>
      <c r="C1313" s="2">
        <v>10728</v>
      </c>
      <c r="D1313" s="5" t="s">
        <v>17</v>
      </c>
      <c r="E1313" s="2">
        <f>IF(Tabla2[[#This Row],[Frecuencia]]="Annual", Tabla2[[#This Row],[Cosecha/Tarea]]/12,Tabla2[[#This Row],[Cosecha/Tarea]])</f>
        <v>10728</v>
      </c>
      <c r="F1313" s="2">
        <v>102069</v>
      </c>
      <c r="G1313" t="s">
        <v>18</v>
      </c>
      <c r="H1313">
        <f>F1313/Tabla2[[#This Row],[Cosecha Mensual]]</f>
        <v>9.5142617449664435</v>
      </c>
      <c r="I1313">
        <f>H1313*_xlfn.XLOOKUP(Tabla2[[#This Row],[Unidad de producción]],Tabla3[Medida],Tabla3[Equivalencia en Kg],"ELVIS",0)</f>
        <v>431.56691275167788</v>
      </c>
      <c r="J1313">
        <v>907.57500000000005</v>
      </c>
      <c r="K1313" t="s">
        <v>18</v>
      </c>
      <c r="L1313">
        <f>J1313/_xlfn.XLOOKUP(Tabla2[[#This Row],[Unidad de precio]],Tabla3[Medida],Tabla3[Equivalencia en Kg],"ELVIS",0)</f>
        <v>20.008267195767196</v>
      </c>
      <c r="M1313">
        <v>7095.7961171999996</v>
      </c>
      <c r="N1313" s="2">
        <f>(Tabla2[[#This Row],[Productividad (kg/TAS)]]*Tabla2[[#This Row],[Precio por kg]]-Tabla2[[#This Row],[Costos (En RD$/Tarea)]])</f>
        <v>1539.1099859879214</v>
      </c>
      <c r="O1313" s="6">
        <f>IF(Tabla2[[#This Row],[Costos (En RD$/Tarea)]]=0,0,Tabla2[[#This Row],[Beneficio Neto  (En RD$/Tarea)]]/Tabla2[[#This Row],[Costos (En RD$/Tarea)]])</f>
        <v>0.21690448267773146</v>
      </c>
      <c r="P1313" s="4">
        <f>Tabla2[[#This Row],[Rentabilidad (%)]]/12</f>
        <v>1.8075373556477623E-2</v>
      </c>
    </row>
    <row r="1314" spans="1:16" x14ac:dyDescent="0.35">
      <c r="A1314" s="1">
        <v>39845</v>
      </c>
      <c r="B1314" t="s">
        <v>23</v>
      </c>
      <c r="C1314" s="2">
        <v>3664</v>
      </c>
      <c r="D1314" s="5" t="s">
        <v>17</v>
      </c>
      <c r="E1314" s="2">
        <f>IF(Tabla2[[#This Row],[Frecuencia]]="Annual", Tabla2[[#This Row],[Cosecha/Tarea]]/12,Tabla2[[#This Row],[Cosecha/Tarea]])</f>
        <v>3664</v>
      </c>
      <c r="F1314" s="2">
        <v>131501</v>
      </c>
      <c r="G1314" t="s">
        <v>18</v>
      </c>
      <c r="H1314">
        <f>F1314/Tabla2[[#This Row],[Cosecha Mensual]]</f>
        <v>35.890010917030565</v>
      </c>
      <c r="I1314">
        <f>H1314*_xlfn.XLOOKUP(Tabla2[[#This Row],[Unidad de producción]],Tabla3[Medida],Tabla3[Equivalencia en Kg],"ELVIS",0)</f>
        <v>1627.9708951965065</v>
      </c>
      <c r="J1314">
        <v>685</v>
      </c>
      <c r="K1314" t="s">
        <v>18</v>
      </c>
      <c r="L1314">
        <f>J1314/_xlfn.XLOOKUP(Tabla2[[#This Row],[Unidad de precio]],Tabla3[Medida],Tabla3[Equivalencia en Kg],"ELVIS",0)</f>
        <v>15.101410934744269</v>
      </c>
      <c r="M1314">
        <v>17661.808667508602</v>
      </c>
      <c r="N1314" s="2">
        <f>(Tabla2[[#This Row],[Productividad (kg/TAS)]]*Tabla2[[#This Row],[Precio por kg]]-Tabla2[[#This Row],[Costos (En RD$/Tarea)]])</f>
        <v>6922.8488106573386</v>
      </c>
      <c r="O1314" s="6">
        <f>IF(Tabla2[[#This Row],[Costos (En RD$/Tarea)]]=0,0,Tabla2[[#This Row],[Beneficio Neto  (En RD$/Tarea)]]/Tabla2[[#This Row],[Costos (En RD$/Tarea)]])</f>
        <v>0.39196715019299805</v>
      </c>
      <c r="P1314" s="4">
        <f>Tabla2[[#This Row],[Rentabilidad (%)]]/12</f>
        <v>3.2663929182749837E-2</v>
      </c>
    </row>
    <row r="1315" spans="1:16" x14ac:dyDescent="0.35">
      <c r="A1315" s="1">
        <v>39845</v>
      </c>
      <c r="B1315" t="s">
        <v>24</v>
      </c>
      <c r="C1315" s="2">
        <v>10023</v>
      </c>
      <c r="D1315" s="5" t="s">
        <v>17</v>
      </c>
      <c r="E1315" s="2">
        <f>IF(Tabla2[[#This Row],[Frecuencia]]="Annual", Tabla2[[#This Row],[Cosecha/Tarea]]/12,Tabla2[[#This Row],[Cosecha/Tarea]])</f>
        <v>10023</v>
      </c>
      <c r="F1315" s="2">
        <v>82961</v>
      </c>
      <c r="G1315" t="s">
        <v>18</v>
      </c>
      <c r="H1315">
        <f>F1315/Tabla2[[#This Row],[Cosecha Mensual]]</f>
        <v>8.2770627556619782</v>
      </c>
      <c r="I1315">
        <f>H1315*_xlfn.XLOOKUP(Tabla2[[#This Row],[Unidad de producción]],Tabla3[Medida],Tabla3[Equivalencia en Kg],"ELVIS",0)</f>
        <v>375.4475665968273</v>
      </c>
      <c r="J1315">
        <v>1117.8</v>
      </c>
      <c r="K1315" t="s">
        <v>18</v>
      </c>
      <c r="L1315">
        <f>J1315/_xlfn.XLOOKUP(Tabla2[[#This Row],[Unidad de precio]],Tabla3[Medida],Tabla3[Equivalencia en Kg],"ELVIS",0)</f>
        <v>24.642857142857142</v>
      </c>
      <c r="M1315">
        <v>5745.6881190335998</v>
      </c>
      <c r="N1315" s="2">
        <f>(Tabla2[[#This Row],[Productividad (kg/TAS)]]*Tabla2[[#This Row],[Precio por kg]]-Tabla2[[#This Row],[Costos (En RD$/Tarea)]])</f>
        <v>3506.4126292453593</v>
      </c>
      <c r="O1315" s="6">
        <f>IF(Tabla2[[#This Row],[Costos (En RD$/Tarea)]]=0,0,Tabla2[[#This Row],[Beneficio Neto  (En RD$/Tarea)]]/Tabla2[[#This Row],[Costos (En RD$/Tarea)]])</f>
        <v>0.61026852773817508</v>
      </c>
      <c r="P1315" s="4">
        <f>Tabla2[[#This Row],[Rentabilidad (%)]]/12</f>
        <v>5.0855710644847923E-2</v>
      </c>
    </row>
    <row r="1316" spans="1:16" x14ac:dyDescent="0.35">
      <c r="A1316" s="1">
        <v>39845</v>
      </c>
      <c r="B1316" t="s">
        <v>25</v>
      </c>
      <c r="C1316" s="2">
        <v>30263</v>
      </c>
      <c r="D1316" s="5" t="s">
        <v>17</v>
      </c>
      <c r="E1316" s="2">
        <f>IF(Tabla2[[#This Row],[Frecuencia]]="Annual", Tabla2[[#This Row],[Cosecha/Tarea]]/12,Tabla2[[#This Row],[Cosecha/Tarea]])</f>
        <v>30263</v>
      </c>
      <c r="F1316" s="2">
        <v>335190</v>
      </c>
      <c r="G1316" t="s">
        <v>18</v>
      </c>
      <c r="H1316">
        <f>F1316/Tabla2[[#This Row],[Cosecha Mensual]]</f>
        <v>11.075901265571821</v>
      </c>
      <c r="I1316">
        <f>H1316*_xlfn.XLOOKUP(Tabla2[[#This Row],[Unidad de producción]],Tabla3[Medida],Tabla3[Equivalencia en Kg],"ELVIS",0)</f>
        <v>502.40288140633777</v>
      </c>
      <c r="J1316">
        <v>352.43745000000001</v>
      </c>
      <c r="K1316" t="s">
        <v>18</v>
      </c>
      <c r="L1316">
        <f>J1316/_xlfn.XLOOKUP(Tabla2[[#This Row],[Unidad de precio]],Tabla3[Medida],Tabla3[Equivalencia en Kg],"ELVIS",0)</f>
        <v>7.7697850529100529</v>
      </c>
      <c r="M1316">
        <v>3380.6681837157598</v>
      </c>
      <c r="N1316" s="2">
        <f>(Tabla2[[#This Row],[Productividad (kg/TAS)]]*Tabla2[[#This Row],[Precio por kg]]-Tabla2[[#This Row],[Costos (En RD$/Tarea)]])</f>
        <v>522.89421477414544</v>
      </c>
      <c r="O1316" s="6">
        <f>IF(Tabla2[[#This Row],[Costos (En RD$/Tarea)]]=0,0,Tabla2[[#This Row],[Beneficio Neto  (En RD$/Tarea)]]/Tabla2[[#This Row],[Costos (En RD$/Tarea)]])</f>
        <v>0.15467185371603728</v>
      </c>
      <c r="P1316" s="4">
        <f>Tabla2[[#This Row],[Rentabilidad (%)]]/12</f>
        <v>1.2889321143003106E-2</v>
      </c>
    </row>
    <row r="1317" spans="1:16" x14ac:dyDescent="0.35">
      <c r="A1317" s="1">
        <v>39845</v>
      </c>
      <c r="B1317" t="s">
        <v>26</v>
      </c>
      <c r="C1317" s="2">
        <v>15010</v>
      </c>
      <c r="D1317" s="5" t="s">
        <v>17</v>
      </c>
      <c r="E1317" s="2">
        <f>IF(Tabla2[[#This Row],[Frecuencia]]="Annual", Tabla2[[#This Row],[Cosecha/Tarea]]/12,Tabla2[[#This Row],[Cosecha/Tarea]])</f>
        <v>15010</v>
      </c>
      <c r="F1317" s="2">
        <v>96809</v>
      </c>
      <c r="G1317" t="s">
        <v>18</v>
      </c>
      <c r="H1317">
        <f>F1317/Tabla2[[#This Row],[Cosecha Mensual]]</f>
        <v>6.4496335776149234</v>
      </c>
      <c r="I1317">
        <f>H1317*_xlfn.XLOOKUP(Tabla2[[#This Row],[Unidad de producción]],Tabla3[Medida],Tabla3[Equivalencia en Kg],"ELVIS",0)</f>
        <v>292.55537908061291</v>
      </c>
      <c r="J1317">
        <v>677.79166666666697</v>
      </c>
      <c r="K1317" t="s">
        <v>18</v>
      </c>
      <c r="L1317">
        <f>J1317/_xlfn.XLOOKUP(Tabla2[[#This Row],[Unidad de precio]],Tabla3[Medida],Tabla3[Equivalencia en Kg],"ELVIS",0)</f>
        <v>14.942497060552624</v>
      </c>
      <c r="M1317">
        <v>1376.3165203125</v>
      </c>
      <c r="N1317" s="2">
        <f>(Tabla2[[#This Row],[Productividad (kg/TAS)]]*Tabla2[[#This Row],[Precio por kg]]-Tabla2[[#This Row],[Costos (En RD$/Tarea)]])</f>
        <v>2995.1913716484169</v>
      </c>
      <c r="O1317" s="6">
        <f>IF(Tabla2[[#This Row],[Costos (En RD$/Tarea)]]=0,0,Tabla2[[#This Row],[Beneficio Neto  (En RD$/Tarea)]]/Tabla2[[#This Row],[Costos (En RD$/Tarea)]])</f>
        <v>2.1762373171022773</v>
      </c>
      <c r="P1317" s="4">
        <f>Tabla2[[#This Row],[Rentabilidad (%)]]/12</f>
        <v>0.18135310975852312</v>
      </c>
    </row>
    <row r="1318" spans="1:16" x14ac:dyDescent="0.35">
      <c r="A1318" s="1">
        <v>39845</v>
      </c>
      <c r="B1318" t="s">
        <v>27</v>
      </c>
      <c r="C1318" s="2">
        <v>7834</v>
      </c>
      <c r="D1318" s="5" t="s">
        <v>17</v>
      </c>
      <c r="E1318" s="2">
        <f>IF(Tabla2[[#This Row],[Frecuencia]]="Annual", Tabla2[[#This Row],[Cosecha/Tarea]]/12,Tabla2[[#This Row],[Cosecha/Tarea]])</f>
        <v>7834</v>
      </c>
      <c r="F1318" s="2">
        <v>52862</v>
      </c>
      <c r="G1318" t="s">
        <v>18</v>
      </c>
      <c r="H1318">
        <f>F1318/Tabla2[[#This Row],[Cosecha Mensual]]</f>
        <v>6.7477661475619097</v>
      </c>
      <c r="I1318">
        <f>H1318*_xlfn.XLOOKUP(Tabla2[[#This Row],[Unidad de producción]],Tabla3[Medida],Tabla3[Equivalencia en Kg],"ELVIS",0)</f>
        <v>306.07867245340822</v>
      </c>
      <c r="J1318">
        <v>298.24166666666702</v>
      </c>
      <c r="K1318" t="s">
        <v>18</v>
      </c>
      <c r="L1318">
        <f>J1318/_xlfn.XLOOKUP(Tabla2[[#This Row],[Unidad de precio]],Tabla3[Medida],Tabla3[Equivalencia en Kg],"ELVIS",0)</f>
        <v>6.5749926513815478</v>
      </c>
      <c r="M1318">
        <v>5690.0383784955002</v>
      </c>
      <c r="N1318" s="2">
        <f>(Tabla2[[#This Row],[Productividad (kg/TAS)]]*Tabla2[[#This Row],[Precio por kg]]-Tabla2[[#This Row],[Costos (En RD$/Tarea)]])</f>
        <v>-3677.5733563697213</v>
      </c>
      <c r="O1318" s="6">
        <f>IF(Tabla2[[#This Row],[Costos (En RD$/Tarea)]]=0,0,Tabla2[[#This Row],[Beneficio Neto  (En RD$/Tarea)]]/Tabla2[[#This Row],[Costos (En RD$/Tarea)]])</f>
        <v>-0.64631784739246456</v>
      </c>
      <c r="P1318" s="4">
        <f>Tabla2[[#This Row],[Rentabilidad (%)]]/12</f>
        <v>-5.3859820616038716E-2</v>
      </c>
    </row>
    <row r="1319" spans="1:16" x14ac:dyDescent="0.35">
      <c r="A1319" s="1">
        <v>39845</v>
      </c>
      <c r="B1319" t="s">
        <v>28</v>
      </c>
      <c r="C1319" s="2">
        <v>39921</v>
      </c>
      <c r="D1319" s="5" t="s">
        <v>17</v>
      </c>
      <c r="E1319" s="2">
        <f>IF(Tabla2[[#This Row],[Frecuencia]]="Annual", Tabla2[[#This Row],[Cosecha/Tarea]]/12,Tabla2[[#This Row],[Cosecha/Tarea]])</f>
        <v>39921</v>
      </c>
      <c r="F1319" s="2">
        <v>33133</v>
      </c>
      <c r="G1319" t="s">
        <v>29</v>
      </c>
      <c r="H1319">
        <f>F1319/Tabla2[[#This Row],[Cosecha Mensual]]</f>
        <v>0.82996417925402666</v>
      </c>
      <c r="I1319">
        <f>H1319*_xlfn.XLOOKUP(Tabla2[[#This Row],[Unidad de producción]],Tabla3[Medida],Tabla3[Equivalencia en Kg],"ELVIS",0)</f>
        <v>466.72205656170939</v>
      </c>
      <c r="J1319">
        <v>5630.8</v>
      </c>
      <c r="K1319" t="s">
        <v>29</v>
      </c>
      <c r="L1319">
        <f>J1319/_xlfn.XLOOKUP(Tabla2[[#This Row],[Unidad de precio]],Tabla3[Medida],Tabla3[Equivalencia en Kg],"ELVIS",0)</f>
        <v>10.013159298644947</v>
      </c>
      <c r="M1319">
        <v>5157.1623197653698</v>
      </c>
      <c r="N1319" s="2">
        <f>(Tabla2[[#This Row],[Productividad (kg/TAS)]]*Tabla2[[#This Row],[Precio por kg]]-Tabla2[[#This Row],[Costos (En RD$/Tarea)]])</f>
        <v>-483.8000192217969</v>
      </c>
      <c r="O1319" s="6">
        <f>IF(Tabla2[[#This Row],[Costos (En RD$/Tarea)]]=0,0,Tabla2[[#This Row],[Beneficio Neto  (En RD$/Tarea)]]/Tabla2[[#This Row],[Costos (En RD$/Tarea)]])</f>
        <v>-9.3811284040368897E-2</v>
      </c>
      <c r="P1319" s="4">
        <f>Tabla2[[#This Row],[Rentabilidad (%)]]/12</f>
        <v>-7.8176070033640754E-3</v>
      </c>
    </row>
    <row r="1320" spans="1:16" x14ac:dyDescent="0.35">
      <c r="A1320" s="1">
        <v>39845</v>
      </c>
      <c r="B1320" t="s">
        <v>30</v>
      </c>
      <c r="C1320" s="2">
        <v>283758</v>
      </c>
      <c r="D1320" s="2" t="s">
        <v>31</v>
      </c>
      <c r="E1320" s="2">
        <f>IF(Tabla2[[#This Row],[Frecuencia]]="Annual", Tabla2[[#This Row],[Cosecha/Tarea]]/12,Tabla2[[#This Row],[Cosecha/Tarea]])</f>
        <v>23646.5</v>
      </c>
      <c r="F1320" s="2">
        <v>1547205</v>
      </c>
      <c r="G1320" t="s">
        <v>32</v>
      </c>
      <c r="H1320">
        <f>F1320/Tabla2[[#This Row],[Cosecha Mensual]]</f>
        <v>65.430613410018395</v>
      </c>
      <c r="I1320">
        <f>H1320*_xlfn.XLOOKUP(Tabla2[[#This Row],[Unidad de producción]],Tabla3[Medida],Tabla3[Equivalencia en Kg],"ELVIS",0)</f>
        <v>1780.3669908866007</v>
      </c>
      <c r="J1320">
        <v>106.66285714285701</v>
      </c>
      <c r="K1320" t="s">
        <v>32</v>
      </c>
      <c r="L1320">
        <f>J1320/_xlfn.XLOOKUP(Tabla2[[#This Row],[Unidad de precio]],Tabla3[Medida],Tabla3[Equivalencia en Kg],"ELVIS",0)</f>
        <v>3.9199873995904815</v>
      </c>
      <c r="M1320" s="2">
        <v>9253.9447792029805</v>
      </c>
      <c r="N1320" s="2">
        <f>(Tabla2[[#This Row],[Productividad (kg/TAS)]]*Tabla2[[#This Row],[Precio por kg]]-Tabla2[[#This Row],[Costos (En RD$/Tarea)]])</f>
        <v>-2274.9286082806848</v>
      </c>
      <c r="O1320" s="6">
        <f>IF(Tabla2[[#This Row],[Costos (En RD$/Tarea)]]=0,0,Tabla2[[#This Row],[Beneficio Neto  (En RD$/Tarea)]]/Tabla2[[#This Row],[Costos (En RD$/Tarea)]])</f>
        <v>-0.24583338917185746</v>
      </c>
      <c r="P1320" s="4">
        <f>Tabla2[[#This Row],[Rentabilidad (%)]]/12</f>
        <v>-2.0486115764321456E-2</v>
      </c>
    </row>
    <row r="1321" spans="1:16" x14ac:dyDescent="0.35">
      <c r="A1321" s="1">
        <v>39845</v>
      </c>
      <c r="B1321" t="s">
        <v>33</v>
      </c>
      <c r="C1321" s="2">
        <v>663572</v>
      </c>
      <c r="D1321" s="2" t="s">
        <v>31</v>
      </c>
      <c r="E1321" s="2">
        <f>IF(Tabla2[[#This Row],[Frecuencia]]="Annual", Tabla2[[#This Row],[Cosecha/Tarea]]/12,Tabla2[[#This Row],[Cosecha/Tarea]])</f>
        <v>55297.666666666664</v>
      </c>
      <c r="F1321" s="2">
        <v>104111</v>
      </c>
      <c r="G1321" t="s">
        <v>34</v>
      </c>
      <c r="H1321">
        <f>F1321/Tabla2[[#This Row],[Cosecha Mensual]]</f>
        <v>1.8827376682560446</v>
      </c>
      <c r="I1321">
        <f>H1321*_xlfn.XLOOKUP(Tabla2[[#This Row],[Unidad de producción]],Tabla3[Medida],Tabla3[Equivalencia en Kg],"ELVIS",0)</f>
        <v>768.43937929870458</v>
      </c>
      <c r="J1321">
        <v>3784.5957142857101</v>
      </c>
      <c r="K1321" t="s">
        <v>34</v>
      </c>
      <c r="L1321">
        <f>J1321/_xlfn.XLOOKUP(Tabla2[[#This Row],[Unidad de precio]],Tabla3[Medida],Tabla3[Equivalencia en Kg],"ELVIS",0)</f>
        <v>9.272560858227882</v>
      </c>
      <c r="M1321" s="2">
        <v>8960.6721575976007</v>
      </c>
      <c r="N1321" s="2">
        <f>(Tabla2[[#This Row],[Productividad (kg/TAS)]]*Tabla2[[#This Row],[Precio por kg]]-Tabla2[[#This Row],[Costos (En RD$/Tarea)]])</f>
        <v>-1835.2712471915038</v>
      </c>
      <c r="O1321" s="6">
        <f>IF(Tabla2[[#This Row],[Costos (En RD$/Tarea)]]=0,0,Tabla2[[#This Row],[Beneficio Neto  (En RD$/Tarea)]]/Tabla2[[#This Row],[Costos (En RD$/Tarea)]])</f>
        <v>-0.20481401561326051</v>
      </c>
      <c r="P1321" s="4">
        <f>Tabla2[[#This Row],[Rentabilidad (%)]]/12</f>
        <v>-1.7067834634438377E-2</v>
      </c>
    </row>
    <row r="1322" spans="1:16" x14ac:dyDescent="0.35">
      <c r="A1322" s="1">
        <v>39873</v>
      </c>
      <c r="B1322" t="s">
        <v>16</v>
      </c>
      <c r="C1322" s="2">
        <v>37207</v>
      </c>
      <c r="D1322" s="5" t="s">
        <v>17</v>
      </c>
      <c r="E1322" s="2">
        <f>IF(Tabla2[[#This Row],[Frecuencia]]="Annual", Tabla2[[#This Row],[Cosecha/Tarea]]/12,Tabla2[[#This Row],[Cosecha/Tarea]])</f>
        <v>37207</v>
      </c>
      <c r="F1322" s="2">
        <v>150298</v>
      </c>
      <c r="G1322" t="s">
        <v>18</v>
      </c>
      <c r="H1322">
        <f>F1322/Tabla2[[#This Row],[Cosecha Mensual]]</f>
        <v>4.0395086946004781</v>
      </c>
      <c r="I1322">
        <f>H1322*_xlfn.XLOOKUP(Tabla2[[#This Row],[Unidad de producción]],Tabla3[Medida],Tabla3[Equivalencia en Kg],"ELVIS",0)</f>
        <v>183.23211438707767</v>
      </c>
      <c r="J1322">
        <v>2134.7424799425298</v>
      </c>
      <c r="K1322" t="s">
        <v>19</v>
      </c>
      <c r="L1322">
        <f>J1322/_xlfn.XLOOKUP(Tabla2[[#This Row],[Unidad de precio]],Tabla3[Medida],Tabla3[Equivalencia en Kg],"ELVIS",0)</f>
        <v>19.406749817659364</v>
      </c>
      <c r="M1322">
        <v>6526.78</v>
      </c>
      <c r="N1322" s="2">
        <f>(Tabla2[[#This Row],[Productividad (kg/TAS)]]*Tabla2[[#This Row],[Precio por kg]]-Tabla2[[#This Row],[Costos (En RD$/Tarea)]])</f>
        <v>-2970.8401975292404</v>
      </c>
      <c r="O1322" s="6">
        <f>IF(Tabla2[[#This Row],[Costos (En RD$/Tarea)]]=0,0,Tabla2[[#This Row],[Beneficio Neto  (En RD$/Tarea)]]/Tabla2[[#This Row],[Costos (En RD$/Tarea)]])</f>
        <v>-0.45517700880514445</v>
      </c>
      <c r="P1322" s="4">
        <f>Tabla2[[#This Row],[Rentabilidad (%)]]/12</f>
        <v>-3.7931417400428706E-2</v>
      </c>
    </row>
    <row r="1323" spans="1:16" x14ac:dyDescent="0.35">
      <c r="A1323" s="1">
        <v>39873</v>
      </c>
      <c r="B1323" t="s">
        <v>20</v>
      </c>
      <c r="C1323" s="2">
        <v>12293</v>
      </c>
      <c r="D1323" s="5" t="s">
        <v>17</v>
      </c>
      <c r="E1323" s="2">
        <f>IF(Tabla2[[#This Row],[Frecuencia]]="Annual", Tabla2[[#This Row],[Cosecha/Tarea]]/12,Tabla2[[#This Row],[Cosecha/Tarea]])</f>
        <v>12293</v>
      </c>
      <c r="F1323" s="2">
        <v>31484</v>
      </c>
      <c r="G1323" t="s">
        <v>18</v>
      </c>
      <c r="H1323">
        <f>F1323/Tabla2[[#This Row],[Cosecha Mensual]]</f>
        <v>2.5611323517448956</v>
      </c>
      <c r="I1323">
        <f>H1323*_xlfn.XLOOKUP(Tabla2[[#This Row],[Unidad de producción]],Tabla3[Medida],Tabla3[Equivalencia en Kg],"ELVIS",0)</f>
        <v>116.17296347514846</v>
      </c>
      <c r="J1323">
        <v>650.16125</v>
      </c>
      <c r="K1323" t="s">
        <v>18</v>
      </c>
      <c r="L1323">
        <f>J1323/_xlfn.XLOOKUP(Tabla2[[#This Row],[Unidad de precio]],Tabla3[Medida],Tabla3[Equivalencia en Kg],"ELVIS",0)</f>
        <v>14.333360890652557</v>
      </c>
      <c r="M1323">
        <v>1590.1032460281599</v>
      </c>
      <c r="N1323" s="2">
        <f>(Tabla2[[#This Row],[Productividad (kg/TAS)]]*Tabla2[[#This Row],[Precio por kg]]-Tabla2[[#This Row],[Costos (En RD$/Tarea)]])</f>
        <v>75.045765197741048</v>
      </c>
      <c r="O1323" s="6">
        <f>IF(Tabla2[[#This Row],[Costos (En RD$/Tarea)]]=0,0,Tabla2[[#This Row],[Beneficio Neto  (En RD$/Tarea)]]/Tabla2[[#This Row],[Costos (En RD$/Tarea)]])</f>
        <v>4.7195529840715782E-2</v>
      </c>
      <c r="P1323" s="4">
        <f>Tabla2[[#This Row],[Rentabilidad (%)]]/12</f>
        <v>3.9329608200596488E-3</v>
      </c>
    </row>
    <row r="1324" spans="1:16" x14ac:dyDescent="0.35">
      <c r="A1324" s="1">
        <v>39873</v>
      </c>
      <c r="B1324" t="s">
        <v>21</v>
      </c>
      <c r="C1324" s="2">
        <v>9644</v>
      </c>
      <c r="D1324" s="5" t="s">
        <v>17</v>
      </c>
      <c r="E1324" s="2">
        <f>IF(Tabla2[[#This Row],[Frecuencia]]="Annual", Tabla2[[#This Row],[Cosecha/Tarea]]/12,Tabla2[[#This Row],[Cosecha/Tarea]])</f>
        <v>9644</v>
      </c>
      <c r="F1324" s="2">
        <v>104289</v>
      </c>
      <c r="G1324" t="s">
        <v>18</v>
      </c>
      <c r="H1324">
        <f>F1324/Tabla2[[#This Row],[Cosecha Mensual]]</f>
        <v>10.813873911240149</v>
      </c>
      <c r="I1324">
        <f>H1324*_xlfn.XLOOKUP(Tabla2[[#This Row],[Unidad de producción]],Tabla3[Medida],Tabla3[Equivalencia en Kg],"ELVIS",0)</f>
        <v>490.51732061385314</v>
      </c>
      <c r="J1324">
        <v>216.392</v>
      </c>
      <c r="K1324" t="s">
        <v>18</v>
      </c>
      <c r="L1324">
        <f>J1324/_xlfn.XLOOKUP(Tabla2[[#This Row],[Unidad de precio]],Tabla3[Medida],Tabla3[Equivalencia en Kg],"ELVIS",0)</f>
        <v>4.7705467372134036</v>
      </c>
      <c r="M1324">
        <v>4038.1847174999998</v>
      </c>
      <c r="N1324" s="2">
        <f>(Tabla2[[#This Row],[Productividad (kg/TAS)]]*Tabla2[[#This Row],[Precio por kg]]-Tabla2[[#This Row],[Costos (En RD$/Tarea)]])</f>
        <v>-1698.1489140989215</v>
      </c>
      <c r="O1324" s="6">
        <f>IF(Tabla2[[#This Row],[Costos (En RD$/Tarea)]]=0,0,Tabla2[[#This Row],[Beneficio Neto  (En RD$/Tarea)]]/Tabla2[[#This Row],[Costos (En RD$/Tarea)]])</f>
        <v>-0.42052284204330026</v>
      </c>
      <c r="P1324" s="4">
        <f>Tabla2[[#This Row],[Rentabilidad (%)]]/12</f>
        <v>-3.5043570170275019E-2</v>
      </c>
    </row>
    <row r="1325" spans="1:16" x14ac:dyDescent="0.35">
      <c r="A1325" s="1">
        <v>39873</v>
      </c>
      <c r="B1325" t="s">
        <v>22</v>
      </c>
      <c r="C1325" s="2">
        <v>7976</v>
      </c>
      <c r="D1325" s="5" t="s">
        <v>17</v>
      </c>
      <c r="E1325" s="2">
        <f>IF(Tabla2[[#This Row],[Frecuencia]]="Annual", Tabla2[[#This Row],[Cosecha/Tarea]]/12,Tabla2[[#This Row],[Cosecha/Tarea]])</f>
        <v>7976</v>
      </c>
      <c r="F1325" s="2">
        <v>71673</v>
      </c>
      <c r="G1325" t="s">
        <v>18</v>
      </c>
      <c r="H1325">
        <f>F1325/Tabla2[[#This Row],[Cosecha Mensual]]</f>
        <v>8.9860832497492478</v>
      </c>
      <c r="I1325">
        <f>H1325*_xlfn.XLOOKUP(Tabla2[[#This Row],[Unidad de producción]],Tabla3[Medida],Tabla3[Equivalencia en Kg],"ELVIS",0)</f>
        <v>407.60873620862588</v>
      </c>
      <c r="J1325">
        <v>1005.38</v>
      </c>
      <c r="K1325" t="s">
        <v>18</v>
      </c>
      <c r="L1325">
        <f>J1325/_xlfn.XLOOKUP(Tabla2[[#This Row],[Unidad de precio]],Tabla3[Medida],Tabla3[Equivalencia en Kg],"ELVIS",0)</f>
        <v>22.164462081128747</v>
      </c>
      <c r="M1325">
        <v>7095.7961171999996</v>
      </c>
      <c r="N1325" s="2">
        <f>(Tabla2[[#This Row],[Productividad (kg/TAS)]]*Tabla2[[#This Row],[Precio por kg]]-Tabla2[[#This Row],[Costos (En RD$/Tarea)]])</f>
        <v>1938.632260432898</v>
      </c>
      <c r="O1325" s="6">
        <f>IF(Tabla2[[#This Row],[Costos (En RD$/Tarea)]]=0,0,Tabla2[[#This Row],[Beneficio Neto  (En RD$/Tarea)]]/Tabla2[[#This Row],[Costos (En RD$/Tarea)]])</f>
        <v>0.27320856298755691</v>
      </c>
      <c r="P1325" s="4">
        <f>Tabla2[[#This Row],[Rentabilidad (%)]]/12</f>
        <v>2.2767380248963076E-2</v>
      </c>
    </row>
    <row r="1326" spans="1:16" x14ac:dyDescent="0.35">
      <c r="A1326" s="1">
        <v>39873</v>
      </c>
      <c r="B1326" t="s">
        <v>23</v>
      </c>
      <c r="C1326" s="2">
        <v>2466</v>
      </c>
      <c r="D1326" s="5" t="s">
        <v>17</v>
      </c>
      <c r="E1326" s="2">
        <f>IF(Tabla2[[#This Row],[Frecuencia]]="Annual", Tabla2[[#This Row],[Cosecha/Tarea]]/12,Tabla2[[#This Row],[Cosecha/Tarea]])</f>
        <v>2466</v>
      </c>
      <c r="F1326" s="2">
        <v>74775</v>
      </c>
      <c r="G1326" t="s">
        <v>18</v>
      </c>
      <c r="H1326">
        <f>F1326/Tabla2[[#This Row],[Cosecha Mensual]]</f>
        <v>30.322384428223845</v>
      </c>
      <c r="I1326">
        <f>H1326*_xlfn.XLOOKUP(Tabla2[[#This Row],[Unidad de producción]],Tabla3[Medida],Tabla3[Equivalencia en Kg],"ELVIS",0)</f>
        <v>1375.4233576642337</v>
      </c>
      <c r="J1326">
        <v>584.58333333333303</v>
      </c>
      <c r="K1326" t="s">
        <v>18</v>
      </c>
      <c r="L1326">
        <f>J1326/_xlfn.XLOOKUP(Tabla2[[#This Row],[Unidad de precio]],Tabla3[Medida],Tabla3[Equivalencia en Kg],"ELVIS",0)</f>
        <v>12.887639623750728</v>
      </c>
      <c r="M1326">
        <v>17661.808667508602</v>
      </c>
      <c r="N1326" s="2">
        <f>(Tabla2[[#This Row],[Productividad (kg/TAS)]]*Tabla2[[#This Row],[Precio por kg]]-Tabla2[[#This Row],[Costos (En RD$/Tarea)]])</f>
        <v>64.151896157243755</v>
      </c>
      <c r="O1326" s="6">
        <f>IF(Tabla2[[#This Row],[Costos (En RD$/Tarea)]]=0,0,Tabla2[[#This Row],[Beneficio Neto  (En RD$/Tarea)]]/Tabla2[[#This Row],[Costos (En RD$/Tarea)]])</f>
        <v>3.632238201926638E-3</v>
      </c>
      <c r="P1326" s="4">
        <f>Tabla2[[#This Row],[Rentabilidad (%)]]/12</f>
        <v>3.0268651682721984E-4</v>
      </c>
    </row>
    <row r="1327" spans="1:16" x14ac:dyDescent="0.35">
      <c r="A1327" s="1">
        <v>39873</v>
      </c>
      <c r="B1327" t="s">
        <v>24</v>
      </c>
      <c r="C1327" s="2">
        <v>6361</v>
      </c>
      <c r="D1327" s="5" t="s">
        <v>17</v>
      </c>
      <c r="E1327" s="2">
        <f>IF(Tabla2[[#This Row],[Frecuencia]]="Annual", Tabla2[[#This Row],[Cosecha/Tarea]]/12,Tabla2[[#This Row],[Cosecha/Tarea]])</f>
        <v>6361</v>
      </c>
      <c r="F1327" s="2">
        <v>55295</v>
      </c>
      <c r="G1327" t="s">
        <v>18</v>
      </c>
      <c r="H1327">
        <f>F1327/Tabla2[[#This Row],[Cosecha Mensual]]</f>
        <v>8.6928155950322274</v>
      </c>
      <c r="I1327">
        <f>H1327*_xlfn.XLOOKUP(Tabla2[[#This Row],[Unidad de producción]],Tabla3[Medida],Tabla3[Equivalencia en Kg],"ELVIS",0)</f>
        <v>394.30611539066183</v>
      </c>
      <c r="J1327">
        <v>1249.4468571428599</v>
      </c>
      <c r="K1327" t="s">
        <v>18</v>
      </c>
      <c r="L1327">
        <f>J1327/_xlfn.XLOOKUP(Tabla2[[#This Row],[Unidad de precio]],Tabla3[Medida],Tabla3[Equivalencia en Kg],"ELVIS",0)</f>
        <v>27.545124716553349</v>
      </c>
      <c r="M1327">
        <v>5745.6881190335998</v>
      </c>
      <c r="N1327" s="2">
        <f>(Tabla2[[#This Row],[Productividad (kg/TAS)]]*Tabla2[[#This Row],[Precio por kg]]-Tabla2[[#This Row],[Costos (En RD$/Tarea)]])</f>
        <v>5115.5230059018568</v>
      </c>
      <c r="O1327" s="6">
        <f>IF(Tabla2[[#This Row],[Costos (En RD$/Tarea)]]=0,0,Tabla2[[#This Row],[Beneficio Neto  (En RD$/Tarea)]]/Tabla2[[#This Row],[Costos (En RD$/Tarea)]])</f>
        <v>0.89032382195542248</v>
      </c>
      <c r="P1327" s="4">
        <f>Tabla2[[#This Row],[Rentabilidad (%)]]/12</f>
        <v>7.419365182961854E-2</v>
      </c>
    </row>
    <row r="1328" spans="1:16" x14ac:dyDescent="0.35">
      <c r="A1328" s="1">
        <v>39873</v>
      </c>
      <c r="B1328" t="s">
        <v>25</v>
      </c>
      <c r="C1328" s="2">
        <v>27280</v>
      </c>
      <c r="D1328" s="5" t="s">
        <v>17</v>
      </c>
      <c r="E1328" s="2">
        <f>IF(Tabla2[[#This Row],[Frecuencia]]="Annual", Tabla2[[#This Row],[Cosecha/Tarea]]/12,Tabla2[[#This Row],[Cosecha/Tarea]])</f>
        <v>27280</v>
      </c>
      <c r="F1328" s="2">
        <v>313733</v>
      </c>
      <c r="G1328" t="s">
        <v>18</v>
      </c>
      <c r="H1328">
        <f>F1328/Tabla2[[#This Row],[Cosecha Mensual]]</f>
        <v>11.500476539589442</v>
      </c>
      <c r="I1328">
        <f>H1328*_xlfn.XLOOKUP(Tabla2[[#This Row],[Unidad de producción]],Tabla3[Medida],Tabla3[Equivalencia en Kg],"ELVIS",0)</f>
        <v>521.66161583577707</v>
      </c>
      <c r="J1328">
        <v>368.71222857142902</v>
      </c>
      <c r="K1328" t="s">
        <v>18</v>
      </c>
      <c r="L1328">
        <f>J1328/_xlfn.XLOOKUP(Tabla2[[#This Row],[Unidad de precio]],Tabla3[Medida],Tabla3[Equivalencia en Kg],"ELVIS",0)</f>
        <v>8.1285764676240966</v>
      </c>
      <c r="M1328">
        <v>3380.6681837157598</v>
      </c>
      <c r="N1328" s="2">
        <f>(Tabla2[[#This Row],[Productividad (kg/TAS)]]*Tabla2[[#This Row],[Precio por kg]]-Tabla2[[#This Row],[Costos (En RD$/Tarea)]])</f>
        <v>859.69815082969899</v>
      </c>
      <c r="O1328" s="6">
        <f>IF(Tabla2[[#This Row],[Costos (En RD$/Tarea)]]=0,0,Tabla2[[#This Row],[Beneficio Neto  (En RD$/Tarea)]]/Tabla2[[#This Row],[Costos (En RD$/Tarea)]])</f>
        <v>0.25429829374286228</v>
      </c>
      <c r="P1328" s="4">
        <f>Tabla2[[#This Row],[Rentabilidad (%)]]/12</f>
        <v>2.1191524478571856E-2</v>
      </c>
    </row>
    <row r="1329" spans="1:16" x14ac:dyDescent="0.35">
      <c r="A1329" s="1">
        <v>39873</v>
      </c>
      <c r="B1329" t="s">
        <v>26</v>
      </c>
      <c r="C1329" s="2">
        <v>11676</v>
      </c>
      <c r="D1329" s="5" t="s">
        <v>17</v>
      </c>
      <c r="E1329" s="2">
        <f>IF(Tabla2[[#This Row],[Frecuencia]]="Annual", Tabla2[[#This Row],[Cosecha/Tarea]]/12,Tabla2[[#This Row],[Cosecha/Tarea]])</f>
        <v>11676</v>
      </c>
      <c r="F1329" s="2">
        <v>84806</v>
      </c>
      <c r="G1329" t="s">
        <v>18</v>
      </c>
      <c r="H1329">
        <f>F1329/Tabla2[[#This Row],[Cosecha Mensual]]</f>
        <v>7.2632750942103463</v>
      </c>
      <c r="I1329">
        <f>H1329*_xlfn.XLOOKUP(Tabla2[[#This Row],[Unidad de producción]],Tabla3[Medida],Tabla3[Equivalencia en Kg],"ELVIS",0)</f>
        <v>329.46215827338131</v>
      </c>
      <c r="J1329">
        <v>678.34666666666703</v>
      </c>
      <c r="K1329" t="s">
        <v>18</v>
      </c>
      <c r="L1329">
        <f>J1329/_xlfn.XLOOKUP(Tabla2[[#This Row],[Unidad de precio]],Tabla3[Medida],Tabla3[Equivalencia en Kg],"ELVIS",0)</f>
        <v>14.954732510288075</v>
      </c>
      <c r="M1329">
        <v>1376.3165203125</v>
      </c>
      <c r="N1329" s="2">
        <f>(Tabla2[[#This Row],[Productividad (kg/TAS)]]*Tabla2[[#This Row],[Precio por kg]]-Tabla2[[#This Row],[Costos (En RD$/Tarea)]])</f>
        <v>3550.7019289281106</v>
      </c>
      <c r="O1329" s="6">
        <f>IF(Tabla2[[#This Row],[Costos (En RD$/Tarea)]]=0,0,Tabla2[[#This Row],[Beneficio Neto  (En RD$/Tarea)]]/Tabla2[[#This Row],[Costos (En RD$/Tarea)]])</f>
        <v>2.5798585401866023</v>
      </c>
      <c r="P1329" s="4">
        <f>Tabla2[[#This Row],[Rentabilidad (%)]]/12</f>
        <v>0.21498821168221685</v>
      </c>
    </row>
    <row r="1330" spans="1:16" x14ac:dyDescent="0.35">
      <c r="A1330" s="1">
        <v>39873</v>
      </c>
      <c r="B1330" t="s">
        <v>27</v>
      </c>
      <c r="C1330" s="2">
        <v>4794</v>
      </c>
      <c r="D1330" s="5" t="s">
        <v>17</v>
      </c>
      <c r="E1330" s="2">
        <f>IF(Tabla2[[#This Row],[Frecuencia]]="Annual", Tabla2[[#This Row],[Cosecha/Tarea]]/12,Tabla2[[#This Row],[Cosecha/Tarea]])</f>
        <v>4794</v>
      </c>
      <c r="F1330" s="2">
        <v>33588</v>
      </c>
      <c r="G1330" t="s">
        <v>18</v>
      </c>
      <c r="H1330">
        <f>F1330/Tabla2[[#This Row],[Cosecha Mensual]]</f>
        <v>7.0062578222778473</v>
      </c>
      <c r="I1330">
        <f>H1330*_xlfn.XLOOKUP(Tabla2[[#This Row],[Unidad de producción]],Tabla3[Medida],Tabla3[Equivalencia en Kg],"ELVIS",0)</f>
        <v>317.80385481852318</v>
      </c>
      <c r="J1330">
        <v>338.60399999999998</v>
      </c>
      <c r="K1330" t="s">
        <v>18</v>
      </c>
      <c r="L1330">
        <f>J1330/_xlfn.XLOOKUP(Tabla2[[#This Row],[Unidad de precio]],Tabla3[Medida],Tabla3[Equivalencia en Kg],"ELVIS",0)</f>
        <v>7.4648148148148143</v>
      </c>
      <c r="M1330">
        <v>5690.0383784955002</v>
      </c>
      <c r="N1330" s="2">
        <f>(Tabla2[[#This Row],[Productividad (kg/TAS)]]*Tabla2[[#This Row],[Precio por kg]]-Tabla2[[#This Row],[Costos (En RD$/Tarea)]])</f>
        <v>-3317.6914548409318</v>
      </c>
      <c r="O1330" s="6">
        <f>IF(Tabla2[[#This Row],[Costos (En RD$/Tarea)]]=0,0,Tabla2[[#This Row],[Beneficio Neto  (En RD$/Tarea)]]/Tabla2[[#This Row],[Costos (En RD$/Tarea)]])</f>
        <v>-0.58307013664082885</v>
      </c>
      <c r="P1330" s="4">
        <f>Tabla2[[#This Row],[Rentabilidad (%)]]/12</f>
        <v>-4.8589178053402404E-2</v>
      </c>
    </row>
    <row r="1331" spans="1:16" x14ac:dyDescent="0.35">
      <c r="A1331" s="1">
        <v>39873</v>
      </c>
      <c r="B1331" t="s">
        <v>28</v>
      </c>
      <c r="C1331" s="2">
        <v>37911</v>
      </c>
      <c r="D1331" s="5" t="s">
        <v>17</v>
      </c>
      <c r="E1331" s="2">
        <f>IF(Tabla2[[#This Row],[Frecuencia]]="Annual", Tabla2[[#This Row],[Cosecha/Tarea]]/12,Tabla2[[#This Row],[Cosecha/Tarea]])</f>
        <v>37911</v>
      </c>
      <c r="F1331" s="2">
        <v>24729</v>
      </c>
      <c r="G1331" t="s">
        <v>29</v>
      </c>
      <c r="H1331">
        <f>F1331/Tabla2[[#This Row],[Cosecha Mensual]]</f>
        <v>0.65229089182559152</v>
      </c>
      <c r="I1331">
        <f>H1331*_xlfn.XLOOKUP(Tabla2[[#This Row],[Unidad de producción]],Tabla3[Medida],Tabla3[Equivalencia en Kg],"ELVIS",0)</f>
        <v>366.80926010920314</v>
      </c>
      <c r="J1331">
        <v>6237.3333333333303</v>
      </c>
      <c r="K1331" t="s">
        <v>29</v>
      </c>
      <c r="L1331">
        <f>J1331/_xlfn.XLOOKUP(Tabla2[[#This Row],[Unidad de precio]],Tabla3[Medida],Tabla3[Equivalencia en Kg],"ELVIS",0)</f>
        <v>11.091747578570491</v>
      </c>
      <c r="M1331">
        <v>5157.1623197653698</v>
      </c>
      <c r="N1331" s="2">
        <f>(Tabla2[[#This Row],[Productividad (kg/TAS)]]*Tabla2[[#This Row],[Precio por kg]]-Tabla2[[#This Row],[Costos (En RD$/Tarea)]])</f>
        <v>-1088.6065971518824</v>
      </c>
      <c r="O1331" s="6">
        <f>IF(Tabla2[[#This Row],[Costos (En RD$/Tarea)]]=0,0,Tabla2[[#This Row],[Beneficio Neto  (En RD$/Tarea)]]/Tabla2[[#This Row],[Costos (En RD$/Tarea)]])</f>
        <v>-0.21108635518018939</v>
      </c>
      <c r="P1331" s="4">
        <f>Tabla2[[#This Row],[Rentabilidad (%)]]/12</f>
        <v>-1.7590529598349117E-2</v>
      </c>
    </row>
    <row r="1332" spans="1:16" x14ac:dyDescent="0.35">
      <c r="A1332" s="1">
        <v>39873</v>
      </c>
      <c r="B1332" t="s">
        <v>30</v>
      </c>
      <c r="C1332" s="2">
        <v>288167</v>
      </c>
      <c r="D1332" s="2" t="s">
        <v>31</v>
      </c>
      <c r="E1332" s="2">
        <f>IF(Tabla2[[#This Row],[Frecuencia]]="Annual", Tabla2[[#This Row],[Cosecha/Tarea]]/12,Tabla2[[#This Row],[Cosecha/Tarea]])</f>
        <v>24013.916666666668</v>
      </c>
      <c r="F1332" s="2">
        <v>1963104</v>
      </c>
      <c r="G1332" t="s">
        <v>32</v>
      </c>
      <c r="H1332">
        <f>F1332/Tabla2[[#This Row],[Cosecha Mensual]]</f>
        <v>81.748597167614605</v>
      </c>
      <c r="I1332">
        <f>H1332*_xlfn.XLOOKUP(Tabla2[[#This Row],[Unidad de producción]],Tabla3[Medida],Tabla3[Equivalencia en Kg],"ELVIS",0)</f>
        <v>2224.3793289307937</v>
      </c>
      <c r="J1332">
        <v>105.59375</v>
      </c>
      <c r="K1332" t="s">
        <v>32</v>
      </c>
      <c r="L1332">
        <f>J1332/_xlfn.XLOOKUP(Tabla2[[#This Row],[Unidad de precio]],Tabla3[Medida],Tabla3[Equivalencia en Kg],"ELVIS",0)</f>
        <v>3.8806964351341415</v>
      </c>
      <c r="M1332" s="2">
        <v>9253.9447792029805</v>
      </c>
      <c r="N1332" s="2">
        <f>(Tabla2[[#This Row],[Productividad (kg/TAS)]]*Tabla2[[#This Row],[Precio por kg]]-Tabla2[[#This Row],[Costos (En RD$/Tarea)]])</f>
        <v>-621.80384703517484</v>
      </c>
      <c r="O1332" s="6">
        <f>IF(Tabla2[[#This Row],[Costos (En RD$/Tarea)]]=0,0,Tabla2[[#This Row],[Beneficio Neto  (En RD$/Tarea)]]/Tabla2[[#This Row],[Costos (En RD$/Tarea)]])</f>
        <v>-6.719338205179233E-2</v>
      </c>
      <c r="P1332" s="4">
        <f>Tabla2[[#This Row],[Rentabilidad (%)]]/12</f>
        <v>-5.5994485043160272E-3</v>
      </c>
    </row>
    <row r="1333" spans="1:16" x14ac:dyDescent="0.35">
      <c r="A1333" s="1">
        <v>39873</v>
      </c>
      <c r="B1333" t="s">
        <v>33</v>
      </c>
      <c r="C1333" s="2">
        <v>667916</v>
      </c>
      <c r="D1333" s="2" t="s">
        <v>31</v>
      </c>
      <c r="E1333" s="2">
        <f>IF(Tabla2[[#This Row],[Frecuencia]]="Annual", Tabla2[[#This Row],[Cosecha/Tarea]]/12,Tabla2[[#This Row],[Cosecha/Tarea]])</f>
        <v>55659.666666666664</v>
      </c>
      <c r="F1333" s="2">
        <v>106154</v>
      </c>
      <c r="G1333" t="s">
        <v>34</v>
      </c>
      <c r="H1333">
        <f>F1333/Tabla2[[#This Row],[Cosecha Mensual]]</f>
        <v>1.9071979111145714</v>
      </c>
      <c r="I1333">
        <f>H1333*_xlfn.XLOOKUP(Tabla2[[#This Row],[Unidad de producción]],Tabla3[Medida],Tabla3[Equivalencia en Kg],"ELVIS",0)</f>
        <v>778.42282742141231</v>
      </c>
      <c r="J1333">
        <v>3216.7287500000002</v>
      </c>
      <c r="K1333" t="s">
        <v>34</v>
      </c>
      <c r="L1333">
        <f>J1333/_xlfn.XLOOKUP(Tabla2[[#This Row],[Unidad de precio]],Tabla3[Medida],Tabla3[Equivalencia en Kg],"ELVIS",0)</f>
        <v>7.8812415778512808</v>
      </c>
      <c r="M1333" s="2">
        <v>8960.6721575976007</v>
      </c>
      <c r="N1333" s="2">
        <f>(Tabla2[[#This Row],[Productividad (kg/TAS)]]*Tabla2[[#This Row],[Precio por kg]]-Tabla2[[#This Row],[Costos (En RD$/Tarea)]])</f>
        <v>-2825.7338049754144</v>
      </c>
      <c r="O1333" s="6">
        <f>IF(Tabla2[[#This Row],[Costos (En RD$/Tarea)]]=0,0,Tabla2[[#This Row],[Beneficio Neto  (En RD$/Tarea)]]/Tabla2[[#This Row],[Costos (En RD$/Tarea)]])</f>
        <v>-0.31534841976999717</v>
      </c>
      <c r="P1333" s="4">
        <f>Tabla2[[#This Row],[Rentabilidad (%)]]/12</f>
        <v>-2.6279034980833098E-2</v>
      </c>
    </row>
    <row r="1334" spans="1:16" x14ac:dyDescent="0.35">
      <c r="A1334" s="1">
        <v>39904</v>
      </c>
      <c r="B1334" t="s">
        <v>16</v>
      </c>
      <c r="C1334" s="2">
        <v>438420</v>
      </c>
      <c r="D1334" s="5" t="s">
        <v>17</v>
      </c>
      <c r="E1334" s="2">
        <f>IF(Tabla2[[#This Row],[Frecuencia]]="Annual", Tabla2[[#This Row],[Cosecha/Tarea]]/12,Tabla2[[#This Row],[Cosecha/Tarea]])</f>
        <v>438420</v>
      </c>
      <c r="F1334" s="2">
        <v>2027760</v>
      </c>
      <c r="G1334" t="s">
        <v>18</v>
      </c>
      <c r="H1334">
        <f>F1334/Tabla2[[#This Row],[Cosecha Mensual]]</f>
        <v>4.6251539619542905</v>
      </c>
      <c r="I1334">
        <f>H1334*_xlfn.XLOOKUP(Tabla2[[#This Row],[Unidad de producción]],Tabla3[Medida],Tabla3[Equivalencia en Kg],"ELVIS",0)</f>
        <v>209.79698371424661</v>
      </c>
      <c r="J1334">
        <v>1976.7686162595901</v>
      </c>
      <c r="K1334" t="s">
        <v>19</v>
      </c>
      <c r="L1334">
        <f>J1334/_xlfn.XLOOKUP(Tabla2[[#This Row],[Unidad de precio]],Tabla3[Medida],Tabla3[Equivalencia en Kg],"ELVIS",0)</f>
        <v>17.970623784178091</v>
      </c>
      <c r="M1334">
        <v>6526.78</v>
      </c>
      <c r="N1334" s="2">
        <f>(Tabla2[[#This Row],[Productividad (kg/TAS)]]*Tabla2[[#This Row],[Precio por kg]]-Tabla2[[#This Row],[Costos (En RD$/Tarea)]])</f>
        <v>-2756.5973346159362</v>
      </c>
      <c r="O1334" s="6">
        <f>IF(Tabla2[[#This Row],[Costos (En RD$/Tarea)]]=0,0,Tabla2[[#This Row],[Beneficio Neto  (En RD$/Tarea)]]/Tabla2[[#This Row],[Costos (En RD$/Tarea)]])</f>
        <v>-0.42235180818350493</v>
      </c>
      <c r="P1334" s="4">
        <f>Tabla2[[#This Row],[Rentabilidad (%)]]/12</f>
        <v>-3.519598401529208E-2</v>
      </c>
    </row>
    <row r="1335" spans="1:16" x14ac:dyDescent="0.35">
      <c r="A1335" s="1">
        <v>39904</v>
      </c>
      <c r="B1335" t="s">
        <v>20</v>
      </c>
      <c r="C1335" s="2">
        <v>22518</v>
      </c>
      <c r="D1335" s="5" t="s">
        <v>17</v>
      </c>
      <c r="E1335" s="2">
        <f>IF(Tabla2[[#This Row],[Frecuencia]]="Annual", Tabla2[[#This Row],[Cosecha/Tarea]]/12,Tabla2[[#This Row],[Cosecha/Tarea]])</f>
        <v>22518</v>
      </c>
      <c r="F1335" s="2">
        <v>50067</v>
      </c>
      <c r="G1335" t="s">
        <v>18</v>
      </c>
      <c r="H1335">
        <f>F1335/Tabla2[[#This Row],[Cosecha Mensual]]</f>
        <v>2.2234212629896084</v>
      </c>
      <c r="I1335">
        <f>H1335*_xlfn.XLOOKUP(Tabla2[[#This Row],[Unidad de producción]],Tabla3[Medida],Tabla3[Equivalencia en Kg],"ELVIS",0)</f>
        <v>100.85438848920863</v>
      </c>
      <c r="J1335">
        <v>633.24</v>
      </c>
      <c r="K1335" t="s">
        <v>18</v>
      </c>
      <c r="L1335">
        <f>J1335/_xlfn.XLOOKUP(Tabla2[[#This Row],[Unidad de precio]],Tabla3[Medida],Tabla3[Equivalencia en Kg],"ELVIS",0)</f>
        <v>13.96031746031746</v>
      </c>
      <c r="M1335">
        <v>1590.1032460281599</v>
      </c>
      <c r="N1335" s="2">
        <f>(Tabla2[[#This Row],[Productividad (kg/TAS)]]*Tabla2[[#This Row],[Precio por kg]]-Tabla2[[#This Row],[Costos (En RD$/Tarea)]])</f>
        <v>-182.14396545262025</v>
      </c>
      <c r="O1335" s="6">
        <f>IF(Tabla2[[#This Row],[Costos (En RD$/Tarea)]]=0,0,Tabla2[[#This Row],[Beneficio Neto  (En RD$/Tarea)]]/Tabla2[[#This Row],[Costos (En RD$/Tarea)]])</f>
        <v>-0.11454851495183639</v>
      </c>
      <c r="P1335" s="4">
        <f>Tabla2[[#This Row],[Rentabilidad (%)]]/12</f>
        <v>-9.5457095793196993E-3</v>
      </c>
    </row>
    <row r="1336" spans="1:16" x14ac:dyDescent="0.35">
      <c r="A1336" s="1">
        <v>39904</v>
      </c>
      <c r="B1336" t="s">
        <v>21</v>
      </c>
      <c r="C1336" s="2">
        <v>14407</v>
      </c>
      <c r="D1336" s="5" t="s">
        <v>17</v>
      </c>
      <c r="E1336" s="2">
        <f>IF(Tabla2[[#This Row],[Frecuencia]]="Annual", Tabla2[[#This Row],[Cosecha/Tarea]]/12,Tabla2[[#This Row],[Cosecha/Tarea]])</f>
        <v>14407</v>
      </c>
      <c r="F1336" s="2">
        <v>167341</v>
      </c>
      <c r="G1336" t="s">
        <v>18</v>
      </c>
      <c r="H1336">
        <f>F1336/Tabla2[[#This Row],[Cosecha Mensual]]</f>
        <v>11.615256472548067</v>
      </c>
      <c r="I1336">
        <f>H1336*_xlfn.XLOOKUP(Tabla2[[#This Row],[Unidad de producción]],Tabla3[Medida],Tabla3[Equivalencia en Kg],"ELVIS",0)</f>
        <v>526.86803359478029</v>
      </c>
      <c r="J1336">
        <v>233.682428571429</v>
      </c>
      <c r="K1336" t="s">
        <v>18</v>
      </c>
      <c r="L1336">
        <f>J1336/_xlfn.XLOOKUP(Tabla2[[#This Row],[Unidad de precio]],Tabla3[Medida],Tabla3[Equivalencia en Kg],"ELVIS",0)</f>
        <v>5.1517290249433199</v>
      </c>
      <c r="M1336">
        <v>4038.1847174999998</v>
      </c>
      <c r="N1336" s="2">
        <f>(Tabla2[[#This Row],[Productividad (kg/TAS)]]*Tabla2[[#This Row],[Precio por kg]]-Tabla2[[#This Row],[Costos (En RD$/Tarea)]])</f>
        <v>-1323.9033765149579</v>
      </c>
      <c r="O1336" s="6">
        <f>IF(Tabla2[[#This Row],[Costos (En RD$/Tarea)]]=0,0,Tabla2[[#This Row],[Beneficio Neto  (En RD$/Tarea)]]/Tabla2[[#This Row],[Costos (En RD$/Tarea)]])</f>
        <v>-0.32784616582239295</v>
      </c>
      <c r="P1336" s="4">
        <f>Tabla2[[#This Row],[Rentabilidad (%)]]/12</f>
        <v>-2.7320513818532746E-2</v>
      </c>
    </row>
    <row r="1337" spans="1:16" x14ac:dyDescent="0.35">
      <c r="A1337" s="1">
        <v>39904</v>
      </c>
      <c r="B1337" t="s">
        <v>22</v>
      </c>
      <c r="C1337" s="2">
        <v>4383</v>
      </c>
      <c r="D1337" s="5" t="s">
        <v>17</v>
      </c>
      <c r="E1337" s="2">
        <f>IF(Tabla2[[#This Row],[Frecuencia]]="Annual", Tabla2[[#This Row],[Cosecha/Tarea]]/12,Tabla2[[#This Row],[Cosecha/Tarea]])</f>
        <v>4383</v>
      </c>
      <c r="F1337" s="2">
        <v>44097</v>
      </c>
      <c r="G1337" t="s">
        <v>18</v>
      </c>
      <c r="H1337">
        <f>F1337/Tabla2[[#This Row],[Cosecha Mensual]]</f>
        <v>10.060917180013689</v>
      </c>
      <c r="I1337">
        <f>H1337*_xlfn.XLOOKUP(Tabla2[[#This Row],[Unidad de producción]],Tabla3[Medida],Tabla3[Equivalencia en Kg],"ELVIS",0)</f>
        <v>456.36320328542092</v>
      </c>
      <c r="J1337">
        <v>1050</v>
      </c>
      <c r="K1337" t="s">
        <v>18</v>
      </c>
      <c r="L1337">
        <f>J1337/_xlfn.XLOOKUP(Tabla2[[#This Row],[Unidad de precio]],Tabla3[Medida],Tabla3[Equivalencia en Kg],"ELVIS",0)</f>
        <v>23.148148148148149</v>
      </c>
      <c r="M1337">
        <v>7095.7961171999996</v>
      </c>
      <c r="N1337" s="2">
        <f>(Tabla2[[#This Row],[Productividad (kg/TAS)]]*Tabla2[[#This Row],[Precio por kg]]-Tabla2[[#This Row],[Costos (En RD$/Tarea)]])</f>
        <v>3468.1669218143743</v>
      </c>
      <c r="O1337" s="6">
        <f>IF(Tabla2[[#This Row],[Costos (En RD$/Tarea)]]=0,0,Tabla2[[#This Row],[Beneficio Neto  (En RD$/Tarea)]]/Tabla2[[#This Row],[Costos (En RD$/Tarea)]])</f>
        <v>0.48876360940073243</v>
      </c>
      <c r="P1337" s="4">
        <f>Tabla2[[#This Row],[Rentabilidad (%)]]/12</f>
        <v>4.0730300783394367E-2</v>
      </c>
    </row>
    <row r="1338" spans="1:16" x14ac:dyDescent="0.35">
      <c r="A1338" s="1">
        <v>39904</v>
      </c>
      <c r="B1338" t="s">
        <v>23</v>
      </c>
      <c r="C1338" s="2">
        <v>5188</v>
      </c>
      <c r="D1338" s="5" t="s">
        <v>17</v>
      </c>
      <c r="E1338" s="2">
        <f>IF(Tabla2[[#This Row],[Frecuencia]]="Annual", Tabla2[[#This Row],[Cosecha/Tarea]]/12,Tabla2[[#This Row],[Cosecha/Tarea]])</f>
        <v>5188</v>
      </c>
      <c r="F1338" s="2">
        <v>117447</v>
      </c>
      <c r="G1338" t="s">
        <v>18</v>
      </c>
      <c r="H1338">
        <f>F1338/Tabla2[[#This Row],[Cosecha Mensual]]</f>
        <v>22.638203546646107</v>
      </c>
      <c r="I1338">
        <f>H1338*_xlfn.XLOOKUP(Tabla2[[#This Row],[Unidad de producción]],Tabla3[Medida],Tabla3[Equivalencia en Kg],"ELVIS",0)</f>
        <v>1026.8689128758674</v>
      </c>
      <c r="J1338">
        <v>484.60500000000002</v>
      </c>
      <c r="K1338" t="s">
        <v>18</v>
      </c>
      <c r="L1338">
        <f>J1338/_xlfn.XLOOKUP(Tabla2[[#This Row],[Unidad de precio]],Tabla3[Medida],Tabla3[Equivalencia en Kg],"ELVIS",0)</f>
        <v>10.683531746031747</v>
      </c>
      <c r="M1338">
        <v>17661.808667508602</v>
      </c>
      <c r="N1338" s="2">
        <f>(Tabla2[[#This Row],[Productividad (kg/TAS)]]*Tabla2[[#This Row],[Precio por kg]]-Tabla2[[#This Row],[Costos (En RD$/Tarea)]])</f>
        <v>-6691.2220377861631</v>
      </c>
      <c r="O1338" s="6">
        <f>IF(Tabla2[[#This Row],[Costos (En RD$/Tarea)]]=0,0,Tabla2[[#This Row],[Beneficio Neto  (En RD$/Tarea)]]/Tabla2[[#This Row],[Costos (En RD$/Tarea)]])</f>
        <v>-0.37885259453045789</v>
      </c>
      <c r="P1338" s="4">
        <f>Tabla2[[#This Row],[Rentabilidad (%)]]/12</f>
        <v>-3.1571049544204824E-2</v>
      </c>
    </row>
    <row r="1339" spans="1:16" x14ac:dyDescent="0.35">
      <c r="A1339" s="1">
        <v>39904</v>
      </c>
      <c r="B1339" t="s">
        <v>24</v>
      </c>
      <c r="C1339" s="2">
        <v>5901</v>
      </c>
      <c r="D1339" s="5" t="s">
        <v>17</v>
      </c>
      <c r="E1339" s="2">
        <f>IF(Tabla2[[#This Row],[Frecuencia]]="Annual", Tabla2[[#This Row],[Cosecha/Tarea]]/12,Tabla2[[#This Row],[Cosecha/Tarea]])</f>
        <v>5901</v>
      </c>
      <c r="F1339" s="2">
        <v>61498</v>
      </c>
      <c r="G1339" t="s">
        <v>18</v>
      </c>
      <c r="H1339">
        <f>F1339/Tabla2[[#This Row],[Cosecha Mensual]]</f>
        <v>10.421623453651923</v>
      </c>
      <c r="I1339">
        <f>H1339*_xlfn.XLOOKUP(Tabla2[[#This Row],[Unidad de producción]],Tabla3[Medida],Tabla3[Equivalencia en Kg],"ELVIS",0)</f>
        <v>472.72483985765126</v>
      </c>
      <c r="J1339">
        <v>1235.6666666666699</v>
      </c>
      <c r="K1339" t="s">
        <v>18</v>
      </c>
      <c r="L1339">
        <f>J1339/_xlfn.XLOOKUP(Tabla2[[#This Row],[Unidad de precio]],Tabla3[Medida],Tabla3[Equivalencia en Kg],"ELVIS",0)</f>
        <v>27.241328630217591</v>
      </c>
      <c r="M1339">
        <v>5745.6881190335998</v>
      </c>
      <c r="N1339" s="2">
        <f>(Tabla2[[#This Row],[Productividad (kg/TAS)]]*Tabla2[[#This Row],[Precio por kg]]-Tabla2[[#This Row],[Costos (En RD$/Tarea)]])</f>
        <v>7131.9645951956618</v>
      </c>
      <c r="O1339" s="6">
        <f>IF(Tabla2[[#This Row],[Costos (En RD$/Tarea)]]=0,0,Tabla2[[#This Row],[Beneficio Neto  (En RD$/Tarea)]]/Tabla2[[#This Row],[Costos (En RD$/Tarea)]])</f>
        <v>1.2412724894638429</v>
      </c>
      <c r="P1339" s="4">
        <f>Tabla2[[#This Row],[Rentabilidad (%)]]/12</f>
        <v>0.10343937412198691</v>
      </c>
    </row>
    <row r="1340" spans="1:16" x14ac:dyDescent="0.35">
      <c r="A1340" s="1">
        <v>39904</v>
      </c>
      <c r="B1340" t="s">
        <v>25</v>
      </c>
      <c r="C1340" s="2">
        <v>28869</v>
      </c>
      <c r="D1340" s="5" t="s">
        <v>17</v>
      </c>
      <c r="E1340" s="2">
        <f>IF(Tabla2[[#This Row],[Frecuencia]]="Annual", Tabla2[[#This Row],[Cosecha/Tarea]]/12,Tabla2[[#This Row],[Cosecha/Tarea]])</f>
        <v>28869</v>
      </c>
      <c r="F1340" s="2">
        <v>303118</v>
      </c>
      <c r="G1340" t="s">
        <v>18</v>
      </c>
      <c r="H1340">
        <f>F1340/Tabla2[[#This Row],[Cosecha Mensual]]</f>
        <v>10.499774844989435</v>
      </c>
      <c r="I1340">
        <f>H1340*_xlfn.XLOOKUP(Tabla2[[#This Row],[Unidad de producción]],Tabla3[Medida],Tabla3[Equivalencia en Kg],"ELVIS",0)</f>
        <v>476.26978696872078</v>
      </c>
      <c r="J1340">
        <v>463.33218749999997</v>
      </c>
      <c r="K1340" t="s">
        <v>18</v>
      </c>
      <c r="L1340">
        <f>J1340/_xlfn.XLOOKUP(Tabla2[[#This Row],[Unidad de precio]],Tabla3[Medida],Tabla3[Equivalencia en Kg],"ELVIS",0)</f>
        <v>10.214554398148147</v>
      </c>
      <c r="M1340">
        <v>3380.6681837157598</v>
      </c>
      <c r="N1340" s="2">
        <f>(Tabla2[[#This Row],[Productividad (kg/TAS)]]*Tabla2[[#This Row],[Precio por kg]]-Tabla2[[#This Row],[Costos (En RD$/Tarea)]])</f>
        <v>1484.2154634706681</v>
      </c>
      <c r="O1340" s="6">
        <f>IF(Tabla2[[#This Row],[Costos (En RD$/Tarea)]]=0,0,Tabla2[[#This Row],[Beneficio Neto  (En RD$/Tarea)]]/Tabla2[[#This Row],[Costos (En RD$/Tarea)]])</f>
        <v>0.43903021024658423</v>
      </c>
      <c r="P1340" s="4">
        <f>Tabla2[[#This Row],[Rentabilidad (%)]]/12</f>
        <v>3.6585850853882017E-2</v>
      </c>
    </row>
    <row r="1341" spans="1:16" x14ac:dyDescent="0.35">
      <c r="A1341" s="1">
        <v>39904</v>
      </c>
      <c r="B1341" t="s">
        <v>26</v>
      </c>
      <c r="C1341" s="2">
        <v>16416</v>
      </c>
      <c r="D1341" s="5" t="s">
        <v>17</v>
      </c>
      <c r="E1341" s="2">
        <f>IF(Tabla2[[#This Row],[Frecuencia]]="Annual", Tabla2[[#This Row],[Cosecha/Tarea]]/12,Tabla2[[#This Row],[Cosecha/Tarea]])</f>
        <v>16416</v>
      </c>
      <c r="F1341" s="2">
        <v>141342</v>
      </c>
      <c r="G1341" t="s">
        <v>18</v>
      </c>
      <c r="H1341">
        <f>F1341/Tabla2[[#This Row],[Cosecha Mensual]]</f>
        <v>8.6100146198830405</v>
      </c>
      <c r="I1341">
        <f>H1341*_xlfn.XLOOKUP(Tabla2[[#This Row],[Unidad de producción]],Tabla3[Medida],Tabla3[Equivalencia en Kg],"ELVIS",0)</f>
        <v>390.55026315789473</v>
      </c>
      <c r="J1341">
        <v>605.17857142857099</v>
      </c>
      <c r="K1341" t="s">
        <v>18</v>
      </c>
      <c r="L1341">
        <f>J1341/_xlfn.XLOOKUP(Tabla2[[#This Row],[Unidad de precio]],Tabla3[Medida],Tabla3[Equivalencia en Kg],"ELVIS",0)</f>
        <v>13.341679264298302</v>
      </c>
      <c r="M1341">
        <v>1376.3165203125</v>
      </c>
      <c r="N1341" s="2">
        <f>(Tabla2[[#This Row],[Productividad (kg/TAS)]]*Tabla2[[#This Row],[Precio por kg]]-Tabla2[[#This Row],[Costos (En RD$/Tarea)]])</f>
        <v>3834.2798273274293</v>
      </c>
      <c r="O1341" s="6">
        <f>IF(Tabla2[[#This Row],[Costos (En RD$/Tarea)]]=0,0,Tabla2[[#This Row],[Beneficio Neto  (En RD$/Tarea)]]/Tabla2[[#This Row],[Costos (En RD$/Tarea)]])</f>
        <v>2.785899733628741</v>
      </c>
      <c r="P1341" s="4">
        <f>Tabla2[[#This Row],[Rentabilidad (%)]]/12</f>
        <v>0.23215831113572841</v>
      </c>
    </row>
    <row r="1342" spans="1:16" x14ac:dyDescent="0.35">
      <c r="A1342" s="1">
        <v>39904</v>
      </c>
      <c r="B1342" t="s">
        <v>27</v>
      </c>
      <c r="C1342" s="2">
        <v>6905</v>
      </c>
      <c r="D1342" s="5" t="s">
        <v>17</v>
      </c>
      <c r="E1342" s="2">
        <f>IF(Tabla2[[#This Row],[Frecuencia]]="Annual", Tabla2[[#This Row],[Cosecha/Tarea]]/12,Tabla2[[#This Row],[Cosecha/Tarea]])</f>
        <v>6905</v>
      </c>
      <c r="F1342" s="2">
        <v>75962</v>
      </c>
      <c r="G1342" t="s">
        <v>18</v>
      </c>
      <c r="H1342">
        <f>F1342/Tabla2[[#This Row],[Cosecha Mensual]]</f>
        <v>11.001013758146271</v>
      </c>
      <c r="I1342">
        <f>H1342*_xlfn.XLOOKUP(Tabla2[[#This Row],[Unidad de producción]],Tabla3[Medida],Tabla3[Equivalencia en Kg],"ELVIS",0)</f>
        <v>499.00598406951485</v>
      </c>
      <c r="J1342">
        <v>236.25</v>
      </c>
      <c r="K1342" t="s">
        <v>18</v>
      </c>
      <c r="L1342">
        <f>J1342/_xlfn.XLOOKUP(Tabla2[[#This Row],[Unidad de precio]],Tabla3[Medida],Tabla3[Equivalencia en Kg],"ELVIS",0)</f>
        <v>5.208333333333333</v>
      </c>
      <c r="M1342">
        <v>5690.0383784955002</v>
      </c>
      <c r="N1342" s="2">
        <f>(Tabla2[[#This Row],[Productividad (kg/TAS)]]*Tabla2[[#This Row],[Precio por kg]]-Tabla2[[#This Row],[Costos (En RD$/Tarea)]])</f>
        <v>-3091.0488781334438</v>
      </c>
      <c r="O1342" s="6">
        <f>IF(Tabla2[[#This Row],[Costos (En RD$/Tarea)]]=0,0,Tabla2[[#This Row],[Beneficio Neto  (En RD$/Tarea)]]/Tabla2[[#This Row],[Costos (En RD$/Tarea)]])</f>
        <v>-0.54323866949922861</v>
      </c>
      <c r="P1342" s="4">
        <f>Tabla2[[#This Row],[Rentabilidad (%)]]/12</f>
        <v>-4.5269889124935715E-2</v>
      </c>
    </row>
    <row r="1343" spans="1:16" x14ac:dyDescent="0.35">
      <c r="A1343" s="1">
        <v>39904</v>
      </c>
      <c r="B1343" t="s">
        <v>28</v>
      </c>
      <c r="C1343" s="2">
        <v>566</v>
      </c>
      <c r="D1343" s="5" t="s">
        <v>17</v>
      </c>
      <c r="E1343" s="2">
        <f>IF(Tabla2[[#This Row],[Frecuencia]]="Annual", Tabla2[[#This Row],[Cosecha/Tarea]]/12,Tabla2[[#This Row],[Cosecha/Tarea]])</f>
        <v>566</v>
      </c>
      <c r="F1343" s="2">
        <v>346</v>
      </c>
      <c r="G1343" t="s">
        <v>29</v>
      </c>
      <c r="H1343">
        <f>F1343/Tabla2[[#This Row],[Cosecha Mensual]]</f>
        <v>0.61130742049469966</v>
      </c>
      <c r="I1343">
        <f>H1343*_xlfn.XLOOKUP(Tabla2[[#This Row],[Unidad de producción]],Tabla3[Medida],Tabla3[Equivalencia en Kg],"ELVIS",0)</f>
        <v>343.76261484098944</v>
      </c>
      <c r="J1343">
        <v>5781</v>
      </c>
      <c r="K1343" t="s">
        <v>29</v>
      </c>
      <c r="L1343">
        <f>J1343/_xlfn.XLOOKUP(Tabla2[[#This Row],[Unidad de precio]],Tabla3[Medida],Tabla3[Equivalencia en Kg],"ELVIS",0)</f>
        <v>10.280257495465376</v>
      </c>
      <c r="M1343">
        <v>5157.1623197653698</v>
      </c>
      <c r="N1343" s="2">
        <f>(Tabla2[[#This Row],[Productividad (kg/TAS)]]*Tabla2[[#This Row],[Precio por kg]]-Tabla2[[#This Row],[Costos (En RD$/Tarea)]])</f>
        <v>-1623.1941218855109</v>
      </c>
      <c r="O1343" s="6">
        <f>IF(Tabla2[[#This Row],[Costos (En RD$/Tarea)]]=0,0,Tabla2[[#This Row],[Beneficio Neto  (En RD$/Tarea)]]/Tabla2[[#This Row],[Costos (En RD$/Tarea)]])</f>
        <v>-0.31474559481373077</v>
      </c>
      <c r="P1343" s="4">
        <f>Tabla2[[#This Row],[Rentabilidad (%)]]/12</f>
        <v>-2.6228799567810896E-2</v>
      </c>
    </row>
    <row r="1344" spans="1:16" x14ac:dyDescent="0.35">
      <c r="A1344" s="1">
        <v>39904</v>
      </c>
      <c r="B1344" t="s">
        <v>30</v>
      </c>
      <c r="C1344" s="2">
        <v>236235</v>
      </c>
      <c r="D1344" s="2" t="s">
        <v>31</v>
      </c>
      <c r="E1344" s="2">
        <f>IF(Tabla2[[#This Row],[Frecuencia]]="Annual", Tabla2[[#This Row],[Cosecha/Tarea]]/12,Tabla2[[#This Row],[Cosecha/Tarea]])</f>
        <v>19686.25</v>
      </c>
      <c r="F1344" s="2">
        <v>1869245</v>
      </c>
      <c r="G1344" t="s">
        <v>32</v>
      </c>
      <c r="H1344">
        <f>F1344/Tabla2[[#This Row],[Cosecha Mensual]]</f>
        <v>94.951806463902471</v>
      </c>
      <c r="I1344">
        <f>H1344*_xlfn.XLOOKUP(Tabla2[[#This Row],[Unidad de producción]],Tabla3[Medida],Tabla3[Equivalencia en Kg],"ELVIS",0)</f>
        <v>2583.6386538827865</v>
      </c>
      <c r="J1344">
        <v>100.986428571429</v>
      </c>
      <c r="K1344" t="s">
        <v>32</v>
      </c>
      <c r="L1344">
        <f>J1344/_xlfn.XLOOKUP(Tabla2[[#This Row],[Unidad de precio]],Tabla3[Medida],Tabla3[Equivalencia en Kg],"ELVIS",0)</f>
        <v>3.7113718695857774</v>
      </c>
      <c r="M1344" s="2">
        <v>9253.9447792029805</v>
      </c>
      <c r="N1344" s="2">
        <f>(Tabla2[[#This Row],[Productividad (kg/TAS)]]*Tabla2[[#This Row],[Precio por kg]]-Tabla2[[#This Row],[Costos (En RD$/Tarea)]])</f>
        <v>334.89904199205739</v>
      </c>
      <c r="O1344" s="6">
        <f>IF(Tabla2[[#This Row],[Costos (En RD$/Tarea)]]=0,0,Tabla2[[#This Row],[Beneficio Neto  (En RD$/Tarea)]]/Tabla2[[#This Row],[Costos (En RD$/Tarea)]])</f>
        <v>3.6189868211089694E-2</v>
      </c>
      <c r="P1344" s="4">
        <f>Tabla2[[#This Row],[Rentabilidad (%)]]/12</f>
        <v>3.0158223509241413E-3</v>
      </c>
    </row>
    <row r="1345" spans="1:16" x14ac:dyDescent="0.35">
      <c r="A1345" s="1">
        <v>39904</v>
      </c>
      <c r="B1345" t="s">
        <v>33</v>
      </c>
      <c r="C1345" s="2">
        <v>673675</v>
      </c>
      <c r="D1345" s="2" t="s">
        <v>31</v>
      </c>
      <c r="E1345" s="2">
        <f>IF(Tabla2[[#This Row],[Frecuencia]]="Annual", Tabla2[[#This Row],[Cosecha/Tarea]]/12,Tabla2[[#This Row],[Cosecha/Tarea]])</f>
        <v>56139.583333333336</v>
      </c>
      <c r="F1345" s="2">
        <v>111498</v>
      </c>
      <c r="G1345" t="s">
        <v>34</v>
      </c>
      <c r="H1345">
        <f>F1345/Tabla2[[#This Row],[Cosecha Mensual]]</f>
        <v>1.986085278509667</v>
      </c>
      <c r="I1345">
        <f>H1345*_xlfn.XLOOKUP(Tabla2[[#This Row],[Unidad de producción]],Tabla3[Medida],Tabla3[Equivalencia en Kg],"ELVIS",0)</f>
        <v>810.62070642372055</v>
      </c>
      <c r="J1345">
        <v>3245.34375</v>
      </c>
      <c r="K1345" t="s">
        <v>34</v>
      </c>
      <c r="L1345">
        <f>J1345/_xlfn.XLOOKUP(Tabla2[[#This Row],[Unidad de precio]],Tabla3[Medida],Tabla3[Equivalencia en Kg],"ELVIS",0)</f>
        <v>7.9513506063947084</v>
      </c>
      <c r="M1345" s="2">
        <v>8960.6721575976007</v>
      </c>
      <c r="N1345" s="2">
        <f>(Tabla2[[#This Row],[Productividad (kg/TAS)]]*Tabla2[[#This Row],[Precio por kg]]-Tabla2[[#This Row],[Costos (En RD$/Tarea)]])</f>
        <v>-2515.1427120192438</v>
      </c>
      <c r="O1345" s="6">
        <f>IF(Tabla2[[#This Row],[Costos (En RD$/Tarea)]]=0,0,Tabla2[[#This Row],[Beneficio Neto  (En RD$/Tarea)]]/Tabla2[[#This Row],[Costos (En RD$/Tarea)]])</f>
        <v>-0.28068683551676393</v>
      </c>
      <c r="P1345" s="4">
        <f>Tabla2[[#This Row],[Rentabilidad (%)]]/12</f>
        <v>-2.3390569626396993E-2</v>
      </c>
    </row>
    <row r="1346" spans="1:16" x14ac:dyDescent="0.35">
      <c r="A1346" s="1">
        <v>39934</v>
      </c>
      <c r="B1346" t="s">
        <v>16</v>
      </c>
      <c r="C1346" s="2">
        <v>386807</v>
      </c>
      <c r="D1346" s="5" t="s">
        <v>17</v>
      </c>
      <c r="E1346" s="2">
        <f>IF(Tabla2[[#This Row],[Frecuencia]]="Annual", Tabla2[[#This Row],[Cosecha/Tarea]]/12,Tabla2[[#This Row],[Cosecha/Tarea]])</f>
        <v>386807</v>
      </c>
      <c r="F1346" s="2">
        <v>1837484</v>
      </c>
      <c r="G1346" t="s">
        <v>18</v>
      </c>
      <c r="H1346">
        <f>F1346/Tabla2[[#This Row],[Cosecha Mensual]]</f>
        <v>4.7503897292448176</v>
      </c>
      <c r="I1346">
        <f>H1346*_xlfn.XLOOKUP(Tabla2[[#This Row],[Unidad de producción]],Tabla3[Medida],Tabla3[Equivalencia en Kg],"ELVIS",0)</f>
        <v>215.47767811854493</v>
      </c>
      <c r="J1346">
        <v>2013.9912822317499</v>
      </c>
      <c r="K1346" t="s">
        <v>19</v>
      </c>
      <c r="L1346">
        <f>J1346/_xlfn.XLOOKUP(Tabla2[[#This Row],[Unidad de precio]],Tabla3[Medida],Tabla3[Equivalencia en Kg],"ELVIS",0)</f>
        <v>18.30901165665227</v>
      </c>
      <c r="M1346">
        <v>6526.78</v>
      </c>
      <c r="N1346" s="2">
        <f>(Tabla2[[#This Row],[Productividad (kg/TAS)]]*Tabla2[[#This Row],[Precio por kg]]-Tabla2[[#This Row],[Costos (En RD$/Tarea)]])</f>
        <v>-2581.5966795791946</v>
      </c>
      <c r="O1346" s="6">
        <f>IF(Tabla2[[#This Row],[Costos (En RD$/Tarea)]]=0,0,Tabla2[[#This Row],[Beneficio Neto  (En RD$/Tarea)]]/Tabla2[[#This Row],[Costos (En RD$/Tarea)]])</f>
        <v>-0.39553909884800692</v>
      </c>
      <c r="P1346" s="4">
        <f>Tabla2[[#This Row],[Rentabilidad (%)]]/12</f>
        <v>-3.2961591570667241E-2</v>
      </c>
    </row>
    <row r="1347" spans="1:16" x14ac:dyDescent="0.35">
      <c r="A1347" s="1">
        <v>39934</v>
      </c>
      <c r="B1347" t="s">
        <v>20</v>
      </c>
      <c r="C1347" s="2">
        <v>23415</v>
      </c>
      <c r="D1347" s="5" t="s">
        <v>17</v>
      </c>
      <c r="E1347" s="2">
        <f>IF(Tabla2[[#This Row],[Frecuencia]]="Annual", Tabla2[[#This Row],[Cosecha/Tarea]]/12,Tabla2[[#This Row],[Cosecha/Tarea]])</f>
        <v>23415</v>
      </c>
      <c r="F1347" s="2">
        <v>68966</v>
      </c>
      <c r="G1347" t="s">
        <v>18</v>
      </c>
      <c r="H1347">
        <f>F1347/Tabla2[[#This Row],[Cosecha Mensual]]</f>
        <v>2.94537689515268</v>
      </c>
      <c r="I1347">
        <f>H1347*_xlfn.XLOOKUP(Tabla2[[#This Row],[Unidad de producción]],Tabla3[Medida],Tabla3[Equivalencia en Kg],"ELVIS",0)</f>
        <v>133.60229596412557</v>
      </c>
      <c r="J1347">
        <v>659.74</v>
      </c>
      <c r="K1347" t="s">
        <v>18</v>
      </c>
      <c r="L1347">
        <f>J1347/_xlfn.XLOOKUP(Tabla2[[#This Row],[Unidad de precio]],Tabla3[Medida],Tabla3[Equivalencia en Kg],"ELVIS",0)</f>
        <v>14.544532627865962</v>
      </c>
      <c r="M1347">
        <v>1590.1032460281599</v>
      </c>
      <c r="N1347" s="2">
        <f>(Tabla2[[#This Row],[Productividad (kg/TAS)]]*Tabla2[[#This Row],[Precio por kg]]-Tabla2[[#This Row],[Costos (En RD$/Tarea)]])</f>
        <v>353.07970677986941</v>
      </c>
      <c r="O1347" s="6">
        <f>IF(Tabla2[[#This Row],[Costos (En RD$/Tarea)]]=0,0,Tabla2[[#This Row],[Beneficio Neto  (En RD$/Tarea)]]/Tabla2[[#This Row],[Costos (En RD$/Tarea)]])</f>
        <v>0.22204829004771212</v>
      </c>
      <c r="P1347" s="4">
        <f>Tabla2[[#This Row],[Rentabilidad (%)]]/12</f>
        <v>1.8504024170642678E-2</v>
      </c>
    </row>
    <row r="1348" spans="1:16" x14ac:dyDescent="0.35">
      <c r="A1348" s="1">
        <v>39934</v>
      </c>
      <c r="B1348" t="s">
        <v>21</v>
      </c>
      <c r="C1348" s="2">
        <v>7303</v>
      </c>
      <c r="D1348" s="5" t="s">
        <v>17</v>
      </c>
      <c r="E1348" s="2">
        <f>IF(Tabla2[[#This Row],[Frecuencia]]="Annual", Tabla2[[#This Row],[Cosecha/Tarea]]/12,Tabla2[[#This Row],[Cosecha/Tarea]])</f>
        <v>7303</v>
      </c>
      <c r="F1348" s="2">
        <v>84401</v>
      </c>
      <c r="G1348" t="s">
        <v>18</v>
      </c>
      <c r="H1348">
        <f>F1348/Tabla2[[#This Row],[Cosecha Mensual]]</f>
        <v>11.557031356976585</v>
      </c>
      <c r="I1348">
        <f>H1348*_xlfn.XLOOKUP(Tabla2[[#This Row],[Unidad de producción]],Tabla3[Medida],Tabla3[Equivalencia en Kg],"ELVIS",0)</f>
        <v>524.22694235245785</v>
      </c>
      <c r="J1348">
        <v>251.744071428571</v>
      </c>
      <c r="K1348" t="s">
        <v>18</v>
      </c>
      <c r="L1348">
        <f>J1348/_xlfn.XLOOKUP(Tabla2[[#This Row],[Unidad de precio]],Tabla3[Medida],Tabla3[Equivalencia en Kg],"ELVIS",0)</f>
        <v>5.5499133912824297</v>
      </c>
      <c r="M1348">
        <v>4038.1847174999998</v>
      </c>
      <c r="N1348" s="2">
        <f>(Tabla2[[#This Row],[Productividad (kg/TAS)]]*Tabla2[[#This Row],[Precio por kg]]-Tabla2[[#This Row],[Costos (En RD$/Tarea)]])</f>
        <v>-1128.7705900670517</v>
      </c>
      <c r="O1348" s="6">
        <f>IF(Tabla2[[#This Row],[Costos (En RD$/Tarea)]]=0,0,Tabla2[[#This Row],[Beneficio Neto  (En RD$/Tarea)]]/Tabla2[[#This Row],[Costos (En RD$/Tarea)]])</f>
        <v>-0.2795242588025697</v>
      </c>
      <c r="P1348" s="4">
        <f>Tabla2[[#This Row],[Rentabilidad (%)]]/12</f>
        <v>-2.3293688233547476E-2</v>
      </c>
    </row>
    <row r="1349" spans="1:16" x14ac:dyDescent="0.35">
      <c r="A1349" s="1">
        <v>39934</v>
      </c>
      <c r="B1349" t="s">
        <v>22</v>
      </c>
      <c r="C1349" s="2">
        <v>6270</v>
      </c>
      <c r="D1349" s="5" t="s">
        <v>17</v>
      </c>
      <c r="E1349" s="2">
        <f>IF(Tabla2[[#This Row],[Frecuencia]]="Annual", Tabla2[[#This Row],[Cosecha/Tarea]]/12,Tabla2[[#This Row],[Cosecha/Tarea]])</f>
        <v>6270</v>
      </c>
      <c r="F1349" s="2">
        <v>59132</v>
      </c>
      <c r="G1349" t="s">
        <v>18</v>
      </c>
      <c r="H1349">
        <f>F1349/Tabla2[[#This Row],[Cosecha Mensual]]</f>
        <v>9.4309409888357258</v>
      </c>
      <c r="I1349">
        <f>H1349*_xlfn.XLOOKUP(Tabla2[[#This Row],[Unidad de producción]],Tabla3[Medida],Tabla3[Equivalencia en Kg],"ELVIS",0)</f>
        <v>427.7874832535885</v>
      </c>
      <c r="J1349">
        <v>1041.3333333333301</v>
      </c>
      <c r="K1349" t="s">
        <v>18</v>
      </c>
      <c r="L1349">
        <f>J1349/_xlfn.XLOOKUP(Tabla2[[#This Row],[Unidad de precio]],Tabla3[Medida],Tabla3[Equivalencia en Kg],"ELVIS",0)</f>
        <v>22.957084068195108</v>
      </c>
      <c r="M1349">
        <v>7095.7961171999996</v>
      </c>
      <c r="N1349" s="2">
        <f>(Tabla2[[#This Row],[Productividad (kg/TAS)]]*Tabla2[[#This Row],[Precio por kg]]-Tabla2[[#This Row],[Costos (En RD$/Tarea)]])</f>
        <v>2724.9570991742385</v>
      </c>
      <c r="O1349" s="6">
        <f>IF(Tabla2[[#This Row],[Costos (En RD$/Tarea)]]=0,0,Tabla2[[#This Row],[Beneficio Neto  (En RD$/Tarea)]]/Tabla2[[#This Row],[Costos (En RD$/Tarea)]])</f>
        <v>0.38402415376183419</v>
      </c>
      <c r="P1349" s="4">
        <f>Tabla2[[#This Row],[Rentabilidad (%)]]/12</f>
        <v>3.2002012813486184E-2</v>
      </c>
    </row>
    <row r="1350" spans="1:16" x14ac:dyDescent="0.35">
      <c r="A1350" s="1">
        <v>39934</v>
      </c>
      <c r="B1350" t="s">
        <v>23</v>
      </c>
      <c r="C1350" s="2">
        <v>2713</v>
      </c>
      <c r="D1350" s="5" t="s">
        <v>17</v>
      </c>
      <c r="E1350" s="2">
        <f>IF(Tabla2[[#This Row],[Frecuencia]]="Annual", Tabla2[[#This Row],[Cosecha/Tarea]]/12,Tabla2[[#This Row],[Cosecha/Tarea]])</f>
        <v>2713</v>
      </c>
      <c r="F1350" s="2">
        <v>71367</v>
      </c>
      <c r="G1350" t="s">
        <v>18</v>
      </c>
      <c r="H1350">
        <f>F1350/Tabla2[[#This Row],[Cosecha Mensual]]</f>
        <v>26.305565794323627</v>
      </c>
      <c r="I1350">
        <f>H1350*_xlfn.XLOOKUP(Tabla2[[#This Row],[Unidad de producción]],Tabla3[Medida],Tabla3[Equivalencia en Kg],"ELVIS",0)</f>
        <v>1193.2204644305198</v>
      </c>
      <c r="J1350">
        <v>496.66666666666703</v>
      </c>
      <c r="K1350" t="s">
        <v>18</v>
      </c>
      <c r="L1350">
        <f>J1350/_xlfn.XLOOKUP(Tabla2[[#This Row],[Unidad de precio]],Tabla3[Medida],Tabla3[Equivalencia en Kg],"ELVIS",0)</f>
        <v>10.949441504997068</v>
      </c>
      <c r="M1350">
        <v>17661.808667508602</v>
      </c>
      <c r="N1350" s="2">
        <f>(Tabla2[[#This Row],[Productividad (kg/TAS)]]*Tabla2[[#This Row],[Precio por kg]]-Tabla2[[#This Row],[Costos (En RD$/Tarea)]])</f>
        <v>-4596.710989661191</v>
      </c>
      <c r="O1350" s="6">
        <f>IF(Tabla2[[#This Row],[Costos (En RD$/Tarea)]]=0,0,Tabla2[[#This Row],[Beneficio Neto  (En RD$/Tarea)]]/Tabla2[[#This Row],[Costos (En RD$/Tarea)]])</f>
        <v>-0.26026275542875127</v>
      </c>
      <c r="P1350" s="4">
        <f>Tabla2[[#This Row],[Rentabilidad (%)]]/12</f>
        <v>-2.1688562952395938E-2</v>
      </c>
    </row>
    <row r="1351" spans="1:16" x14ac:dyDescent="0.35">
      <c r="A1351" s="1">
        <v>39934</v>
      </c>
      <c r="B1351" t="s">
        <v>24</v>
      </c>
      <c r="C1351" s="2">
        <v>5738</v>
      </c>
      <c r="D1351" s="5" t="s">
        <v>17</v>
      </c>
      <c r="E1351" s="2">
        <f>IF(Tabla2[[#This Row],[Frecuencia]]="Annual", Tabla2[[#This Row],[Cosecha/Tarea]]/12,Tabla2[[#This Row],[Cosecha/Tarea]])</f>
        <v>5738</v>
      </c>
      <c r="F1351" s="2">
        <v>48197</v>
      </c>
      <c r="G1351" t="s">
        <v>18</v>
      </c>
      <c r="H1351">
        <f>F1351/Tabla2[[#This Row],[Cosecha Mensual]]</f>
        <v>8.3996165911467404</v>
      </c>
      <c r="I1351">
        <f>H1351*_xlfn.XLOOKUP(Tabla2[[#This Row],[Unidad de producción]],Tabla3[Medida],Tabla3[Equivalencia en Kg],"ELVIS",0)</f>
        <v>381.00660857441613</v>
      </c>
      <c r="J1351">
        <v>1268.3333333333301</v>
      </c>
      <c r="K1351" t="s">
        <v>18</v>
      </c>
      <c r="L1351">
        <f>J1351/_xlfn.XLOOKUP(Tabla2[[#This Row],[Unidad de precio]],Tabla3[Medida],Tabla3[Equivalencia en Kg],"ELVIS",0)</f>
        <v>27.961493239270947</v>
      </c>
      <c r="M1351">
        <v>5745.6881190335998</v>
      </c>
      <c r="N1351" s="2">
        <f>(Tabla2[[#This Row],[Productividad (kg/TAS)]]*Tabla2[[#This Row],[Precio por kg]]-Tabla2[[#This Row],[Costos (En RD$/Tarea)]])</f>
        <v>4907.8255907374887</v>
      </c>
      <c r="O1351" s="6">
        <f>IF(Tabla2[[#This Row],[Costos (En RD$/Tarea)]]=0,0,Tabla2[[#This Row],[Beneficio Neto  (En RD$/Tarea)]]/Tabla2[[#This Row],[Costos (En RD$/Tarea)]])</f>
        <v>0.85417542495553411</v>
      </c>
      <c r="P1351" s="4">
        <f>Tabla2[[#This Row],[Rentabilidad (%)]]/12</f>
        <v>7.1181285412961176E-2</v>
      </c>
    </row>
    <row r="1352" spans="1:16" x14ac:dyDescent="0.35">
      <c r="A1352" s="1">
        <v>39934</v>
      </c>
      <c r="B1352" t="s">
        <v>25</v>
      </c>
      <c r="C1352" s="2">
        <v>24780</v>
      </c>
      <c r="D1352" s="5" t="s">
        <v>17</v>
      </c>
      <c r="E1352" s="2">
        <f>IF(Tabla2[[#This Row],[Frecuencia]]="Annual", Tabla2[[#This Row],[Cosecha/Tarea]]/12,Tabla2[[#This Row],[Cosecha/Tarea]])</f>
        <v>24780</v>
      </c>
      <c r="F1352" s="2">
        <v>272589</v>
      </c>
      <c r="G1352" t="s">
        <v>18</v>
      </c>
      <c r="H1352">
        <f>F1352/Tabla2[[#This Row],[Cosecha Mensual]]</f>
        <v>11.000363196125909</v>
      </c>
      <c r="I1352">
        <f>H1352*_xlfn.XLOOKUP(Tabla2[[#This Row],[Unidad de producción]],Tabla3[Medida],Tabla3[Equivalencia en Kg],"ELVIS",0)</f>
        <v>498.97647457627119</v>
      </c>
      <c r="J1352">
        <v>633.25625000000002</v>
      </c>
      <c r="K1352" t="s">
        <v>18</v>
      </c>
      <c r="L1352">
        <f>J1352/_xlfn.XLOOKUP(Tabla2[[#This Row],[Unidad de precio]],Tabla3[Medida],Tabla3[Equivalencia en Kg],"ELVIS",0)</f>
        <v>13.960675705467374</v>
      </c>
      <c r="M1352">
        <v>3380.6681837157598</v>
      </c>
      <c r="N1352" s="2">
        <f>(Tabla2[[#This Row],[Productividad (kg/TAS)]]*Tabla2[[#This Row],[Precio por kg]]-Tabla2[[#This Row],[Costos (En RD$/Tarea)]])</f>
        <v>3585.3805625009477</v>
      </c>
      <c r="O1352" s="6">
        <f>IF(Tabla2[[#This Row],[Costos (En RD$/Tarea)]]=0,0,Tabla2[[#This Row],[Beneficio Neto  (En RD$/Tarea)]]/Tabla2[[#This Row],[Costos (En RD$/Tarea)]])</f>
        <v>1.0605538218069614</v>
      </c>
      <c r="P1352" s="4">
        <f>Tabla2[[#This Row],[Rentabilidad (%)]]/12</f>
        <v>8.8379485150580125E-2</v>
      </c>
    </row>
    <row r="1353" spans="1:16" x14ac:dyDescent="0.35">
      <c r="A1353" s="1">
        <v>39934</v>
      </c>
      <c r="B1353" t="s">
        <v>26</v>
      </c>
      <c r="C1353" s="2">
        <v>13167</v>
      </c>
      <c r="D1353" s="5" t="s">
        <v>17</v>
      </c>
      <c r="E1353" s="2">
        <f>IF(Tabla2[[#This Row],[Frecuencia]]="Annual", Tabla2[[#This Row],[Cosecha/Tarea]]/12,Tabla2[[#This Row],[Cosecha/Tarea]])</f>
        <v>13167</v>
      </c>
      <c r="F1353" s="2">
        <v>81659</v>
      </c>
      <c r="G1353" t="s">
        <v>18</v>
      </c>
      <c r="H1353">
        <f>F1353/Tabla2[[#This Row],[Cosecha Mensual]]</f>
        <v>6.2017923596870963</v>
      </c>
      <c r="I1353">
        <f>H1353*_xlfn.XLOOKUP(Tabla2[[#This Row],[Unidad de producción]],Tabla3[Medida],Tabla3[Equivalencia en Kg],"ELVIS",0)</f>
        <v>281.31330143540669</v>
      </c>
      <c r="J1353">
        <v>673.20285714285706</v>
      </c>
      <c r="K1353" t="s">
        <v>18</v>
      </c>
      <c r="L1353">
        <f>J1353/_xlfn.XLOOKUP(Tabla2[[#This Row],[Unidad de precio]],Tabla3[Medida],Tabla3[Equivalencia en Kg],"ELVIS",0)</f>
        <v>14.841332829428065</v>
      </c>
      <c r="M1353">
        <v>1376.3165203125</v>
      </c>
      <c r="N1353" s="2">
        <f>(Tabla2[[#This Row],[Productividad (kg/TAS)]]*Tabla2[[#This Row],[Precio por kg]]-Tabla2[[#This Row],[Costos (En RD$/Tarea)]])</f>
        <v>2798.7478156355946</v>
      </c>
      <c r="O1353" s="6">
        <f>IF(Tabla2[[#This Row],[Costos (En RD$/Tarea)]]=0,0,Tabla2[[#This Row],[Beneficio Neto  (En RD$/Tarea)]]/Tabla2[[#This Row],[Costos (En RD$/Tarea)]])</f>
        <v>2.0335059372825985</v>
      </c>
      <c r="P1353" s="4">
        <f>Tabla2[[#This Row],[Rentabilidad (%)]]/12</f>
        <v>0.1694588281068832</v>
      </c>
    </row>
    <row r="1354" spans="1:16" x14ac:dyDescent="0.35">
      <c r="A1354" s="1">
        <v>39934</v>
      </c>
      <c r="B1354" t="s">
        <v>27</v>
      </c>
      <c r="C1354" s="2">
        <v>6845</v>
      </c>
      <c r="D1354" s="5" t="s">
        <v>17</v>
      </c>
      <c r="E1354" s="2">
        <f>IF(Tabla2[[#This Row],[Frecuencia]]="Annual", Tabla2[[#This Row],[Cosecha/Tarea]]/12,Tabla2[[#This Row],[Cosecha/Tarea]])</f>
        <v>6845</v>
      </c>
      <c r="F1354" s="2">
        <v>53396</v>
      </c>
      <c r="G1354" t="s">
        <v>18</v>
      </c>
      <c r="H1354">
        <f>F1354/Tabla2[[#This Row],[Cosecha Mensual]]</f>
        <v>7.8007304601899197</v>
      </c>
      <c r="I1354">
        <f>H1354*_xlfn.XLOOKUP(Tabla2[[#This Row],[Unidad de producción]],Tabla3[Medida],Tabla3[Equivalencia en Kg],"ELVIS",0)</f>
        <v>353.84113367421475</v>
      </c>
      <c r="J1354">
        <v>239.25</v>
      </c>
      <c r="K1354" t="s">
        <v>18</v>
      </c>
      <c r="L1354">
        <f>J1354/_xlfn.XLOOKUP(Tabla2[[#This Row],[Unidad de precio]],Tabla3[Medida],Tabla3[Equivalencia en Kg],"ELVIS",0)</f>
        <v>5.2744708994708995</v>
      </c>
      <c r="M1354">
        <v>5690.0383784955002</v>
      </c>
      <c r="N1354" s="2">
        <f>(Tabla2[[#This Row],[Productividad (kg/TAS)]]*Tabla2[[#This Row],[Precio por kg]]-Tabla2[[#This Row],[Costos (En RD$/Tarea)]])</f>
        <v>-3823.713615895062</v>
      </c>
      <c r="O1354" s="6">
        <f>IF(Tabla2[[#This Row],[Costos (En RD$/Tarea)]]=0,0,Tabla2[[#This Row],[Beneficio Neto  (En RD$/Tarea)]]/Tabla2[[#This Row],[Costos (En RD$/Tarea)]])</f>
        <v>-0.67200137530638027</v>
      </c>
      <c r="P1354" s="4">
        <f>Tabla2[[#This Row],[Rentabilidad (%)]]/12</f>
        <v>-5.6000114608865025E-2</v>
      </c>
    </row>
    <row r="1355" spans="1:16" x14ac:dyDescent="0.35">
      <c r="A1355" s="1">
        <v>39934</v>
      </c>
      <c r="B1355" t="s">
        <v>28</v>
      </c>
      <c r="C1355" s="2">
        <v>365</v>
      </c>
      <c r="D1355" s="5" t="s">
        <v>17</v>
      </c>
      <c r="E1355" s="2">
        <f>IF(Tabla2[[#This Row],[Frecuencia]]="Annual", Tabla2[[#This Row],[Cosecha/Tarea]]/12,Tabla2[[#This Row],[Cosecha/Tarea]])</f>
        <v>365</v>
      </c>
      <c r="F1355" s="2">
        <v>1595</v>
      </c>
      <c r="G1355" t="s">
        <v>29</v>
      </c>
      <c r="H1355">
        <f>F1355/Tabla2[[#This Row],[Cosecha Mensual]]</f>
        <v>4.3698630136986303</v>
      </c>
      <c r="I1355">
        <f>H1355*_xlfn.XLOOKUP(Tabla2[[#This Row],[Unidad de producción]],Tabla3[Medida],Tabla3[Equivalencia en Kg],"ELVIS",0)</f>
        <v>2457.3487671232879</v>
      </c>
      <c r="J1355">
        <v>6500</v>
      </c>
      <c r="K1355" t="s">
        <v>29</v>
      </c>
      <c r="L1355">
        <f>J1355/_xlfn.XLOOKUP(Tabla2[[#This Row],[Unidad de precio]],Tabla3[Medida],Tabla3[Equivalencia en Kg],"ELVIS",0)</f>
        <v>11.558843404346124</v>
      </c>
      <c r="M1355">
        <v>5157.1623197653698</v>
      </c>
      <c r="N1355" s="2">
        <f>(Tabla2[[#This Row],[Productividad (kg/TAS)]]*Tabla2[[#This Row],[Precio por kg]]-Tabla2[[#This Row],[Costos (En RD$/Tarea)]])</f>
        <v>23246.947269275726</v>
      </c>
      <c r="O1355" s="6">
        <f>IF(Tabla2[[#This Row],[Costos (En RD$/Tarea)]]=0,0,Tabla2[[#This Row],[Beneficio Neto  (En RD$/Tarea)]]/Tabla2[[#This Row],[Costos (En RD$/Tarea)]])</f>
        <v>4.5077012953769833</v>
      </c>
      <c r="P1355" s="4">
        <f>Tabla2[[#This Row],[Rentabilidad (%)]]/12</f>
        <v>0.37564177461474862</v>
      </c>
    </row>
    <row r="1356" spans="1:16" x14ac:dyDescent="0.35">
      <c r="A1356" s="1">
        <v>39934</v>
      </c>
      <c r="B1356" t="s">
        <v>30</v>
      </c>
      <c r="C1356" s="2">
        <v>287757</v>
      </c>
      <c r="D1356" s="2" t="s">
        <v>31</v>
      </c>
      <c r="E1356" s="2">
        <f>IF(Tabla2[[#This Row],[Frecuencia]]="Annual", Tabla2[[#This Row],[Cosecha/Tarea]]/12,Tabla2[[#This Row],[Cosecha/Tarea]])</f>
        <v>23979.75</v>
      </c>
      <c r="F1356" s="2">
        <v>1944520</v>
      </c>
      <c r="G1356" t="s">
        <v>32</v>
      </c>
      <c r="H1356">
        <f>F1356/Tabla2[[#This Row],[Cosecha Mensual]]</f>
        <v>81.090086427089517</v>
      </c>
      <c r="I1356">
        <f>H1356*_xlfn.XLOOKUP(Tabla2[[#This Row],[Unidad de producción]],Tabla3[Medida],Tabla3[Equivalencia en Kg],"ELVIS",0)</f>
        <v>2206.4612516811058</v>
      </c>
      <c r="J1356">
        <v>105.454375</v>
      </c>
      <c r="K1356" t="s">
        <v>32</v>
      </c>
      <c r="L1356">
        <f>J1356/_xlfn.XLOOKUP(Tabla2[[#This Row],[Unidad de precio]],Tabla3[Medida],Tabla3[Equivalencia en Kg],"ELVIS",0)</f>
        <v>3.8755742374127156</v>
      </c>
      <c r="M1356" s="2">
        <v>9253.9447792029805</v>
      </c>
      <c r="N1356" s="2">
        <f>(Tabla2[[#This Row],[Productividad (kg/TAS)]]*Tabla2[[#This Row],[Precio por kg]]-Tabla2[[#This Row],[Costos (En RD$/Tarea)]])</f>
        <v>-702.64039633827269</v>
      </c>
      <c r="O1356" s="6">
        <f>IF(Tabla2[[#This Row],[Costos (En RD$/Tarea)]]=0,0,Tabla2[[#This Row],[Beneficio Neto  (En RD$/Tarea)]]/Tabla2[[#This Row],[Costos (En RD$/Tarea)]])</f>
        <v>-7.5928743157984285E-2</v>
      </c>
      <c r="P1356" s="4">
        <f>Tabla2[[#This Row],[Rentabilidad (%)]]/12</f>
        <v>-6.3273952631653571E-3</v>
      </c>
    </row>
    <row r="1357" spans="1:16" x14ac:dyDescent="0.35">
      <c r="A1357" s="1">
        <v>39934</v>
      </c>
      <c r="B1357" t="s">
        <v>33</v>
      </c>
      <c r="C1357" s="2">
        <v>674830</v>
      </c>
      <c r="D1357" s="2" t="s">
        <v>31</v>
      </c>
      <c r="E1357" s="2">
        <f>IF(Tabla2[[#This Row],[Frecuencia]]="Annual", Tabla2[[#This Row],[Cosecha/Tarea]]/12,Tabla2[[#This Row],[Cosecha/Tarea]])</f>
        <v>56235.833333333336</v>
      </c>
      <c r="F1357" s="2">
        <v>132473</v>
      </c>
      <c r="G1357" t="s">
        <v>34</v>
      </c>
      <c r="H1357">
        <f>F1357/Tabla2[[#This Row],[Cosecha Mensual]]</f>
        <v>2.3556688351140287</v>
      </c>
      <c r="I1357">
        <f>H1357*_xlfn.XLOOKUP(Tabla2[[#This Row],[Unidad de producción]],Tabla3[Medida],Tabla3[Equivalencia en Kg],"ELVIS",0)</f>
        <v>961.4662350517907</v>
      </c>
      <c r="J1357">
        <v>2617.5837499999998</v>
      </c>
      <c r="K1357" t="s">
        <v>34</v>
      </c>
      <c r="L1357">
        <f>J1357/_xlfn.XLOOKUP(Tabla2[[#This Row],[Unidad de precio]],Tabla3[Medida],Tabla3[Equivalencia en Kg],"ELVIS",0)</f>
        <v>6.41328861938013</v>
      </c>
      <c r="M1357" s="2">
        <v>8960.6721575976007</v>
      </c>
      <c r="N1357" s="2">
        <f>(Tabla2[[#This Row],[Productividad (kg/TAS)]]*Tabla2[[#This Row],[Precio por kg]]-Tabla2[[#This Row],[Costos (En RD$/Tarea)]])</f>
        <v>-2794.5116944216907</v>
      </c>
      <c r="O1357" s="6">
        <f>IF(Tabla2[[#This Row],[Costos (En RD$/Tarea)]]=0,0,Tabla2[[#This Row],[Beneficio Neto  (En RD$/Tarea)]]/Tabla2[[#This Row],[Costos (En RD$/Tarea)]])</f>
        <v>-0.31186407060459992</v>
      </c>
      <c r="P1357" s="4">
        <f>Tabla2[[#This Row],[Rentabilidad (%)]]/12</f>
        <v>-2.5988672550383327E-2</v>
      </c>
    </row>
    <row r="1358" spans="1:16" x14ac:dyDescent="0.35">
      <c r="A1358" s="1">
        <v>39965</v>
      </c>
      <c r="B1358" t="s">
        <v>16</v>
      </c>
      <c r="C1358" s="2">
        <v>252985</v>
      </c>
      <c r="D1358" s="5" t="s">
        <v>17</v>
      </c>
      <c r="E1358" s="2">
        <f>IF(Tabla2[[#This Row],[Frecuencia]]="Annual", Tabla2[[#This Row],[Cosecha/Tarea]]/12,Tabla2[[#This Row],[Cosecha/Tarea]])</f>
        <v>252985</v>
      </c>
      <c r="F1358" s="2">
        <v>1280856</v>
      </c>
      <c r="G1358" t="s">
        <v>18</v>
      </c>
      <c r="H1358">
        <f>F1358/Tabla2[[#This Row],[Cosecha Mensual]]</f>
        <v>5.0629721129711251</v>
      </c>
      <c r="I1358">
        <f>H1358*_xlfn.XLOOKUP(Tabla2[[#This Row],[Unidad de producción]],Tabla3[Medida],Tabla3[Equivalencia en Kg],"ELVIS",0)</f>
        <v>229.65641504437022</v>
      </c>
      <c r="J1358">
        <v>1883.2245988381701</v>
      </c>
      <c r="K1358" t="s">
        <v>19</v>
      </c>
      <c r="L1358">
        <f>J1358/_xlfn.XLOOKUP(Tabla2[[#This Row],[Unidad de precio]],Tabla3[Medida],Tabla3[Equivalencia en Kg],"ELVIS",0)</f>
        <v>17.120223625801547</v>
      </c>
      <c r="M1358">
        <v>6526.78</v>
      </c>
      <c r="N1358" s="2">
        <f>(Tabla2[[#This Row],[Productividad (kg/TAS)]]*Tabla2[[#This Row],[Precio por kg]]-Tabla2[[#This Row],[Costos (En RD$/Tarea)]])</f>
        <v>-2595.0108173404869</v>
      </c>
      <c r="O1358" s="6">
        <f>IF(Tabla2[[#This Row],[Costos (En RD$/Tarea)]]=0,0,Tabla2[[#This Row],[Beneficio Neto  (En RD$/Tarea)]]/Tabla2[[#This Row],[Costos (En RD$/Tarea)]])</f>
        <v>-0.39759434473668287</v>
      </c>
      <c r="P1358" s="4">
        <f>Tabla2[[#This Row],[Rentabilidad (%)]]/12</f>
        <v>-3.3132862061390239E-2</v>
      </c>
    </row>
    <row r="1359" spans="1:16" x14ac:dyDescent="0.35">
      <c r="A1359" s="1">
        <v>39965</v>
      </c>
      <c r="B1359" t="s">
        <v>20</v>
      </c>
      <c r="C1359" s="2">
        <v>24304</v>
      </c>
      <c r="D1359" s="5" t="s">
        <v>17</v>
      </c>
      <c r="E1359" s="2">
        <f>IF(Tabla2[[#This Row],[Frecuencia]]="Annual", Tabla2[[#This Row],[Cosecha/Tarea]]/12,Tabla2[[#This Row],[Cosecha/Tarea]])</f>
        <v>24304</v>
      </c>
      <c r="F1359" s="2">
        <v>78534</v>
      </c>
      <c r="G1359" t="s">
        <v>18</v>
      </c>
      <c r="H1359">
        <f>F1359/Tabla2[[#This Row],[Cosecha Mensual]]</f>
        <v>3.2313199473337724</v>
      </c>
      <c r="I1359">
        <f>H1359*_xlfn.XLOOKUP(Tabla2[[#This Row],[Unidad de producción]],Tabla3[Medida],Tabla3[Equivalencia en Kg],"ELVIS",0)</f>
        <v>146.5726728110599</v>
      </c>
      <c r="J1359">
        <v>636.9375</v>
      </c>
      <c r="K1359" t="s">
        <v>18</v>
      </c>
      <c r="L1359">
        <f>J1359/_xlfn.XLOOKUP(Tabla2[[#This Row],[Unidad de precio]],Tabla3[Medida],Tabla3[Equivalencia en Kg],"ELVIS",0)</f>
        <v>14.041832010582011</v>
      </c>
      <c r="M1359">
        <v>1590.1032460281599</v>
      </c>
      <c r="N1359" s="2">
        <f>(Tabla2[[#This Row],[Productividad (kg/TAS)]]*Tabla2[[#This Row],[Precio por kg]]-Tabla2[[#This Row],[Costos (En RD$/Tarea)]])</f>
        <v>468.04560292674478</v>
      </c>
      <c r="O1359" s="6">
        <f>IF(Tabla2[[#This Row],[Costos (En RD$/Tarea)]]=0,0,Tabla2[[#This Row],[Beneficio Neto  (En RD$/Tarea)]]/Tabla2[[#This Row],[Costos (En RD$/Tarea)]])</f>
        <v>0.29434919027796008</v>
      </c>
      <c r="P1359" s="4">
        <f>Tabla2[[#This Row],[Rentabilidad (%)]]/12</f>
        <v>2.4529099189830008E-2</v>
      </c>
    </row>
    <row r="1360" spans="1:16" x14ac:dyDescent="0.35">
      <c r="A1360" s="1">
        <v>39965</v>
      </c>
      <c r="B1360" t="s">
        <v>21</v>
      </c>
      <c r="C1360" s="2">
        <v>14634</v>
      </c>
      <c r="D1360" s="5" t="s">
        <v>17</v>
      </c>
      <c r="E1360" s="2">
        <f>IF(Tabla2[[#This Row],[Frecuencia]]="Annual", Tabla2[[#This Row],[Cosecha/Tarea]]/12,Tabla2[[#This Row],[Cosecha/Tarea]])</f>
        <v>14634</v>
      </c>
      <c r="F1360" s="2">
        <v>150288</v>
      </c>
      <c r="G1360" t="s">
        <v>18</v>
      </c>
      <c r="H1360">
        <f>F1360/Tabla2[[#This Row],[Cosecha Mensual]]</f>
        <v>10.269782697826978</v>
      </c>
      <c r="I1360">
        <f>H1360*_xlfn.XLOOKUP(Tabla2[[#This Row],[Unidad de producción]],Tabla3[Medida],Tabla3[Equivalencia en Kg],"ELVIS",0)</f>
        <v>465.83734317343169</v>
      </c>
      <c r="J1360">
        <v>269.13064285714302</v>
      </c>
      <c r="K1360" t="s">
        <v>18</v>
      </c>
      <c r="L1360">
        <f>J1360/_xlfn.XLOOKUP(Tabla2[[#This Row],[Unidad de precio]],Tabla3[Medida],Tabla3[Equivalencia en Kg],"ELVIS",0)</f>
        <v>5.9332152305366623</v>
      </c>
      <c r="M1360">
        <v>4038.1847174999998</v>
      </c>
      <c r="N1360" s="2">
        <f>(Tabla2[[#This Row],[Productividad (kg/TAS)]]*Tabla2[[#This Row],[Precio por kg]]-Tabla2[[#This Row],[Costos (En RD$/Tarea)]])</f>
        <v>-1274.271498030661</v>
      </c>
      <c r="O1360" s="6">
        <f>IF(Tabla2[[#This Row],[Costos (En RD$/Tarea)]]=0,0,Tabla2[[#This Row],[Beneficio Neto  (En RD$/Tarea)]]/Tabla2[[#This Row],[Costos (En RD$/Tarea)]])</f>
        <v>-0.31555552486453614</v>
      </c>
      <c r="P1360" s="4">
        <f>Tabla2[[#This Row],[Rentabilidad (%)]]/12</f>
        <v>-2.6296293738711344E-2</v>
      </c>
    </row>
    <row r="1361" spans="1:16" x14ac:dyDescent="0.35">
      <c r="A1361" s="1">
        <v>39965</v>
      </c>
      <c r="B1361" t="s">
        <v>22</v>
      </c>
      <c r="C1361" s="2">
        <v>4452</v>
      </c>
      <c r="D1361" s="5" t="s">
        <v>17</v>
      </c>
      <c r="E1361" s="2">
        <f>IF(Tabla2[[#This Row],[Frecuencia]]="Annual", Tabla2[[#This Row],[Cosecha/Tarea]]/12,Tabla2[[#This Row],[Cosecha/Tarea]])</f>
        <v>4452</v>
      </c>
      <c r="F1361" s="2">
        <v>45614</v>
      </c>
      <c r="G1361" t="s">
        <v>18</v>
      </c>
      <c r="H1361">
        <f>F1361/Tabla2[[#This Row],[Cosecha Mensual]]</f>
        <v>10.245732255166217</v>
      </c>
      <c r="I1361">
        <f>H1361*_xlfn.XLOOKUP(Tabla2[[#This Row],[Unidad de producción]],Tabla3[Medida],Tabla3[Equivalencia en Kg],"ELVIS",0)</f>
        <v>464.74641509433962</v>
      </c>
      <c r="J1361">
        <v>1122.7385714285699</v>
      </c>
      <c r="K1361" t="s">
        <v>18</v>
      </c>
      <c r="L1361">
        <f>J1361/_xlfn.XLOOKUP(Tabla2[[#This Row],[Unidad de precio]],Tabla3[Medida],Tabla3[Equivalencia en Kg],"ELVIS",0)</f>
        <v>24.75173217435119</v>
      </c>
      <c r="M1361">
        <v>7095.7961171999996</v>
      </c>
      <c r="N1361" s="2">
        <f>(Tabla2[[#This Row],[Productividad (kg/TAS)]]*Tabla2[[#This Row],[Precio por kg]]-Tabla2[[#This Row],[Costos (En RD$/Tarea)]])</f>
        <v>4407.4826782049404</v>
      </c>
      <c r="O1361" s="6">
        <f>IF(Tabla2[[#This Row],[Costos (En RD$/Tarea)]]=0,0,Tabla2[[#This Row],[Beneficio Neto  (En RD$/Tarea)]]/Tabla2[[#This Row],[Costos (En RD$/Tarea)]])</f>
        <v>0.62113998280211757</v>
      </c>
      <c r="P1361" s="4">
        <f>Tabla2[[#This Row],[Rentabilidad (%)]]/12</f>
        <v>5.17616652335098E-2</v>
      </c>
    </row>
    <row r="1362" spans="1:16" x14ac:dyDescent="0.35">
      <c r="A1362" s="1">
        <v>39965</v>
      </c>
      <c r="B1362" t="s">
        <v>23</v>
      </c>
      <c r="C1362" s="2">
        <v>2638</v>
      </c>
      <c r="D1362" s="5" t="s">
        <v>17</v>
      </c>
      <c r="E1362" s="2">
        <f>IF(Tabla2[[#This Row],[Frecuencia]]="Annual", Tabla2[[#This Row],[Cosecha/Tarea]]/12,Tabla2[[#This Row],[Cosecha/Tarea]])</f>
        <v>2638</v>
      </c>
      <c r="F1362" s="2">
        <v>96980</v>
      </c>
      <c r="G1362" t="s">
        <v>18</v>
      </c>
      <c r="H1362">
        <f>F1362/Tabla2[[#This Row],[Cosecha Mensual]]</f>
        <v>36.762699014404852</v>
      </c>
      <c r="I1362">
        <f>H1362*_xlfn.XLOOKUP(Tabla2[[#This Row],[Unidad de producción]],Tabla3[Medida],Tabla3[Equivalencia en Kg],"ELVIS",0)</f>
        <v>1667.556027293404</v>
      </c>
      <c r="J1362">
        <v>494.81599999999997</v>
      </c>
      <c r="K1362" t="s">
        <v>18</v>
      </c>
      <c r="L1362">
        <f>J1362/_xlfn.XLOOKUP(Tabla2[[#This Row],[Unidad de precio]],Tabla3[Medida],Tabla3[Equivalencia en Kg],"ELVIS",0)</f>
        <v>10.908641975308642</v>
      </c>
      <c r="M1362">
        <v>17661.808667508602</v>
      </c>
      <c r="N1362" s="2">
        <f>(Tabla2[[#This Row],[Productividad (kg/TAS)]]*Tabla2[[#This Row],[Precio por kg]]-Tabla2[[#This Row],[Costos (En RD$/Tarea)]])</f>
        <v>528.9630080031493</v>
      </c>
      <c r="O1362" s="6">
        <f>IF(Tabla2[[#This Row],[Costos (En RD$/Tarea)]]=0,0,Tabla2[[#This Row],[Beneficio Neto  (En RD$/Tarea)]]/Tabla2[[#This Row],[Costos (En RD$/Tarea)]])</f>
        <v>2.9949537896209445E-2</v>
      </c>
      <c r="P1362" s="4">
        <f>Tabla2[[#This Row],[Rentabilidad (%)]]/12</f>
        <v>2.4957948246841204E-3</v>
      </c>
    </row>
    <row r="1363" spans="1:16" x14ac:dyDescent="0.35">
      <c r="A1363" s="1">
        <v>39965</v>
      </c>
      <c r="B1363" t="s">
        <v>24</v>
      </c>
      <c r="C1363" s="2">
        <v>5246</v>
      </c>
      <c r="D1363" s="5" t="s">
        <v>17</v>
      </c>
      <c r="E1363" s="2">
        <f>IF(Tabla2[[#This Row],[Frecuencia]]="Annual", Tabla2[[#This Row],[Cosecha/Tarea]]/12,Tabla2[[#This Row],[Cosecha/Tarea]])</f>
        <v>5246</v>
      </c>
      <c r="F1363" s="2">
        <v>49185</v>
      </c>
      <c r="G1363" t="s">
        <v>18</v>
      </c>
      <c r="H1363">
        <f>F1363/Tabla2[[#This Row],[Cosecha Mensual]]</f>
        <v>9.3757148303469311</v>
      </c>
      <c r="I1363">
        <f>H1363*_xlfn.XLOOKUP(Tabla2[[#This Row],[Unidad de producción]],Tabla3[Medida],Tabla3[Equivalencia en Kg],"ELVIS",0)</f>
        <v>425.28242470453677</v>
      </c>
      <c r="J1363">
        <v>1163.0957142857101</v>
      </c>
      <c r="K1363" t="s">
        <v>18</v>
      </c>
      <c r="L1363">
        <f>J1363/_xlfn.XLOOKUP(Tabla2[[#This Row],[Unidad de precio]],Tabla3[Medida],Tabla3[Equivalencia en Kg],"ELVIS",0)</f>
        <v>25.64143990929696</v>
      </c>
      <c r="M1363">
        <v>5745.6881190335998</v>
      </c>
      <c r="N1363" s="2">
        <f>(Tabla2[[#This Row],[Productividad (kg/TAS)]]*Tabla2[[#This Row],[Precio por kg]]-Tabla2[[#This Row],[Costos (En RD$/Tarea)]])</f>
        <v>5159.1656185078891</v>
      </c>
      <c r="O1363" s="6">
        <f>IF(Tabla2[[#This Row],[Costos (En RD$/Tarea)]]=0,0,Tabla2[[#This Row],[Beneficio Neto  (En RD$/Tarea)]]/Tabla2[[#This Row],[Costos (En RD$/Tarea)]])</f>
        <v>0.89791953750800502</v>
      </c>
      <c r="P1363" s="4">
        <f>Tabla2[[#This Row],[Rentabilidad (%)]]/12</f>
        <v>7.482662812566708E-2</v>
      </c>
    </row>
    <row r="1364" spans="1:16" x14ac:dyDescent="0.35">
      <c r="A1364" s="1">
        <v>39965</v>
      </c>
      <c r="B1364" t="s">
        <v>25</v>
      </c>
      <c r="C1364" s="2">
        <v>28578</v>
      </c>
      <c r="D1364" s="5" t="s">
        <v>17</v>
      </c>
      <c r="E1364" s="2">
        <f>IF(Tabla2[[#This Row],[Frecuencia]]="Annual", Tabla2[[#This Row],[Cosecha/Tarea]]/12,Tabla2[[#This Row],[Cosecha/Tarea]])</f>
        <v>28578</v>
      </c>
      <c r="F1364" s="2">
        <v>270617</v>
      </c>
      <c r="G1364" t="s">
        <v>18</v>
      </c>
      <c r="H1364">
        <f>F1364/Tabla2[[#This Row],[Cosecha Mensual]]</f>
        <v>9.4694170340821611</v>
      </c>
      <c r="I1364">
        <f>H1364*_xlfn.XLOOKUP(Tabla2[[#This Row],[Unidad de producción]],Tabla3[Medida],Tabla3[Equivalencia en Kg],"ELVIS",0)</f>
        <v>429.53275666596682</v>
      </c>
      <c r="J1364">
        <v>647.52125000000001</v>
      </c>
      <c r="K1364" t="s">
        <v>18</v>
      </c>
      <c r="L1364">
        <f>J1364/_xlfn.XLOOKUP(Tabla2[[#This Row],[Unidad de precio]],Tabla3[Medida],Tabla3[Equivalencia en Kg],"ELVIS",0)</f>
        <v>14.2751598324515</v>
      </c>
      <c r="M1364">
        <v>3380.6681837157598</v>
      </c>
      <c r="N1364" s="2">
        <f>(Tabla2[[#This Row],[Productividad (kg/TAS)]]*Tabla2[[#This Row],[Precio por kg]]-Tabla2[[#This Row],[Costos (En RD$/Tarea)]])</f>
        <v>2750.9805709644138</v>
      </c>
      <c r="O1364" s="6">
        <f>IF(Tabla2[[#This Row],[Costos (En RD$/Tarea)]]=0,0,Tabla2[[#This Row],[Beneficio Neto  (En RD$/Tarea)]]/Tabla2[[#This Row],[Costos (En RD$/Tarea)]])</f>
        <v>0.8137387112451705</v>
      </c>
      <c r="P1364" s="4">
        <f>Tabla2[[#This Row],[Rentabilidad (%)]]/12</f>
        <v>6.7811559270430879E-2</v>
      </c>
    </row>
    <row r="1365" spans="1:16" x14ac:dyDescent="0.35">
      <c r="A1365" s="1">
        <v>39965</v>
      </c>
      <c r="B1365" t="s">
        <v>26</v>
      </c>
      <c r="C1365" s="2">
        <v>10778</v>
      </c>
      <c r="D1365" s="5" t="s">
        <v>17</v>
      </c>
      <c r="E1365" s="2">
        <f>IF(Tabla2[[#This Row],[Frecuencia]]="Annual", Tabla2[[#This Row],[Cosecha/Tarea]]/12,Tabla2[[#This Row],[Cosecha/Tarea]])</f>
        <v>10778</v>
      </c>
      <c r="F1365" s="2">
        <v>57098</v>
      </c>
      <c r="G1365" t="s">
        <v>18</v>
      </c>
      <c r="H1365">
        <f>F1365/Tabla2[[#This Row],[Cosecha Mensual]]</f>
        <v>5.2976433475598439</v>
      </c>
      <c r="I1365">
        <f>H1365*_xlfn.XLOOKUP(Tabla2[[#This Row],[Unidad de producción]],Tabla3[Medida],Tabla3[Equivalencia en Kg],"ELVIS",0)</f>
        <v>240.30110224531452</v>
      </c>
      <c r="J1365">
        <v>547.70000000000005</v>
      </c>
      <c r="K1365" t="s">
        <v>18</v>
      </c>
      <c r="L1365">
        <f>J1365/_xlfn.XLOOKUP(Tabla2[[#This Row],[Unidad de precio]],Tabla3[Medida],Tabla3[Equivalencia en Kg],"ELVIS",0)</f>
        <v>12.074514991181658</v>
      </c>
      <c r="M1365">
        <v>1376.3165203125</v>
      </c>
      <c r="N1365" s="2">
        <f>(Tabla2[[#This Row],[Productividad (kg/TAS)]]*Tabla2[[#This Row],[Precio por kg]]-Tabla2[[#This Row],[Costos (En RD$/Tarea)]])</f>
        <v>1525.2027411460267</v>
      </c>
      <c r="O1365" s="6">
        <f>IF(Tabla2[[#This Row],[Costos (En RD$/Tarea)]]=0,0,Tabla2[[#This Row],[Beneficio Neto  (En RD$/Tarea)]]/Tabla2[[#This Row],[Costos (En RD$/Tarea)]])</f>
        <v>1.1081773114223183</v>
      </c>
      <c r="P1365" s="4">
        <f>Tabla2[[#This Row],[Rentabilidad (%)]]/12</f>
        <v>9.23481092851932E-2</v>
      </c>
    </row>
    <row r="1366" spans="1:16" x14ac:dyDescent="0.35">
      <c r="A1366" s="1">
        <v>39965</v>
      </c>
      <c r="B1366" t="s">
        <v>27</v>
      </c>
      <c r="C1366" s="2">
        <v>7686</v>
      </c>
      <c r="D1366" s="5" t="s">
        <v>17</v>
      </c>
      <c r="E1366" s="2">
        <f>IF(Tabla2[[#This Row],[Frecuencia]]="Annual", Tabla2[[#This Row],[Cosecha/Tarea]]/12,Tabla2[[#This Row],[Cosecha/Tarea]])</f>
        <v>7686</v>
      </c>
      <c r="F1366" s="2">
        <v>57463</v>
      </c>
      <c r="G1366" t="s">
        <v>18</v>
      </c>
      <c r="H1366">
        <f>F1366/Tabla2[[#This Row],[Cosecha Mensual]]</f>
        <v>7.4763205828779595</v>
      </c>
      <c r="I1366">
        <f>H1366*_xlfn.XLOOKUP(Tabla2[[#This Row],[Unidad de producción]],Tabla3[Medida],Tabla3[Equivalencia en Kg],"ELVIS",0)</f>
        <v>339.12590163934425</v>
      </c>
      <c r="J1366">
        <v>229.29061999999999</v>
      </c>
      <c r="K1366" t="s">
        <v>18</v>
      </c>
      <c r="L1366">
        <f>J1366/_xlfn.XLOOKUP(Tabla2[[#This Row],[Unidad de precio]],Tabla3[Medida],Tabla3[Equivalencia en Kg],"ELVIS",0)</f>
        <v>5.0549078483245147</v>
      </c>
      <c r="M1366">
        <v>5690.0383784955002</v>
      </c>
      <c r="N1366" s="2">
        <f>(Tabla2[[#This Row],[Productividad (kg/TAS)]]*Tabla2[[#This Row],[Precio por kg]]-Tabla2[[#This Row],[Costos (En RD$/Tarea)]])</f>
        <v>-3975.7881967286512</v>
      </c>
      <c r="O1366" s="6">
        <f>IF(Tabla2[[#This Row],[Costos (En RD$/Tarea)]]=0,0,Tabla2[[#This Row],[Beneficio Neto  (En RD$/Tarea)]]/Tabla2[[#This Row],[Costos (En RD$/Tarea)]])</f>
        <v>-0.69872783490432044</v>
      </c>
      <c r="P1366" s="4">
        <f>Tabla2[[#This Row],[Rentabilidad (%)]]/12</f>
        <v>-5.8227319575360037E-2</v>
      </c>
    </row>
    <row r="1367" spans="1:16" x14ac:dyDescent="0.35">
      <c r="A1367" s="1">
        <v>39965</v>
      </c>
      <c r="B1367" t="s">
        <v>28</v>
      </c>
      <c r="C1367" s="2">
        <v>453</v>
      </c>
      <c r="D1367" s="5" t="s">
        <v>17</v>
      </c>
      <c r="E1367" s="2">
        <f>IF(Tabla2[[#This Row],[Frecuencia]]="Annual", Tabla2[[#This Row],[Cosecha/Tarea]]/12,Tabla2[[#This Row],[Cosecha/Tarea]])</f>
        <v>453</v>
      </c>
      <c r="F1367" s="2">
        <v>457</v>
      </c>
      <c r="G1367" t="s">
        <v>29</v>
      </c>
      <c r="H1367">
        <f>F1367/Tabla2[[#This Row],[Cosecha Mensual]]</f>
        <v>1.0088300220750552</v>
      </c>
      <c r="I1367">
        <f>H1367*_xlfn.XLOOKUP(Tabla2[[#This Row],[Unidad de producción]],Tabla3[Medida],Tabla3[Equivalencia en Kg],"ELVIS",0)</f>
        <v>567.30547461368656</v>
      </c>
      <c r="J1367">
        <v>6351.5</v>
      </c>
      <c r="K1367" t="s">
        <v>29</v>
      </c>
      <c r="L1367">
        <f>J1367/_xlfn.XLOOKUP(Tabla2[[#This Row],[Unidad de precio]],Tabla3[Medida],Tabla3[Equivalencia en Kg],"ELVIS",0)</f>
        <v>11.294768289646832</v>
      </c>
      <c r="M1367">
        <v>5157.1623197653698</v>
      </c>
      <c r="N1367" s="2">
        <f>(Tabla2[[#This Row],[Productividad (kg/TAS)]]*Tabla2[[#This Row],[Precio por kg]]-Tabla2[[#This Row],[Costos (En RD$/Tarea)]])</f>
        <v>1250.4215654443433</v>
      </c>
      <c r="O1367" s="6">
        <f>IF(Tabla2[[#This Row],[Costos (En RD$/Tarea)]]=0,0,Tabla2[[#This Row],[Beneficio Neto  (En RD$/Tarea)]]/Tabla2[[#This Row],[Costos (En RD$/Tarea)]])</f>
        <v>0.24246310042481511</v>
      </c>
      <c r="P1367" s="4">
        <f>Tabla2[[#This Row],[Rentabilidad (%)]]/12</f>
        <v>2.0205258368734592E-2</v>
      </c>
    </row>
    <row r="1368" spans="1:16" x14ac:dyDescent="0.35">
      <c r="A1368" s="1">
        <v>39965</v>
      </c>
      <c r="B1368" t="s">
        <v>30</v>
      </c>
      <c r="C1368" s="2">
        <v>291474</v>
      </c>
      <c r="D1368" s="2" t="s">
        <v>31</v>
      </c>
      <c r="E1368" s="2">
        <f>IF(Tabla2[[#This Row],[Frecuencia]]="Annual", Tabla2[[#This Row],[Cosecha/Tarea]]/12,Tabla2[[#This Row],[Cosecha/Tarea]])</f>
        <v>24289.5</v>
      </c>
      <c r="F1368" s="2">
        <v>2161633</v>
      </c>
      <c r="G1368" t="s">
        <v>32</v>
      </c>
      <c r="H1368">
        <f>F1368/Tabla2[[#This Row],[Cosecha Mensual]]</f>
        <v>88.994544967990279</v>
      </c>
      <c r="I1368">
        <f>H1368*_xlfn.XLOOKUP(Tabla2[[#This Row],[Unidad de producción]],Tabla3[Medida],Tabla3[Equivalencia en Kg],"ELVIS",0)</f>
        <v>2421.5415685790158</v>
      </c>
      <c r="J1368">
        <v>105.06874999999999</v>
      </c>
      <c r="K1368" t="s">
        <v>32</v>
      </c>
      <c r="L1368">
        <f>J1368/_xlfn.XLOOKUP(Tabla2[[#This Row],[Unidad de precio]],Tabla3[Medida],Tabla3[Equivalencia en Kg],"ELVIS",0)</f>
        <v>3.8614020580668869</v>
      </c>
      <c r="M1368" s="2">
        <v>9253.9447792029805</v>
      </c>
      <c r="N1368" s="2">
        <f>(Tabla2[[#This Row],[Productividad (kg/TAS)]]*Tabla2[[#This Row],[Precio por kg]]-Tabla2[[#This Row],[Costos (En RD$/Tarea)]])</f>
        <v>96.600817402548273</v>
      </c>
      <c r="O1368" s="6">
        <f>IF(Tabla2[[#This Row],[Costos (En RD$/Tarea)]]=0,0,Tabla2[[#This Row],[Beneficio Neto  (En RD$/Tarea)]]/Tabla2[[#This Row],[Costos (En RD$/Tarea)]])</f>
        <v>1.0438879819084923E-2</v>
      </c>
      <c r="P1368" s="4">
        <f>Tabla2[[#This Row],[Rentabilidad (%)]]/12</f>
        <v>8.6990665159041025E-4</v>
      </c>
    </row>
    <row r="1369" spans="1:16" x14ac:dyDescent="0.35">
      <c r="A1369" s="1">
        <v>39965</v>
      </c>
      <c r="B1369" t="s">
        <v>33</v>
      </c>
      <c r="C1369" s="2">
        <v>680230</v>
      </c>
      <c r="D1369" s="2" t="s">
        <v>31</v>
      </c>
      <c r="E1369" s="2">
        <f>IF(Tabla2[[#This Row],[Frecuencia]]="Annual", Tabla2[[#This Row],[Cosecha/Tarea]]/12,Tabla2[[#This Row],[Cosecha/Tarea]])</f>
        <v>56685.833333333336</v>
      </c>
      <c r="F1369" s="2">
        <v>133308</v>
      </c>
      <c r="G1369" t="s">
        <v>34</v>
      </c>
      <c r="H1369">
        <f>F1369/Tabla2[[#This Row],[Cosecha Mensual]]</f>
        <v>2.3516986901489201</v>
      </c>
      <c r="I1369">
        <f>H1369*_xlfn.XLOOKUP(Tabla2[[#This Row],[Unidad de producción]],Tabla3[Medida],Tabla3[Equivalencia en Kg],"ELVIS",0)</f>
        <v>959.84582038428164</v>
      </c>
      <c r="J1369">
        <v>2506.9899999999998</v>
      </c>
      <c r="K1369" t="s">
        <v>34</v>
      </c>
      <c r="L1369">
        <f>J1369/_xlfn.XLOOKUP(Tabla2[[#This Row],[Unidad de precio]],Tabla3[Medida],Tabla3[Equivalencia en Kg],"ELVIS",0)</f>
        <v>6.1423251255665807</v>
      </c>
      <c r="M1369" s="2">
        <v>8960.6721575976007</v>
      </c>
      <c r="N1369" s="2">
        <f>(Tabla2[[#This Row],[Productividad (kg/TAS)]]*Tabla2[[#This Row],[Precio por kg]]-Tabla2[[#This Row],[Costos (En RD$/Tarea)]])</f>
        <v>-3064.9870583811608</v>
      </c>
      <c r="O1369" s="6">
        <f>IF(Tabla2[[#This Row],[Costos (En RD$/Tarea)]]=0,0,Tabla2[[#This Row],[Beneficio Neto  (En RD$/Tarea)]]/Tabla2[[#This Row],[Costos (En RD$/Tarea)]])</f>
        <v>-0.34204878880457762</v>
      </c>
      <c r="P1369" s="4">
        <f>Tabla2[[#This Row],[Rentabilidad (%)]]/12</f>
        <v>-2.8504065733714803E-2</v>
      </c>
    </row>
    <row r="1370" spans="1:16" x14ac:dyDescent="0.35">
      <c r="A1370" s="1">
        <v>39995</v>
      </c>
      <c r="B1370" t="s">
        <v>16</v>
      </c>
      <c r="C1370" s="2">
        <v>170092</v>
      </c>
      <c r="D1370" s="5" t="s">
        <v>17</v>
      </c>
      <c r="E1370" s="2">
        <f>IF(Tabla2[[#This Row],[Frecuencia]]="Annual", Tabla2[[#This Row],[Cosecha/Tarea]]/12,Tabla2[[#This Row],[Cosecha/Tarea]])</f>
        <v>170092</v>
      </c>
      <c r="F1370" s="2">
        <v>859035</v>
      </c>
      <c r="G1370" t="s">
        <v>18</v>
      </c>
      <c r="H1370">
        <f>F1370/Tabla2[[#This Row],[Cosecha Mensual]]</f>
        <v>5.0504138936575504</v>
      </c>
      <c r="I1370">
        <f>H1370*_xlfn.XLOOKUP(Tabla2[[#This Row],[Unidad de producción]],Tabla3[Medida],Tabla3[Equivalencia en Kg],"ELVIS",0)</f>
        <v>229.08677421630648</v>
      </c>
      <c r="J1370">
        <v>2041.59760597542</v>
      </c>
      <c r="K1370" t="s">
        <v>19</v>
      </c>
      <c r="L1370">
        <f>J1370/_xlfn.XLOOKUP(Tabla2[[#This Row],[Unidad de precio]],Tabla3[Medida],Tabla3[Equivalencia en Kg],"ELVIS",0)</f>
        <v>18.559978236140182</v>
      </c>
      <c r="M1370">
        <v>6526.78</v>
      </c>
      <c r="N1370" s="2">
        <f>(Tabla2[[#This Row],[Productividad (kg/TAS)]]*Tabla2[[#This Row],[Precio por kg]]-Tabla2[[#This Row],[Costos (En RD$/Tarea)]])</f>
        <v>-2274.9344563577915</v>
      </c>
      <c r="O1370" s="6">
        <f>IF(Tabla2[[#This Row],[Costos (En RD$/Tarea)]]=0,0,Tabla2[[#This Row],[Beneficio Neto  (En RD$/Tarea)]]/Tabla2[[#This Row],[Costos (En RD$/Tarea)]])</f>
        <v>-0.3485538744002083</v>
      </c>
      <c r="P1370" s="4">
        <f>Tabla2[[#This Row],[Rentabilidad (%)]]/12</f>
        <v>-2.9046156200017357E-2</v>
      </c>
    </row>
    <row r="1371" spans="1:16" x14ac:dyDescent="0.35">
      <c r="A1371" s="1">
        <v>39995</v>
      </c>
      <c r="B1371" t="s">
        <v>20</v>
      </c>
      <c r="C1371" s="2">
        <v>47551</v>
      </c>
      <c r="D1371" s="5" t="s">
        <v>17</v>
      </c>
      <c r="E1371" s="2">
        <f>IF(Tabla2[[#This Row],[Frecuencia]]="Annual", Tabla2[[#This Row],[Cosecha/Tarea]]/12,Tabla2[[#This Row],[Cosecha/Tarea]])</f>
        <v>47551</v>
      </c>
      <c r="F1371" s="2">
        <v>114033</v>
      </c>
      <c r="G1371" t="s">
        <v>18</v>
      </c>
      <c r="H1371">
        <f>F1371/Tabla2[[#This Row],[Cosecha Mensual]]</f>
        <v>2.3981199133561861</v>
      </c>
      <c r="I1371">
        <f>H1371*_xlfn.XLOOKUP(Tabla2[[#This Row],[Unidad de producción]],Tabla3[Medida],Tabla3[Equivalencia en Kg],"ELVIS",0)</f>
        <v>108.7787192698366</v>
      </c>
      <c r="J1371">
        <v>621.34875</v>
      </c>
      <c r="K1371" t="s">
        <v>18</v>
      </c>
      <c r="L1371">
        <f>J1371/_xlfn.XLOOKUP(Tabla2[[#This Row],[Unidad de precio]],Tabla3[Medida],Tabla3[Equivalencia en Kg],"ELVIS",0)</f>
        <v>13.698164682539682</v>
      </c>
      <c r="M1371">
        <v>1590.1032460281599</v>
      </c>
      <c r="N1371" s="2">
        <f>(Tabla2[[#This Row],[Productividad (kg/TAS)]]*Tabla2[[#This Row],[Precio por kg]]-Tabla2[[#This Row],[Costos (En RD$/Tarea)]])</f>
        <v>-100.03443551418536</v>
      </c>
      <c r="O1371" s="6">
        <f>IF(Tabla2[[#This Row],[Costos (En RD$/Tarea)]]=0,0,Tabla2[[#This Row],[Beneficio Neto  (En RD$/Tarea)]]/Tabla2[[#This Row],[Costos (En RD$/Tarea)]])</f>
        <v>-6.2910654238368752E-2</v>
      </c>
      <c r="P1371" s="4">
        <f>Tabla2[[#This Row],[Rentabilidad (%)]]/12</f>
        <v>-5.2425545198640624E-3</v>
      </c>
    </row>
    <row r="1372" spans="1:16" x14ac:dyDescent="0.35">
      <c r="A1372" s="1">
        <v>39995</v>
      </c>
      <c r="B1372" t="s">
        <v>21</v>
      </c>
      <c r="C1372" s="2">
        <v>5761</v>
      </c>
      <c r="D1372" s="5" t="s">
        <v>17</v>
      </c>
      <c r="E1372" s="2">
        <f>IF(Tabla2[[#This Row],[Frecuencia]]="Annual", Tabla2[[#This Row],[Cosecha/Tarea]]/12,Tabla2[[#This Row],[Cosecha/Tarea]])</f>
        <v>5761</v>
      </c>
      <c r="F1372" s="2">
        <v>58763</v>
      </c>
      <c r="G1372" t="s">
        <v>18</v>
      </c>
      <c r="H1372">
        <f>F1372/Tabla2[[#This Row],[Cosecha Mensual]]</f>
        <v>10.200138864780421</v>
      </c>
      <c r="I1372">
        <f>H1372*_xlfn.XLOOKUP(Tabla2[[#This Row],[Unidad de producción]],Tabla3[Medida],Tabla3[Equivalencia en Kg],"ELVIS",0)</f>
        <v>462.67829890643986</v>
      </c>
      <c r="J1372">
        <v>384.98928571428598</v>
      </c>
      <c r="K1372" t="s">
        <v>18</v>
      </c>
      <c r="L1372">
        <f>J1372/_xlfn.XLOOKUP(Tabla2[[#This Row],[Unidad de precio]],Tabla3[Medida],Tabla3[Equivalencia en Kg],"ELVIS",0)</f>
        <v>8.4874181153943127</v>
      </c>
      <c r="M1372">
        <v>4038.1847174999998</v>
      </c>
      <c r="N1372" s="2">
        <f>(Tabla2[[#This Row],[Productividad (kg/TAS)]]*Tabla2[[#This Row],[Precio por kg]]-Tabla2[[#This Row],[Costos (En RD$/Tarea)]])</f>
        <v>-111.24054176165737</v>
      </c>
      <c r="O1372" s="6">
        <f>IF(Tabla2[[#This Row],[Costos (En RD$/Tarea)]]=0,0,Tabla2[[#This Row],[Beneficio Neto  (En RD$/Tarea)]]/Tabla2[[#This Row],[Costos (En RD$/Tarea)]])</f>
        <v>-2.7547165259573684E-2</v>
      </c>
      <c r="P1372" s="4">
        <f>Tabla2[[#This Row],[Rentabilidad (%)]]/12</f>
        <v>-2.2955971049644737E-3</v>
      </c>
    </row>
    <row r="1373" spans="1:16" x14ac:dyDescent="0.35">
      <c r="A1373" s="1">
        <v>39995</v>
      </c>
      <c r="B1373" t="s">
        <v>22</v>
      </c>
      <c r="C1373" s="2">
        <v>3716</v>
      </c>
      <c r="D1373" s="5" t="s">
        <v>17</v>
      </c>
      <c r="E1373" s="2">
        <f>IF(Tabla2[[#This Row],[Frecuencia]]="Annual", Tabla2[[#This Row],[Cosecha/Tarea]]/12,Tabla2[[#This Row],[Cosecha/Tarea]])</f>
        <v>3716</v>
      </c>
      <c r="F1373" s="2">
        <v>35586</v>
      </c>
      <c r="G1373" t="s">
        <v>18</v>
      </c>
      <c r="H1373">
        <f>F1373/Tabla2[[#This Row],[Cosecha Mensual]]</f>
        <v>9.5764262648008618</v>
      </c>
      <c r="I1373">
        <f>H1373*_xlfn.XLOOKUP(Tabla2[[#This Row],[Unidad de producción]],Tabla3[Medida],Tabla3[Equivalencia en Kg],"ELVIS",0)</f>
        <v>434.38669537136707</v>
      </c>
      <c r="J1373">
        <v>1103</v>
      </c>
      <c r="K1373" t="s">
        <v>18</v>
      </c>
      <c r="L1373">
        <f>J1373/_xlfn.XLOOKUP(Tabla2[[#This Row],[Unidad de precio]],Tabla3[Medida],Tabla3[Equivalencia en Kg],"ELVIS",0)</f>
        <v>24.316578483245149</v>
      </c>
      <c r="M1373">
        <v>7095.7961171999996</v>
      </c>
      <c r="N1373" s="2">
        <f>(Tabla2[[#This Row],[Productividad (kg/TAS)]]*Tabla2[[#This Row],[Precio por kg]]-Tabla2[[#This Row],[Costos (En RD$/Tarea)]])</f>
        <v>3467.0020528753503</v>
      </c>
      <c r="O1373" s="6">
        <f>IF(Tabla2[[#This Row],[Costos (En RD$/Tarea)]]=0,0,Tabla2[[#This Row],[Beneficio Neto  (En RD$/Tarea)]]/Tabla2[[#This Row],[Costos (En RD$/Tarea)]])</f>
        <v>0.48859944615255224</v>
      </c>
      <c r="P1373" s="4">
        <f>Tabla2[[#This Row],[Rentabilidad (%)]]/12</f>
        <v>4.0716620512712687E-2</v>
      </c>
    </row>
    <row r="1374" spans="1:16" x14ac:dyDescent="0.35">
      <c r="A1374" s="1">
        <v>39995</v>
      </c>
      <c r="B1374" t="s">
        <v>23</v>
      </c>
      <c r="C1374" s="2">
        <v>1507</v>
      </c>
      <c r="D1374" s="5" t="s">
        <v>17</v>
      </c>
      <c r="E1374" s="2">
        <f>IF(Tabla2[[#This Row],[Frecuencia]]="Annual", Tabla2[[#This Row],[Cosecha/Tarea]]/12,Tabla2[[#This Row],[Cosecha/Tarea]])</f>
        <v>1507</v>
      </c>
      <c r="F1374" s="2">
        <v>15730</v>
      </c>
      <c r="G1374" t="s">
        <v>18</v>
      </c>
      <c r="H1374">
        <f>F1374/Tabla2[[#This Row],[Cosecha Mensual]]</f>
        <v>10.437956204379562</v>
      </c>
      <c r="I1374">
        <f>H1374*_xlfn.XLOOKUP(Tabla2[[#This Row],[Unidad de producción]],Tabla3[Medida],Tabla3[Equivalencia en Kg],"ELVIS",0)</f>
        <v>473.46569343065693</v>
      </c>
      <c r="J1374">
        <v>584.375</v>
      </c>
      <c r="K1374" t="s">
        <v>18</v>
      </c>
      <c r="L1374">
        <f>J1374/_xlfn.XLOOKUP(Tabla2[[#This Row],[Unidad de precio]],Tabla3[Medida],Tabla3[Equivalencia en Kg],"ELVIS",0)</f>
        <v>12.883046737213403</v>
      </c>
      <c r="M1374">
        <v>17661.808667508602</v>
      </c>
      <c r="N1374" s="2">
        <f>(Tabla2[[#This Row],[Productividad (kg/TAS)]]*Tabla2[[#This Row],[Precio por kg]]-Tabla2[[#This Row],[Costos (En RD$/Tarea)]])</f>
        <v>-11562.128010574295</v>
      </c>
      <c r="O1374" s="6">
        <f>IF(Tabla2[[#This Row],[Costos (En RD$/Tarea)]]=0,0,Tabla2[[#This Row],[Beneficio Neto  (En RD$/Tarea)]]/Tabla2[[#This Row],[Costos (En RD$/Tarea)]])</f>
        <v>-0.65464008971201615</v>
      </c>
      <c r="P1374" s="4">
        <f>Tabla2[[#This Row],[Rentabilidad (%)]]/12</f>
        <v>-5.4553340809334681E-2</v>
      </c>
    </row>
    <row r="1375" spans="1:16" x14ac:dyDescent="0.35">
      <c r="A1375" s="1">
        <v>39995</v>
      </c>
      <c r="B1375" t="s">
        <v>24</v>
      </c>
      <c r="C1375" s="2">
        <v>3846</v>
      </c>
      <c r="D1375" s="5" t="s">
        <v>17</v>
      </c>
      <c r="E1375" s="2">
        <f>IF(Tabla2[[#This Row],[Frecuencia]]="Annual", Tabla2[[#This Row],[Cosecha/Tarea]]/12,Tabla2[[#This Row],[Cosecha/Tarea]])</f>
        <v>3846</v>
      </c>
      <c r="F1375" s="2">
        <v>36674</v>
      </c>
      <c r="G1375" t="s">
        <v>18</v>
      </c>
      <c r="H1375">
        <f>F1375/Tabla2[[#This Row],[Cosecha Mensual]]</f>
        <v>9.5356214248569948</v>
      </c>
      <c r="I1375">
        <f>H1375*_xlfn.XLOOKUP(Tabla2[[#This Row],[Unidad de producción]],Tabla3[Medida],Tabla3[Equivalencia en Kg],"ELVIS",0)</f>
        <v>432.53578783151329</v>
      </c>
      <c r="J1375">
        <v>1170.20875</v>
      </c>
      <c r="K1375" t="s">
        <v>18</v>
      </c>
      <c r="L1375">
        <f>J1375/_xlfn.XLOOKUP(Tabla2[[#This Row],[Unidad de precio]],Tabla3[Medida],Tabla3[Equivalencia en Kg],"ELVIS",0)</f>
        <v>25.798252865961199</v>
      </c>
      <c r="M1375">
        <v>5745.6881190335998</v>
      </c>
      <c r="N1375" s="2">
        <f>(Tabla2[[#This Row],[Productividad (kg/TAS)]]*Tabla2[[#This Row],[Precio por kg]]-Tabla2[[#This Row],[Costos (En RD$/Tarea)]])</f>
        <v>5412.9795090215239</v>
      </c>
      <c r="O1375" s="6">
        <f>IF(Tabla2[[#This Row],[Costos (En RD$/Tarea)]]=0,0,Tabla2[[#This Row],[Beneficio Neto  (En RD$/Tarea)]]/Tabla2[[#This Row],[Costos (En RD$/Tarea)]])</f>
        <v>0.94209420993285031</v>
      </c>
      <c r="P1375" s="4">
        <f>Tabla2[[#This Row],[Rentabilidad (%)]]/12</f>
        <v>7.8507850827737521E-2</v>
      </c>
    </row>
    <row r="1376" spans="1:16" x14ac:dyDescent="0.35">
      <c r="A1376" s="1">
        <v>39995</v>
      </c>
      <c r="B1376" t="s">
        <v>25</v>
      </c>
      <c r="C1376" s="2">
        <v>21806</v>
      </c>
      <c r="D1376" s="5" t="s">
        <v>17</v>
      </c>
      <c r="E1376" s="2">
        <f>IF(Tabla2[[#This Row],[Frecuencia]]="Annual", Tabla2[[#This Row],[Cosecha/Tarea]]/12,Tabla2[[#This Row],[Cosecha/Tarea]])</f>
        <v>21806</v>
      </c>
      <c r="F1376" s="2">
        <v>230961</v>
      </c>
      <c r="G1376" t="s">
        <v>18</v>
      </c>
      <c r="H1376">
        <f>F1376/Tabla2[[#This Row],[Cosecha Mensual]]</f>
        <v>10.591626157938181</v>
      </c>
      <c r="I1376">
        <f>H1376*_xlfn.XLOOKUP(Tabla2[[#This Row],[Unidad de producción]],Tabla3[Medida],Tabla3[Equivalencia en Kg],"ELVIS",0)</f>
        <v>480.43616252407588</v>
      </c>
      <c r="J1376">
        <v>452.66062499999998</v>
      </c>
      <c r="K1376" t="s">
        <v>18</v>
      </c>
      <c r="L1376">
        <f>J1376/_xlfn.XLOOKUP(Tabla2[[#This Row],[Unidad de precio]],Tabla3[Medida],Tabla3[Equivalencia en Kg],"ELVIS",0)</f>
        <v>9.979290674603174</v>
      </c>
      <c r="M1376">
        <v>3380.6681837157598</v>
      </c>
      <c r="N1376" s="2">
        <f>(Tabla2[[#This Row],[Productividad (kg/TAS)]]*Tabla2[[#This Row],[Precio por kg]]-Tabla2[[#This Row],[Costos (En RD$/Tarea)]])</f>
        <v>1413.7439327028856</v>
      </c>
      <c r="O1376" s="6">
        <f>IF(Tabla2[[#This Row],[Costos (En RD$/Tarea)]]=0,0,Tabla2[[#This Row],[Beneficio Neto  (En RD$/Tarea)]]/Tabla2[[#This Row],[Costos (En RD$/Tarea)]])</f>
        <v>0.41818476581425729</v>
      </c>
      <c r="P1376" s="4">
        <f>Tabla2[[#This Row],[Rentabilidad (%)]]/12</f>
        <v>3.4848730484521438E-2</v>
      </c>
    </row>
    <row r="1377" spans="1:16" x14ac:dyDescent="0.35">
      <c r="A1377" s="1">
        <v>39995</v>
      </c>
      <c r="B1377" t="s">
        <v>26</v>
      </c>
      <c r="C1377" s="2">
        <v>9703</v>
      </c>
      <c r="D1377" s="5" t="s">
        <v>17</v>
      </c>
      <c r="E1377" s="2">
        <f>IF(Tabla2[[#This Row],[Frecuencia]]="Annual", Tabla2[[#This Row],[Cosecha/Tarea]]/12,Tabla2[[#This Row],[Cosecha/Tarea]])</f>
        <v>9703</v>
      </c>
      <c r="F1377" s="2">
        <v>55018</v>
      </c>
      <c r="G1377" t="s">
        <v>18</v>
      </c>
      <c r="H1377">
        <f>F1377/Tabla2[[#This Row],[Cosecha Mensual]]</f>
        <v>5.6702050912089046</v>
      </c>
      <c r="I1377">
        <f>H1377*_xlfn.XLOOKUP(Tabla2[[#This Row],[Unidad de producción]],Tabla3[Medida],Tabla3[Equivalencia en Kg],"ELVIS",0)</f>
        <v>257.20050293723591</v>
      </c>
      <c r="J1377">
        <v>539.5</v>
      </c>
      <c r="K1377" t="s">
        <v>18</v>
      </c>
      <c r="L1377">
        <f>J1377/_xlfn.XLOOKUP(Tabla2[[#This Row],[Unidad de precio]],Tabla3[Medida],Tabla3[Equivalencia en Kg],"ELVIS",0)</f>
        <v>11.89373897707231</v>
      </c>
      <c r="M1377">
        <v>1376.3165203125</v>
      </c>
      <c r="N1377" s="2">
        <f>(Tabla2[[#This Row],[Productividad (kg/TAS)]]*Tabla2[[#This Row],[Precio por kg]]-Tabla2[[#This Row],[Costos (En RD$/Tarea)]])</f>
        <v>1682.7591263947038</v>
      </c>
      <c r="O1377" s="6">
        <f>IF(Tabla2[[#This Row],[Costos (En RD$/Tarea)]]=0,0,Tabla2[[#This Row],[Beneficio Neto  (En RD$/Tarea)]]/Tabla2[[#This Row],[Costos (En RD$/Tarea)]])</f>
        <v>1.2226541653460823</v>
      </c>
      <c r="P1377" s="4">
        <f>Tabla2[[#This Row],[Rentabilidad (%)]]/12</f>
        <v>0.10188784711217352</v>
      </c>
    </row>
    <row r="1378" spans="1:16" x14ac:dyDescent="0.35">
      <c r="A1378" s="1">
        <v>39995</v>
      </c>
      <c r="B1378" t="s">
        <v>27</v>
      </c>
      <c r="C1378" s="2">
        <v>7586</v>
      </c>
      <c r="D1378" s="5" t="s">
        <v>17</v>
      </c>
      <c r="E1378" s="2">
        <f>IF(Tabla2[[#This Row],[Frecuencia]]="Annual", Tabla2[[#This Row],[Cosecha/Tarea]]/12,Tabla2[[#This Row],[Cosecha/Tarea]])</f>
        <v>7586</v>
      </c>
      <c r="F1378" s="2">
        <v>54396</v>
      </c>
      <c r="G1378" t="s">
        <v>18</v>
      </c>
      <c r="H1378">
        <f>F1378/Tabla2[[#This Row],[Cosecha Mensual]]</f>
        <v>7.170577379383074</v>
      </c>
      <c r="I1378">
        <f>H1378*_xlfn.XLOOKUP(Tabla2[[#This Row],[Unidad de producción]],Tabla3[Medida],Tabla3[Equivalencia en Kg],"ELVIS",0)</f>
        <v>325.25738992881622</v>
      </c>
      <c r="J1378">
        <v>256.594285714286</v>
      </c>
      <c r="K1378" t="s">
        <v>18</v>
      </c>
      <c r="L1378">
        <f>J1378/_xlfn.XLOOKUP(Tabla2[[#This Row],[Unidad de precio]],Tabla3[Medida],Tabla3[Equivalencia en Kg],"ELVIS",0)</f>
        <v>5.6568405139833775</v>
      </c>
      <c r="M1378">
        <v>5690.0383784955002</v>
      </c>
      <c r="N1378" s="2">
        <f>(Tabla2[[#This Row],[Productividad (kg/TAS)]]*Tabla2[[#This Row],[Precio por kg]]-Tabla2[[#This Row],[Costos (En RD$/Tarea)]])</f>
        <v>-3850.1091976736834</v>
      </c>
      <c r="O1378" s="6">
        <f>IF(Tabla2[[#This Row],[Costos (En RD$/Tarea)]]=0,0,Tabla2[[#This Row],[Beneficio Neto  (En RD$/Tarea)]]/Tabla2[[#This Row],[Costos (En RD$/Tarea)]])</f>
        <v>-0.67664028633347961</v>
      </c>
      <c r="P1378" s="4">
        <f>Tabla2[[#This Row],[Rentabilidad (%)]]/12</f>
        <v>-5.6386690527789968E-2</v>
      </c>
    </row>
    <row r="1379" spans="1:16" x14ac:dyDescent="0.35">
      <c r="A1379" s="1">
        <v>39995</v>
      </c>
      <c r="B1379" t="s">
        <v>28</v>
      </c>
      <c r="C1379" s="2">
        <v>2980</v>
      </c>
      <c r="D1379" s="5" t="s">
        <v>17</v>
      </c>
      <c r="E1379" s="2">
        <f>IF(Tabla2[[#This Row],[Frecuencia]]="Annual", Tabla2[[#This Row],[Cosecha/Tarea]]/12,Tabla2[[#This Row],[Cosecha/Tarea]])</f>
        <v>2980</v>
      </c>
      <c r="F1379" s="2">
        <v>3064</v>
      </c>
      <c r="G1379" t="s">
        <v>29</v>
      </c>
      <c r="H1379">
        <f>F1379/Tabla2[[#This Row],[Cosecha Mensual]]</f>
        <v>1.0281879194630872</v>
      </c>
      <c r="I1379">
        <f>H1379*_xlfn.XLOOKUP(Tabla2[[#This Row],[Unidad de producción]],Tabla3[Medida],Tabla3[Equivalencia en Kg],"ELVIS",0)</f>
        <v>578.19119463087247</v>
      </c>
      <c r="J1379">
        <v>5302.5</v>
      </c>
      <c r="K1379" t="s">
        <v>29</v>
      </c>
      <c r="L1379">
        <f>J1379/_xlfn.XLOOKUP(Tabla2[[#This Row],[Unidad de precio]],Tabla3[Medida],Tabla3[Equivalencia en Kg],"ELVIS",0)</f>
        <v>9.4293487925454347</v>
      </c>
      <c r="M1379">
        <v>5157.1623197653698</v>
      </c>
      <c r="N1379" s="2">
        <f>(Tabla2[[#This Row],[Productividad (kg/TAS)]]*Tabla2[[#This Row],[Precio por kg]]-Tabla2[[#This Row],[Costos (En RD$/Tarea)]])</f>
        <v>294.80412318764957</v>
      </c>
      <c r="O1379" s="6">
        <f>IF(Tabla2[[#This Row],[Costos (En RD$/Tarea)]]=0,0,Tabla2[[#This Row],[Beneficio Neto  (En RD$/Tarea)]]/Tabla2[[#This Row],[Costos (En RD$/Tarea)]])</f>
        <v>5.7164018680928776E-2</v>
      </c>
      <c r="P1379" s="4">
        <f>Tabla2[[#This Row],[Rentabilidad (%)]]/12</f>
        <v>4.7636682234107313E-3</v>
      </c>
    </row>
    <row r="1380" spans="1:16" x14ac:dyDescent="0.35">
      <c r="A1380" s="1">
        <v>39995</v>
      </c>
      <c r="B1380" t="s">
        <v>30</v>
      </c>
      <c r="C1380" s="2">
        <v>293301</v>
      </c>
      <c r="D1380" s="2" t="s">
        <v>31</v>
      </c>
      <c r="E1380" s="2">
        <f>IF(Tabla2[[#This Row],[Frecuencia]]="Annual", Tabla2[[#This Row],[Cosecha/Tarea]]/12,Tabla2[[#This Row],[Cosecha/Tarea]])</f>
        <v>24441.75</v>
      </c>
      <c r="F1380" s="2">
        <v>2239597</v>
      </c>
      <c r="G1380" t="s">
        <v>32</v>
      </c>
      <c r="H1380">
        <f>F1380/Tabla2[[#This Row],[Cosecha Mensual]]</f>
        <v>91.629977395235613</v>
      </c>
      <c r="I1380">
        <f>H1380*_xlfn.XLOOKUP(Tabla2[[#This Row],[Unidad de producción]],Tabla3[Medida],Tabla3[Equivalencia en Kg],"ELVIS",0)</f>
        <v>2493.2516849243611</v>
      </c>
      <c r="J1380">
        <v>102.80374999999999</v>
      </c>
      <c r="K1380" t="s">
        <v>32</v>
      </c>
      <c r="L1380">
        <f>J1380/_xlfn.XLOOKUP(Tabla2[[#This Row],[Unidad de precio]],Tabla3[Medida],Tabla3[Equivalencia en Kg],"ELVIS",0)</f>
        <v>3.7781606027195882</v>
      </c>
      <c r="M1380" s="2">
        <v>9253.9447792029805</v>
      </c>
      <c r="N1380" s="2">
        <f>(Tabla2[[#This Row],[Productividad (kg/TAS)]]*Tabla2[[#This Row],[Precio por kg]]-Tabla2[[#This Row],[Costos (En RD$/Tarea)]])</f>
        <v>165.96050944247327</v>
      </c>
      <c r="O1380" s="6">
        <f>IF(Tabla2[[#This Row],[Costos (En RD$/Tarea)]]=0,0,Tabla2[[#This Row],[Beneficio Neto  (En RD$/Tarea)]]/Tabla2[[#This Row],[Costos (En RD$/Tarea)]])</f>
        <v>1.7934028503762807E-2</v>
      </c>
      <c r="P1380" s="4">
        <f>Tabla2[[#This Row],[Rentabilidad (%)]]/12</f>
        <v>1.4945023753135673E-3</v>
      </c>
    </row>
    <row r="1381" spans="1:16" x14ac:dyDescent="0.35">
      <c r="A1381" s="1">
        <v>39995</v>
      </c>
      <c r="B1381" t="s">
        <v>33</v>
      </c>
      <c r="C1381" s="2">
        <v>662191</v>
      </c>
      <c r="D1381" s="2" t="s">
        <v>31</v>
      </c>
      <c r="E1381" s="8">
        <f>IF(Tabla2[[#This Row],[Frecuencia]]="Annual", Tabla2[[#This Row],[Cosecha/Tarea]]/12,Tabla2[[#This Row],[Cosecha/Tarea]])</f>
        <v>55182.583333333336</v>
      </c>
      <c r="F1381" s="2">
        <v>287180</v>
      </c>
      <c r="G1381" t="s">
        <v>34</v>
      </c>
      <c r="H1381">
        <f>F1381/Tabla2[[#This Row],[Cosecha Mensual]]</f>
        <v>5.2041782506859802</v>
      </c>
      <c r="I1381">
        <f>H1381*_xlfn.XLOOKUP(Tabla2[[#This Row],[Unidad de producción]],Tabla3[Medida],Tabla3[Equivalencia en Kg],"ELVIS",0)</f>
        <v>2124.0853530174827</v>
      </c>
      <c r="J1381">
        <v>2167.9162500000002</v>
      </c>
      <c r="K1381" t="s">
        <v>34</v>
      </c>
      <c r="L1381">
        <f>J1381/_xlfn.XLOOKUP(Tabla2[[#This Row],[Unidad de precio]],Tabla3[Medida],Tabla3[Equivalencia en Kg],"ELVIS",0)</f>
        <v>5.3115674384417506</v>
      </c>
      <c r="M1381" s="2">
        <v>8960.6721575976007</v>
      </c>
      <c r="N1381" s="2">
        <f>(Tabla2[[#This Row],[Productividad (kg/TAS)]]*Tabla2[[#This Row],[Precio por kg]]-Tabla2[[#This Row],[Costos (En RD$/Tarea)]])</f>
        <v>2321.5504399611109</v>
      </c>
      <c r="O1381" s="6">
        <f>IF(Tabla2[[#This Row],[Costos (En RD$/Tarea)]]=0,0,Tabla2[[#This Row],[Beneficio Neto  (En RD$/Tarea)]]/Tabla2[[#This Row],[Costos (En RD$/Tarea)]])</f>
        <v>0.25908217588261034</v>
      </c>
      <c r="P1381" s="4">
        <f>Tabla2[[#This Row],[Rentabilidad (%)]]/12</f>
        <v>2.1590181323550863E-2</v>
      </c>
    </row>
    <row r="1382" spans="1:16" x14ac:dyDescent="0.35">
      <c r="A1382" s="1">
        <v>40026</v>
      </c>
      <c r="B1382" t="s">
        <v>16</v>
      </c>
      <c r="C1382" s="2">
        <v>111150</v>
      </c>
      <c r="D1382" s="5" t="s">
        <v>17</v>
      </c>
      <c r="E1382" s="2">
        <f>IF(Tabla2[[#This Row],[Frecuencia]]="Annual", Tabla2[[#This Row],[Cosecha/Tarea]]/12,Tabla2[[#This Row],[Cosecha/Tarea]])</f>
        <v>111150</v>
      </c>
      <c r="F1382" s="2">
        <v>462261</v>
      </c>
      <c r="G1382" t="s">
        <v>18</v>
      </c>
      <c r="H1382">
        <f>F1382/Tabla2[[#This Row],[Cosecha Mensual]]</f>
        <v>4.15889338731444</v>
      </c>
      <c r="I1382">
        <f>H1382*_xlfn.XLOOKUP(Tabla2[[#This Row],[Unidad de producción]],Tabla3[Medida],Tabla3[Equivalencia en Kg],"ELVIS",0)</f>
        <v>188.64740404858298</v>
      </c>
      <c r="J1382">
        <v>2108.4887465522202</v>
      </c>
      <c r="K1382" t="s">
        <v>19</v>
      </c>
      <c r="L1382">
        <f>J1382/_xlfn.XLOOKUP(Tabla2[[#This Row],[Unidad de precio]],Tabla3[Medida],Tabla3[Equivalencia en Kg],"ELVIS",0)</f>
        <v>19.168079514111092</v>
      </c>
      <c r="M1382">
        <v>6526.78</v>
      </c>
      <c r="N1382" s="2">
        <f>(Tabla2[[#This Row],[Productividad (kg/TAS)]]*Tabla2[[#This Row],[Precio por kg]]-Tabla2[[#This Row],[Costos (En RD$/Tarea)]])</f>
        <v>-2910.7715590661182</v>
      </c>
      <c r="O1382" s="6">
        <f>IF(Tabla2[[#This Row],[Costos (En RD$/Tarea)]]=0,0,Tabla2[[#This Row],[Beneficio Neto  (En RD$/Tarea)]]/Tabla2[[#This Row],[Costos (En RD$/Tarea)]])</f>
        <v>-0.4459735978638959</v>
      </c>
      <c r="P1382" s="4">
        <f>Tabla2[[#This Row],[Rentabilidad (%)]]/12</f>
        <v>-3.7164466488657989E-2</v>
      </c>
    </row>
    <row r="1383" spans="1:16" x14ac:dyDescent="0.35">
      <c r="A1383" s="1">
        <v>40026</v>
      </c>
      <c r="B1383" t="s">
        <v>20</v>
      </c>
      <c r="C1383" s="2">
        <v>57006</v>
      </c>
      <c r="D1383" s="5" t="s">
        <v>17</v>
      </c>
      <c r="E1383" s="2">
        <f>IF(Tabla2[[#This Row],[Frecuencia]]="Annual", Tabla2[[#This Row],[Cosecha/Tarea]]/12,Tabla2[[#This Row],[Cosecha/Tarea]])</f>
        <v>57006</v>
      </c>
      <c r="F1383" s="2">
        <v>80610</v>
      </c>
      <c r="G1383" t="s">
        <v>18</v>
      </c>
      <c r="H1383">
        <f>F1383/Tabla2[[#This Row],[Cosecha Mensual]]</f>
        <v>1.414061677718135</v>
      </c>
      <c r="I1383">
        <f>H1383*_xlfn.XLOOKUP(Tabla2[[#This Row],[Unidad de producción]],Tabla3[Medida],Tabla3[Equivalencia en Kg],"ELVIS",0)</f>
        <v>64.141837701294605</v>
      </c>
      <c r="J1383">
        <v>587.47571428571405</v>
      </c>
      <c r="K1383" t="s">
        <v>18</v>
      </c>
      <c r="L1383">
        <f>J1383/_xlfn.XLOOKUP(Tabla2[[#This Row],[Unidad de precio]],Tabla3[Medida],Tabla3[Equivalencia en Kg],"ELVIS",0)</f>
        <v>12.951404635928441</v>
      </c>
      <c r="M1383">
        <v>1590.1032460281599</v>
      </c>
      <c r="N1383" s="2">
        <f>(Tabla2[[#This Row],[Productividad (kg/TAS)]]*Tabla2[[#This Row],[Precio por kg]]-Tabla2[[#This Row],[Costos (En RD$/Tarea)]])</f>
        <v>-759.37635186664329</v>
      </c>
      <c r="O1383" s="6">
        <f>IF(Tabla2[[#This Row],[Costos (En RD$/Tarea)]]=0,0,Tabla2[[#This Row],[Beneficio Neto  (En RD$/Tarea)]]/Tabla2[[#This Row],[Costos (En RD$/Tarea)]])</f>
        <v>-0.47756417941001744</v>
      </c>
      <c r="P1383" s="4">
        <f>Tabla2[[#This Row],[Rentabilidad (%)]]/12</f>
        <v>-3.9797014950834785E-2</v>
      </c>
    </row>
    <row r="1384" spans="1:16" x14ac:dyDescent="0.35">
      <c r="A1384" s="1">
        <v>40026</v>
      </c>
      <c r="B1384" t="s">
        <v>21</v>
      </c>
      <c r="C1384" s="2">
        <v>4620</v>
      </c>
      <c r="D1384" s="5" t="s">
        <v>17</v>
      </c>
      <c r="E1384" s="2">
        <f>IF(Tabla2[[#This Row],[Frecuencia]]="Annual", Tabla2[[#This Row],[Cosecha/Tarea]]/12,Tabla2[[#This Row],[Cosecha/Tarea]])</f>
        <v>4620</v>
      </c>
      <c r="F1384" s="2">
        <v>45702</v>
      </c>
      <c r="G1384" t="s">
        <v>18</v>
      </c>
      <c r="H1384">
        <f>F1384/Tabla2[[#This Row],[Cosecha Mensual]]</f>
        <v>9.8922077922077918</v>
      </c>
      <c r="I1384">
        <f>H1384*_xlfn.XLOOKUP(Tabla2[[#This Row],[Unidad de producción]],Tabla3[Medida],Tabla3[Equivalencia en Kg],"ELVIS",0)</f>
        <v>448.71054545454541</v>
      </c>
      <c r="J1384">
        <v>412.05110000000002</v>
      </c>
      <c r="K1384" t="s">
        <v>18</v>
      </c>
      <c r="L1384">
        <f>J1384/_xlfn.XLOOKUP(Tabla2[[#This Row],[Unidad de precio]],Tabla3[Medida],Tabla3[Equivalencia en Kg],"ELVIS",0)</f>
        <v>9.0840189594356264</v>
      </c>
      <c r="M1384">
        <v>4038.1847174999998</v>
      </c>
      <c r="N1384" s="2">
        <f>(Tabla2[[#This Row],[Productividad (kg/TAS)]]*Tabla2[[#This Row],[Precio por kg]]-Tabla2[[#This Row],[Costos (En RD$/Tarea)]])</f>
        <v>37.910384707792218</v>
      </c>
      <c r="O1384" s="6">
        <f>IF(Tabla2[[#This Row],[Costos (En RD$/Tarea)]]=0,0,Tabla2[[#This Row],[Beneficio Neto  (En RD$/Tarea)]]/Tabla2[[#This Row],[Costos (En RD$/Tarea)]])</f>
        <v>9.3879768658186001E-3</v>
      </c>
      <c r="P1384" s="4">
        <f>Tabla2[[#This Row],[Rentabilidad (%)]]/12</f>
        <v>7.8233140548488334E-4</v>
      </c>
    </row>
    <row r="1385" spans="1:16" x14ac:dyDescent="0.35">
      <c r="A1385" s="1">
        <v>40026</v>
      </c>
      <c r="B1385" t="s">
        <v>22</v>
      </c>
      <c r="C1385" s="2">
        <v>2344</v>
      </c>
      <c r="D1385" s="5" t="s">
        <v>17</v>
      </c>
      <c r="E1385" s="2">
        <f>IF(Tabla2[[#This Row],[Frecuencia]]="Annual", Tabla2[[#This Row],[Cosecha/Tarea]]/12,Tabla2[[#This Row],[Cosecha/Tarea]])</f>
        <v>2344</v>
      </c>
      <c r="F1385" s="2">
        <v>22699</v>
      </c>
      <c r="G1385" t="s">
        <v>18</v>
      </c>
      <c r="H1385">
        <f>F1385/Tabla2[[#This Row],[Cosecha Mensual]]</f>
        <v>9.6838737201365195</v>
      </c>
      <c r="I1385">
        <f>H1385*_xlfn.XLOOKUP(Tabla2[[#This Row],[Unidad de producción]],Tabla3[Medida],Tabla3[Equivalencia en Kg],"ELVIS",0)</f>
        <v>439.26051194539252</v>
      </c>
      <c r="J1385">
        <v>1163.38142857143</v>
      </c>
      <c r="K1385" t="s">
        <v>18</v>
      </c>
      <c r="L1385">
        <f>J1385/_xlfn.XLOOKUP(Tabla2[[#This Row],[Unidad de precio]],Tabla3[Medida],Tabla3[Equivalencia en Kg],"ELVIS",0)</f>
        <v>25.647738725119709</v>
      </c>
      <c r="M1385">
        <v>7095.7961171999996</v>
      </c>
      <c r="N1385" s="2">
        <f>(Tabla2[[#This Row],[Productividad (kg/TAS)]]*Tabla2[[#This Row],[Precio por kg]]-Tabla2[[#This Row],[Costos (En RD$/Tarea)]])</f>
        <v>4170.2427254377526</v>
      </c>
      <c r="O1385" s="6">
        <f>IF(Tabla2[[#This Row],[Costos (En RD$/Tarea)]]=0,0,Tabla2[[#This Row],[Beneficio Neto  (En RD$/Tarea)]]/Tabla2[[#This Row],[Costos (En RD$/Tarea)]])</f>
        <v>0.58770610887891883</v>
      </c>
      <c r="P1385" s="4">
        <f>Tabla2[[#This Row],[Rentabilidad (%)]]/12</f>
        <v>4.8975509073243238E-2</v>
      </c>
    </row>
    <row r="1386" spans="1:16" x14ac:dyDescent="0.35">
      <c r="A1386" s="1">
        <v>40026</v>
      </c>
      <c r="B1386" t="s">
        <v>23</v>
      </c>
      <c r="C1386" s="2">
        <v>1415</v>
      </c>
      <c r="D1386" s="5" t="s">
        <v>17</v>
      </c>
      <c r="E1386" s="2">
        <f>IF(Tabla2[[#This Row],[Frecuencia]]="Annual", Tabla2[[#This Row],[Cosecha/Tarea]]/12,Tabla2[[#This Row],[Cosecha/Tarea]])</f>
        <v>1415</v>
      </c>
      <c r="F1386" s="2">
        <v>53225</v>
      </c>
      <c r="G1386" t="s">
        <v>18</v>
      </c>
      <c r="H1386">
        <f>F1386/Tabla2[[#This Row],[Cosecha Mensual]]</f>
        <v>37.614840989399291</v>
      </c>
      <c r="I1386">
        <f>H1386*_xlfn.XLOOKUP(Tabla2[[#This Row],[Unidad de producción]],Tabla3[Medida],Tabla3[Equivalencia en Kg],"ELVIS",0)</f>
        <v>1706.2091872791518</v>
      </c>
      <c r="J1386">
        <v>768.75</v>
      </c>
      <c r="K1386" t="s">
        <v>18</v>
      </c>
      <c r="L1386">
        <f>J1386/_xlfn.XLOOKUP(Tabla2[[#This Row],[Unidad de precio]],Tabla3[Medida],Tabla3[Equivalencia en Kg],"ELVIS",0)</f>
        <v>16.947751322751323</v>
      </c>
      <c r="M1386">
        <v>17661.808667508602</v>
      </c>
      <c r="N1386" s="2">
        <f>(Tabla2[[#This Row],[Productividad (kg/TAS)]]*Tabla2[[#This Row],[Precio por kg]]-Tabla2[[#This Row],[Costos (En RD$/Tarea)]])</f>
        <v>11254.600343092105</v>
      </c>
      <c r="O1386" s="6">
        <f>IF(Tabla2[[#This Row],[Costos (En RD$/Tarea)]]=0,0,Tabla2[[#This Row],[Beneficio Neto  (En RD$/Tarea)]]/Tabla2[[#This Row],[Costos (En RD$/Tarea)]])</f>
        <v>0.63722807527614855</v>
      </c>
      <c r="P1386" s="4">
        <f>Tabla2[[#This Row],[Rentabilidad (%)]]/12</f>
        <v>5.3102339606345715E-2</v>
      </c>
    </row>
    <row r="1387" spans="1:16" x14ac:dyDescent="0.35">
      <c r="A1387" s="1">
        <v>40026</v>
      </c>
      <c r="B1387" t="s">
        <v>24</v>
      </c>
      <c r="C1387" s="2">
        <v>3810</v>
      </c>
      <c r="D1387" s="5" t="s">
        <v>17</v>
      </c>
      <c r="E1387" s="2">
        <f>IF(Tabla2[[#This Row],[Frecuencia]]="Annual", Tabla2[[#This Row],[Cosecha/Tarea]]/12,Tabla2[[#This Row],[Cosecha/Tarea]])</f>
        <v>3810</v>
      </c>
      <c r="F1387" s="2">
        <v>29892</v>
      </c>
      <c r="G1387" t="s">
        <v>18</v>
      </c>
      <c r="H1387">
        <f>F1387/Tabla2[[#This Row],[Cosecha Mensual]]</f>
        <v>7.8456692913385826</v>
      </c>
      <c r="I1387">
        <f>H1387*_xlfn.XLOOKUP(Tabla2[[#This Row],[Unidad de producción]],Tabla3[Medida],Tabla3[Equivalencia en Kg],"ELVIS",0)</f>
        <v>355.87955905511808</v>
      </c>
      <c r="J1387">
        <v>1189.3571428571399</v>
      </c>
      <c r="K1387" t="s">
        <v>18</v>
      </c>
      <c r="L1387">
        <f>J1387/_xlfn.XLOOKUP(Tabla2[[#This Row],[Unidad de precio]],Tabla3[Medida],Tabla3[Equivalencia en Kg],"ELVIS",0)</f>
        <v>26.220395565633599</v>
      </c>
      <c r="M1387">
        <v>5745.6881190335998</v>
      </c>
      <c r="N1387" s="2">
        <f>(Tabla2[[#This Row],[Productividad (kg/TAS)]]*Tabla2[[#This Row],[Precio por kg]]-Tabla2[[#This Row],[Costos (En RD$/Tarea)]])</f>
        <v>3585.6146931148587</v>
      </c>
      <c r="O1387" s="6">
        <f>IF(Tabla2[[#This Row],[Costos (En RD$/Tarea)]]=0,0,Tabla2[[#This Row],[Beneficio Neto  (En RD$/Tarea)]]/Tabla2[[#This Row],[Costos (En RD$/Tarea)]])</f>
        <v>0.62405313668816809</v>
      </c>
      <c r="P1387" s="4">
        <f>Tabla2[[#This Row],[Rentabilidad (%)]]/12</f>
        <v>5.2004428057347341E-2</v>
      </c>
    </row>
    <row r="1388" spans="1:16" x14ac:dyDescent="0.35">
      <c r="A1388" s="1">
        <v>40026</v>
      </c>
      <c r="B1388" t="s">
        <v>25</v>
      </c>
      <c r="C1388" s="2">
        <v>19936</v>
      </c>
      <c r="D1388" s="5" t="s">
        <v>17</v>
      </c>
      <c r="E1388" s="2">
        <f>IF(Tabla2[[#This Row],[Frecuencia]]="Annual", Tabla2[[#This Row],[Cosecha/Tarea]]/12,Tabla2[[#This Row],[Cosecha/Tarea]])</f>
        <v>19936</v>
      </c>
      <c r="F1388" s="2">
        <v>212885</v>
      </c>
      <c r="G1388" t="s">
        <v>18</v>
      </c>
      <c r="H1388">
        <f>F1388/Tabla2[[#This Row],[Cosecha Mensual]]</f>
        <v>10.678420947030498</v>
      </c>
      <c r="I1388">
        <f>H1388*_xlfn.XLOOKUP(Tabla2[[#This Row],[Unidad de producción]],Tabla3[Medida],Tabla3[Equivalencia en Kg],"ELVIS",0)</f>
        <v>484.37317415730337</v>
      </c>
      <c r="J1388">
        <v>560.47166666666703</v>
      </c>
      <c r="K1388" t="s">
        <v>18</v>
      </c>
      <c r="L1388">
        <f>J1388/_xlfn.XLOOKUP(Tabla2[[#This Row],[Unidad de precio]],Tabla3[Medida],Tabla3[Equivalencia en Kg],"ELVIS",0)</f>
        <v>12.356077307466204</v>
      </c>
      <c r="M1388">
        <v>3380.6681837157598</v>
      </c>
      <c r="N1388" s="2">
        <f>(Tabla2[[#This Row],[Productividad (kg/TAS)]]*Tabla2[[#This Row],[Precio por kg]]-Tabla2[[#This Row],[Costos (En RD$/Tarea)]])</f>
        <v>2604.2842018346723</v>
      </c>
      <c r="O1388" s="6">
        <f>IF(Tabla2[[#This Row],[Costos (En RD$/Tarea)]]=0,0,Tabla2[[#This Row],[Beneficio Neto  (En RD$/Tarea)]]/Tabla2[[#This Row],[Costos (En RD$/Tarea)]])</f>
        <v>0.77034599680003246</v>
      </c>
      <c r="P1388" s="4">
        <f>Tabla2[[#This Row],[Rentabilidad (%)]]/12</f>
        <v>6.4195499733336034E-2</v>
      </c>
    </row>
    <row r="1389" spans="1:16" x14ac:dyDescent="0.35">
      <c r="A1389" s="1">
        <v>40026</v>
      </c>
      <c r="B1389" t="s">
        <v>26</v>
      </c>
      <c r="C1389" s="2">
        <v>12104</v>
      </c>
      <c r="D1389" s="5" t="s">
        <v>17</v>
      </c>
      <c r="E1389" s="2">
        <f>IF(Tabla2[[#This Row],[Frecuencia]]="Annual", Tabla2[[#This Row],[Cosecha/Tarea]]/12,Tabla2[[#This Row],[Cosecha/Tarea]])</f>
        <v>12104</v>
      </c>
      <c r="F1389" s="2">
        <v>59960</v>
      </c>
      <c r="G1389" t="s">
        <v>18</v>
      </c>
      <c r="H1389">
        <f>F1389/Tabla2[[#This Row],[Cosecha Mensual]]</f>
        <v>4.9537343027098482</v>
      </c>
      <c r="I1389">
        <f>H1389*_xlfn.XLOOKUP(Tabla2[[#This Row],[Unidad de producción]],Tabla3[Medida],Tabla3[Equivalencia en Kg],"ELVIS",0)</f>
        <v>224.70138797091872</v>
      </c>
      <c r="J1389">
        <v>611.67999999999995</v>
      </c>
      <c r="K1389" t="s">
        <v>18</v>
      </c>
      <c r="L1389">
        <f>J1389/_xlfn.XLOOKUP(Tabla2[[#This Row],[Unidad de precio]],Tabla3[Medida],Tabla3[Equivalencia en Kg],"ELVIS",0)</f>
        <v>13.48500881834215</v>
      </c>
      <c r="M1389">
        <v>1376.3165203125</v>
      </c>
      <c r="N1389" s="2">
        <f>(Tabla2[[#This Row],[Productividad (kg/TAS)]]*Tabla2[[#This Row],[Precio por kg]]-Tabla2[[#This Row],[Costos (En RD$/Tarea)]])</f>
        <v>1653.7836779690597</v>
      </c>
      <c r="O1389" s="6">
        <f>IF(Tabla2[[#This Row],[Costos (En RD$/Tarea)]]=0,0,Tabla2[[#This Row],[Beneficio Neto  (En RD$/Tarea)]]/Tabla2[[#This Row],[Costos (En RD$/Tarea)]])</f>
        <v>1.2016012694474956</v>
      </c>
      <c r="P1389" s="4">
        <f>Tabla2[[#This Row],[Rentabilidad (%)]]/12</f>
        <v>0.10013343912062463</v>
      </c>
    </row>
    <row r="1390" spans="1:16" x14ac:dyDescent="0.35">
      <c r="A1390" s="1">
        <v>40026</v>
      </c>
      <c r="B1390" t="s">
        <v>27</v>
      </c>
      <c r="C1390" s="2">
        <v>7036</v>
      </c>
      <c r="D1390" s="5" t="s">
        <v>17</v>
      </c>
      <c r="E1390" s="2">
        <f>IF(Tabla2[[#This Row],[Frecuencia]]="Annual", Tabla2[[#This Row],[Cosecha/Tarea]]/12,Tabla2[[#This Row],[Cosecha/Tarea]])</f>
        <v>7036</v>
      </c>
      <c r="F1390" s="2">
        <v>59318</v>
      </c>
      <c r="G1390" t="s">
        <v>18</v>
      </c>
      <c r="H1390">
        <f>F1390/Tabla2[[#This Row],[Cosecha Mensual]]</f>
        <v>8.4306424104604893</v>
      </c>
      <c r="I1390">
        <f>H1390*_xlfn.XLOOKUP(Tabla2[[#This Row],[Unidad de producción]],Tabla3[Medida],Tabla3[Equivalencia en Kg],"ELVIS",0)</f>
        <v>382.41393973848778</v>
      </c>
      <c r="J1390">
        <v>357.12</v>
      </c>
      <c r="K1390" t="s">
        <v>18</v>
      </c>
      <c r="L1390">
        <f>J1390/_xlfn.XLOOKUP(Tabla2[[#This Row],[Unidad de precio]],Tabla3[Medida],Tabla3[Equivalencia en Kg],"ELVIS",0)</f>
        <v>7.8730158730158735</v>
      </c>
      <c r="M1390">
        <v>5690.0383784955002</v>
      </c>
      <c r="N1390" s="2">
        <f>(Tabla2[[#This Row],[Productividad (kg/TAS)]]*Tabla2[[#This Row],[Precio por kg]]-Tabla2[[#This Row],[Costos (En RD$/Tarea)]])</f>
        <v>-2679.2873608718501</v>
      </c>
      <c r="O1390" s="6">
        <f>IF(Tabla2[[#This Row],[Costos (En RD$/Tarea)]]=0,0,Tabla2[[#This Row],[Beneficio Neto  (En RD$/Tarea)]]/Tabla2[[#This Row],[Costos (En RD$/Tarea)]])</f>
        <v>-0.47087333733947134</v>
      </c>
      <c r="P1390" s="4">
        <f>Tabla2[[#This Row],[Rentabilidad (%)]]/12</f>
        <v>-3.9239444778289279E-2</v>
      </c>
    </row>
    <row r="1391" spans="1:16" x14ac:dyDescent="0.35">
      <c r="A1391" s="1">
        <v>40026</v>
      </c>
      <c r="B1391" t="s">
        <v>28</v>
      </c>
      <c r="C1391" s="2">
        <v>25942</v>
      </c>
      <c r="D1391" s="5" t="s">
        <v>17</v>
      </c>
      <c r="E1391" s="2">
        <f>IF(Tabla2[[#This Row],[Frecuencia]]="Annual", Tabla2[[#This Row],[Cosecha/Tarea]]/12,Tabla2[[#This Row],[Cosecha/Tarea]])</f>
        <v>25942</v>
      </c>
      <c r="F1391" s="2">
        <v>34303</v>
      </c>
      <c r="G1391" t="s">
        <v>29</v>
      </c>
      <c r="H1391">
        <f>F1391/Tabla2[[#This Row],[Cosecha Mensual]]</f>
        <v>1.3222958908333975</v>
      </c>
      <c r="I1391">
        <f>H1391*_xlfn.XLOOKUP(Tabla2[[#This Row],[Unidad de producción]],Tabla3[Medida],Tabla3[Equivalencia en Kg],"ELVIS",0)</f>
        <v>743.57987125125283</v>
      </c>
      <c r="J1391">
        <v>3806.4375</v>
      </c>
      <c r="K1391" t="s">
        <v>29</v>
      </c>
      <c r="L1391">
        <f>J1391/_xlfn.XLOOKUP(Tabla2[[#This Row],[Unidad de precio]],Tabla3[Medida],Tabla3[Equivalencia en Kg],"ELVIS",0)</f>
        <v>6.7689253832201155</v>
      </c>
      <c r="M1391">
        <v>5157.1623197653698</v>
      </c>
      <c r="N1391" s="2">
        <f>(Tabla2[[#This Row],[Productividad (kg/TAS)]]*Tabla2[[#This Row],[Precio por kg]]-Tabla2[[#This Row],[Costos (En RD$/Tarea)]])</f>
        <v>-123.92565480121903</v>
      </c>
      <c r="O1391" s="6">
        <f>IF(Tabla2[[#This Row],[Costos (En RD$/Tarea)]]=0,0,Tabla2[[#This Row],[Beneficio Neto  (En RD$/Tarea)]]/Tabla2[[#This Row],[Costos (En RD$/Tarea)]])</f>
        <v>-2.4029814676621842E-2</v>
      </c>
      <c r="P1391" s="4">
        <f>Tabla2[[#This Row],[Rentabilidad (%)]]/12</f>
        <v>-2.0024845563851533E-3</v>
      </c>
    </row>
    <row r="1392" spans="1:16" x14ac:dyDescent="0.35">
      <c r="A1392" s="1">
        <v>40026</v>
      </c>
      <c r="B1392" t="s">
        <v>30</v>
      </c>
      <c r="C1392" s="2">
        <v>295821</v>
      </c>
      <c r="D1392" s="2" t="s">
        <v>31</v>
      </c>
      <c r="E1392" s="2">
        <f>IF(Tabla2[[#This Row],[Frecuencia]]="Annual", Tabla2[[#This Row],[Cosecha/Tarea]]/12,Tabla2[[#This Row],[Cosecha/Tarea]])</f>
        <v>24651.75</v>
      </c>
      <c r="F1392" s="2">
        <v>2302074</v>
      </c>
      <c r="G1392" t="s">
        <v>32</v>
      </c>
      <c r="H1392">
        <f>F1392/Tabla2[[#This Row],[Cosecha Mensual]]</f>
        <v>93.383796282211208</v>
      </c>
      <c r="I1392">
        <f>H1392*_xlfn.XLOOKUP(Tabla2[[#This Row],[Unidad de producción]],Tabla3[Medida],Tabla3[Equivalencia en Kg],"ELVIS",0)</f>
        <v>2540.9730968389672</v>
      </c>
      <c r="J1392">
        <v>101.071428571429</v>
      </c>
      <c r="K1392" t="s">
        <v>32</v>
      </c>
      <c r="L1392">
        <f>J1392/_xlfn.XLOOKUP(Tabla2[[#This Row],[Unidad de precio]],Tabla3[Medida],Tabla3[Equivalencia en Kg],"ELVIS",0)</f>
        <v>3.7144957211109517</v>
      </c>
      <c r="M1392" s="2">
        <v>9253.9447792029805</v>
      </c>
      <c r="N1392" s="2">
        <f>(Tabla2[[#This Row],[Productividad (kg/TAS)]]*Tabla2[[#This Row],[Precio por kg]]-Tabla2[[#This Row],[Costos (En RD$/Tarea)]])</f>
        <v>184.4889164634078</v>
      </c>
      <c r="O1392" s="6">
        <f>IF(Tabla2[[#This Row],[Costos (En RD$/Tarea)]]=0,0,Tabla2[[#This Row],[Beneficio Neto  (En RD$/Tarea)]]/Tabla2[[#This Row],[Costos (En RD$/Tarea)]])</f>
        <v>1.9936245662284725E-2</v>
      </c>
      <c r="P1392" s="4">
        <f>Tabla2[[#This Row],[Rentabilidad (%)]]/12</f>
        <v>1.6613538051903937E-3</v>
      </c>
    </row>
    <row r="1393" spans="1:16" x14ac:dyDescent="0.35">
      <c r="A1393" s="1">
        <v>40026</v>
      </c>
      <c r="B1393" t="s">
        <v>33</v>
      </c>
      <c r="C1393" s="2">
        <v>660544</v>
      </c>
      <c r="D1393" s="2" t="s">
        <v>31</v>
      </c>
      <c r="E1393" s="2">
        <f>IF(Tabla2[[#This Row],[Frecuencia]]="Annual", Tabla2[[#This Row],[Cosecha/Tarea]]/12,Tabla2[[#This Row],[Cosecha/Tarea]])</f>
        <v>55045.333333333336</v>
      </c>
      <c r="F1393" s="2">
        <v>196376</v>
      </c>
      <c r="G1393" t="s">
        <v>34</v>
      </c>
      <c r="H1393">
        <f>F1393/Tabla2[[#This Row],[Cosecha Mensual]]</f>
        <v>3.5675322158705551</v>
      </c>
      <c r="I1393">
        <f>H1393*_xlfn.XLOOKUP(Tabla2[[#This Row],[Unidad de producción]],Tabla3[Medida],Tabla3[Equivalencia en Kg],"ELVIS",0)</f>
        <v>1456.0882739075671</v>
      </c>
      <c r="J1393">
        <v>2036.1428571428601</v>
      </c>
      <c r="K1393" t="s">
        <v>34</v>
      </c>
      <c r="L1393">
        <f>J1393/_xlfn.XLOOKUP(Tabla2[[#This Row],[Unidad de precio]],Tabla3[Medida],Tabla3[Equivalencia en Kg],"ELVIS",0)</f>
        <v>4.9887121331443343</v>
      </c>
      <c r="M1393" s="2">
        <v>8960.6721575976007</v>
      </c>
      <c r="N1393" s="2">
        <f>(Tabla2[[#This Row],[Productividad (kg/TAS)]]*Tabla2[[#This Row],[Precio por kg]]-Tabla2[[#This Row],[Costos (En RD$/Tarea)]])</f>
        <v>-1696.6669186257304</v>
      </c>
      <c r="O1393" s="6">
        <f>IF(Tabla2[[#This Row],[Costos (En RD$/Tarea)]]=0,0,Tabla2[[#This Row],[Beneficio Neto  (En RD$/Tarea)]]/Tabla2[[#This Row],[Costos (En RD$/Tarea)]])</f>
        <v>-0.18934594289192419</v>
      </c>
      <c r="P1393" s="4">
        <f>Tabla2[[#This Row],[Rentabilidad (%)]]/12</f>
        <v>-1.5778828574327015E-2</v>
      </c>
    </row>
    <row r="1394" spans="1:16" x14ac:dyDescent="0.35">
      <c r="A1394" s="1">
        <v>40057</v>
      </c>
      <c r="B1394" t="s">
        <v>16</v>
      </c>
      <c r="C1394" s="2">
        <v>163386</v>
      </c>
      <c r="D1394" s="5" t="s">
        <v>17</v>
      </c>
      <c r="E1394" s="2">
        <f>IF(Tabla2[[#This Row],[Frecuencia]]="Annual", Tabla2[[#This Row],[Cosecha/Tarea]]/12,Tabla2[[#This Row],[Cosecha/Tarea]])</f>
        <v>163386</v>
      </c>
      <c r="F1394" s="2">
        <v>689885</v>
      </c>
      <c r="G1394" t="s">
        <v>18</v>
      </c>
      <c r="H1394">
        <f>F1394/Tabla2[[#This Row],[Cosecha Mensual]]</f>
        <v>4.2224241979116934</v>
      </c>
      <c r="I1394">
        <f>H1394*_xlfn.XLOOKUP(Tabla2[[#This Row],[Unidad de producción]],Tabla3[Medida],Tabla3[Equivalencia en Kg],"ELVIS",0)</f>
        <v>191.52916161727441</v>
      </c>
      <c r="J1394">
        <v>2058.1399620608399</v>
      </c>
      <c r="K1394" t="s">
        <v>19</v>
      </c>
      <c r="L1394">
        <f>J1394/_xlfn.XLOOKUP(Tabla2[[#This Row],[Unidad de precio]],Tabla3[Medida],Tabla3[Equivalencia en Kg],"ELVIS",0)</f>
        <v>18.71036329146218</v>
      </c>
      <c r="M1394">
        <v>6526.78</v>
      </c>
      <c r="N1394" s="2">
        <f>(Tabla2[[#This Row],[Productividad (kg/TAS)]]*Tabla2[[#This Row],[Precio por kg]]-Tabla2[[#This Row],[Costos (En RD$/Tarea)]])</f>
        <v>-2943.1998052316217</v>
      </c>
      <c r="O1394" s="6">
        <f>IF(Tabla2[[#This Row],[Costos (En RD$/Tarea)]]=0,0,Tabla2[[#This Row],[Beneficio Neto  (En RD$/Tarea)]]/Tabla2[[#This Row],[Costos (En RD$/Tarea)]])</f>
        <v>-0.45094208863047658</v>
      </c>
      <c r="P1394" s="4">
        <f>Tabla2[[#This Row],[Rentabilidad (%)]]/12</f>
        <v>-3.7578507385873046E-2</v>
      </c>
    </row>
    <row r="1395" spans="1:16" x14ac:dyDescent="0.35">
      <c r="A1395" s="1">
        <v>40057</v>
      </c>
      <c r="B1395" t="s">
        <v>20</v>
      </c>
      <c r="C1395" s="2">
        <v>49961</v>
      </c>
      <c r="D1395" s="5" t="s">
        <v>17</v>
      </c>
      <c r="E1395" s="2">
        <f>IF(Tabla2[[#This Row],[Frecuencia]]="Annual", Tabla2[[#This Row],[Cosecha/Tarea]]/12,Tabla2[[#This Row],[Cosecha/Tarea]])</f>
        <v>49961</v>
      </c>
      <c r="F1395" s="2">
        <v>83347</v>
      </c>
      <c r="G1395" t="s">
        <v>18</v>
      </c>
      <c r="H1395">
        <f>F1395/Tabla2[[#This Row],[Cosecha Mensual]]</f>
        <v>1.6682412281579633</v>
      </c>
      <c r="I1395">
        <f>H1395*_xlfn.XLOOKUP(Tabla2[[#This Row],[Unidad de producción]],Tabla3[Medida],Tabla3[Equivalencia en Kg],"ELVIS",0)</f>
        <v>75.671422109245214</v>
      </c>
      <c r="J1395">
        <v>562.64874999999995</v>
      </c>
      <c r="K1395" t="s">
        <v>18</v>
      </c>
      <c r="L1395">
        <f>J1395/_xlfn.XLOOKUP(Tabla2[[#This Row],[Unidad de precio]],Tabla3[Medida],Tabla3[Equivalencia en Kg],"ELVIS",0)</f>
        <v>12.404072971781304</v>
      </c>
      <c r="M1395">
        <v>1590.1032460281599</v>
      </c>
      <c r="N1395" s="2">
        <f>(Tabla2[[#This Row],[Productividad (kg/TAS)]]*Tabla2[[#This Row],[Precio por kg]]-Tabla2[[#This Row],[Costos (En RD$/Tarea)]])</f>
        <v>-651.46940430661721</v>
      </c>
      <c r="O1395" s="6">
        <f>IF(Tabla2[[#This Row],[Costos (En RD$/Tarea)]]=0,0,Tabla2[[#This Row],[Beneficio Neto  (En RD$/Tarea)]]/Tabla2[[#This Row],[Costos (En RD$/Tarea)]])</f>
        <v>-0.40970258122162218</v>
      </c>
      <c r="P1395" s="4">
        <f>Tabla2[[#This Row],[Rentabilidad (%)]]/12</f>
        <v>-3.4141881768468517E-2</v>
      </c>
    </row>
    <row r="1396" spans="1:16" x14ac:dyDescent="0.35">
      <c r="A1396" s="1">
        <v>40057</v>
      </c>
      <c r="B1396" t="s">
        <v>21</v>
      </c>
      <c r="C1396" s="2">
        <v>3695</v>
      </c>
      <c r="D1396" s="5" t="s">
        <v>17</v>
      </c>
      <c r="E1396" s="2">
        <f>IF(Tabla2[[#This Row],[Frecuencia]]="Annual", Tabla2[[#This Row],[Cosecha/Tarea]]/12,Tabla2[[#This Row],[Cosecha/Tarea]])</f>
        <v>3695</v>
      </c>
      <c r="F1396" s="2">
        <v>39015</v>
      </c>
      <c r="G1396" t="s">
        <v>18</v>
      </c>
      <c r="H1396">
        <f>F1396/Tabla2[[#This Row],[Cosecha Mensual]]</f>
        <v>10.558863328822733</v>
      </c>
      <c r="I1396">
        <f>H1396*_xlfn.XLOOKUP(Tabla2[[#This Row],[Unidad de producción]],Tabla3[Medida],Tabla3[Equivalencia en Kg],"ELVIS",0)</f>
        <v>478.95004059539917</v>
      </c>
      <c r="J1396">
        <v>424.21125000000001</v>
      </c>
      <c r="K1396" t="s">
        <v>18</v>
      </c>
      <c r="L1396">
        <f>J1396/_xlfn.XLOOKUP(Tabla2[[#This Row],[Unidad de precio]],Tabla3[Medida],Tabla3[Equivalencia en Kg],"ELVIS",0)</f>
        <v>9.3520998677248688</v>
      </c>
      <c r="M1396">
        <v>4038.1847174999998</v>
      </c>
      <c r="N1396" s="2">
        <f>(Tabla2[[#This Row],[Productividad (kg/TAS)]]*Tabla2[[#This Row],[Precio por kg]]-Tabla2[[#This Row],[Costos (En RD$/Tarea)]])</f>
        <v>441.00389379905346</v>
      </c>
      <c r="O1396" s="6">
        <f>IF(Tabla2[[#This Row],[Costos (En RD$/Tarea)]]=0,0,Tabla2[[#This Row],[Beneficio Neto  (En RD$/Tarea)]]/Tabla2[[#This Row],[Costos (En RD$/Tarea)]])</f>
        <v>0.10920844999682794</v>
      </c>
      <c r="P1396" s="4">
        <f>Tabla2[[#This Row],[Rentabilidad (%)]]/12</f>
        <v>9.1007041664023288E-3</v>
      </c>
    </row>
    <row r="1397" spans="1:16" x14ac:dyDescent="0.35">
      <c r="A1397" s="1">
        <v>40057</v>
      </c>
      <c r="B1397" t="s">
        <v>22</v>
      </c>
      <c r="C1397" s="2">
        <v>2739</v>
      </c>
      <c r="D1397" s="5" t="s">
        <v>17</v>
      </c>
      <c r="E1397" s="2">
        <f>IF(Tabla2[[#This Row],[Frecuencia]]="Annual", Tabla2[[#This Row],[Cosecha/Tarea]]/12,Tabla2[[#This Row],[Cosecha/Tarea]])</f>
        <v>2739</v>
      </c>
      <c r="F1397" s="2">
        <v>26890</v>
      </c>
      <c r="G1397" t="s">
        <v>18</v>
      </c>
      <c r="H1397">
        <f>F1397/Tabla2[[#This Row],[Cosecha Mensual]]</f>
        <v>9.8174516246805403</v>
      </c>
      <c r="I1397">
        <f>H1397*_xlfn.XLOOKUP(Tabla2[[#This Row],[Unidad de producción]],Tabla3[Medida],Tabla3[Equivalencia en Kg],"ELVIS",0)</f>
        <v>445.31960569550932</v>
      </c>
      <c r="J1397">
        <v>1168.7</v>
      </c>
      <c r="K1397" t="s">
        <v>18</v>
      </c>
      <c r="L1397">
        <f>J1397/_xlfn.XLOOKUP(Tabla2[[#This Row],[Unidad de precio]],Tabla3[Medida],Tabla3[Equivalencia en Kg],"ELVIS",0)</f>
        <v>25.764991181657848</v>
      </c>
      <c r="M1397">
        <v>7095.7961171999996</v>
      </c>
      <c r="N1397" s="2">
        <f>(Tabla2[[#This Row],[Productividad (kg/TAS)]]*Tabla2[[#This Row],[Precio por kg]]-Tabla2[[#This Row],[Costos (En RD$/Tarea)]])</f>
        <v>4377.8595965641489</v>
      </c>
      <c r="O1397" s="6">
        <f>IF(Tabla2[[#This Row],[Costos (En RD$/Tarea)]]=0,0,Tabla2[[#This Row],[Beneficio Neto  (En RD$/Tarea)]]/Tabla2[[#This Row],[Costos (En RD$/Tarea)]])</f>
        <v>0.61696524593658308</v>
      </c>
      <c r="P1397" s="4">
        <f>Tabla2[[#This Row],[Rentabilidad (%)]]/12</f>
        <v>5.1413770494715259E-2</v>
      </c>
    </row>
    <row r="1398" spans="1:16" x14ac:dyDescent="0.35">
      <c r="A1398" s="1">
        <v>40057</v>
      </c>
      <c r="B1398" t="s">
        <v>23</v>
      </c>
      <c r="C1398" s="2">
        <v>3757</v>
      </c>
      <c r="D1398" s="5" t="s">
        <v>17</v>
      </c>
      <c r="E1398" s="2">
        <f>IF(Tabla2[[#This Row],[Frecuencia]]="Annual", Tabla2[[#This Row],[Cosecha/Tarea]]/12,Tabla2[[#This Row],[Cosecha/Tarea]])</f>
        <v>3757</v>
      </c>
      <c r="F1398" s="2">
        <v>135820</v>
      </c>
      <c r="G1398" t="s">
        <v>18</v>
      </c>
      <c r="H1398">
        <f>F1398/Tabla2[[#This Row],[Cosecha Mensual]]</f>
        <v>36.151184455682724</v>
      </c>
      <c r="I1398">
        <f>H1398*_xlfn.XLOOKUP(Tabla2[[#This Row],[Unidad de producción]],Tabla3[Medida],Tabla3[Equivalencia en Kg],"ELVIS",0)</f>
        <v>1639.8177269097685</v>
      </c>
      <c r="J1398">
        <v>756.25</v>
      </c>
      <c r="K1398" t="s">
        <v>18</v>
      </c>
      <c r="L1398">
        <f>J1398/_xlfn.XLOOKUP(Tabla2[[#This Row],[Unidad de precio]],Tabla3[Medida],Tabla3[Equivalencia en Kg],"ELVIS",0)</f>
        <v>16.672178130511465</v>
      </c>
      <c r="M1398">
        <v>17661.808667508602</v>
      </c>
      <c r="N1398" s="2">
        <f>(Tabla2[[#This Row],[Productividad (kg/TAS)]]*Tabla2[[#This Row],[Precio por kg]]-Tabla2[[#This Row],[Costos (En RD$/Tarea)]])</f>
        <v>9677.5245771014634</v>
      </c>
      <c r="O1398" s="6">
        <f>IF(Tabla2[[#This Row],[Costos (En RD$/Tarea)]]=0,0,Tabla2[[#This Row],[Beneficio Neto  (En RD$/Tarea)]]/Tabla2[[#This Row],[Costos (En RD$/Tarea)]])</f>
        <v>0.54793508180759765</v>
      </c>
      <c r="P1398" s="4">
        <f>Tabla2[[#This Row],[Rentabilidad (%)]]/12</f>
        <v>4.5661256817299802E-2</v>
      </c>
    </row>
    <row r="1399" spans="1:16" x14ac:dyDescent="0.35">
      <c r="A1399" s="1">
        <v>40057</v>
      </c>
      <c r="B1399" t="s">
        <v>24</v>
      </c>
      <c r="C1399" s="2">
        <v>4211</v>
      </c>
      <c r="D1399" s="5" t="s">
        <v>17</v>
      </c>
      <c r="E1399" s="2">
        <f>IF(Tabla2[[#This Row],[Frecuencia]]="Annual", Tabla2[[#This Row],[Cosecha/Tarea]]/12,Tabla2[[#This Row],[Cosecha/Tarea]])</f>
        <v>4211</v>
      </c>
      <c r="F1399" s="2">
        <v>39763</v>
      </c>
      <c r="G1399" t="s">
        <v>18</v>
      </c>
      <c r="H1399">
        <f>F1399/Tabla2[[#This Row],[Cosecha Mensual]]</f>
        <v>9.4426502018522918</v>
      </c>
      <c r="I1399">
        <f>H1399*_xlfn.XLOOKUP(Tabla2[[#This Row],[Unidad de producción]],Tabla3[Medida],Tabla3[Equivalencia en Kg],"ELVIS",0)</f>
        <v>428.31861315601992</v>
      </c>
      <c r="J1399">
        <v>1256.0625</v>
      </c>
      <c r="K1399" t="s">
        <v>18</v>
      </c>
      <c r="L1399">
        <f>J1399/_xlfn.XLOOKUP(Tabla2[[#This Row],[Unidad de precio]],Tabla3[Medida],Tabla3[Equivalencia en Kg],"ELVIS",0)</f>
        <v>27.690972222222221</v>
      </c>
      <c r="M1399">
        <v>5745.6881190335998</v>
      </c>
      <c r="N1399" s="2">
        <f>(Tabla2[[#This Row],[Productividad (kg/TAS)]]*Tabla2[[#This Row],[Precio por kg]]-Tabla2[[#This Row],[Costos (En RD$/Tarea)]])</f>
        <v>6114.8707001304929</v>
      </c>
      <c r="O1399" s="6">
        <f>IF(Tabla2[[#This Row],[Costos (En RD$/Tarea)]]=0,0,Tabla2[[#This Row],[Beneficio Neto  (En RD$/Tarea)]]/Tabla2[[#This Row],[Costos (En RD$/Tarea)]])</f>
        <v>1.0642538497475891</v>
      </c>
      <c r="P1399" s="4">
        <f>Tabla2[[#This Row],[Rentabilidad (%)]]/12</f>
        <v>8.868782081229909E-2</v>
      </c>
    </row>
    <row r="1400" spans="1:16" x14ac:dyDescent="0.35">
      <c r="A1400" s="1">
        <v>40057</v>
      </c>
      <c r="B1400" t="s">
        <v>25</v>
      </c>
      <c r="C1400" s="2">
        <v>24390</v>
      </c>
      <c r="D1400" s="5" t="s">
        <v>17</v>
      </c>
      <c r="E1400" s="2">
        <f>IF(Tabla2[[#This Row],[Frecuencia]]="Annual", Tabla2[[#This Row],[Cosecha/Tarea]]/12,Tabla2[[#This Row],[Cosecha/Tarea]])</f>
        <v>24390</v>
      </c>
      <c r="F1400" s="2">
        <v>270058</v>
      </c>
      <c r="G1400" t="s">
        <v>18</v>
      </c>
      <c r="H1400">
        <f>F1400/Tabla2[[#This Row],[Cosecha Mensual]]</f>
        <v>11.072488724887249</v>
      </c>
      <c r="I1400">
        <f>H1400*_xlfn.XLOOKUP(Tabla2[[#This Row],[Unidad de producción]],Tabla3[Medida],Tabla3[Equivalencia en Kg],"ELVIS",0)</f>
        <v>502.24808856088561</v>
      </c>
      <c r="J1400">
        <v>259.89600000000002</v>
      </c>
      <c r="K1400" t="s">
        <v>18</v>
      </c>
      <c r="L1400">
        <f>J1400/_xlfn.XLOOKUP(Tabla2[[#This Row],[Unidad de precio]],Tabla3[Medida],Tabla3[Equivalencia en Kg],"ELVIS",0)</f>
        <v>5.7296296296296303</v>
      </c>
      <c r="M1400">
        <v>3380.6681837157598</v>
      </c>
      <c r="N1400" s="2">
        <f>(Tabla2[[#This Row],[Productividad (kg/TAS)]]*Tabla2[[#This Row],[Precio por kg]]-Tabla2[[#This Row],[Costos (En RD$/Tarea)]])</f>
        <v>-502.97265407246323</v>
      </c>
      <c r="O1400" s="6">
        <f>IF(Tabla2[[#This Row],[Costos (En RD$/Tarea)]]=0,0,Tabla2[[#This Row],[Beneficio Neto  (En RD$/Tarea)]]/Tabla2[[#This Row],[Costos (En RD$/Tarea)]])</f>
        <v>-0.14877906577617325</v>
      </c>
      <c r="P1400" s="4">
        <f>Tabla2[[#This Row],[Rentabilidad (%)]]/12</f>
        <v>-1.2398255481347771E-2</v>
      </c>
    </row>
    <row r="1401" spans="1:16" x14ac:dyDescent="0.35">
      <c r="A1401" s="1">
        <v>40057</v>
      </c>
      <c r="B1401" t="s">
        <v>26</v>
      </c>
      <c r="C1401" s="2">
        <v>12275</v>
      </c>
      <c r="D1401" s="5" t="s">
        <v>17</v>
      </c>
      <c r="E1401" s="2">
        <f>IF(Tabla2[[#This Row],[Frecuencia]]="Annual", Tabla2[[#This Row],[Cosecha/Tarea]]/12,Tabla2[[#This Row],[Cosecha/Tarea]])</f>
        <v>12275</v>
      </c>
      <c r="F1401" s="2">
        <v>55987</v>
      </c>
      <c r="G1401" t="s">
        <v>18</v>
      </c>
      <c r="H1401">
        <f>F1401/Tabla2[[#This Row],[Cosecha Mensual]]</f>
        <v>4.5610590631364563</v>
      </c>
      <c r="I1401">
        <f>H1401*_xlfn.XLOOKUP(Tabla2[[#This Row],[Unidad de producción]],Tabla3[Medida],Tabla3[Equivalencia en Kg],"ELVIS",0)</f>
        <v>206.88963910386965</v>
      </c>
      <c r="J1401">
        <v>637.73285714285703</v>
      </c>
      <c r="K1401" t="s">
        <v>18</v>
      </c>
      <c r="L1401">
        <f>J1401/_xlfn.XLOOKUP(Tabla2[[#This Row],[Unidad de precio]],Tabla3[Medida],Tabla3[Equivalencia en Kg],"ELVIS",0)</f>
        <v>14.059366339128241</v>
      </c>
      <c r="M1401">
        <v>1376.3165203125</v>
      </c>
      <c r="N1401" s="2">
        <f>(Tabla2[[#This Row],[Productividad (kg/TAS)]]*Tabla2[[#This Row],[Precio por kg]]-Tabla2[[#This Row],[Costos (En RD$/Tarea)]])</f>
        <v>1532.420707618835</v>
      </c>
      <c r="O1401" s="6">
        <f>IF(Tabla2[[#This Row],[Costos (En RD$/Tarea)]]=0,0,Tabla2[[#This Row],[Beneficio Neto  (En RD$/Tarea)]]/Tabla2[[#This Row],[Costos (En RD$/Tarea)]])</f>
        <v>1.1134217202238412</v>
      </c>
      <c r="P1401" s="4">
        <f>Tabla2[[#This Row],[Rentabilidad (%)]]/12</f>
        <v>9.2785143351986774E-2</v>
      </c>
    </row>
    <row r="1402" spans="1:16" x14ac:dyDescent="0.35">
      <c r="A1402" s="1">
        <v>40057</v>
      </c>
      <c r="B1402" t="s">
        <v>27</v>
      </c>
      <c r="C1402" s="2">
        <v>7399</v>
      </c>
      <c r="D1402" s="5" t="s">
        <v>17</v>
      </c>
      <c r="E1402" s="2">
        <f>IF(Tabla2[[#This Row],[Frecuencia]]="Annual", Tabla2[[#This Row],[Cosecha/Tarea]]/12,Tabla2[[#This Row],[Cosecha/Tarea]])</f>
        <v>7399</v>
      </c>
      <c r="F1402" s="2">
        <v>49777</v>
      </c>
      <c r="G1402" t="s">
        <v>18</v>
      </c>
      <c r="H1402">
        <f>F1402/Tabla2[[#This Row],[Cosecha Mensual]]</f>
        <v>6.7275307473982968</v>
      </c>
      <c r="I1402">
        <f>H1402*_xlfn.XLOOKUP(Tabla2[[#This Row],[Unidad de producción]],Tabla3[Medida],Tabla3[Equivalencia en Kg],"ELVIS",0)</f>
        <v>305.16079470198673</v>
      </c>
      <c r="J1402">
        <v>321.82900000000001</v>
      </c>
      <c r="K1402" t="s">
        <v>18</v>
      </c>
      <c r="L1402">
        <f>J1402/_xlfn.XLOOKUP(Tabla2[[#This Row],[Unidad de precio]],Tabla3[Medida],Tabla3[Equivalencia en Kg],"ELVIS",0)</f>
        <v>7.0949955908289244</v>
      </c>
      <c r="M1402">
        <v>5690.0383784955002</v>
      </c>
      <c r="N1402" s="2">
        <f>(Tabla2[[#This Row],[Productividad (kg/TAS)]]*Tabla2[[#This Row],[Precio por kg]]-Tabla2[[#This Row],[Costos (En RD$/Tarea)]])</f>
        <v>-3524.9238855910539</v>
      </c>
      <c r="O1402" s="6">
        <f>IF(Tabla2[[#This Row],[Costos (En RD$/Tarea)]]=0,0,Tabla2[[#This Row],[Beneficio Neto  (En RD$/Tarea)]]/Tabla2[[#This Row],[Costos (En RD$/Tarea)]])</f>
        <v>-0.61949035333625946</v>
      </c>
      <c r="P1402" s="4">
        <f>Tabla2[[#This Row],[Rentabilidad (%)]]/12</f>
        <v>-5.1624196111354957E-2</v>
      </c>
    </row>
    <row r="1403" spans="1:16" x14ac:dyDescent="0.35">
      <c r="A1403" s="1">
        <v>40057</v>
      </c>
      <c r="B1403" t="s">
        <v>28</v>
      </c>
      <c r="C1403" s="2">
        <v>63018</v>
      </c>
      <c r="D1403" s="5" t="s">
        <v>17</v>
      </c>
      <c r="E1403" s="2">
        <f>IF(Tabla2[[#This Row],[Frecuencia]]="Annual", Tabla2[[#This Row],[Cosecha/Tarea]]/12,Tabla2[[#This Row],[Cosecha/Tarea]])</f>
        <v>63018</v>
      </c>
      <c r="F1403" s="2">
        <v>134990</v>
      </c>
      <c r="G1403" t="s">
        <v>29</v>
      </c>
      <c r="H1403">
        <f>F1403/Tabla2[[#This Row],[Cosecha Mensual]]</f>
        <v>2.1420863880161223</v>
      </c>
      <c r="I1403">
        <f>H1403*_xlfn.XLOOKUP(Tabla2[[#This Row],[Unidad de producción]],Tabla3[Medida],Tabla3[Equivalencia en Kg],"ELVIS",0)</f>
        <v>1204.5808594369862</v>
      </c>
      <c r="J1403">
        <v>3511.75</v>
      </c>
      <c r="K1403" t="s">
        <v>29</v>
      </c>
      <c r="L1403">
        <f>J1403/_xlfn.XLOOKUP(Tabla2[[#This Row],[Unidad de precio]],Tabla3[Medida],Tabla3[Equivalencia en Kg],"ELVIS",0)</f>
        <v>6.2448874346480769</v>
      </c>
      <c r="M1403">
        <v>5157.1623197653698</v>
      </c>
      <c r="N1403" s="2">
        <f>(Tabla2[[#This Row],[Productividad (kg/TAS)]]*Tabla2[[#This Row],[Precio por kg]]-Tabla2[[#This Row],[Costos (En RD$/Tarea)]])</f>
        <v>2365.3095533502465</v>
      </c>
      <c r="O1403" s="6">
        <f>IF(Tabla2[[#This Row],[Costos (En RD$/Tarea)]]=0,0,Tabla2[[#This Row],[Beneficio Neto  (En RD$/Tarea)]]/Tabla2[[#This Row],[Costos (En RD$/Tarea)]])</f>
        <v>0.45864555092341142</v>
      </c>
      <c r="P1403" s="4">
        <f>Tabla2[[#This Row],[Rentabilidad (%)]]/12</f>
        <v>3.8220462576950949E-2</v>
      </c>
    </row>
    <row r="1404" spans="1:16" x14ac:dyDescent="0.35">
      <c r="A1404" s="1">
        <v>40057</v>
      </c>
      <c r="B1404" t="s">
        <v>30</v>
      </c>
      <c r="C1404" s="2">
        <v>297169</v>
      </c>
      <c r="D1404" s="2" t="s">
        <v>31</v>
      </c>
      <c r="E1404" s="2">
        <f>IF(Tabla2[[#This Row],[Frecuencia]]="Annual", Tabla2[[#This Row],[Cosecha/Tarea]]/12,Tabla2[[#This Row],[Cosecha/Tarea]])</f>
        <v>24764.083333333332</v>
      </c>
      <c r="F1404" s="2">
        <v>1976277</v>
      </c>
      <c r="G1404" t="s">
        <v>32</v>
      </c>
      <c r="H1404">
        <f>F1404/Tabla2[[#This Row],[Cosecha Mensual]]</f>
        <v>79.804165306610045</v>
      </c>
      <c r="I1404">
        <f>H1404*_xlfn.XLOOKUP(Tabla2[[#This Row],[Unidad de producción]],Tabla3[Medida],Tabla3[Equivalencia en Kg],"ELVIS",0)</f>
        <v>2171.4713379928594</v>
      </c>
      <c r="J1404">
        <v>93.728750000000005</v>
      </c>
      <c r="K1404" t="s">
        <v>32</v>
      </c>
      <c r="L1404">
        <f>J1404/_xlfn.XLOOKUP(Tabla2[[#This Row],[Unidad de precio]],Tabla3[Medida],Tabla3[Equivalencia en Kg],"ELVIS",0)</f>
        <v>3.444643513414186</v>
      </c>
      <c r="M1404" s="2">
        <v>9253.9447792029805</v>
      </c>
      <c r="N1404" s="2">
        <f>(Tabla2[[#This Row],[Productividad (kg/TAS)]]*Tabla2[[#This Row],[Precio por kg]]-Tabla2[[#This Row],[Costos (En RD$/Tarea)]])</f>
        <v>-1774.0001202210542</v>
      </c>
      <c r="O1404" s="6">
        <f>IF(Tabla2[[#This Row],[Costos (En RD$/Tarea)]]=0,0,Tabla2[[#This Row],[Beneficio Neto  (En RD$/Tarea)]]/Tabla2[[#This Row],[Costos (En RD$/Tarea)]])</f>
        <v>-0.19170204302578997</v>
      </c>
      <c r="P1404" s="4">
        <f>Tabla2[[#This Row],[Rentabilidad (%)]]/12</f>
        <v>-1.5975170252149163E-2</v>
      </c>
    </row>
    <row r="1405" spans="1:16" x14ac:dyDescent="0.35">
      <c r="A1405" s="1">
        <v>40057</v>
      </c>
      <c r="B1405" t="s">
        <v>33</v>
      </c>
      <c r="C1405" s="2">
        <v>673919</v>
      </c>
      <c r="D1405" s="2" t="s">
        <v>31</v>
      </c>
      <c r="E1405" s="2">
        <f>IF(Tabla2[[#This Row],[Frecuencia]]="Annual", Tabla2[[#This Row],[Cosecha/Tarea]]/12,Tabla2[[#This Row],[Cosecha/Tarea]])</f>
        <v>56159.916666666664</v>
      </c>
      <c r="F1405" s="2">
        <v>150840</v>
      </c>
      <c r="G1405" t="s">
        <v>34</v>
      </c>
      <c r="H1405">
        <f>F1405/Tabla2[[#This Row],[Cosecha Mensual]]</f>
        <v>2.6859014213874368</v>
      </c>
      <c r="I1405">
        <f>H1405*_xlfn.XLOOKUP(Tabla2[[#This Row],[Unidad de producción]],Tabla3[Medida],Tabla3[Equivalencia en Kg],"ELVIS",0)</f>
        <v>1096.2506651392823</v>
      </c>
      <c r="J1405">
        <v>2246.4787500000002</v>
      </c>
      <c r="K1405" t="s">
        <v>34</v>
      </c>
      <c r="L1405">
        <f>J1405/_xlfn.XLOOKUP(Tabla2[[#This Row],[Unidad de precio]],Tabla3[Medida],Tabla3[Equivalencia en Kg],"ELVIS",0)</f>
        <v>5.5040518191841246</v>
      </c>
      <c r="M1405" s="2">
        <v>8960.6721575976007</v>
      </c>
      <c r="N1405" s="2">
        <f>(Tabla2[[#This Row],[Productividad (kg/TAS)]]*Tabla2[[#This Row],[Precio por kg]]-Tabla2[[#This Row],[Costos (En RD$/Tarea)]])</f>
        <v>-2926.8516898559274</v>
      </c>
      <c r="O1405" s="6">
        <f>IF(Tabla2[[#This Row],[Costos (En RD$/Tarea)]]=0,0,Tabla2[[#This Row],[Beneficio Neto  (En RD$/Tarea)]]/Tabla2[[#This Row],[Costos (En RD$/Tarea)]])</f>
        <v>-0.32663305144740729</v>
      </c>
      <c r="P1405" s="4">
        <f>Tabla2[[#This Row],[Rentabilidad (%)]]/12</f>
        <v>-2.7219420953950607E-2</v>
      </c>
    </row>
    <row r="1406" spans="1:16" x14ac:dyDescent="0.35">
      <c r="A1406" s="1">
        <v>40087</v>
      </c>
      <c r="B1406" t="s">
        <v>16</v>
      </c>
      <c r="C1406" s="2">
        <v>663623</v>
      </c>
      <c r="D1406" s="5" t="s">
        <v>17</v>
      </c>
      <c r="E1406" s="2">
        <f>IF(Tabla2[[#This Row],[Frecuencia]]="Annual", Tabla2[[#This Row],[Cosecha/Tarea]]/12,Tabla2[[#This Row],[Cosecha/Tarea]])</f>
        <v>663623</v>
      </c>
      <c r="F1406" s="2">
        <v>2602703</v>
      </c>
      <c r="G1406" t="s">
        <v>18</v>
      </c>
      <c r="H1406">
        <f>F1406/Tabla2[[#This Row],[Cosecha Mensual]]</f>
        <v>3.9219602093357224</v>
      </c>
      <c r="I1406">
        <f>H1406*_xlfn.XLOOKUP(Tabla2[[#This Row],[Unidad de producción]],Tabla3[Medida],Tabla3[Equivalencia en Kg],"ELVIS",0)</f>
        <v>177.90011509546838</v>
      </c>
      <c r="J1406">
        <v>1859.2116942523901</v>
      </c>
      <c r="K1406" t="s">
        <v>19</v>
      </c>
      <c r="L1406">
        <f>J1406/_xlfn.XLOOKUP(Tabla2[[#This Row],[Unidad de precio]],Tabla3[Medida],Tabla3[Equivalencia en Kg],"ELVIS",0)</f>
        <v>16.901924493203545</v>
      </c>
      <c r="M1406">
        <v>6526.78</v>
      </c>
      <c r="N1406" s="2">
        <f>(Tabla2[[#This Row],[Productividad (kg/TAS)]]*Tabla2[[#This Row],[Precio por kg]]-Tabla2[[#This Row],[Costos (En RD$/Tarea)]])</f>
        <v>-3519.9256873241729</v>
      </c>
      <c r="O1406" s="6">
        <f>IF(Tabla2[[#This Row],[Costos (En RD$/Tarea)]]=0,0,Tabla2[[#This Row],[Beneficio Neto  (En RD$/Tarea)]]/Tabla2[[#This Row],[Costos (En RD$/Tarea)]])</f>
        <v>-0.53930509184071973</v>
      </c>
      <c r="P1406" s="4">
        <f>Tabla2[[#This Row],[Rentabilidad (%)]]/12</f>
        <v>-4.4942090986726642E-2</v>
      </c>
    </row>
    <row r="1407" spans="1:16" x14ac:dyDescent="0.35">
      <c r="A1407" s="1">
        <v>40087</v>
      </c>
      <c r="B1407" t="s">
        <v>20</v>
      </c>
      <c r="C1407" s="2">
        <v>33591</v>
      </c>
      <c r="D1407" s="5" t="s">
        <v>17</v>
      </c>
      <c r="E1407" s="2">
        <f>IF(Tabla2[[#This Row],[Frecuencia]]="Annual", Tabla2[[#This Row],[Cosecha/Tarea]]/12,Tabla2[[#This Row],[Cosecha/Tarea]])</f>
        <v>33591</v>
      </c>
      <c r="F1407" s="2">
        <v>62455</v>
      </c>
      <c r="G1407" t="s">
        <v>18</v>
      </c>
      <c r="H1407">
        <f>F1407/Tabla2[[#This Row],[Cosecha Mensual]]</f>
        <v>1.8592777827394242</v>
      </c>
      <c r="I1407">
        <f>H1407*_xlfn.XLOOKUP(Tabla2[[#This Row],[Unidad de producción]],Tabla3[Medida],Tabla3[Equivalencia en Kg],"ELVIS",0)</f>
        <v>84.336840225060286</v>
      </c>
      <c r="J1407">
        <v>566.21428571428601</v>
      </c>
      <c r="K1407" t="s">
        <v>18</v>
      </c>
      <c r="L1407">
        <f>J1407/_xlfn.XLOOKUP(Tabla2[[#This Row],[Unidad de precio]],Tabla3[Medida],Tabla3[Equivalencia en Kg],"ELVIS",0)</f>
        <v>12.482678256487787</v>
      </c>
      <c r="M1407">
        <v>1590.1032460281599</v>
      </c>
      <c r="N1407" s="2">
        <f>(Tabla2[[#This Row],[Productividad (kg/TAS)]]*Tabla2[[#This Row],[Precio por kg]]-Tabla2[[#This Row],[Costos (En RD$/Tarea)]])</f>
        <v>-537.35360432991524</v>
      </c>
      <c r="O1407" s="6">
        <f>IF(Tabla2[[#This Row],[Costos (En RD$/Tarea)]]=0,0,Tabla2[[#This Row],[Beneficio Neto  (En RD$/Tarea)]]/Tabla2[[#This Row],[Costos (En RD$/Tarea)]])</f>
        <v>-0.33793629795558505</v>
      </c>
      <c r="P1407" s="4">
        <f>Tabla2[[#This Row],[Rentabilidad (%)]]/12</f>
        <v>-2.816135816296542E-2</v>
      </c>
    </row>
    <row r="1408" spans="1:16" x14ac:dyDescent="0.35">
      <c r="A1408" s="1">
        <v>40087</v>
      </c>
      <c r="B1408" t="s">
        <v>21</v>
      </c>
      <c r="C1408" s="2">
        <v>4574</v>
      </c>
      <c r="D1408" s="5" t="s">
        <v>17</v>
      </c>
      <c r="E1408" s="2">
        <f>IF(Tabla2[[#This Row],[Frecuencia]]="Annual", Tabla2[[#This Row],[Cosecha/Tarea]]/12,Tabla2[[#This Row],[Cosecha/Tarea]])</f>
        <v>4574</v>
      </c>
      <c r="F1408" s="2">
        <v>50828</v>
      </c>
      <c r="G1408" t="s">
        <v>18</v>
      </c>
      <c r="H1408">
        <f>F1408/Tabla2[[#This Row],[Cosecha Mensual]]</f>
        <v>11.112374289462178</v>
      </c>
      <c r="I1408">
        <f>H1408*_xlfn.XLOOKUP(Tabla2[[#This Row],[Unidad de producción]],Tabla3[Medida],Tabla3[Equivalencia en Kg],"ELVIS",0)</f>
        <v>504.05729777000437</v>
      </c>
      <c r="J1408">
        <v>479.33333333333297</v>
      </c>
      <c r="K1408" t="s">
        <v>18</v>
      </c>
      <c r="L1408">
        <f>J1408/_xlfn.XLOOKUP(Tabla2[[#This Row],[Unidad de precio]],Tabla3[Medida],Tabla3[Equivalencia en Kg],"ELVIS",0)</f>
        <v>10.567313345091115</v>
      </c>
      <c r="M1408">
        <v>4038.1847174999998</v>
      </c>
      <c r="N1408" s="2">
        <f>(Tabla2[[#This Row],[Productividad (kg/TAS)]]*Tabla2[[#This Row],[Precio por kg]]-Tabla2[[#This Row],[Costos (En RD$/Tarea)]])</f>
        <v>1288.346691915533</v>
      </c>
      <c r="O1408" s="6">
        <f>IF(Tabla2[[#This Row],[Costos (En RD$/Tarea)]]=0,0,Tabla2[[#This Row],[Beneficio Neto  (En RD$/Tarea)]]/Tabla2[[#This Row],[Costos (En RD$/Tarea)]])</f>
        <v>0.31904104988865783</v>
      </c>
      <c r="P1408" s="4">
        <f>Tabla2[[#This Row],[Rentabilidad (%)]]/12</f>
        <v>2.6586754157388152E-2</v>
      </c>
    </row>
    <row r="1409" spans="1:16" x14ac:dyDescent="0.35">
      <c r="A1409" s="1">
        <v>40087</v>
      </c>
      <c r="B1409" t="s">
        <v>22</v>
      </c>
      <c r="C1409" s="2">
        <v>4307</v>
      </c>
      <c r="D1409" s="5" t="s">
        <v>17</v>
      </c>
      <c r="E1409" s="2">
        <f>IF(Tabla2[[#This Row],[Frecuencia]]="Annual", Tabla2[[#This Row],[Cosecha/Tarea]]/12,Tabla2[[#This Row],[Cosecha/Tarea]])</f>
        <v>4307</v>
      </c>
      <c r="F1409" s="2">
        <v>43162</v>
      </c>
      <c r="G1409" t="s">
        <v>18</v>
      </c>
      <c r="H1409">
        <f>F1409/Tabla2[[#This Row],[Cosecha Mensual]]</f>
        <v>10.021360575806826</v>
      </c>
      <c r="I1409">
        <f>H1409*_xlfn.XLOOKUP(Tabla2[[#This Row],[Unidad de producción]],Tabla3[Medida],Tabla3[Equivalencia en Kg],"ELVIS",0)</f>
        <v>454.56891571859762</v>
      </c>
      <c r="J1409">
        <v>1224.6666666666699</v>
      </c>
      <c r="K1409" t="s">
        <v>18</v>
      </c>
      <c r="L1409">
        <f>J1409/_xlfn.XLOOKUP(Tabla2[[#This Row],[Unidad de precio]],Tabla3[Medida],Tabla3[Equivalencia en Kg],"ELVIS",0)</f>
        <v>26.998824221046515</v>
      </c>
      <c r="M1409">
        <v>7095.7961171999996</v>
      </c>
      <c r="N1409" s="2">
        <f>(Tabla2[[#This Row],[Productividad (kg/TAS)]]*Tabla2[[#This Row],[Precio por kg]]-Tabla2[[#This Row],[Costos (En RD$/Tarea)]])</f>
        <v>5177.0301346381257</v>
      </c>
      <c r="O1409" s="6">
        <f>IF(Tabla2[[#This Row],[Costos (En RD$/Tarea)]]=0,0,Tabla2[[#This Row],[Beneficio Neto  (En RD$/Tarea)]]/Tabla2[[#This Row],[Costos (En RD$/Tarea)]])</f>
        <v>0.72959116202467511</v>
      </c>
      <c r="P1409" s="4">
        <f>Tabla2[[#This Row],[Rentabilidad (%)]]/12</f>
        <v>6.0799263502056257E-2</v>
      </c>
    </row>
    <row r="1410" spans="1:16" x14ac:dyDescent="0.35">
      <c r="A1410" s="1">
        <v>40087</v>
      </c>
      <c r="B1410" t="s">
        <v>23</v>
      </c>
      <c r="C1410" s="2">
        <v>2154</v>
      </c>
      <c r="D1410" s="5" t="s">
        <v>17</v>
      </c>
      <c r="E1410" s="2">
        <f>IF(Tabla2[[#This Row],[Frecuencia]]="Annual", Tabla2[[#This Row],[Cosecha/Tarea]]/12,Tabla2[[#This Row],[Cosecha/Tarea]])</f>
        <v>2154</v>
      </c>
      <c r="F1410" s="2">
        <v>74680</v>
      </c>
      <c r="G1410" t="s">
        <v>18</v>
      </c>
      <c r="H1410">
        <f>F1410/Tabla2[[#This Row],[Cosecha Mensual]]</f>
        <v>34.670380687093783</v>
      </c>
      <c r="I1410">
        <f>H1410*_xlfn.XLOOKUP(Tabla2[[#This Row],[Unidad de producción]],Tabla3[Medida],Tabla3[Equivalencia en Kg],"ELVIS",0)</f>
        <v>1572.6484679665739</v>
      </c>
      <c r="J1410">
        <v>775</v>
      </c>
      <c r="K1410" t="s">
        <v>18</v>
      </c>
      <c r="L1410">
        <f>J1410/_xlfn.XLOOKUP(Tabla2[[#This Row],[Unidad de precio]],Tabla3[Medida],Tabla3[Equivalencia en Kg],"ELVIS",0)</f>
        <v>17.085537918871253</v>
      </c>
      <c r="M1410">
        <v>17661.808667508602</v>
      </c>
      <c r="N1410" s="2">
        <f>(Tabla2[[#This Row],[Productividad (kg/TAS)]]*Tabla2[[#This Row],[Precio por kg]]-Tabla2[[#This Row],[Costos (En RD$/Tarea)]])</f>
        <v>9207.7363649890794</v>
      </c>
      <c r="O1410" s="6">
        <f>IF(Tabla2[[#This Row],[Costos (En RD$/Tarea)]]=0,0,Tabla2[[#This Row],[Beneficio Neto  (En RD$/Tarea)]]/Tabla2[[#This Row],[Costos (En RD$/Tarea)]])</f>
        <v>0.52133598196701192</v>
      </c>
      <c r="P1410" s="4">
        <f>Tabla2[[#This Row],[Rentabilidad (%)]]/12</f>
        <v>4.3444665163917658E-2</v>
      </c>
    </row>
    <row r="1411" spans="1:16" x14ac:dyDescent="0.35">
      <c r="A1411" s="1">
        <v>40087</v>
      </c>
      <c r="B1411" t="s">
        <v>24</v>
      </c>
      <c r="C1411" s="2">
        <v>4606</v>
      </c>
      <c r="D1411" s="5" t="s">
        <v>17</v>
      </c>
      <c r="E1411" s="2">
        <f>IF(Tabla2[[#This Row],[Frecuencia]]="Annual", Tabla2[[#This Row],[Cosecha/Tarea]]/12,Tabla2[[#This Row],[Cosecha/Tarea]])</f>
        <v>4606</v>
      </c>
      <c r="F1411" s="2">
        <v>54149</v>
      </c>
      <c r="G1411" t="s">
        <v>18</v>
      </c>
      <c r="H1411">
        <f>F1411/Tabla2[[#This Row],[Cosecha Mensual]]</f>
        <v>11.756187581415546</v>
      </c>
      <c r="I1411">
        <f>H1411*_xlfn.XLOOKUP(Tabla2[[#This Row],[Unidad de producción]],Tabla3[Medida],Tabla3[Equivalencia en Kg],"ELVIS",0)</f>
        <v>533.26066869300917</v>
      </c>
      <c r="J1411">
        <v>1276</v>
      </c>
      <c r="K1411" t="s">
        <v>18</v>
      </c>
      <c r="L1411">
        <f>J1411/_xlfn.XLOOKUP(Tabla2[[#This Row],[Unidad de precio]],Tabla3[Medida],Tabla3[Equivalencia en Kg],"ELVIS",0)</f>
        <v>28.130511463844798</v>
      </c>
      <c r="M1411">
        <v>5745.6881190335998</v>
      </c>
      <c r="N1411" s="2">
        <f>(Tabla2[[#This Row],[Productividad (kg/TAS)]]*Tabla2[[#This Row],[Precio por kg]]-Tabla2[[#This Row],[Costos (En RD$/Tarea)]])</f>
        <v>9255.2072348526381</v>
      </c>
      <c r="O1411" s="6">
        <f>IF(Tabla2[[#This Row],[Costos (En RD$/Tarea)]]=0,0,Tabla2[[#This Row],[Beneficio Neto  (En RD$/Tarea)]]/Tabla2[[#This Row],[Costos (En RD$/Tarea)]])</f>
        <v>1.6108091917125018</v>
      </c>
      <c r="P1411" s="4">
        <f>Tabla2[[#This Row],[Rentabilidad (%)]]/12</f>
        <v>0.13423409930937516</v>
      </c>
    </row>
    <row r="1412" spans="1:16" x14ac:dyDescent="0.35">
      <c r="A1412" s="1">
        <v>40087</v>
      </c>
      <c r="B1412" t="s">
        <v>25</v>
      </c>
      <c r="C1412" s="2">
        <v>24458</v>
      </c>
      <c r="D1412" s="5" t="s">
        <v>17</v>
      </c>
      <c r="E1412" s="2">
        <f>IF(Tabla2[[#This Row],[Frecuencia]]="Annual", Tabla2[[#This Row],[Cosecha/Tarea]]/12,Tabla2[[#This Row],[Cosecha/Tarea]])</f>
        <v>24458</v>
      </c>
      <c r="F1412" s="2">
        <v>274877</v>
      </c>
      <c r="G1412" t="s">
        <v>18</v>
      </c>
      <c r="H1412">
        <f>F1412/Tabla2[[#This Row],[Cosecha Mensual]]</f>
        <v>11.238735791969908</v>
      </c>
      <c r="I1412">
        <f>H1412*_xlfn.XLOOKUP(Tabla2[[#This Row],[Unidad de producción]],Tabla3[Medida],Tabla3[Equivalencia en Kg],"ELVIS",0)</f>
        <v>509.78905552375505</v>
      </c>
      <c r="J1412">
        <v>297.36060714285702</v>
      </c>
      <c r="K1412" t="s">
        <v>18</v>
      </c>
      <c r="L1412">
        <f>J1412/_xlfn.XLOOKUP(Tabla2[[#This Row],[Unidad de precio]],Tabla3[Medida],Tabla3[Equivalencia en Kg],"ELVIS",0)</f>
        <v>6.5555689405391764</v>
      </c>
      <c r="M1412">
        <v>3380.6681837157598</v>
      </c>
      <c r="N1412" s="2">
        <f>(Tabla2[[#This Row],[Productividad (kg/TAS)]]*Tabla2[[#This Row],[Precio por kg]]-Tabla2[[#This Row],[Costos (En RD$/Tarea)]])</f>
        <v>-38.710885097429582</v>
      </c>
      <c r="O1412" s="6">
        <f>IF(Tabla2[[#This Row],[Costos (En RD$/Tarea)]]=0,0,Tabla2[[#This Row],[Beneficio Neto  (En RD$/Tarea)]]/Tabla2[[#This Row],[Costos (En RD$/Tarea)]])</f>
        <v>-1.1450660932621218E-2</v>
      </c>
      <c r="P1412" s="4">
        <f>Tabla2[[#This Row],[Rentabilidad (%)]]/12</f>
        <v>-9.5422174438510152E-4</v>
      </c>
    </row>
    <row r="1413" spans="1:16" x14ac:dyDescent="0.35">
      <c r="A1413" s="1">
        <v>40087</v>
      </c>
      <c r="B1413" t="s">
        <v>26</v>
      </c>
      <c r="C1413" s="2">
        <v>13845</v>
      </c>
      <c r="D1413" s="5" t="s">
        <v>17</v>
      </c>
      <c r="E1413" s="2">
        <f>IF(Tabla2[[#This Row],[Frecuencia]]="Annual", Tabla2[[#This Row],[Cosecha/Tarea]]/12,Tabla2[[#This Row],[Cosecha/Tarea]])</f>
        <v>13845</v>
      </c>
      <c r="F1413" s="2">
        <v>70340</v>
      </c>
      <c r="G1413" t="s">
        <v>18</v>
      </c>
      <c r="H1413">
        <f>F1413/Tabla2[[#This Row],[Cosecha Mensual]]</f>
        <v>5.0805344889851929</v>
      </c>
      <c r="I1413">
        <f>H1413*_xlfn.XLOOKUP(Tabla2[[#This Row],[Unidad de producción]],Tabla3[Medida],Tabla3[Equivalencia en Kg],"ELVIS",0)</f>
        <v>230.45304442036834</v>
      </c>
      <c r="J1413">
        <v>616.66666666666697</v>
      </c>
      <c r="K1413" t="s">
        <v>18</v>
      </c>
      <c r="L1413">
        <f>J1413/_xlfn.XLOOKUP(Tabla2[[#This Row],[Unidad de precio]],Tabla3[Medida],Tabla3[Equivalencia en Kg],"ELVIS",0)</f>
        <v>13.594944150499712</v>
      </c>
      <c r="M1413">
        <v>1376.3165203125</v>
      </c>
      <c r="N1413" s="2">
        <f>(Tabla2[[#This Row],[Productividad (kg/TAS)]]*Tabla2[[#This Row],[Precio por kg]]-Tabla2[[#This Row],[Costos (En RD$/Tarea)]])</f>
        <v>1756.6797478950371</v>
      </c>
      <c r="O1413" s="6">
        <f>IF(Tabla2[[#This Row],[Costos (En RD$/Tarea)]]=0,0,Tabla2[[#This Row],[Beneficio Neto  (En RD$/Tarea)]]/Tabla2[[#This Row],[Costos (En RD$/Tarea)]])</f>
        <v>1.2763631926006189</v>
      </c>
      <c r="P1413" s="4">
        <f>Tabla2[[#This Row],[Rentabilidad (%)]]/12</f>
        <v>0.10636359938338491</v>
      </c>
    </row>
    <row r="1414" spans="1:16" x14ac:dyDescent="0.35">
      <c r="A1414" s="1">
        <v>40087</v>
      </c>
      <c r="B1414" t="s">
        <v>27</v>
      </c>
      <c r="C1414" s="2">
        <v>7475</v>
      </c>
      <c r="D1414" s="5" t="s">
        <v>17</v>
      </c>
      <c r="E1414" s="2">
        <f>IF(Tabla2[[#This Row],[Frecuencia]]="Annual", Tabla2[[#This Row],[Cosecha/Tarea]]/12,Tabla2[[#This Row],[Cosecha/Tarea]])</f>
        <v>7475</v>
      </c>
      <c r="F1414" s="2">
        <v>44091</v>
      </c>
      <c r="G1414" t="s">
        <v>18</v>
      </c>
      <c r="H1414">
        <f>F1414/Tabla2[[#This Row],[Cosecha Mensual]]</f>
        <v>5.8984615384615386</v>
      </c>
      <c r="I1414">
        <f>H1414*_xlfn.XLOOKUP(Tabla2[[#This Row],[Unidad de producción]],Tabla3[Medida],Tabla3[Equivalencia en Kg],"ELVIS",0)</f>
        <v>267.55421538461542</v>
      </c>
      <c r="J1414">
        <v>294.142857142857</v>
      </c>
      <c r="K1414" t="s">
        <v>18</v>
      </c>
      <c r="L1414">
        <f>J1414/_xlfn.XLOOKUP(Tabla2[[#This Row],[Unidad de precio]],Tabla3[Medida],Tabla3[Equivalencia en Kg],"ELVIS",0)</f>
        <v>6.4846308893927906</v>
      </c>
      <c r="M1414">
        <v>5690.0383784955002</v>
      </c>
      <c r="N1414" s="2">
        <f>(Tabla2[[#This Row],[Productividad (kg/TAS)]]*Tabla2[[#This Row],[Precio por kg]]-Tabla2[[#This Row],[Costos (En RD$/Tarea)]])</f>
        <v>-3955.0480488251715</v>
      </c>
      <c r="O1414" s="6">
        <f>IF(Tabla2[[#This Row],[Costos (En RD$/Tarea)]]=0,0,Tabla2[[#This Row],[Beneficio Neto  (En RD$/Tarea)]]/Tabla2[[#This Row],[Costos (En RD$/Tarea)]])</f>
        <v>-0.69508284228320505</v>
      </c>
      <c r="P1414" s="4">
        <f>Tabla2[[#This Row],[Rentabilidad (%)]]/12</f>
        <v>-5.7923570190267087E-2</v>
      </c>
    </row>
    <row r="1415" spans="1:16" x14ac:dyDescent="0.35">
      <c r="A1415" s="1">
        <v>40087</v>
      </c>
      <c r="B1415" t="s">
        <v>28</v>
      </c>
      <c r="C1415" s="2">
        <v>66708</v>
      </c>
      <c r="D1415" s="5" t="s">
        <v>17</v>
      </c>
      <c r="E1415" s="2">
        <f>IF(Tabla2[[#This Row],[Frecuencia]]="Annual", Tabla2[[#This Row],[Cosecha/Tarea]]/12,Tabla2[[#This Row],[Cosecha/Tarea]])</f>
        <v>66708</v>
      </c>
      <c r="F1415" s="2">
        <v>83045</v>
      </c>
      <c r="G1415" t="s">
        <v>29</v>
      </c>
      <c r="H1415">
        <f>F1415/Tabla2[[#This Row],[Cosecha Mensual]]</f>
        <v>1.2449031600407747</v>
      </c>
      <c r="I1415">
        <f>H1415*_xlfn.XLOOKUP(Tabla2[[#This Row],[Unidad de producción]],Tabla3[Medida],Tabla3[Equivalencia en Kg],"ELVIS",0)</f>
        <v>700.05884301732931</v>
      </c>
      <c r="J1415">
        <v>3150.75</v>
      </c>
      <c r="K1415" t="s">
        <v>29</v>
      </c>
      <c r="L1415">
        <f>J1415/_xlfn.XLOOKUP(Tabla2[[#This Row],[Unidad de precio]],Tabla3[Medida],Tabla3[Equivalencia en Kg],"ELVIS",0)</f>
        <v>5.6029270548066998</v>
      </c>
      <c r="M1415">
        <v>5157.1623197653698</v>
      </c>
      <c r="N1415" s="2">
        <f>(Tabla2[[#This Row],[Productividad (kg/TAS)]]*Tabla2[[#This Row],[Precio por kg]]-Tabla2[[#This Row],[Costos (En RD$/Tarea)]])</f>
        <v>-1234.7836882668989</v>
      </c>
      <c r="O1415" s="6">
        <f>IF(Tabla2[[#This Row],[Costos (En RD$/Tarea)]]=0,0,Tabla2[[#This Row],[Beneficio Neto  (En RD$/Tarea)]]/Tabla2[[#This Row],[Costos (En RD$/Tarea)]])</f>
        <v>-0.23943083651535649</v>
      </c>
      <c r="P1415" s="4">
        <f>Tabla2[[#This Row],[Rentabilidad (%)]]/12</f>
        <v>-1.9952569709613042E-2</v>
      </c>
    </row>
    <row r="1416" spans="1:16" x14ac:dyDescent="0.35">
      <c r="A1416" s="1">
        <v>40087</v>
      </c>
      <c r="B1416" t="s">
        <v>30</v>
      </c>
      <c r="C1416" s="2">
        <v>294781</v>
      </c>
      <c r="D1416" s="2" t="s">
        <v>31</v>
      </c>
      <c r="E1416" s="2">
        <f>IF(Tabla2[[#This Row],[Frecuencia]]="Annual", Tabla2[[#This Row],[Cosecha/Tarea]]/12,Tabla2[[#This Row],[Cosecha/Tarea]])</f>
        <v>24565.083333333332</v>
      </c>
      <c r="F1416" s="2">
        <v>1868240</v>
      </c>
      <c r="G1416" t="s">
        <v>32</v>
      </c>
      <c r="H1416">
        <f>F1416/Tabla2[[#This Row],[Cosecha Mensual]]</f>
        <v>76.05266282426615</v>
      </c>
      <c r="I1416">
        <f>H1416*_xlfn.XLOOKUP(Tabla2[[#This Row],[Unidad de producción]],Tabla3[Medida],Tabla3[Equivalencia en Kg],"ELVIS",0)</f>
        <v>2069.392955448282</v>
      </c>
      <c r="J1416">
        <v>111.532857142857</v>
      </c>
      <c r="K1416" t="s">
        <v>32</v>
      </c>
      <c r="L1416">
        <f>J1416/_xlfn.XLOOKUP(Tabla2[[#This Row],[Unidad de precio]],Tabla3[Medida],Tabla3[Equivalencia en Kg],"ELVIS",0)</f>
        <v>4.0989657163857771</v>
      </c>
      <c r="M1416" s="2">
        <v>9253.9447792029805</v>
      </c>
      <c r="N1416" s="2">
        <f>(Tabla2[[#This Row],[Productividad (kg/TAS)]]*Tabla2[[#This Row],[Precio por kg]]-Tabla2[[#This Row],[Costos (En RD$/Tarea)]])</f>
        <v>-771.57400109023183</v>
      </c>
      <c r="O1416" s="6">
        <f>IF(Tabla2[[#This Row],[Costos (En RD$/Tarea)]]=0,0,Tabla2[[#This Row],[Beneficio Neto  (En RD$/Tarea)]]/Tabla2[[#This Row],[Costos (En RD$/Tarea)]])</f>
        <v>-8.3377847988053977E-2</v>
      </c>
      <c r="P1416" s="4">
        <f>Tabla2[[#This Row],[Rentabilidad (%)]]/12</f>
        <v>-6.9481539990044984E-3</v>
      </c>
    </row>
    <row r="1417" spans="1:16" x14ac:dyDescent="0.35">
      <c r="A1417" s="1">
        <v>40087</v>
      </c>
      <c r="B1417" t="s">
        <v>33</v>
      </c>
      <c r="C1417" s="2">
        <v>676821</v>
      </c>
      <c r="D1417" s="2" t="s">
        <v>31</v>
      </c>
      <c r="E1417" s="2">
        <f>IF(Tabla2[[#This Row],[Frecuencia]]="Annual", Tabla2[[#This Row],[Cosecha/Tarea]]/12,Tabla2[[#This Row],[Cosecha/Tarea]])</f>
        <v>56401.75</v>
      </c>
      <c r="F1417" s="2">
        <v>149717</v>
      </c>
      <c r="G1417" t="s">
        <v>34</v>
      </c>
      <c r="H1417">
        <f>F1417/Tabla2[[#This Row],[Cosecha Mensual]]</f>
        <v>2.6544743735788341</v>
      </c>
      <c r="I1417">
        <f>H1417*_xlfn.XLOOKUP(Tabla2[[#This Row],[Unidad de producción]],Tabla3[Medida],Tabla3[Equivalencia en Kg],"ELVIS",0)</f>
        <v>1083.4237155762012</v>
      </c>
      <c r="J1417">
        <v>2914.4583333333298</v>
      </c>
      <c r="K1417" t="s">
        <v>34</v>
      </c>
      <c r="L1417">
        <f>J1417/_xlfn.XLOOKUP(Tabla2[[#This Row],[Unidad de precio]],Tabla3[Medida],Tabla3[Equivalencia en Kg],"ELVIS",0)</f>
        <v>7.1406549879537673</v>
      </c>
      <c r="M1417" s="2">
        <v>8960.6721575976007</v>
      </c>
      <c r="N1417" s="2">
        <f>(Tabla2[[#This Row],[Productividad (kg/TAS)]]*Tabla2[[#This Row],[Precio por kg]]-Tabla2[[#This Row],[Costos (En RD$/Tarea)]])</f>
        <v>-1224.3171989009961</v>
      </c>
      <c r="O1417" s="6">
        <f>IF(Tabla2[[#This Row],[Costos (En RD$/Tarea)]]=0,0,Tabla2[[#This Row],[Beneficio Neto  (En RD$/Tarea)]]/Tabla2[[#This Row],[Costos (En RD$/Tarea)]])</f>
        <v>-0.13663229469487045</v>
      </c>
      <c r="P1417" s="4">
        <f>Tabla2[[#This Row],[Rentabilidad (%)]]/12</f>
        <v>-1.1386024557905871E-2</v>
      </c>
    </row>
    <row r="1418" spans="1:16" x14ac:dyDescent="0.35">
      <c r="A1418" s="1">
        <v>40118</v>
      </c>
      <c r="B1418" t="s">
        <v>16</v>
      </c>
      <c r="C1418" s="2">
        <v>490251</v>
      </c>
      <c r="D1418" s="5" t="s">
        <v>17</v>
      </c>
      <c r="E1418" s="2">
        <f>IF(Tabla2[[#This Row],[Frecuencia]]="Annual", Tabla2[[#This Row],[Cosecha/Tarea]]/12,Tabla2[[#This Row],[Cosecha/Tarea]])</f>
        <v>490251</v>
      </c>
      <c r="F1418" s="2">
        <v>1675313</v>
      </c>
      <c r="G1418" t="s">
        <v>18</v>
      </c>
      <c r="H1418">
        <f>F1418/Tabla2[[#This Row],[Cosecha Mensual]]</f>
        <v>3.4172556506768981</v>
      </c>
      <c r="I1418">
        <f>H1418*_xlfn.XLOOKUP(Tabla2[[#This Row],[Unidad de producción]],Tabla3[Medida],Tabla3[Equivalencia en Kg],"ELVIS",0)</f>
        <v>155.00671631470411</v>
      </c>
      <c r="J1418">
        <v>1779.7488129267699</v>
      </c>
      <c r="K1418" t="s">
        <v>19</v>
      </c>
      <c r="L1418">
        <f>J1418/_xlfn.XLOOKUP(Tabla2[[#This Row],[Unidad de precio]],Tabla3[Medida],Tabla3[Equivalencia en Kg],"ELVIS",0)</f>
        <v>16.179534662970635</v>
      </c>
      <c r="M1418">
        <v>6526.78</v>
      </c>
      <c r="N1418" s="2">
        <f>(Tabla2[[#This Row],[Productividad (kg/TAS)]]*Tabla2[[#This Row],[Precio por kg]]-Tabla2[[#This Row],[Costos (En RD$/Tarea)]])</f>
        <v>-4018.8434603929886</v>
      </c>
      <c r="O1418" s="6">
        <f>IF(Tabla2[[#This Row],[Costos (En RD$/Tarea)]]=0,0,Tabla2[[#This Row],[Beneficio Neto  (En RD$/Tarea)]]/Tabla2[[#This Row],[Costos (En RD$/Tarea)]])</f>
        <v>-0.61574673275228964</v>
      </c>
      <c r="P1418" s="4">
        <f>Tabla2[[#This Row],[Rentabilidad (%)]]/12</f>
        <v>-5.1312227729357472E-2</v>
      </c>
    </row>
    <row r="1419" spans="1:16" x14ac:dyDescent="0.35">
      <c r="A1419" s="1">
        <v>40118</v>
      </c>
      <c r="B1419" t="s">
        <v>20</v>
      </c>
      <c r="C1419" s="2">
        <v>19659</v>
      </c>
      <c r="D1419" s="5" t="s">
        <v>17</v>
      </c>
      <c r="E1419" s="2">
        <f>IF(Tabla2[[#This Row],[Frecuencia]]="Annual", Tabla2[[#This Row],[Cosecha/Tarea]]/12,Tabla2[[#This Row],[Cosecha/Tarea]])</f>
        <v>19659</v>
      </c>
      <c r="F1419" s="2">
        <v>36857</v>
      </c>
      <c r="G1419" t="s">
        <v>18</v>
      </c>
      <c r="H1419">
        <f>F1419/Tabla2[[#This Row],[Cosecha Mensual]]</f>
        <v>1.8748156060837275</v>
      </c>
      <c r="I1419">
        <f>H1419*_xlfn.XLOOKUP(Tabla2[[#This Row],[Unidad de producción]],Tabla3[Medida],Tabla3[Equivalencia en Kg],"ELVIS",0)</f>
        <v>85.041635891957881</v>
      </c>
      <c r="J1419">
        <v>497.81707142857101</v>
      </c>
      <c r="K1419" t="s">
        <v>18</v>
      </c>
      <c r="L1419">
        <f>J1419/_xlfn.XLOOKUP(Tabla2[[#This Row],[Unidad de precio]],Tabla3[Medida],Tabla3[Equivalencia en Kg],"ELVIS",0)</f>
        <v>10.974803162005534</v>
      </c>
      <c r="M1419">
        <v>1590.1032460281599</v>
      </c>
      <c r="N1419" s="2">
        <f>(Tabla2[[#This Row],[Productividad (kg/TAS)]]*Tabla2[[#This Row],[Precio por kg]]-Tabla2[[#This Row],[Costos (En RD$/Tarea)]])</f>
        <v>-656.78803153897729</v>
      </c>
      <c r="O1419" s="6">
        <f>IF(Tabla2[[#This Row],[Costos (En RD$/Tarea)]]=0,0,Tabla2[[#This Row],[Beneficio Neto  (En RD$/Tarea)]]/Tabla2[[#This Row],[Costos (En RD$/Tarea)]])</f>
        <v>-0.41304741260011613</v>
      </c>
      <c r="P1419" s="4">
        <f>Tabla2[[#This Row],[Rentabilidad (%)]]/12</f>
        <v>-3.4420617716676344E-2</v>
      </c>
    </row>
    <row r="1420" spans="1:16" x14ac:dyDescent="0.35">
      <c r="A1420" s="1">
        <v>40118</v>
      </c>
      <c r="B1420" t="s">
        <v>21</v>
      </c>
      <c r="C1420" s="2">
        <v>7200</v>
      </c>
      <c r="D1420" s="5" t="s">
        <v>17</v>
      </c>
      <c r="E1420" s="2">
        <f>IF(Tabla2[[#This Row],[Frecuencia]]="Annual", Tabla2[[#This Row],[Cosecha/Tarea]]/12,Tabla2[[#This Row],[Cosecha/Tarea]])</f>
        <v>7200</v>
      </c>
      <c r="F1420" s="2">
        <v>72319</v>
      </c>
      <c r="G1420" t="s">
        <v>18</v>
      </c>
      <c r="H1420">
        <f>F1420/Tabla2[[#This Row],[Cosecha Mensual]]</f>
        <v>10.044305555555555</v>
      </c>
      <c r="I1420">
        <f>H1420*_xlfn.XLOOKUP(Tabla2[[#This Row],[Unidad de producción]],Tabla3[Medida],Tabla3[Equivalencia en Kg],"ELVIS",0)</f>
        <v>455.60969999999998</v>
      </c>
      <c r="J1420">
        <v>477.87444444444401</v>
      </c>
      <c r="K1420" t="s">
        <v>18</v>
      </c>
      <c r="L1420">
        <f>J1420/_xlfn.XLOOKUP(Tabla2[[#This Row],[Unidad de precio]],Tabla3[Medida],Tabla3[Equivalencia en Kg],"ELVIS",0)</f>
        <v>10.535150891632364</v>
      </c>
      <c r="M1420">
        <v>4038.1847174999998</v>
      </c>
      <c r="N1420" s="2">
        <f>(Tabla2[[#This Row],[Productividad (kg/TAS)]]*Tabla2[[#This Row],[Precio por kg]]-Tabla2[[#This Row],[Costos (En RD$/Tarea)]])</f>
        <v>761.7322196913542</v>
      </c>
      <c r="O1420" s="6">
        <f>IF(Tabla2[[#This Row],[Costos (En RD$/Tarea)]]=0,0,Tabla2[[#This Row],[Beneficio Neto  (En RD$/Tarea)]]/Tabla2[[#This Row],[Costos (En RD$/Tarea)]])</f>
        <v>0.18863233679982205</v>
      </c>
      <c r="P1420" s="4">
        <f>Tabla2[[#This Row],[Rentabilidad (%)]]/12</f>
        <v>1.5719361399985171E-2</v>
      </c>
    </row>
    <row r="1421" spans="1:16" x14ac:dyDescent="0.35">
      <c r="A1421" s="1">
        <v>40118</v>
      </c>
      <c r="B1421" t="s">
        <v>22</v>
      </c>
      <c r="C1421" s="2">
        <v>2251</v>
      </c>
      <c r="D1421" s="5" t="s">
        <v>17</v>
      </c>
      <c r="E1421" s="2">
        <f>IF(Tabla2[[#This Row],[Frecuencia]]="Annual", Tabla2[[#This Row],[Cosecha/Tarea]]/12,Tabla2[[#This Row],[Cosecha/Tarea]])</f>
        <v>2251</v>
      </c>
      <c r="F1421" s="2">
        <v>26177</v>
      </c>
      <c r="G1421" t="s">
        <v>18</v>
      </c>
      <c r="H1421">
        <f>F1421/Tabla2[[#This Row],[Cosecha Mensual]]</f>
        <v>11.629053753887161</v>
      </c>
      <c r="I1421">
        <f>H1421*_xlfn.XLOOKUP(Tabla2[[#This Row],[Unidad de producción]],Tabla3[Medida],Tabla3[Equivalencia en Kg],"ELVIS",0)</f>
        <v>527.49387827632165</v>
      </c>
      <c r="J1421">
        <v>991.17857142857099</v>
      </c>
      <c r="K1421" t="s">
        <v>18</v>
      </c>
      <c r="L1421">
        <f>J1421/_xlfn.XLOOKUP(Tabla2[[#This Row],[Unidad de precio]],Tabla3[Medida],Tabla3[Equivalencia en Kg],"ELVIS",0)</f>
        <v>21.851379440665145</v>
      </c>
      <c r="M1421">
        <v>7095.7961171999996</v>
      </c>
      <c r="N1421" s="2">
        <f>(Tabla2[[#This Row],[Productividad (kg/TAS)]]*Tabla2[[#This Row],[Precio por kg]]-Tabla2[[#This Row],[Costos (En RD$/Tarea)]])</f>
        <v>4430.6727696439375</v>
      </c>
      <c r="O1421" s="6">
        <f>IF(Tabla2[[#This Row],[Costos (En RD$/Tarea)]]=0,0,Tabla2[[#This Row],[Beneficio Neto  (En RD$/Tarea)]]/Tabla2[[#This Row],[Costos (En RD$/Tarea)]])</f>
        <v>0.62440812792015232</v>
      </c>
      <c r="P1421" s="4">
        <f>Tabla2[[#This Row],[Rentabilidad (%)]]/12</f>
        <v>5.2034010660012696E-2</v>
      </c>
    </row>
    <row r="1422" spans="1:16" x14ac:dyDescent="0.35">
      <c r="A1422" s="1">
        <v>40118</v>
      </c>
      <c r="B1422" t="s">
        <v>23</v>
      </c>
      <c r="C1422" s="2">
        <v>1812</v>
      </c>
      <c r="D1422" s="5" t="s">
        <v>17</v>
      </c>
      <c r="E1422" s="2">
        <f>IF(Tabla2[[#This Row],[Frecuencia]]="Annual", Tabla2[[#This Row],[Cosecha/Tarea]]/12,Tabla2[[#This Row],[Cosecha/Tarea]])</f>
        <v>1812</v>
      </c>
      <c r="F1422" s="2">
        <v>68265</v>
      </c>
      <c r="G1422" t="s">
        <v>18</v>
      </c>
      <c r="H1422">
        <f>F1422/Tabla2[[#This Row],[Cosecha Mensual]]</f>
        <v>37.673841059602651</v>
      </c>
      <c r="I1422">
        <f>H1422*_xlfn.XLOOKUP(Tabla2[[#This Row],[Unidad de producción]],Tabla3[Medida],Tabla3[Equivalencia en Kg],"ELVIS",0)</f>
        <v>1708.8854304635763</v>
      </c>
      <c r="J1422">
        <v>534.375</v>
      </c>
      <c r="K1422" t="s">
        <v>18</v>
      </c>
      <c r="L1422">
        <f>J1422/_xlfn.XLOOKUP(Tabla2[[#This Row],[Unidad de precio]],Tabla3[Medida],Tabla3[Equivalencia en Kg],"ELVIS",0)</f>
        <v>11.780753968253968</v>
      </c>
      <c r="M1422">
        <v>17661.808667508602</v>
      </c>
      <c r="N1422" s="2">
        <f>(Tabla2[[#This Row],[Productividad (kg/TAS)]]*Tabla2[[#This Row],[Precio por kg]]-Tabla2[[#This Row],[Costos (En RD$/Tarea)]])</f>
        <v>2470.150148716566</v>
      </c>
      <c r="O1422" s="6">
        <f>IF(Tabla2[[#This Row],[Costos (En RD$/Tarea)]]=0,0,Tabla2[[#This Row],[Beneficio Neto  (En RD$/Tarea)]]/Tabla2[[#This Row],[Costos (En RD$/Tarea)]])</f>
        <v>0.13985827811965584</v>
      </c>
      <c r="P1422" s="4">
        <f>Tabla2[[#This Row],[Rentabilidad (%)]]/12</f>
        <v>1.165485650997132E-2</v>
      </c>
    </row>
    <row r="1423" spans="1:16" x14ac:dyDescent="0.35">
      <c r="A1423" s="1">
        <v>40118</v>
      </c>
      <c r="B1423" t="s">
        <v>24</v>
      </c>
      <c r="C1423" s="2">
        <v>4649</v>
      </c>
      <c r="D1423" s="5" t="s">
        <v>17</v>
      </c>
      <c r="E1423" s="2">
        <f>IF(Tabla2[[#This Row],[Frecuencia]]="Annual", Tabla2[[#This Row],[Cosecha/Tarea]]/12,Tabla2[[#This Row],[Cosecha/Tarea]])</f>
        <v>4649</v>
      </c>
      <c r="F1423" s="2">
        <v>39411</v>
      </c>
      <c r="G1423" t="s">
        <v>18</v>
      </c>
      <c r="H1423">
        <f>F1423/Tabla2[[#This Row],[Cosecha Mensual]]</f>
        <v>8.4773069477306944</v>
      </c>
      <c r="I1423">
        <f>H1423*_xlfn.XLOOKUP(Tabla2[[#This Row],[Unidad de producción]],Tabla3[Medida],Tabla3[Equivalencia en Kg],"ELVIS",0)</f>
        <v>384.5306431490643</v>
      </c>
      <c r="J1423">
        <v>1265.5816326530601</v>
      </c>
      <c r="K1423" t="s">
        <v>18</v>
      </c>
      <c r="L1423">
        <f>J1423/_xlfn.XLOOKUP(Tabla2[[#This Row],[Unidad de precio]],Tabla3[Medida],Tabla3[Equivalencia en Kg],"ELVIS",0)</f>
        <v>27.900829644026899</v>
      </c>
      <c r="M1423">
        <v>5745.6881190335998</v>
      </c>
      <c r="N1423" s="2">
        <f>(Tabla2[[#This Row],[Productividad (kg/TAS)]]*Tabla2[[#This Row],[Precio por kg]]-Tabla2[[#This Row],[Costos (En RD$/Tarea)]])</f>
        <v>4983.0358483765422</v>
      </c>
      <c r="O1423" s="6">
        <f>IF(Tabla2[[#This Row],[Costos (En RD$/Tarea)]]=0,0,Tabla2[[#This Row],[Beneficio Neto  (En RD$/Tarea)]]/Tabla2[[#This Row],[Costos (En RD$/Tarea)]])</f>
        <v>0.86726528574869244</v>
      </c>
      <c r="P1423" s="4">
        <f>Tabla2[[#This Row],[Rentabilidad (%)]]/12</f>
        <v>7.2272107145724365E-2</v>
      </c>
    </row>
    <row r="1424" spans="1:16" x14ac:dyDescent="0.35">
      <c r="A1424" s="1">
        <v>40118</v>
      </c>
      <c r="B1424" t="s">
        <v>25</v>
      </c>
      <c r="C1424" s="2">
        <v>41924</v>
      </c>
      <c r="D1424" s="5" t="s">
        <v>17</v>
      </c>
      <c r="E1424" s="2">
        <f>IF(Tabla2[[#This Row],[Frecuencia]]="Annual", Tabla2[[#This Row],[Cosecha/Tarea]]/12,Tabla2[[#This Row],[Cosecha/Tarea]])</f>
        <v>41924</v>
      </c>
      <c r="F1424" s="2">
        <v>364344</v>
      </c>
      <c r="G1424" t="s">
        <v>18</v>
      </c>
      <c r="H1424">
        <f>F1424/Tabla2[[#This Row],[Cosecha Mensual]]</f>
        <v>8.6905829596412563</v>
      </c>
      <c r="I1424">
        <f>H1424*_xlfn.XLOOKUP(Tabla2[[#This Row],[Unidad de producción]],Tabla3[Medida],Tabla3[Equivalencia en Kg],"ELVIS",0)</f>
        <v>394.20484304932739</v>
      </c>
      <c r="J1424">
        <v>281.55399999999997</v>
      </c>
      <c r="K1424" t="s">
        <v>18</v>
      </c>
      <c r="L1424">
        <f>J1424/_xlfn.XLOOKUP(Tabla2[[#This Row],[Unidad de precio]],Tabla3[Medida],Tabla3[Equivalencia en Kg],"ELVIS",0)</f>
        <v>6.2070987654320984</v>
      </c>
      <c r="M1424">
        <v>3380.6681837157598</v>
      </c>
      <c r="N1424" s="2">
        <f>(Tabla2[[#This Row],[Productividad (kg/TAS)]]*Tabla2[[#This Row],[Precio por kg]]-Tabla2[[#This Row],[Costos (En RD$/Tarea)]])</f>
        <v>-933.79978909692545</v>
      </c>
      <c r="O1424" s="6">
        <f>IF(Tabla2[[#This Row],[Costos (En RD$/Tarea)]]=0,0,Tabla2[[#This Row],[Beneficio Neto  (En RD$/Tarea)]]/Tabla2[[#This Row],[Costos (En RD$/Tarea)]])</f>
        <v>-0.27621752220313073</v>
      </c>
      <c r="P1424" s="4">
        <f>Tabla2[[#This Row],[Rentabilidad (%)]]/12</f>
        <v>-2.3018126850260893E-2</v>
      </c>
    </row>
    <row r="1425" spans="1:16" x14ac:dyDescent="0.35">
      <c r="A1425" s="1">
        <v>40118</v>
      </c>
      <c r="B1425" t="s">
        <v>26</v>
      </c>
      <c r="C1425" s="2">
        <v>11295</v>
      </c>
      <c r="D1425" s="5" t="s">
        <v>17</v>
      </c>
      <c r="E1425" s="2">
        <f>IF(Tabla2[[#This Row],[Frecuencia]]="Annual", Tabla2[[#This Row],[Cosecha/Tarea]]/12,Tabla2[[#This Row],[Cosecha/Tarea]])</f>
        <v>11295</v>
      </c>
      <c r="F1425" s="2">
        <v>57928</v>
      </c>
      <c r="G1425" t="s">
        <v>18</v>
      </c>
      <c r="H1425">
        <f>F1425/Tabla2[[#This Row],[Cosecha Mensual]]</f>
        <v>5.1286409915891991</v>
      </c>
      <c r="I1425">
        <f>H1425*_xlfn.XLOOKUP(Tabla2[[#This Row],[Unidad de producción]],Tabla3[Medida],Tabla3[Equivalencia en Kg],"ELVIS",0)</f>
        <v>232.63515537848608</v>
      </c>
      <c r="J1425">
        <v>580.99249999999995</v>
      </c>
      <c r="K1425" t="s">
        <v>18</v>
      </c>
      <c r="L1425">
        <f>J1425/_xlfn.XLOOKUP(Tabla2[[#This Row],[Unidad de precio]],Tabla3[Medida],Tabla3[Equivalencia en Kg],"ELVIS",0)</f>
        <v>12.808476631393297</v>
      </c>
      <c r="M1425">
        <v>1376.3165203125</v>
      </c>
      <c r="N1425" s="2">
        <f>(Tabla2[[#This Row],[Productividad (kg/TAS)]]*Tabla2[[#This Row],[Precio por kg]]-Tabla2[[#This Row],[Costos (En RD$/Tarea)]])</f>
        <v>1603.3854309933877</v>
      </c>
      <c r="O1425" s="6">
        <f>IF(Tabla2[[#This Row],[Costos (En RD$/Tarea)]]=0,0,Tabla2[[#This Row],[Beneficio Neto  (En RD$/Tarea)]]/Tabla2[[#This Row],[Costos (En RD$/Tarea)]])</f>
        <v>1.1649830597320234</v>
      </c>
      <c r="P1425" s="4">
        <f>Tabla2[[#This Row],[Rentabilidad (%)]]/12</f>
        <v>9.7081921644335281E-2</v>
      </c>
    </row>
    <row r="1426" spans="1:16" x14ac:dyDescent="0.35">
      <c r="A1426" s="1">
        <v>40118</v>
      </c>
      <c r="B1426" t="s">
        <v>27</v>
      </c>
      <c r="C1426" s="2">
        <v>7111</v>
      </c>
      <c r="D1426" s="5" t="s">
        <v>17</v>
      </c>
      <c r="E1426" s="2">
        <f>IF(Tabla2[[#This Row],[Frecuencia]]="Annual", Tabla2[[#This Row],[Cosecha/Tarea]]/12,Tabla2[[#This Row],[Cosecha/Tarea]])</f>
        <v>7111</v>
      </c>
      <c r="F1426" s="2">
        <v>41953</v>
      </c>
      <c r="G1426" t="s">
        <v>18</v>
      </c>
      <c r="H1426">
        <f>F1426/Tabla2[[#This Row],[Cosecha Mensual]]</f>
        <v>5.8997328083251297</v>
      </c>
      <c r="I1426">
        <f>H1426*_xlfn.XLOOKUP(Tabla2[[#This Row],[Unidad de producción]],Tabla3[Medida],Tabla3[Equivalencia en Kg],"ELVIS",0)</f>
        <v>267.61188018562785</v>
      </c>
      <c r="J1426">
        <v>230.403214285714</v>
      </c>
      <c r="K1426" t="s">
        <v>18</v>
      </c>
      <c r="L1426">
        <f>J1426/_xlfn.XLOOKUP(Tabla2[[#This Row],[Unidad de precio]],Tabla3[Medida],Tabla3[Equivalencia en Kg],"ELVIS",0)</f>
        <v>5.0794359410430774</v>
      </c>
      <c r="M1426">
        <v>5690.0383784955002</v>
      </c>
      <c r="N1426" s="2">
        <f>(Tabla2[[#This Row],[Productividad (kg/TAS)]]*Tabla2[[#This Row],[Precio por kg]]-Tabla2[[#This Row],[Costos (En RD$/Tarea)]])</f>
        <v>-4330.7209760305086</v>
      </c>
      <c r="O1426" s="6">
        <f>IF(Tabla2[[#This Row],[Costos (En RD$/Tarea)]]=0,0,Tabla2[[#This Row],[Beneficio Neto  (En RD$/Tarea)]]/Tabla2[[#This Row],[Costos (En RD$/Tarea)]])</f>
        <v>-0.76110575851258</v>
      </c>
      <c r="P1426" s="4">
        <f>Tabla2[[#This Row],[Rentabilidad (%)]]/12</f>
        <v>-6.3425479876048338E-2</v>
      </c>
    </row>
    <row r="1427" spans="1:16" x14ac:dyDescent="0.35">
      <c r="A1427" s="1">
        <v>40118</v>
      </c>
      <c r="B1427" t="s">
        <v>28</v>
      </c>
      <c r="C1427" s="2">
        <v>28585</v>
      </c>
      <c r="D1427" s="5" t="s">
        <v>17</v>
      </c>
      <c r="E1427" s="2">
        <f>IF(Tabla2[[#This Row],[Frecuencia]]="Annual", Tabla2[[#This Row],[Cosecha/Tarea]]/12,Tabla2[[#This Row],[Cosecha/Tarea]])</f>
        <v>28585</v>
      </c>
      <c r="F1427" s="2">
        <v>28796</v>
      </c>
      <c r="G1427" t="s">
        <v>29</v>
      </c>
      <c r="H1427">
        <f>F1427/Tabla2[[#This Row],[Cosecha Mensual]]</f>
        <v>1.0073814937904495</v>
      </c>
      <c r="I1427">
        <f>H1427*_xlfn.XLOOKUP(Tabla2[[#This Row],[Unidad de producción]],Tabla3[Medida],Tabla3[Equivalencia en Kg],"ELVIS",0)</f>
        <v>566.49090921812137</v>
      </c>
      <c r="J1427">
        <v>6011.1111111111104</v>
      </c>
      <c r="K1427" t="s">
        <v>29</v>
      </c>
      <c r="L1427">
        <f>J1427/_xlfn.XLOOKUP(Tabla2[[#This Row],[Unidad de precio]],Tabla3[Medida],Tabla3[Equivalencia en Kg],"ELVIS",0)</f>
        <v>10.689460310685902</v>
      </c>
      <c r="M1427">
        <v>5157.1623197653698</v>
      </c>
      <c r="N1427" s="2">
        <f>(Tabla2[[#This Row],[Productividad (kg/TAS)]]*Tabla2[[#This Row],[Precio por kg]]-Tabla2[[#This Row],[Costos (En RD$/Tarea)]])</f>
        <v>898.31977068610922</v>
      </c>
      <c r="O1427" s="6">
        <f>IF(Tabla2[[#This Row],[Costos (En RD$/Tarea)]]=0,0,Tabla2[[#This Row],[Beneficio Neto  (En RD$/Tarea)]]/Tabla2[[#This Row],[Costos (En RD$/Tarea)]])</f>
        <v>0.17418877184516837</v>
      </c>
      <c r="P1427" s="4">
        <f>Tabla2[[#This Row],[Rentabilidad (%)]]/12</f>
        <v>1.4515730987097365E-2</v>
      </c>
    </row>
    <row r="1428" spans="1:16" x14ac:dyDescent="0.35">
      <c r="A1428" s="1">
        <v>40118</v>
      </c>
      <c r="B1428" t="s">
        <v>30</v>
      </c>
      <c r="C1428" s="2">
        <v>293720</v>
      </c>
      <c r="D1428" s="2" t="s">
        <v>31</v>
      </c>
      <c r="E1428" s="2">
        <f>IF(Tabla2[[#This Row],[Frecuencia]]="Annual", Tabla2[[#This Row],[Cosecha/Tarea]]/12,Tabla2[[#This Row],[Cosecha/Tarea]])</f>
        <v>24476.666666666668</v>
      </c>
      <c r="F1428" s="2">
        <v>2382976</v>
      </c>
      <c r="G1428" t="s">
        <v>32</v>
      </c>
      <c r="H1428">
        <f>F1428/Tabla2[[#This Row],[Cosecha Mensual]]</f>
        <v>97.357047528258207</v>
      </c>
      <c r="I1428">
        <f>H1428*_xlfn.XLOOKUP(Tabla2[[#This Row],[Unidad de producción]],Tabla3[Medida],Tabla3[Equivalencia en Kg],"ELVIS",0)</f>
        <v>2649.085263243906</v>
      </c>
      <c r="J1428">
        <v>102.28571428571399</v>
      </c>
      <c r="K1428" t="s">
        <v>32</v>
      </c>
      <c r="L1428">
        <f>J1428/_xlfn.XLOOKUP(Tabla2[[#This Row],[Unidad de precio]],Tabla3[Medida],Tabla3[Equivalencia en Kg],"ELVIS",0)</f>
        <v>3.7591221714705618</v>
      </c>
      <c r="M1428" s="2">
        <v>9253.9447792029805</v>
      </c>
      <c r="N1428" s="2">
        <f>(Tabla2[[#This Row],[Productividad (kg/TAS)]]*Tabla2[[#This Row],[Precio por kg]]-Tabla2[[#This Row],[Costos (En RD$/Tarea)]])</f>
        <v>704.29036797311528</v>
      </c>
      <c r="O1428" s="6">
        <f>IF(Tabla2[[#This Row],[Costos (En RD$/Tarea)]]=0,0,Tabla2[[#This Row],[Beneficio Neto  (En RD$/Tarea)]]/Tabla2[[#This Row],[Costos (En RD$/Tarea)]])</f>
        <v>7.6107042431884278E-2</v>
      </c>
      <c r="P1428" s="4">
        <f>Tabla2[[#This Row],[Rentabilidad (%)]]/12</f>
        <v>6.3422535359903562E-3</v>
      </c>
    </row>
    <row r="1429" spans="1:16" x14ac:dyDescent="0.35">
      <c r="A1429" s="1">
        <v>40118</v>
      </c>
      <c r="B1429" t="s">
        <v>33</v>
      </c>
      <c r="C1429" s="2">
        <v>670676</v>
      </c>
      <c r="D1429" s="2" t="s">
        <v>31</v>
      </c>
      <c r="E1429" s="2">
        <f>IF(Tabla2[[#This Row],[Frecuencia]]="Annual", Tabla2[[#This Row],[Cosecha/Tarea]]/12,Tabla2[[#This Row],[Cosecha/Tarea]])</f>
        <v>55889.666666666664</v>
      </c>
      <c r="F1429" s="2">
        <v>110323</v>
      </c>
      <c r="G1429" t="s">
        <v>34</v>
      </c>
      <c r="H1429">
        <f>F1429/Tabla2[[#This Row],[Cosecha Mensual]]</f>
        <v>1.9739427085507757</v>
      </c>
      <c r="I1429">
        <f>H1429*_xlfn.XLOOKUP(Tabla2[[#This Row],[Unidad de producción]],Tabla3[Medida],Tabla3[Equivalencia en Kg],"ELVIS",0)</f>
        <v>805.66471649499908</v>
      </c>
      <c r="J1429">
        <v>3038.2857142857101</v>
      </c>
      <c r="K1429" t="s">
        <v>34</v>
      </c>
      <c r="L1429">
        <f>J1429/_xlfn.XLOOKUP(Tabla2[[#This Row],[Unidad de precio]],Tabla3[Medida],Tabla3[Equivalencia en Kg],"ELVIS",0)</f>
        <v>7.4440419313627597</v>
      </c>
      <c r="M1429" s="2">
        <v>8960.6721575976007</v>
      </c>
      <c r="N1429" s="2">
        <f>(Tabla2[[#This Row],[Productividad (kg/TAS)]]*Tabla2[[#This Row],[Precio por kg]]-Tabla2[[#This Row],[Costos (En RD$/Tarea)]])</f>
        <v>-2963.2702253893376</v>
      </c>
      <c r="O1429" s="6">
        <f>IF(Tabla2[[#This Row],[Costos (En RD$/Tarea)]]=0,0,Tabla2[[#This Row],[Beneficio Neto  (En RD$/Tarea)]]/Tabla2[[#This Row],[Costos (En RD$/Tarea)]])</f>
        <v>-0.33069731525406065</v>
      </c>
      <c r="P1429" s="4">
        <f>Tabla2[[#This Row],[Rentabilidad (%)]]/12</f>
        <v>-2.7558109604505054E-2</v>
      </c>
    </row>
    <row r="1430" spans="1:16" x14ac:dyDescent="0.35">
      <c r="A1430" s="1">
        <v>40148</v>
      </c>
      <c r="B1430" t="s">
        <v>16</v>
      </c>
      <c r="C1430" s="2">
        <v>135303</v>
      </c>
      <c r="D1430" s="5" t="s">
        <v>17</v>
      </c>
      <c r="E1430" s="2">
        <f>IF(Tabla2[[#This Row],[Frecuencia]]="Annual", Tabla2[[#This Row],[Cosecha/Tarea]]/12,Tabla2[[#This Row],[Cosecha/Tarea]])</f>
        <v>135303</v>
      </c>
      <c r="F1430" s="2">
        <v>434120</v>
      </c>
      <c r="G1430" t="s">
        <v>18</v>
      </c>
      <c r="H1430">
        <f>F1430/Tabla2[[#This Row],[Cosecha Mensual]]</f>
        <v>3.2085023983208059</v>
      </c>
      <c r="I1430">
        <f>H1430*_xlfn.XLOOKUP(Tabla2[[#This Row],[Unidad de producción]],Tabla3[Medida],Tabla3[Equivalencia en Kg],"ELVIS",0)</f>
        <v>145.53766878783176</v>
      </c>
      <c r="J1430">
        <v>1956.8921679086</v>
      </c>
      <c r="K1430" t="s">
        <v>19</v>
      </c>
      <c r="L1430">
        <f>J1430/_xlfn.XLOOKUP(Tabla2[[#This Row],[Unidad de precio]],Tabla3[Medida],Tabla3[Equivalencia en Kg],"ELVIS",0)</f>
        <v>17.78992879916909</v>
      </c>
      <c r="M1430">
        <v>6526.78</v>
      </c>
      <c r="N1430" s="2">
        <f>(Tabla2[[#This Row],[Productividad (kg/TAS)]]*Tabla2[[#This Row],[Precio por kg]]-Tabla2[[#This Row],[Costos (En RD$/Tarea)]])</f>
        <v>-3937.6752346674193</v>
      </c>
      <c r="O1430" s="6">
        <f>IF(Tabla2[[#This Row],[Costos (En RD$/Tarea)]]=0,0,Tabla2[[#This Row],[Beneficio Neto  (En RD$/Tarea)]]/Tabla2[[#This Row],[Costos (En RD$/Tarea)]])</f>
        <v>-0.60331055048085269</v>
      </c>
      <c r="P1430" s="4">
        <f>Tabla2[[#This Row],[Rentabilidad (%)]]/12</f>
        <v>-5.0275879206737727E-2</v>
      </c>
    </row>
    <row r="1431" spans="1:16" x14ac:dyDescent="0.35">
      <c r="A1431" s="1">
        <v>40148</v>
      </c>
      <c r="B1431" t="s">
        <v>20</v>
      </c>
      <c r="C1431" s="2">
        <v>25178</v>
      </c>
      <c r="D1431" s="5" t="s">
        <v>17</v>
      </c>
      <c r="E1431" s="2">
        <f>IF(Tabla2[[#This Row],[Frecuencia]]="Annual", Tabla2[[#This Row],[Cosecha/Tarea]]/12,Tabla2[[#This Row],[Cosecha/Tarea]])</f>
        <v>25178</v>
      </c>
      <c r="F1431" s="2">
        <v>45156</v>
      </c>
      <c r="G1431" t="s">
        <v>18</v>
      </c>
      <c r="H1431">
        <f>F1431/Tabla2[[#This Row],[Cosecha Mensual]]</f>
        <v>1.7934704901104139</v>
      </c>
      <c r="I1431">
        <f>H1431*_xlfn.XLOOKUP(Tabla2[[#This Row],[Unidad de producción]],Tabla3[Medida],Tabla3[Equivalencia en Kg],"ELVIS",0)</f>
        <v>81.351821431408368</v>
      </c>
      <c r="J1431">
        <v>565.357142857143</v>
      </c>
      <c r="K1431" t="s">
        <v>18</v>
      </c>
      <c r="L1431">
        <f>J1431/_xlfn.XLOOKUP(Tabla2[[#This Row],[Unidad de precio]],Tabla3[Medida],Tabla3[Equivalencia en Kg],"ELVIS",0)</f>
        <v>12.463781809019908</v>
      </c>
      <c r="M1431">
        <v>1590.1032460281599</v>
      </c>
      <c r="N1431" s="2">
        <f>(Tabla2[[#This Row],[Productividad (kg/TAS)]]*Tabla2[[#This Row],[Precio por kg]]-Tabla2[[#This Row],[Costos (En RD$/Tarea)]])</f>
        <v>-576.15189394073639</v>
      </c>
      <c r="O1431" s="6">
        <f>IF(Tabla2[[#This Row],[Costos (En RD$/Tarea)]]=0,0,Tabla2[[#This Row],[Beneficio Neto  (En RD$/Tarea)]]/Tabla2[[#This Row],[Costos (En RD$/Tarea)]])</f>
        <v>-0.3623361535673093</v>
      </c>
      <c r="P1431" s="4">
        <f>Tabla2[[#This Row],[Rentabilidad (%)]]/12</f>
        <v>-3.0194679463942442E-2</v>
      </c>
    </row>
    <row r="1432" spans="1:16" x14ac:dyDescent="0.35">
      <c r="A1432" s="1">
        <v>40148</v>
      </c>
      <c r="B1432" t="s">
        <v>21</v>
      </c>
      <c r="C1432" s="2">
        <v>6385</v>
      </c>
      <c r="D1432" s="5" t="s">
        <v>17</v>
      </c>
      <c r="E1432" s="2">
        <f>IF(Tabla2[[#This Row],[Frecuencia]]="Annual", Tabla2[[#This Row],[Cosecha/Tarea]]/12,Tabla2[[#This Row],[Cosecha/Tarea]])</f>
        <v>6385</v>
      </c>
      <c r="F1432" s="2">
        <v>68340</v>
      </c>
      <c r="G1432" t="s">
        <v>18</v>
      </c>
      <c r="H1432">
        <f>F1432/Tabla2[[#This Row],[Cosecha Mensual]]</f>
        <v>10.703210649960846</v>
      </c>
      <c r="I1432">
        <f>H1432*_xlfn.XLOOKUP(Tabla2[[#This Row],[Unidad de producción]],Tabla3[Medida],Tabla3[Equivalencia en Kg],"ELVIS",0)</f>
        <v>485.49763508222401</v>
      </c>
      <c r="J1432">
        <v>461.566666666667</v>
      </c>
      <c r="K1432" t="s">
        <v>18</v>
      </c>
      <c r="L1432">
        <f>J1432/_xlfn.XLOOKUP(Tabla2[[#This Row],[Unidad de precio]],Tabla3[Medida],Tabla3[Equivalencia en Kg],"ELVIS",0)</f>
        <v>10.175631981187545</v>
      </c>
      <c r="M1432">
        <v>4038.1847174999998</v>
      </c>
      <c r="N1432" s="2">
        <f>(Tabla2[[#This Row],[Productividad (kg/TAS)]]*Tabla2[[#This Row],[Precio por kg]]-Tabla2[[#This Row],[Costos (En RD$/Tarea)]])</f>
        <v>902.06054483359867</v>
      </c>
      <c r="O1432" s="6">
        <f>IF(Tabla2[[#This Row],[Costos (En RD$/Tarea)]]=0,0,Tabla2[[#This Row],[Beneficio Neto  (En RD$/Tarea)]]/Tabla2[[#This Row],[Costos (En RD$/Tarea)]])</f>
        <v>0.22338268502785466</v>
      </c>
      <c r="P1432" s="4">
        <f>Tabla2[[#This Row],[Rentabilidad (%)]]/12</f>
        <v>1.8615223752321223E-2</v>
      </c>
    </row>
    <row r="1433" spans="1:16" x14ac:dyDescent="0.35">
      <c r="A1433" s="1">
        <v>40148</v>
      </c>
      <c r="B1433" t="s">
        <v>22</v>
      </c>
      <c r="C1433" s="2">
        <v>4423</v>
      </c>
      <c r="D1433" s="5" t="s">
        <v>17</v>
      </c>
      <c r="E1433" s="2">
        <f>IF(Tabla2[[#This Row],[Frecuencia]]="Annual", Tabla2[[#This Row],[Cosecha/Tarea]]/12,Tabla2[[#This Row],[Cosecha/Tarea]])</f>
        <v>4423</v>
      </c>
      <c r="F1433" s="2">
        <v>45199</v>
      </c>
      <c r="G1433" t="s">
        <v>18</v>
      </c>
      <c r="H1433">
        <f>F1433/Tabla2[[#This Row],[Cosecha Mensual]]</f>
        <v>10.219082070992538</v>
      </c>
      <c r="I1433">
        <f>H1433*_xlfn.XLOOKUP(Tabla2[[#This Row],[Unidad de producción]],Tabla3[Medida],Tabla3[Equivalencia en Kg],"ELVIS",0)</f>
        <v>463.53756274022152</v>
      </c>
      <c r="J1433">
        <v>992.95714285714303</v>
      </c>
      <c r="K1433" t="s">
        <v>18</v>
      </c>
      <c r="L1433">
        <f>J1433/_xlfn.XLOOKUP(Tabla2[[#This Row],[Unidad de precio]],Tabla3[Medida],Tabla3[Equivalencia en Kg],"ELVIS",0)</f>
        <v>21.890589569161001</v>
      </c>
      <c r="M1433">
        <v>7095.7961171999996</v>
      </c>
      <c r="N1433" s="2">
        <f>(Tabla2[[#This Row],[Productividad (kg/TAS)]]*Tabla2[[#This Row],[Precio por kg]]-Tabla2[[#This Row],[Costos (En RD$/Tarea)]])</f>
        <v>3051.3144186354075</v>
      </c>
      <c r="O1433" s="6">
        <f>IF(Tabla2[[#This Row],[Costos (En RD$/Tarea)]]=0,0,Tabla2[[#This Row],[Beneficio Neto  (En RD$/Tarea)]]/Tabla2[[#This Row],[Costos (En RD$/Tarea)]])</f>
        <v>0.43001720571411456</v>
      </c>
      <c r="P1433" s="4">
        <f>Tabla2[[#This Row],[Rentabilidad (%)]]/12</f>
        <v>3.583476714284288E-2</v>
      </c>
    </row>
    <row r="1434" spans="1:16" x14ac:dyDescent="0.35">
      <c r="A1434" s="1">
        <v>40148</v>
      </c>
      <c r="B1434" t="s">
        <v>23</v>
      </c>
      <c r="C1434" s="2">
        <v>2240</v>
      </c>
      <c r="D1434" s="5" t="s">
        <v>17</v>
      </c>
      <c r="E1434" s="2">
        <f>IF(Tabla2[[#This Row],[Frecuencia]]="Annual", Tabla2[[#This Row],[Cosecha/Tarea]]/12,Tabla2[[#This Row],[Cosecha/Tarea]])</f>
        <v>2240</v>
      </c>
      <c r="F1434" s="2">
        <v>57883</v>
      </c>
      <c r="G1434" t="s">
        <v>18</v>
      </c>
      <c r="H1434">
        <f>F1434/Tabla2[[#This Row],[Cosecha Mensual]]</f>
        <v>25.840624999999999</v>
      </c>
      <c r="I1434">
        <f>H1434*_xlfn.XLOOKUP(Tabla2[[#This Row],[Unidad de producción]],Tabla3[Medida],Tabla3[Equivalencia en Kg],"ELVIS",0)</f>
        <v>1172.13075</v>
      </c>
      <c r="J1434">
        <v>662.5</v>
      </c>
      <c r="K1434" t="s">
        <v>18</v>
      </c>
      <c r="L1434">
        <f>J1434/_xlfn.XLOOKUP(Tabla2[[#This Row],[Unidad de precio]],Tabla3[Medida],Tabla3[Equivalencia en Kg],"ELVIS",0)</f>
        <v>14.605379188712522</v>
      </c>
      <c r="M1434">
        <v>17661.808667508602</v>
      </c>
      <c r="N1434" s="2">
        <f>(Tabla2[[#This Row],[Productividad (kg/TAS)]]*Tabla2[[#This Row],[Precio por kg]]-Tabla2[[#This Row],[Costos (En RD$/Tarea)]])</f>
        <v>-542.3946050086015</v>
      </c>
      <c r="O1434" s="6">
        <f>IF(Tabla2[[#This Row],[Costos (En RD$/Tarea)]]=0,0,Tabla2[[#This Row],[Beneficio Neto  (En RD$/Tarea)]]/Tabla2[[#This Row],[Costos (En RD$/Tarea)]])</f>
        <v>-3.0710026091858484E-2</v>
      </c>
      <c r="P1434" s="4">
        <f>Tabla2[[#This Row],[Rentabilidad (%)]]/12</f>
        <v>-2.5591688409882071E-3</v>
      </c>
    </row>
    <row r="1435" spans="1:16" x14ac:dyDescent="0.35">
      <c r="A1435" s="1">
        <v>40148</v>
      </c>
      <c r="B1435" t="s">
        <v>24</v>
      </c>
      <c r="C1435" s="2">
        <v>10268</v>
      </c>
      <c r="D1435" s="5" t="s">
        <v>17</v>
      </c>
      <c r="E1435" s="2">
        <f>IF(Tabla2[[#This Row],[Frecuencia]]="Annual", Tabla2[[#This Row],[Cosecha/Tarea]]/12,Tabla2[[#This Row],[Cosecha/Tarea]])</f>
        <v>10268</v>
      </c>
      <c r="F1435" s="2">
        <v>79257</v>
      </c>
      <c r="G1435" t="s">
        <v>18</v>
      </c>
      <c r="H1435">
        <f>F1435/Tabla2[[#This Row],[Cosecha Mensual]]</f>
        <v>7.7188352162056875</v>
      </c>
      <c r="I1435">
        <f>H1435*_xlfn.XLOOKUP(Tabla2[[#This Row],[Unidad de producción]],Tabla3[Medida],Tabla3[Equivalencia en Kg],"ELVIS",0)</f>
        <v>350.12636540708996</v>
      </c>
      <c r="J1435">
        <v>1171.92857142857</v>
      </c>
      <c r="K1435" t="s">
        <v>18</v>
      </c>
      <c r="L1435">
        <f>J1435/_xlfn.XLOOKUP(Tabla2[[#This Row],[Unidad de precio]],Tabla3[Medida],Tabla3[Equivalencia en Kg],"ELVIS",0)</f>
        <v>25.836167800453484</v>
      </c>
      <c r="M1435">
        <v>5745.6881190335998</v>
      </c>
      <c r="N1435" s="2">
        <f>(Tabla2[[#This Row],[Productividad (kg/TAS)]]*Tabla2[[#This Row],[Precio por kg]]-Tabla2[[#This Row],[Costos (En RD$/Tarea)]])</f>
        <v>3300.2354089868686</v>
      </c>
      <c r="O1435" s="6">
        <f>IF(Tabla2[[#This Row],[Costos (En RD$/Tarea)]]=0,0,Tabla2[[#This Row],[Beneficio Neto  (En RD$/Tarea)]]/Tabla2[[#This Row],[Costos (En RD$/Tarea)]])</f>
        <v>0.57438471086766085</v>
      </c>
      <c r="P1435" s="4">
        <f>Tabla2[[#This Row],[Rentabilidad (%)]]/12</f>
        <v>4.7865392572305071E-2</v>
      </c>
    </row>
    <row r="1436" spans="1:16" x14ac:dyDescent="0.35">
      <c r="A1436" s="1">
        <v>40148</v>
      </c>
      <c r="B1436" t="s">
        <v>25</v>
      </c>
      <c r="C1436" s="2">
        <v>44525</v>
      </c>
      <c r="D1436" s="5" t="s">
        <v>17</v>
      </c>
      <c r="E1436" s="2">
        <f>IF(Tabla2[[#This Row],[Frecuencia]]="Annual", Tabla2[[#This Row],[Cosecha/Tarea]]/12,Tabla2[[#This Row],[Cosecha/Tarea]])</f>
        <v>44525</v>
      </c>
      <c r="F1436" s="2">
        <v>531726</v>
      </c>
      <c r="G1436" t="s">
        <v>18</v>
      </c>
      <c r="H1436">
        <f>F1436/Tabla2[[#This Row],[Cosecha Mensual]]</f>
        <v>11.942189781021899</v>
      </c>
      <c r="I1436">
        <f>H1436*_xlfn.XLOOKUP(Tabla2[[#This Row],[Unidad de producción]],Tabla3[Medida],Tabla3[Equivalencia en Kg],"ELVIS",0)</f>
        <v>541.6977284671533</v>
      </c>
      <c r="J1436">
        <v>288.44285714285701</v>
      </c>
      <c r="K1436" t="s">
        <v>18</v>
      </c>
      <c r="L1436">
        <f>J1436/_xlfn.XLOOKUP(Tabla2[[#This Row],[Unidad de precio]],Tabla3[Medida],Tabla3[Equivalencia en Kg],"ELVIS",0)</f>
        <v>6.3589695137314157</v>
      </c>
      <c r="M1436">
        <v>3380.6681837157598</v>
      </c>
      <c r="N1436" s="2">
        <f>(Tabla2[[#This Row],[Productividad (kg/TAS)]]*Tabla2[[#This Row],[Precio por kg]]-Tabla2[[#This Row],[Costos (En RD$/Tarea)]])</f>
        <v>63.971157264426438</v>
      </c>
      <c r="O1436" s="6">
        <f>IF(Tabla2[[#This Row],[Costos (En RD$/Tarea)]]=0,0,Tabla2[[#This Row],[Beneficio Neto  (En RD$/Tarea)]]/Tabla2[[#This Row],[Costos (En RD$/Tarea)]])</f>
        <v>1.8922637120249542E-2</v>
      </c>
      <c r="P1436" s="4">
        <f>Tabla2[[#This Row],[Rentabilidad (%)]]/12</f>
        <v>1.5768864266874618E-3</v>
      </c>
    </row>
    <row r="1437" spans="1:16" x14ac:dyDescent="0.35">
      <c r="A1437" s="1">
        <v>40148</v>
      </c>
      <c r="B1437" t="s">
        <v>26</v>
      </c>
      <c r="C1437" s="2">
        <v>12871</v>
      </c>
      <c r="D1437" s="5" t="s">
        <v>17</v>
      </c>
      <c r="E1437" s="2">
        <f>IF(Tabla2[[#This Row],[Frecuencia]]="Annual", Tabla2[[#This Row],[Cosecha/Tarea]]/12,Tabla2[[#This Row],[Cosecha/Tarea]])</f>
        <v>12871</v>
      </c>
      <c r="F1437" s="2">
        <v>63419</v>
      </c>
      <c r="G1437" t="s">
        <v>18</v>
      </c>
      <c r="H1437">
        <f>F1437/Tabla2[[#This Row],[Cosecha Mensual]]</f>
        <v>4.9272783777484266</v>
      </c>
      <c r="I1437">
        <f>H1437*_xlfn.XLOOKUP(Tabla2[[#This Row],[Unidad de producción]],Tabla3[Medida],Tabla3[Equivalencia en Kg],"ELVIS",0)</f>
        <v>223.50134721466864</v>
      </c>
      <c r="J1437">
        <v>539.29999999999995</v>
      </c>
      <c r="K1437" t="s">
        <v>18</v>
      </c>
      <c r="L1437">
        <f>J1437/_xlfn.XLOOKUP(Tabla2[[#This Row],[Unidad de precio]],Tabla3[Medida],Tabla3[Equivalencia en Kg],"ELVIS",0)</f>
        <v>11.889329805996471</v>
      </c>
      <c r="M1437">
        <v>1376.3165203125</v>
      </c>
      <c r="N1437" s="2">
        <f>(Tabla2[[#This Row],[Productividad (kg/TAS)]]*Tabla2[[#This Row],[Precio por kg]]-Tabla2[[#This Row],[Costos (En RD$/Tarea)]])</f>
        <v>1280.9647088072265</v>
      </c>
      <c r="O1437" s="6">
        <f>IF(Tabla2[[#This Row],[Costos (En RD$/Tarea)]]=0,0,Tabla2[[#This Row],[Beneficio Neto  (En RD$/Tarea)]]/Tabla2[[#This Row],[Costos (En RD$/Tarea)]])</f>
        <v>0.93071956189000526</v>
      </c>
      <c r="P1437" s="4">
        <f>Tabla2[[#This Row],[Rentabilidad (%)]]/12</f>
        <v>7.7559963490833772E-2</v>
      </c>
    </row>
    <row r="1438" spans="1:16" x14ac:dyDescent="0.35">
      <c r="A1438" s="1">
        <v>40148</v>
      </c>
      <c r="B1438" t="s">
        <v>27</v>
      </c>
      <c r="C1438" s="2">
        <v>6743</v>
      </c>
      <c r="D1438" s="5" t="s">
        <v>17</v>
      </c>
      <c r="E1438" s="2">
        <f>IF(Tabla2[[#This Row],[Frecuencia]]="Annual", Tabla2[[#This Row],[Cosecha/Tarea]]/12,Tabla2[[#This Row],[Cosecha/Tarea]])</f>
        <v>6743</v>
      </c>
      <c r="F1438" s="2">
        <v>37819</v>
      </c>
      <c r="G1438" t="s">
        <v>18</v>
      </c>
      <c r="H1438">
        <f>F1438/Tabla2[[#This Row],[Cosecha Mensual]]</f>
        <v>5.6086311730683676</v>
      </c>
      <c r="I1438">
        <f>H1438*_xlfn.XLOOKUP(Tabla2[[#This Row],[Unidad de producción]],Tabla3[Medida],Tabla3[Equivalencia en Kg],"ELVIS",0)</f>
        <v>254.40751001038115</v>
      </c>
      <c r="J1438">
        <v>400.64533333333299</v>
      </c>
      <c r="K1438" t="s">
        <v>18</v>
      </c>
      <c r="L1438">
        <f>J1438/_xlfn.XLOOKUP(Tabla2[[#This Row],[Unidad de precio]],Tabla3[Medida],Tabla3[Equivalencia en Kg],"ELVIS",0)</f>
        <v>8.8325690770135132</v>
      </c>
      <c r="M1438">
        <v>5690.0383784955002</v>
      </c>
      <c r="N1438" s="2">
        <f>(Tabla2[[#This Row],[Productividad (kg/TAS)]]*Tabla2[[#This Row],[Precio por kg]]-Tabla2[[#This Row],[Costos (En RD$/Tarea)]])</f>
        <v>-3442.9664726178021</v>
      </c>
      <c r="O1438" s="6">
        <f>IF(Tabla2[[#This Row],[Costos (En RD$/Tarea)]]=0,0,Tabla2[[#This Row],[Beneficio Neto  (En RD$/Tarea)]]/Tabla2[[#This Row],[Costos (En RD$/Tarea)]])</f>
        <v>-0.60508668722339176</v>
      </c>
      <c r="P1438" s="4">
        <f>Tabla2[[#This Row],[Rentabilidad (%)]]/12</f>
        <v>-5.0423890601949316E-2</v>
      </c>
    </row>
    <row r="1439" spans="1:16" x14ac:dyDescent="0.35">
      <c r="A1439" s="1">
        <v>40148</v>
      </c>
      <c r="B1439" t="s">
        <v>28</v>
      </c>
      <c r="C1439" s="2">
        <v>54084</v>
      </c>
      <c r="D1439" s="5" t="s">
        <v>17</v>
      </c>
      <c r="E1439" s="2">
        <f>IF(Tabla2[[#This Row],[Frecuencia]]="Annual", Tabla2[[#This Row],[Cosecha/Tarea]]/12,Tabla2[[#This Row],[Cosecha/Tarea]])</f>
        <v>54084</v>
      </c>
      <c r="F1439" s="2">
        <v>48386</v>
      </c>
      <c r="G1439" t="s">
        <v>29</v>
      </c>
      <c r="H1439">
        <f>F1439/Tabla2[[#This Row],[Cosecha Mensual]]</f>
        <v>0.89464536646697734</v>
      </c>
      <c r="I1439">
        <f>H1439*_xlfn.XLOOKUP(Tabla2[[#This Row],[Unidad de producción]],Tabla3[Medida],Tabla3[Equivalencia en Kg],"ELVIS",0)</f>
        <v>503.09487537904005</v>
      </c>
      <c r="J1439">
        <v>5034.5</v>
      </c>
      <c r="K1439" t="s">
        <v>29</v>
      </c>
      <c r="L1439">
        <f>J1439/_xlfn.XLOOKUP(Tabla2[[#This Row],[Unidad de precio]],Tabla3[Medida],Tabla3[Equivalencia en Kg],"ELVIS",0)</f>
        <v>8.9527687875662405</v>
      </c>
      <c r="M1439">
        <v>5157.1623197653698</v>
      </c>
      <c r="N1439" s="2">
        <f>(Tabla2[[#This Row],[Productividad (kg/TAS)]]*Tabla2[[#This Row],[Precio por kg]]-Tabla2[[#This Row],[Costos (En RD$/Tarea)]])</f>
        <v>-653.07022228737242</v>
      </c>
      <c r="O1439" s="6">
        <f>IF(Tabla2[[#This Row],[Costos (En RD$/Tarea)]]=0,0,Tabla2[[#This Row],[Beneficio Neto  (En RD$/Tarea)]]/Tabla2[[#This Row],[Costos (En RD$/Tarea)]])</f>
        <v>-0.12663363722030074</v>
      </c>
      <c r="P1439" s="4">
        <f>Tabla2[[#This Row],[Rentabilidad (%)]]/12</f>
        <v>-1.0552803101691729E-2</v>
      </c>
    </row>
    <row r="1440" spans="1:16" x14ac:dyDescent="0.35">
      <c r="A1440" s="1">
        <v>40148</v>
      </c>
      <c r="B1440" t="s">
        <v>30</v>
      </c>
      <c r="C1440" s="2">
        <v>296758</v>
      </c>
      <c r="D1440" s="2" t="s">
        <v>31</v>
      </c>
      <c r="E1440" s="2">
        <f>IF(Tabla2[[#This Row],[Frecuencia]]="Annual", Tabla2[[#This Row],[Cosecha/Tarea]]/12,Tabla2[[#This Row],[Cosecha/Tarea]])</f>
        <v>24729.833333333332</v>
      </c>
      <c r="F1440" s="2">
        <v>2196169</v>
      </c>
      <c r="G1440" t="s">
        <v>32</v>
      </c>
      <c r="H1440">
        <f>F1440/Tabla2[[#This Row],[Cosecha Mensual]]</f>
        <v>88.806461830852072</v>
      </c>
      <c r="I1440">
        <f>H1440*_xlfn.XLOOKUP(Tabla2[[#This Row],[Unidad de producción]],Tabla3[Medida],Tabla3[Equivalencia en Kg],"ELVIS",0)</f>
        <v>2416.4238264174851</v>
      </c>
      <c r="J1440">
        <v>102.25714285714299</v>
      </c>
      <c r="K1440" t="s">
        <v>32</v>
      </c>
      <c r="L1440">
        <f>J1440/_xlfn.XLOOKUP(Tabla2[[#This Row],[Unidad de precio]],Tabla3[Medida],Tabla3[Equivalencia en Kg],"ELVIS",0)</f>
        <v>3.7580721373444685</v>
      </c>
      <c r="M1440" s="2">
        <v>9253.9447792029805</v>
      </c>
      <c r="N1440" s="2">
        <f>(Tabla2[[#This Row],[Productividad (kg/TAS)]]*Tabla2[[#This Row],[Precio por kg]]-Tabla2[[#This Row],[Costos (En RD$/Tarea)]])</f>
        <v>-172.84972512812237</v>
      </c>
      <c r="O1440" s="6">
        <f>IF(Tabla2[[#This Row],[Costos (En RD$/Tarea)]]=0,0,Tabla2[[#This Row],[Beneficio Neto  (En RD$/Tarea)]]/Tabla2[[#This Row],[Costos (En RD$/Tarea)]])</f>
        <v>-1.867849109242356E-2</v>
      </c>
      <c r="P1440" s="4">
        <f>Tabla2[[#This Row],[Rentabilidad (%)]]/12</f>
        <v>-1.55654092436863E-3</v>
      </c>
    </row>
    <row r="1441" spans="1:16" x14ac:dyDescent="0.35">
      <c r="A1441" s="1">
        <v>40148</v>
      </c>
      <c r="B1441" t="s">
        <v>33</v>
      </c>
      <c r="C1441" s="2">
        <v>659846</v>
      </c>
      <c r="D1441" s="2" t="s">
        <v>31</v>
      </c>
      <c r="E1441" s="8">
        <f>IF(Tabla2[[#This Row],[Frecuencia]]="Annual", Tabla2[[#This Row],[Cosecha/Tarea]]/12,Tabla2[[#This Row],[Cosecha/Tarea]])</f>
        <v>54987.166666666664</v>
      </c>
      <c r="F1441" s="2">
        <v>231280</v>
      </c>
      <c r="G1441" t="s">
        <v>34</v>
      </c>
      <c r="H1441">
        <f>F1441/Tabla2[[#This Row],[Cosecha Mensual]]</f>
        <v>4.2060723259669679</v>
      </c>
      <c r="I1441">
        <f>H1441*_xlfn.XLOOKUP(Tabla2[[#This Row],[Unidad de producción]],Tabla3[Medida],Tabla3[Equivalencia en Kg],"ELVIS",0)</f>
        <v>1716.7084198434179</v>
      </c>
      <c r="J1441">
        <v>3687.5142857142901</v>
      </c>
      <c r="K1441" t="s">
        <v>34</v>
      </c>
      <c r="L1441">
        <f>J1441/_xlfn.XLOOKUP(Tabla2[[#This Row],[Unidad de precio]],Tabla3[Medida],Tabla3[Equivalencia en Kg],"ELVIS",0)</f>
        <v>9.0347036278679163</v>
      </c>
      <c r="M1441" s="2">
        <v>8960.6721575976007</v>
      </c>
      <c r="N1441" s="2">
        <f>(Tabla2[[#This Row],[Productividad (kg/TAS)]]*Tabla2[[#This Row],[Precio por kg]]-Tabla2[[#This Row],[Costos (En RD$/Tarea)]])</f>
        <v>6549.2796311531256</v>
      </c>
      <c r="O1441" s="6">
        <f>IF(Tabla2[[#This Row],[Costos (En RD$/Tarea)]]=0,0,Tabla2[[#This Row],[Beneficio Neto  (En RD$/Tarea)]]/Tabla2[[#This Row],[Costos (En RD$/Tarea)]])</f>
        <v>0.73089155768299185</v>
      </c>
      <c r="P1441" s="4">
        <f>Tabla2[[#This Row],[Rentabilidad (%)]]/12</f>
        <v>6.090762980691599E-2</v>
      </c>
    </row>
    <row r="1442" spans="1:16" x14ac:dyDescent="0.35">
      <c r="A1442" s="1">
        <v>40179</v>
      </c>
      <c r="B1442" t="s">
        <v>16</v>
      </c>
      <c r="C1442" s="2">
        <v>26886</v>
      </c>
      <c r="D1442" s="5" t="s">
        <v>17</v>
      </c>
      <c r="E1442" s="2">
        <f>IF(Tabla2[[#This Row],[Frecuencia]]="Annual", Tabla2[[#This Row],[Cosecha/Tarea]]/12,Tabla2[[#This Row],[Cosecha/Tarea]])</f>
        <v>26886</v>
      </c>
      <c r="F1442" s="2">
        <v>85232</v>
      </c>
      <c r="G1442" t="s">
        <v>18</v>
      </c>
      <c r="H1442">
        <f>F1442/Tabla2[[#This Row],[Cosecha Mensual]]</f>
        <v>3.170125715986015</v>
      </c>
      <c r="I1442">
        <f>H1442*_xlfn.XLOOKUP(Tabla2[[#This Row],[Unidad de producción]],Tabla3[Medida],Tabla3[Equivalencia en Kg],"ELVIS",0)</f>
        <v>143.79690247712563</v>
      </c>
      <c r="J1442">
        <v>1983.19897435897</v>
      </c>
      <c r="K1442" t="s">
        <v>19</v>
      </c>
      <c r="L1442">
        <f>J1442/_xlfn.XLOOKUP(Tabla2[[#This Row],[Unidad de precio]],Tabla3[Medida],Tabla3[Equivalencia en Kg],"ELVIS",0)</f>
        <v>18.029081585081546</v>
      </c>
      <c r="M1442">
        <v>7449.8087382093299</v>
      </c>
      <c r="N1442" s="2">
        <f>(Tabla2[[#This Row],[Productividad (kg/TAS)]]*Tabla2[[#This Row],[Precio por kg]]-Tabla2[[#This Row],[Costos (En RD$/Tarea)]])</f>
        <v>-4857.2826517672174</v>
      </c>
      <c r="O1442" s="6">
        <f>IF(Tabla2[[#This Row],[Costos (En RD$/Tarea)]]=0,0,Tabla2[[#This Row],[Beneficio Neto  (En RD$/Tarea)]]/Tabla2[[#This Row],[Costos (En RD$/Tarea)]])</f>
        <v>-0.65200098720047628</v>
      </c>
      <c r="P1442" s="4">
        <f>Tabla2[[#This Row],[Rentabilidad (%)]]/12</f>
        <v>-5.4333415600039688E-2</v>
      </c>
    </row>
    <row r="1443" spans="1:16" x14ac:dyDescent="0.35">
      <c r="A1443" s="1">
        <v>40179</v>
      </c>
      <c r="B1443" t="s">
        <v>20</v>
      </c>
      <c r="C1443" s="2">
        <v>27954</v>
      </c>
      <c r="D1443" s="5" t="s">
        <v>17</v>
      </c>
      <c r="E1443" s="2">
        <f>IF(Tabla2[[#This Row],[Frecuencia]]="Annual", Tabla2[[#This Row],[Cosecha/Tarea]]/12,Tabla2[[#This Row],[Cosecha/Tarea]])</f>
        <v>27954</v>
      </c>
      <c r="F1443" s="2">
        <v>47593</v>
      </c>
      <c r="G1443" t="s">
        <v>18</v>
      </c>
      <c r="H1443">
        <f>F1443/Tabla2[[#This Row],[Cosecha Mensual]]</f>
        <v>1.7025470415682908</v>
      </c>
      <c r="I1443">
        <f>H1443*_xlfn.XLOOKUP(Tabla2[[#This Row],[Unidad de producción]],Tabla3[Medida],Tabla3[Equivalencia en Kg],"ELVIS",0)</f>
        <v>77.227533805537675</v>
      </c>
      <c r="J1443">
        <v>599.36111111111097</v>
      </c>
      <c r="K1443" t="s">
        <v>18</v>
      </c>
      <c r="L1443">
        <f>J1443/_xlfn.XLOOKUP(Tabla2[[#This Row],[Unidad de precio]],Tabla3[Medida],Tabla3[Equivalencia en Kg],"ELVIS",0)</f>
        <v>13.21342837546541</v>
      </c>
      <c r="M1443">
        <v>2162.02023182316</v>
      </c>
      <c r="N1443" s="2">
        <f>(Tabla2[[#This Row],[Productividad (kg/TAS)]]*Tabla2[[#This Row],[Precio por kg]]-Tabla2[[#This Row],[Costos (En RD$/Tarea)]])</f>
        <v>-1141.5797452698544</v>
      </c>
      <c r="O1443" s="6">
        <f>IF(Tabla2[[#This Row],[Costos (En RD$/Tarea)]]=0,0,Tabla2[[#This Row],[Beneficio Neto  (En RD$/Tarea)]]/Tabla2[[#This Row],[Costos (En RD$/Tarea)]])</f>
        <v>-0.52801529257993951</v>
      </c>
      <c r="P1443" s="4">
        <f>Tabla2[[#This Row],[Rentabilidad (%)]]/12</f>
        <v>-4.4001274381661626E-2</v>
      </c>
    </row>
    <row r="1444" spans="1:16" x14ac:dyDescent="0.35">
      <c r="A1444" s="1">
        <v>40179</v>
      </c>
      <c r="B1444" t="s">
        <v>21</v>
      </c>
      <c r="C1444" s="2">
        <v>8441</v>
      </c>
      <c r="D1444" s="5" t="s">
        <v>17</v>
      </c>
      <c r="E1444" s="2">
        <f>IF(Tabla2[[#This Row],[Frecuencia]]="Annual", Tabla2[[#This Row],[Cosecha/Tarea]]/12,Tabla2[[#This Row],[Cosecha/Tarea]])</f>
        <v>8441</v>
      </c>
      <c r="F1444" s="2">
        <v>97919</v>
      </c>
      <c r="G1444" t="s">
        <v>18</v>
      </c>
      <c r="H1444">
        <f>F1444/Tabla2[[#This Row],[Cosecha Mensual]]</f>
        <v>11.600402795877265</v>
      </c>
      <c r="I1444">
        <f>H1444*_xlfn.XLOOKUP(Tabla2[[#This Row],[Unidad de producción]],Tabla3[Medida],Tabla3[Equivalencia en Kg],"ELVIS",0)</f>
        <v>526.19427082099276</v>
      </c>
      <c r="J1444">
        <v>419.54166666666703</v>
      </c>
      <c r="K1444" t="s">
        <v>18</v>
      </c>
      <c r="L1444">
        <f>J1444/_xlfn.XLOOKUP(Tabla2[[#This Row],[Unidad de precio]],Tabla3[Medida],Tabla3[Equivalencia en Kg],"ELVIS",0)</f>
        <v>9.2491549088771396</v>
      </c>
      <c r="M1444">
        <v>4521.4268874999998</v>
      </c>
      <c r="N1444" s="2">
        <f>(Tabla2[[#This Row],[Productividad (kg/TAS)]]*Tabla2[[#This Row],[Precio por kg]]-Tabla2[[#This Row],[Costos (En RD$/Tarea)]])</f>
        <v>345.42543548701269</v>
      </c>
      <c r="O1444" s="6">
        <f>IF(Tabla2[[#This Row],[Costos (En RD$/Tarea)]]=0,0,Tabla2[[#This Row],[Beneficio Neto  (En RD$/Tarea)]]/Tabla2[[#This Row],[Costos (En RD$/Tarea)]])</f>
        <v>7.6397439145147017E-2</v>
      </c>
      <c r="P1444" s="4">
        <f>Tabla2[[#This Row],[Rentabilidad (%)]]/12</f>
        <v>6.366453262095585E-3</v>
      </c>
    </row>
    <row r="1445" spans="1:16" x14ac:dyDescent="0.35">
      <c r="A1445" s="1">
        <v>40179</v>
      </c>
      <c r="B1445" t="s">
        <v>22</v>
      </c>
      <c r="C1445" s="2">
        <v>7779</v>
      </c>
      <c r="D1445" s="5" t="s">
        <v>17</v>
      </c>
      <c r="E1445" s="2">
        <f>IF(Tabla2[[#This Row],[Frecuencia]]="Annual", Tabla2[[#This Row],[Cosecha/Tarea]]/12,Tabla2[[#This Row],[Cosecha/Tarea]])</f>
        <v>7779</v>
      </c>
      <c r="F1445" s="2">
        <v>74760</v>
      </c>
      <c r="G1445" t="s">
        <v>18</v>
      </c>
      <c r="H1445">
        <f>F1445/Tabla2[[#This Row],[Cosecha Mensual]]</f>
        <v>9.6104897801774012</v>
      </c>
      <c r="I1445">
        <f>H1445*_xlfn.XLOOKUP(Tabla2[[#This Row],[Unidad de producción]],Tabla3[Medida],Tabla3[Equivalencia en Kg],"ELVIS",0)</f>
        <v>435.9318164288469</v>
      </c>
      <c r="J1445">
        <v>967.6</v>
      </c>
      <c r="K1445" t="s">
        <v>18</v>
      </c>
      <c r="L1445">
        <f>J1445/_xlfn.XLOOKUP(Tabla2[[#This Row],[Unidad de precio]],Tabla3[Medida],Tabla3[Equivalencia en Kg],"ELVIS",0)</f>
        <v>21.331569664903</v>
      </c>
      <c r="M1445">
        <v>7599.7694060736003</v>
      </c>
      <c r="N1445" s="2">
        <f>(Tabla2[[#This Row],[Productividad (kg/TAS)]]*Tabla2[[#This Row],[Precio por kg]]-Tabla2[[#This Row],[Costos (En RD$/Tarea)]])</f>
        <v>1699.3405052260541</v>
      </c>
      <c r="O1445" s="6">
        <f>IF(Tabla2[[#This Row],[Costos (En RD$/Tarea)]]=0,0,Tabla2[[#This Row],[Beneficio Neto  (En RD$/Tarea)]]/Tabla2[[#This Row],[Costos (En RD$/Tarea)]])</f>
        <v>0.22360421934223049</v>
      </c>
      <c r="P1445" s="4">
        <f>Tabla2[[#This Row],[Rentabilidad (%)]]/12</f>
        <v>1.8633684945185875E-2</v>
      </c>
    </row>
    <row r="1446" spans="1:16" x14ac:dyDescent="0.35">
      <c r="A1446" s="1">
        <v>40179</v>
      </c>
      <c r="B1446" t="s">
        <v>23</v>
      </c>
      <c r="C1446" s="2">
        <v>3558</v>
      </c>
      <c r="D1446" s="5" t="s">
        <v>17</v>
      </c>
      <c r="E1446" s="2">
        <f>IF(Tabla2[[#This Row],[Frecuencia]]="Annual", Tabla2[[#This Row],[Cosecha/Tarea]]/12,Tabla2[[#This Row],[Cosecha/Tarea]])</f>
        <v>3558</v>
      </c>
      <c r="F1446" s="2">
        <v>135170</v>
      </c>
      <c r="G1446" t="s">
        <v>18</v>
      </c>
      <c r="H1446">
        <f>F1446/Tabla2[[#This Row],[Cosecha Mensual]]</f>
        <v>37.990444069702079</v>
      </c>
      <c r="I1446">
        <f>H1446*_xlfn.XLOOKUP(Tabla2[[#This Row],[Unidad de producción]],Tabla3[Medida],Tabla3[Equivalencia en Kg],"ELVIS",0)</f>
        <v>1723.2465430016862</v>
      </c>
      <c r="J1446">
        <v>793.75</v>
      </c>
      <c r="K1446" t="s">
        <v>18</v>
      </c>
      <c r="L1446">
        <f>J1446/_xlfn.XLOOKUP(Tabla2[[#This Row],[Unidad de precio]],Tabla3[Medida],Tabla3[Equivalencia en Kg],"ELVIS",0)</f>
        <v>17.498897707231041</v>
      </c>
      <c r="M1446">
        <v>20327.21</v>
      </c>
      <c r="N1446" s="2">
        <f>(Tabla2[[#This Row],[Productividad (kg/TAS)]]*Tabla2[[#This Row],[Precio por kg]]-Tabla2[[#This Row],[Costos (En RD$/Tarea)]])</f>
        <v>9827.7049803260234</v>
      </c>
      <c r="O1446" s="6">
        <f>IF(Tabla2[[#This Row],[Costos (En RD$/Tarea)]]=0,0,Tabla2[[#This Row],[Beneficio Neto  (En RD$/Tarea)]]/Tabla2[[#This Row],[Costos (En RD$/Tarea)]])</f>
        <v>0.48347535054373048</v>
      </c>
      <c r="P1446" s="4">
        <f>Tabla2[[#This Row],[Rentabilidad (%)]]/12</f>
        <v>4.0289612545310875E-2</v>
      </c>
    </row>
    <row r="1447" spans="1:16" x14ac:dyDescent="0.35">
      <c r="A1447" s="1">
        <v>40179</v>
      </c>
      <c r="B1447" t="s">
        <v>24</v>
      </c>
      <c r="C1447" s="2">
        <v>5926</v>
      </c>
      <c r="D1447" s="5" t="s">
        <v>17</v>
      </c>
      <c r="E1447" s="2">
        <f>IF(Tabla2[[#This Row],[Frecuencia]]="Annual", Tabla2[[#This Row],[Cosecha/Tarea]]/12,Tabla2[[#This Row],[Cosecha/Tarea]])</f>
        <v>5926</v>
      </c>
      <c r="F1447" s="2">
        <v>50370</v>
      </c>
      <c r="G1447" t="s">
        <v>18</v>
      </c>
      <c r="H1447">
        <f>F1447/Tabla2[[#This Row],[Cosecha Mensual]]</f>
        <v>8.4998312521093489</v>
      </c>
      <c r="I1447">
        <f>H1447*_xlfn.XLOOKUP(Tabla2[[#This Row],[Unidad de producción]],Tabla3[Medida],Tabla3[Equivalencia en Kg],"ELVIS",0)</f>
        <v>385.55234559568004</v>
      </c>
      <c r="J1447">
        <v>1168.6546874999999</v>
      </c>
      <c r="K1447" t="s">
        <v>18</v>
      </c>
      <c r="L1447">
        <f>J1447/_xlfn.XLOOKUP(Tabla2[[#This Row],[Unidad de precio]],Tabla3[Medida],Tabla3[Equivalencia en Kg],"ELVIS",0)</f>
        <v>25.763992228835978</v>
      </c>
      <c r="M1447">
        <v>6579.6044973695998</v>
      </c>
      <c r="N1447" s="2">
        <f>(Tabla2[[#This Row],[Productividad (kg/TAS)]]*Tabla2[[#This Row],[Precio por kg]]-Tabla2[[#This Row],[Costos (En RD$/Tarea)]])</f>
        <v>3353.7631383669841</v>
      </c>
      <c r="O1447" s="6">
        <f>IF(Tabla2[[#This Row],[Costos (En RD$/Tarea)]]=0,0,Tabla2[[#This Row],[Beneficio Neto  (En RD$/Tarea)]]/Tabla2[[#This Row],[Costos (En RD$/Tarea)]])</f>
        <v>0.50972108425479901</v>
      </c>
      <c r="P1447" s="4">
        <f>Tabla2[[#This Row],[Rentabilidad (%)]]/12</f>
        <v>4.2476757021233248E-2</v>
      </c>
    </row>
    <row r="1448" spans="1:16" x14ac:dyDescent="0.35">
      <c r="A1448" s="1">
        <v>40179</v>
      </c>
      <c r="B1448" t="s">
        <v>25</v>
      </c>
      <c r="C1448" s="2">
        <v>35854</v>
      </c>
      <c r="D1448" s="5" t="s">
        <v>17</v>
      </c>
      <c r="E1448" s="2">
        <f>IF(Tabla2[[#This Row],[Frecuencia]]="Annual", Tabla2[[#This Row],[Cosecha/Tarea]]/12,Tabla2[[#This Row],[Cosecha/Tarea]])</f>
        <v>35854</v>
      </c>
      <c r="F1448" s="2">
        <v>369553</v>
      </c>
      <c r="G1448" t="s">
        <v>18</v>
      </c>
      <c r="H1448">
        <f>F1448/Tabla2[[#This Row],[Cosecha Mensual]]</f>
        <v>10.307162380766442</v>
      </c>
      <c r="I1448">
        <f>H1448*_xlfn.XLOOKUP(Tabla2[[#This Row],[Unidad de producción]],Tabla3[Medida],Tabla3[Equivalencia en Kg],"ELVIS",0)</f>
        <v>467.53288559156584</v>
      </c>
      <c r="J1448">
        <v>255.19285714285701</v>
      </c>
      <c r="K1448" t="s">
        <v>18</v>
      </c>
      <c r="L1448">
        <f>J1448/_xlfn.XLOOKUP(Tabla2[[#This Row],[Unidad de precio]],Tabla3[Medida],Tabla3[Equivalencia en Kg],"ELVIS",0)</f>
        <v>5.6259448223733912</v>
      </c>
      <c r="M1448">
        <v>3734.0064399798498</v>
      </c>
      <c r="N1448" s="2">
        <f>(Tabla2[[#This Row],[Productividad (kg/TAS)]]*Tabla2[[#This Row],[Precio por kg]]-Tabla2[[#This Row],[Costos (En RD$/Tarea)]])</f>
        <v>-1103.692222996689</v>
      </c>
      <c r="O1448" s="6">
        <f>IF(Tabla2[[#This Row],[Costos (En RD$/Tarea)]]=0,0,Tabla2[[#This Row],[Beneficio Neto  (En RD$/Tarea)]]/Tabla2[[#This Row],[Costos (En RD$/Tarea)]])</f>
        <v>-0.2955785536895445</v>
      </c>
      <c r="P1448" s="4">
        <f>Tabla2[[#This Row],[Rentabilidad (%)]]/12</f>
        <v>-2.4631546140795376E-2</v>
      </c>
    </row>
    <row r="1449" spans="1:16" x14ac:dyDescent="0.35">
      <c r="A1449" s="1">
        <v>40179</v>
      </c>
      <c r="B1449" t="s">
        <v>26</v>
      </c>
      <c r="C1449" s="2">
        <v>10626</v>
      </c>
      <c r="D1449" s="5" t="s">
        <v>17</v>
      </c>
      <c r="E1449" s="2">
        <f>IF(Tabla2[[#This Row],[Frecuencia]]="Annual", Tabla2[[#This Row],[Cosecha/Tarea]]/12,Tabla2[[#This Row],[Cosecha/Tarea]])</f>
        <v>10626</v>
      </c>
      <c r="F1449" s="2">
        <v>56405</v>
      </c>
      <c r="G1449" t="s">
        <v>18</v>
      </c>
      <c r="H1449">
        <f>F1449/Tabla2[[#This Row],[Cosecha Mensual]]</f>
        <v>5.308206286467156</v>
      </c>
      <c r="I1449">
        <f>H1449*_xlfn.XLOOKUP(Tabla2[[#This Row],[Unidad de producción]],Tabla3[Medida],Tabla3[Equivalencia en Kg],"ELVIS",0)</f>
        <v>240.7802371541502</v>
      </c>
      <c r="J1449">
        <v>685.10119047619105</v>
      </c>
      <c r="K1449" t="s">
        <v>18</v>
      </c>
      <c r="L1449">
        <f>J1449/_xlfn.XLOOKUP(Tabla2[[#This Row],[Unidad de precio]],Tabla3[Medida],Tabla3[Equivalencia en Kg],"ELVIS",0)</f>
        <v>15.103641765348128</v>
      </c>
      <c r="M1449">
        <v>1771.21219288463</v>
      </c>
      <c r="N1449" s="2">
        <f>(Tabla2[[#This Row],[Productividad (kg/TAS)]]*Tabla2[[#This Row],[Precio por kg]]-Tabla2[[#This Row],[Costos (En RD$/Tarea)]])</f>
        <v>1865.4462532672201</v>
      </c>
      <c r="O1449" s="6">
        <f>IF(Tabla2[[#This Row],[Costos (En RD$/Tarea)]]=0,0,Tabla2[[#This Row],[Beneficio Neto  (En RD$/Tarea)]]/Tabla2[[#This Row],[Costos (En RD$/Tarea)]])</f>
        <v>1.0532031457106892</v>
      </c>
      <c r="P1449" s="4">
        <f>Tabla2[[#This Row],[Rentabilidad (%)]]/12</f>
        <v>8.7766928809224098E-2</v>
      </c>
    </row>
    <row r="1450" spans="1:16" x14ac:dyDescent="0.35">
      <c r="A1450" s="1">
        <v>40179</v>
      </c>
      <c r="B1450" t="s">
        <v>27</v>
      </c>
      <c r="C1450" s="2">
        <v>5313</v>
      </c>
      <c r="D1450" s="5" t="s">
        <v>17</v>
      </c>
      <c r="E1450" s="2">
        <f>IF(Tabla2[[#This Row],[Frecuencia]]="Annual", Tabla2[[#This Row],[Cosecha/Tarea]]/12,Tabla2[[#This Row],[Cosecha/Tarea]])</f>
        <v>5313</v>
      </c>
      <c r="F1450" s="2">
        <v>25287</v>
      </c>
      <c r="G1450" t="s">
        <v>18</v>
      </c>
      <c r="H1450">
        <f>F1450/Tabla2[[#This Row],[Cosecha Mensual]]</f>
        <v>4.7594579333709772</v>
      </c>
      <c r="I1450">
        <f>H1450*_xlfn.XLOOKUP(Tabla2[[#This Row],[Unidad de producción]],Tabla3[Medida],Tabla3[Equivalencia en Kg],"ELVIS",0)</f>
        <v>215.88901185770752</v>
      </c>
      <c r="J1450">
        <v>284.67750000000001</v>
      </c>
      <c r="K1450" t="s">
        <v>18</v>
      </c>
      <c r="L1450">
        <f>J1450/_xlfn.XLOOKUP(Tabla2[[#This Row],[Unidad de precio]],Tabla3[Medida],Tabla3[Equivalencia en Kg],"ELVIS",0)</f>
        <v>6.2759589947089953</v>
      </c>
      <c r="M1450">
        <v>6142.3910746455704</v>
      </c>
      <c r="N1450" s="2">
        <f>(Tabla2[[#This Row],[Productividad (kg/TAS)]]*Tabla2[[#This Row],[Precio por kg]]-Tabla2[[#This Row],[Costos (En RD$/Tarea)]])</f>
        <v>-4787.4804888183535</v>
      </c>
      <c r="O1450" s="6">
        <f>IF(Tabla2[[#This Row],[Costos (En RD$/Tarea)]]=0,0,Tabla2[[#This Row],[Beneficio Neto  (En RD$/Tarea)]]/Tabla2[[#This Row],[Costos (En RD$/Tarea)]])</f>
        <v>-0.77941642442468573</v>
      </c>
      <c r="P1450" s="4">
        <f>Tabla2[[#This Row],[Rentabilidad (%)]]/12</f>
        <v>-6.4951368702057144E-2</v>
      </c>
    </row>
    <row r="1451" spans="1:16" x14ac:dyDescent="0.35">
      <c r="A1451" s="1">
        <v>40179</v>
      </c>
      <c r="B1451" t="s">
        <v>28</v>
      </c>
      <c r="C1451" s="2">
        <v>73359</v>
      </c>
      <c r="D1451" s="5" t="s">
        <v>17</v>
      </c>
      <c r="E1451" s="2">
        <f>IF(Tabla2[[#This Row],[Frecuencia]]="Annual", Tabla2[[#This Row],[Cosecha/Tarea]]/12,Tabla2[[#This Row],[Cosecha/Tarea]])</f>
        <v>73359</v>
      </c>
      <c r="F1451" s="2">
        <v>42300</v>
      </c>
      <c r="G1451" t="s">
        <v>29</v>
      </c>
      <c r="H1451">
        <f>F1451/Tabla2[[#This Row],[Cosecha Mensual]]</f>
        <v>0.57661636609005029</v>
      </c>
      <c r="I1451">
        <f>H1451*_xlfn.XLOOKUP(Tabla2[[#This Row],[Unidad de producción]],Tabla3[Medida],Tabla3[Equivalencia en Kg],"ELVIS",0)</f>
        <v>324.25444730707892</v>
      </c>
      <c r="J1451">
        <v>6686</v>
      </c>
      <c r="K1451" t="s">
        <v>29</v>
      </c>
      <c r="L1451">
        <f>J1451/_xlfn.XLOOKUP(Tabla2[[#This Row],[Unidad de precio]],Tabla3[Medida],Tabla3[Equivalencia en Kg],"ELVIS",0)</f>
        <v>11.88960415407049</v>
      </c>
      <c r="M1451">
        <v>6158.1190308947398</v>
      </c>
      <c r="N1451" s="2">
        <f>(Tabla2[[#This Row],[Productividad (kg/TAS)]]*Tabla2[[#This Row],[Precio por kg]]-Tabla2[[#This Row],[Costos (En RD$/Tarea)]])</f>
        <v>-2302.8620072166636</v>
      </c>
      <c r="O1451" s="6">
        <f>IF(Tabla2[[#This Row],[Costos (En RD$/Tarea)]]=0,0,Tabla2[[#This Row],[Beneficio Neto  (En RD$/Tarea)]]/Tabla2[[#This Row],[Costos (En RD$/Tarea)]])</f>
        <v>-0.37395542302177143</v>
      </c>
      <c r="P1451" s="4">
        <f>Tabla2[[#This Row],[Rentabilidad (%)]]/12</f>
        <v>-3.1162951918480952E-2</v>
      </c>
    </row>
    <row r="1452" spans="1:16" x14ac:dyDescent="0.35">
      <c r="A1452" s="1">
        <v>40179</v>
      </c>
      <c r="B1452" t="s">
        <v>30</v>
      </c>
      <c r="C1452" s="2">
        <v>306411</v>
      </c>
      <c r="D1452" s="2" t="s">
        <v>31</v>
      </c>
      <c r="E1452" s="2">
        <f>IF(Tabla2[[#This Row],[Frecuencia]]="Annual", Tabla2[[#This Row],[Cosecha/Tarea]]/12,Tabla2[[#This Row],[Cosecha/Tarea]])</f>
        <v>25534.25</v>
      </c>
      <c r="F1452" s="2">
        <v>2010967</v>
      </c>
      <c r="G1452" t="s">
        <v>32</v>
      </c>
      <c r="H1452">
        <f>F1452/Tabla2[[#This Row],[Cosecha Mensual]]</f>
        <v>78.755671304228628</v>
      </c>
      <c r="I1452">
        <f>H1452*_xlfn.XLOOKUP(Tabla2[[#This Row],[Unidad de producción]],Tabla3[Medida],Tabla3[Equivalencia en Kg],"ELVIS",0)</f>
        <v>2142.9418161880612</v>
      </c>
      <c r="J1452">
        <v>120.510416666667</v>
      </c>
      <c r="K1452" t="s">
        <v>32</v>
      </c>
      <c r="L1452">
        <f>J1452/_xlfn.XLOOKUP(Tabla2[[#This Row],[Unidad de precio]],Tabla3[Medida],Tabla3[Equivalencia en Kg],"ELVIS",0)</f>
        <v>4.4289017518069453</v>
      </c>
      <c r="M1452" s="2">
        <v>10497.9114219602</v>
      </c>
      <c r="N1452" s="2">
        <f>(Tabla2[[#This Row],[Productividad (kg/TAS)]]*Tabla2[[#This Row],[Precio por kg]]-Tabla2[[#This Row],[Costos (En RD$/Tarea)]])</f>
        <v>-1007.032658224538</v>
      </c>
      <c r="O1452" s="6">
        <f>IF(Tabla2[[#This Row],[Costos (En RD$/Tarea)]]=0,0,Tabla2[[#This Row],[Beneficio Neto  (En RD$/Tarea)]]/Tabla2[[#This Row],[Costos (En RD$/Tarea)]])</f>
        <v>-9.5926953252621558E-2</v>
      </c>
      <c r="P1452" s="4">
        <f>Tabla2[[#This Row],[Rentabilidad (%)]]/12</f>
        <v>-7.9939127710517959E-3</v>
      </c>
    </row>
    <row r="1453" spans="1:16" x14ac:dyDescent="0.35">
      <c r="A1453" s="1">
        <v>40179</v>
      </c>
      <c r="B1453" t="s">
        <v>33</v>
      </c>
      <c r="C1453" s="2">
        <v>669729</v>
      </c>
      <c r="D1453" s="2" t="s">
        <v>31</v>
      </c>
      <c r="E1453" s="2">
        <f>IF(Tabla2[[#This Row],[Frecuencia]]="Annual", Tabla2[[#This Row],[Cosecha/Tarea]]/12,Tabla2[[#This Row],[Cosecha/Tarea]])</f>
        <v>55810.75</v>
      </c>
      <c r="F1453" s="2">
        <v>104616</v>
      </c>
      <c r="G1453" t="s">
        <v>34</v>
      </c>
      <c r="H1453">
        <f>F1453/Tabla2[[#This Row],[Cosecha Mensual]]</f>
        <v>1.8744775872031822</v>
      </c>
      <c r="I1453">
        <f>H1453*_xlfn.XLOOKUP(Tabla2[[#This Row],[Unidad de producción]],Tabla3[Medida],Tabla3[Equivalencia en Kg],"ELVIS",0)</f>
        <v>765.06802721697875</v>
      </c>
      <c r="J1453">
        <v>4205.859375</v>
      </c>
      <c r="K1453" t="s">
        <v>34</v>
      </c>
      <c r="L1453">
        <f>J1453/_xlfn.XLOOKUP(Tabla2[[#This Row],[Unidad de precio]],Tabla3[Medida],Tabla3[Equivalencia en Kg],"ELVIS",0)</f>
        <v>10.304690371187064</v>
      </c>
      <c r="M1453" s="2">
        <v>9292.9734969082201</v>
      </c>
      <c r="N1453" s="2">
        <f>(Tabla2[[#This Row],[Productividad (kg/TAS)]]*Tabla2[[#This Row],[Precio por kg]]-Tabla2[[#This Row],[Costos (En RD$/Tarea)]])</f>
        <v>-1409.1843635423365</v>
      </c>
      <c r="O1453" s="6">
        <f>IF(Tabla2[[#This Row],[Costos (En RD$/Tarea)]]=0,0,Tabla2[[#This Row],[Beneficio Neto  (En RD$/Tarea)]]/Tabla2[[#This Row],[Costos (En RD$/Tarea)]])</f>
        <v>-0.15163976998440523</v>
      </c>
      <c r="P1453" s="4">
        <f>Tabla2[[#This Row],[Rentabilidad (%)]]/12</f>
        <v>-1.2636647498700436E-2</v>
      </c>
    </row>
    <row r="1454" spans="1:16" x14ac:dyDescent="0.35">
      <c r="A1454" s="1">
        <v>40210</v>
      </c>
      <c r="B1454" t="s">
        <v>16</v>
      </c>
      <c r="C1454" s="2">
        <v>2216</v>
      </c>
      <c r="D1454" s="5" t="s">
        <v>17</v>
      </c>
      <c r="E1454" s="2">
        <f>IF(Tabla2[[#This Row],[Frecuencia]]="Annual", Tabla2[[#This Row],[Cosecha/Tarea]]/12,Tabla2[[#This Row],[Cosecha/Tarea]])</f>
        <v>2216</v>
      </c>
      <c r="F1454" s="2">
        <v>8597</v>
      </c>
      <c r="G1454" t="s">
        <v>18</v>
      </c>
      <c r="H1454">
        <f>F1454/Tabla2[[#This Row],[Cosecha Mensual]]</f>
        <v>3.8795126353790614</v>
      </c>
      <c r="I1454">
        <f>H1454*_xlfn.XLOOKUP(Tabla2[[#This Row],[Unidad de producción]],Tabla3[Medida],Tabla3[Equivalencia en Kg],"ELVIS",0)</f>
        <v>175.97469314079422</v>
      </c>
      <c r="J1454">
        <v>1985.3358333333299</v>
      </c>
      <c r="K1454" t="s">
        <v>19</v>
      </c>
      <c r="L1454">
        <f>J1454/_xlfn.XLOOKUP(Tabla2[[#This Row],[Unidad de precio]],Tabla3[Medida],Tabla3[Equivalencia en Kg],"ELVIS",0)</f>
        <v>18.048507575757544</v>
      </c>
      <c r="M1454">
        <v>7449.8087382093299</v>
      </c>
      <c r="N1454" s="2">
        <f>(Tabla2[[#This Row],[Productividad (kg/TAS)]]*Tabla2[[#This Row],[Precio por kg]]-Tabla2[[#This Row],[Costos (En RD$/Tarea)]])</f>
        <v>-4273.7281559160965</v>
      </c>
      <c r="O1454" s="6">
        <f>IF(Tabla2[[#This Row],[Costos (En RD$/Tarea)]]=0,0,Tabla2[[#This Row],[Beneficio Neto  (En RD$/Tarea)]]/Tabla2[[#This Row],[Costos (En RD$/Tarea)]])</f>
        <v>-0.57366951368785735</v>
      </c>
      <c r="P1454" s="4">
        <f>Tabla2[[#This Row],[Rentabilidad (%)]]/12</f>
        <v>-4.7805792807321446E-2</v>
      </c>
    </row>
    <row r="1455" spans="1:16" x14ac:dyDescent="0.35">
      <c r="A1455" s="1">
        <v>40210</v>
      </c>
      <c r="B1455" t="s">
        <v>20</v>
      </c>
      <c r="C1455" s="2">
        <v>29327</v>
      </c>
      <c r="D1455" s="5" t="s">
        <v>17</v>
      </c>
      <c r="E1455" s="2">
        <f>IF(Tabla2[[#This Row],[Frecuencia]]="Annual", Tabla2[[#This Row],[Cosecha/Tarea]]/12,Tabla2[[#This Row],[Cosecha/Tarea]])</f>
        <v>29327</v>
      </c>
      <c r="F1455" s="2">
        <v>71920</v>
      </c>
      <c r="G1455" t="s">
        <v>18</v>
      </c>
      <c r="H1455">
        <f>F1455/Tabla2[[#This Row],[Cosecha Mensual]]</f>
        <v>2.4523476659733352</v>
      </c>
      <c r="I1455">
        <f>H1455*_xlfn.XLOOKUP(Tabla2[[#This Row],[Unidad de producción]],Tabla3[Medida],Tabla3[Equivalencia en Kg],"ELVIS",0)</f>
        <v>111.23849012855048</v>
      </c>
      <c r="J1455">
        <v>672.39267857142897</v>
      </c>
      <c r="K1455" t="s">
        <v>18</v>
      </c>
      <c r="L1455">
        <f>J1455/_xlfn.XLOOKUP(Tabla2[[#This Row],[Unidad de precio]],Tabla3[Medida],Tabla3[Equivalencia en Kg],"ELVIS",0)</f>
        <v>14.823471749811045</v>
      </c>
      <c r="M1455">
        <v>2162.02023182316</v>
      </c>
      <c r="N1455" s="2">
        <f>(Tabla2[[#This Row],[Productividad (kg/TAS)]]*Tabla2[[#This Row],[Precio por kg]]-Tabla2[[#This Row],[Costos (En RD$/Tarea)]])</f>
        <v>-513.07961591095705</v>
      </c>
      <c r="O1455" s="6">
        <f>IF(Tabla2[[#This Row],[Costos (En RD$/Tarea)]]=0,0,Tabla2[[#This Row],[Beneficio Neto  (En RD$/Tarea)]]/Tabla2[[#This Row],[Costos (En RD$/Tarea)]])</f>
        <v>-0.23731490036903771</v>
      </c>
      <c r="P1455" s="4">
        <f>Tabla2[[#This Row],[Rentabilidad (%)]]/12</f>
        <v>-1.9776241697419809E-2</v>
      </c>
    </row>
    <row r="1456" spans="1:16" x14ac:dyDescent="0.35">
      <c r="A1456" s="1">
        <v>40210</v>
      </c>
      <c r="B1456" t="s">
        <v>21</v>
      </c>
      <c r="C1456" s="2">
        <v>9954</v>
      </c>
      <c r="D1456" s="5" t="s">
        <v>17</v>
      </c>
      <c r="E1456" s="2">
        <f>IF(Tabla2[[#This Row],[Frecuencia]]="Annual", Tabla2[[#This Row],[Cosecha/Tarea]]/12,Tabla2[[#This Row],[Cosecha/Tarea]])</f>
        <v>9954</v>
      </c>
      <c r="F1456" s="2">
        <v>105464</v>
      </c>
      <c r="G1456" t="s">
        <v>18</v>
      </c>
      <c r="H1456">
        <f>F1456/Tabla2[[#This Row],[Cosecha Mensual]]</f>
        <v>10.595137633112317</v>
      </c>
      <c r="I1456">
        <f>H1456*_xlfn.XLOOKUP(Tabla2[[#This Row],[Unidad de producción]],Tabla3[Medida],Tabla3[Equivalencia en Kg],"ELVIS",0)</f>
        <v>480.59544303797469</v>
      </c>
      <c r="J1456">
        <v>508.607142857143</v>
      </c>
      <c r="K1456" t="s">
        <v>18</v>
      </c>
      <c r="L1456">
        <f>J1456/_xlfn.XLOOKUP(Tabla2[[#This Row],[Unidad de precio]],Tabla3[Medida],Tabla3[Equivalencia en Kg],"ELVIS",0)</f>
        <v>11.212679516250947</v>
      </c>
      <c r="M1456">
        <v>4521.4268874999998</v>
      </c>
      <c r="N1456" s="2">
        <f>(Tabla2[[#This Row],[Productividad (kg/TAS)]]*Tabla2[[#This Row],[Precio por kg]]-Tabla2[[#This Row],[Costos (En RD$/Tarea)]])</f>
        <v>867.33579225544781</v>
      </c>
      <c r="O1456" s="6">
        <f>IF(Tabla2[[#This Row],[Costos (En RD$/Tarea)]]=0,0,Tabla2[[#This Row],[Beneficio Neto  (En RD$/Tarea)]]/Tabla2[[#This Row],[Costos (En RD$/Tarea)]])</f>
        <v>0.19182789279492643</v>
      </c>
      <c r="P1456" s="4">
        <f>Tabla2[[#This Row],[Rentabilidad (%)]]/12</f>
        <v>1.5985657732910535E-2</v>
      </c>
    </row>
    <row r="1457" spans="1:16" x14ac:dyDescent="0.35">
      <c r="A1457" s="1">
        <v>40210</v>
      </c>
      <c r="B1457" t="s">
        <v>22</v>
      </c>
      <c r="C1457" s="2">
        <v>8825</v>
      </c>
      <c r="D1457" s="5" t="s">
        <v>17</v>
      </c>
      <c r="E1457" s="2">
        <f>IF(Tabla2[[#This Row],[Frecuencia]]="Annual", Tabla2[[#This Row],[Cosecha/Tarea]]/12,Tabla2[[#This Row],[Cosecha/Tarea]])</f>
        <v>8825</v>
      </c>
      <c r="F1457" s="2">
        <v>83837</v>
      </c>
      <c r="G1457" t="s">
        <v>18</v>
      </c>
      <c r="H1457">
        <f>F1457/Tabla2[[#This Row],[Cosecha Mensual]]</f>
        <v>9.4999433427762039</v>
      </c>
      <c r="I1457">
        <f>H1457*_xlfn.XLOOKUP(Tabla2[[#This Row],[Unidad de producción]],Tabla3[Medida],Tabla3[Equivalencia en Kg],"ELVIS",0)</f>
        <v>430.91743002832862</v>
      </c>
      <c r="J1457">
        <v>1045</v>
      </c>
      <c r="K1457" t="s">
        <v>18</v>
      </c>
      <c r="L1457">
        <f>J1457/_xlfn.XLOOKUP(Tabla2[[#This Row],[Unidad de precio]],Tabla3[Medida],Tabla3[Equivalencia en Kg],"ELVIS",0)</f>
        <v>23.037918871252206</v>
      </c>
      <c r="M1457">
        <v>7599.7694060736003</v>
      </c>
      <c r="N1457" s="2">
        <f>(Tabla2[[#This Row],[Productividad (kg/TAS)]]*Tabla2[[#This Row],[Precio por kg]]-Tabla2[[#This Row],[Costos (En RD$/Tarea)]])</f>
        <v>2327.6713871275342</v>
      </c>
      <c r="O1457" s="6">
        <f>IF(Tabla2[[#This Row],[Costos (En RD$/Tarea)]]=0,0,Tabla2[[#This Row],[Beneficio Neto  (En RD$/Tarea)]]/Tabla2[[#This Row],[Costos (En RD$/Tarea)]])</f>
        <v>0.30628184392901459</v>
      </c>
      <c r="P1457" s="4">
        <f>Tabla2[[#This Row],[Rentabilidad (%)]]/12</f>
        <v>2.5523486994084549E-2</v>
      </c>
    </row>
    <row r="1458" spans="1:16" x14ac:dyDescent="0.35">
      <c r="A1458" s="1">
        <v>40210</v>
      </c>
      <c r="B1458" t="s">
        <v>23</v>
      </c>
      <c r="C1458" s="2">
        <v>3838</v>
      </c>
      <c r="D1458" s="5" t="s">
        <v>17</v>
      </c>
      <c r="E1458" s="2">
        <f>IF(Tabla2[[#This Row],[Frecuencia]]="Annual", Tabla2[[#This Row],[Cosecha/Tarea]]/12,Tabla2[[#This Row],[Cosecha/Tarea]])</f>
        <v>3838</v>
      </c>
      <c r="F1458" s="2">
        <v>137746</v>
      </c>
      <c r="G1458" t="s">
        <v>18</v>
      </c>
      <c r="H1458">
        <f>F1458/Tabla2[[#This Row],[Cosecha Mensual]]</f>
        <v>35.890046899426785</v>
      </c>
      <c r="I1458">
        <f>H1458*_xlfn.XLOOKUP(Tabla2[[#This Row],[Unidad de producción]],Tabla3[Medida],Tabla3[Equivalencia en Kg],"ELVIS",0)</f>
        <v>1627.9725273579991</v>
      </c>
      <c r="J1458">
        <v>734.89583333333303</v>
      </c>
      <c r="K1458" t="s">
        <v>18</v>
      </c>
      <c r="L1458">
        <f>J1458/_xlfn.XLOOKUP(Tabla2[[#This Row],[Unidad de precio]],Tabla3[Medida],Tabla3[Equivalencia en Kg],"ELVIS",0)</f>
        <v>16.201407260435033</v>
      </c>
      <c r="M1458">
        <v>20327.21</v>
      </c>
      <c r="N1458" s="2">
        <f>(Tabla2[[#This Row],[Productividad (kg/TAS)]]*Tabla2[[#This Row],[Precio por kg]]-Tabla2[[#This Row],[Costos (En RD$/Tarea)]])</f>
        <v>6048.2359245266562</v>
      </c>
      <c r="O1458" s="6">
        <f>IF(Tabla2[[#This Row],[Costos (En RD$/Tarea)]]=0,0,Tabla2[[#This Row],[Beneficio Neto  (En RD$/Tarea)]]/Tabla2[[#This Row],[Costos (En RD$/Tarea)]])</f>
        <v>0.29754383038924953</v>
      </c>
      <c r="P1458" s="4">
        <f>Tabla2[[#This Row],[Rentabilidad (%)]]/12</f>
        <v>2.4795319199104129E-2</v>
      </c>
    </row>
    <row r="1459" spans="1:16" x14ac:dyDescent="0.35">
      <c r="A1459" s="1">
        <v>40210</v>
      </c>
      <c r="B1459" t="s">
        <v>24</v>
      </c>
      <c r="C1459" s="2">
        <v>7527</v>
      </c>
      <c r="D1459" s="5" t="s">
        <v>17</v>
      </c>
      <c r="E1459" s="2">
        <f>IF(Tabla2[[#This Row],[Frecuencia]]="Annual", Tabla2[[#This Row],[Cosecha/Tarea]]/12,Tabla2[[#This Row],[Cosecha/Tarea]])</f>
        <v>7527</v>
      </c>
      <c r="F1459" s="2">
        <v>64907</v>
      </c>
      <c r="G1459" t="s">
        <v>18</v>
      </c>
      <c r="H1459">
        <f>F1459/Tabla2[[#This Row],[Cosecha Mensual]]</f>
        <v>8.6232230636375711</v>
      </c>
      <c r="I1459">
        <f>H1459*_xlfn.XLOOKUP(Tabla2[[#This Row],[Unidad de producción]],Tabla3[Medida],Tabla3[Equivalencia en Kg],"ELVIS",0)</f>
        <v>391.14939816660024</v>
      </c>
      <c r="J1459">
        <v>1288.2152777777801</v>
      </c>
      <c r="K1459" t="s">
        <v>18</v>
      </c>
      <c r="L1459">
        <f>J1459/_xlfn.XLOOKUP(Tabla2[[#This Row],[Unidad de precio]],Tabla3[Medida],Tabla3[Equivalencia en Kg],"ELVIS",0)</f>
        <v>28.399807711150356</v>
      </c>
      <c r="M1459">
        <v>6579.6044973695998</v>
      </c>
      <c r="N1459" s="2">
        <f>(Tabla2[[#This Row],[Productividad (kg/TAS)]]*Tabla2[[#This Row],[Precio por kg]]-Tabla2[[#This Row],[Costos (En RD$/Tarea)]])</f>
        <v>4528.9631968940348</v>
      </c>
      <c r="O1459" s="6">
        <f>IF(Tabla2[[#This Row],[Costos (En RD$/Tarea)]]=0,0,Tabla2[[#This Row],[Beneficio Neto  (En RD$/Tarea)]]/Tabla2[[#This Row],[Costos (En RD$/Tarea)]])</f>
        <v>0.68833365268453872</v>
      </c>
      <c r="P1459" s="4">
        <f>Tabla2[[#This Row],[Rentabilidad (%)]]/12</f>
        <v>5.7361137723711562E-2</v>
      </c>
    </row>
    <row r="1460" spans="1:16" x14ac:dyDescent="0.35">
      <c r="A1460" s="1">
        <v>40210</v>
      </c>
      <c r="B1460" t="s">
        <v>25</v>
      </c>
      <c r="C1460" s="2">
        <v>69287</v>
      </c>
      <c r="D1460" s="5" t="s">
        <v>17</v>
      </c>
      <c r="E1460" s="2">
        <f>IF(Tabla2[[#This Row],[Frecuencia]]="Annual", Tabla2[[#This Row],[Cosecha/Tarea]]/12,Tabla2[[#This Row],[Cosecha/Tarea]])</f>
        <v>69287</v>
      </c>
      <c r="F1460" s="2">
        <v>822124</v>
      </c>
      <c r="G1460" t="s">
        <v>18</v>
      </c>
      <c r="H1460">
        <f>F1460/Tabla2[[#This Row],[Cosecha Mensual]]</f>
        <v>11.865487032199402</v>
      </c>
      <c r="I1460">
        <f>H1460*_xlfn.XLOOKUP(Tabla2[[#This Row],[Unidad de producción]],Tabla3[Medida],Tabla3[Equivalencia en Kg],"ELVIS",0)</f>
        <v>538.21849178056482</v>
      </c>
      <c r="J1460">
        <v>289.48928571428598</v>
      </c>
      <c r="K1460" t="s">
        <v>18</v>
      </c>
      <c r="L1460">
        <f>J1460/_xlfn.XLOOKUP(Tabla2[[#This Row],[Unidad de precio]],Tabla3[Medida],Tabla3[Equivalencia en Kg],"ELVIS",0)</f>
        <v>6.3820389266817896</v>
      </c>
      <c r="M1460">
        <v>3734.0064399798498</v>
      </c>
      <c r="N1460" s="2">
        <f>(Tabla2[[#This Row],[Productividad (kg/TAS)]]*Tabla2[[#This Row],[Precio por kg]]-Tabla2[[#This Row],[Costos (En RD$/Tarea)]])</f>
        <v>-299.07507437632239</v>
      </c>
      <c r="O1460" s="6">
        <f>IF(Tabla2[[#This Row],[Costos (En RD$/Tarea)]]=0,0,Tabla2[[#This Row],[Beneficio Neto  (En RD$/Tarea)]]/Tabla2[[#This Row],[Costos (En RD$/Tarea)]])</f>
        <v>-8.0094954088492765E-2</v>
      </c>
      <c r="P1460" s="4">
        <f>Tabla2[[#This Row],[Rentabilidad (%)]]/12</f>
        <v>-6.6745795073743968E-3</v>
      </c>
    </row>
    <row r="1461" spans="1:16" x14ac:dyDescent="0.35">
      <c r="A1461" s="1">
        <v>40210</v>
      </c>
      <c r="B1461" t="s">
        <v>26</v>
      </c>
      <c r="C1461" s="2">
        <v>12005</v>
      </c>
      <c r="D1461" s="5" t="s">
        <v>17</v>
      </c>
      <c r="E1461" s="2">
        <f>IF(Tabla2[[#This Row],[Frecuencia]]="Annual", Tabla2[[#This Row],[Cosecha/Tarea]]/12,Tabla2[[#This Row],[Cosecha/Tarea]])</f>
        <v>12005</v>
      </c>
      <c r="F1461" s="2">
        <v>81655</v>
      </c>
      <c r="G1461" t="s">
        <v>18</v>
      </c>
      <c r="H1461">
        <f>F1461/Tabla2[[#This Row],[Cosecha Mensual]]</f>
        <v>6.8017492711370267</v>
      </c>
      <c r="I1461">
        <f>H1461*_xlfn.XLOOKUP(Tabla2[[#This Row],[Unidad de producción]],Tabla3[Medida],Tabla3[Equivalencia en Kg],"ELVIS",0)</f>
        <v>308.52734693877551</v>
      </c>
      <c r="J1461">
        <v>599.24166666666702</v>
      </c>
      <c r="K1461" t="s">
        <v>18</v>
      </c>
      <c r="L1461">
        <f>J1461/_xlfn.XLOOKUP(Tabla2[[#This Row],[Unidad de precio]],Tabla3[Medida],Tabla3[Equivalencia en Kg],"ELVIS",0)</f>
        <v>13.21079512051735</v>
      </c>
      <c r="M1461">
        <v>1771.21219288463</v>
      </c>
      <c r="N1461" s="2">
        <f>(Tabla2[[#This Row],[Productividad (kg/TAS)]]*Tabla2[[#This Row],[Precio por kg]]-Tabla2[[#This Row],[Costos (En RD$/Tarea)]])</f>
        <v>2304.6793766003088</v>
      </c>
      <c r="O1461" s="6">
        <f>IF(Tabla2[[#This Row],[Costos (En RD$/Tarea)]]=0,0,Tabla2[[#This Row],[Beneficio Neto  (En RD$/Tarea)]]/Tabla2[[#This Row],[Costos (En RD$/Tarea)]])</f>
        <v>1.3011876193370508</v>
      </c>
      <c r="P1461" s="4">
        <f>Tabla2[[#This Row],[Rentabilidad (%)]]/12</f>
        <v>0.10843230161142091</v>
      </c>
    </row>
    <row r="1462" spans="1:16" x14ac:dyDescent="0.35">
      <c r="A1462" s="1">
        <v>40210</v>
      </c>
      <c r="B1462" t="s">
        <v>27</v>
      </c>
      <c r="C1462" s="2">
        <v>6030</v>
      </c>
      <c r="D1462" s="5" t="s">
        <v>17</v>
      </c>
      <c r="E1462" s="2">
        <f>IF(Tabla2[[#This Row],[Frecuencia]]="Annual", Tabla2[[#This Row],[Cosecha/Tarea]]/12,Tabla2[[#This Row],[Cosecha/Tarea]])</f>
        <v>6030</v>
      </c>
      <c r="F1462" s="2">
        <v>40702</v>
      </c>
      <c r="G1462" t="s">
        <v>18</v>
      </c>
      <c r="H1462">
        <f>F1462/Tabla2[[#This Row],[Cosecha Mensual]]</f>
        <v>6.7499170812603646</v>
      </c>
      <c r="I1462">
        <f>H1462*_xlfn.XLOOKUP(Tabla2[[#This Row],[Unidad de producción]],Tabla3[Medida],Tabla3[Equivalencia en Kg],"ELVIS",0)</f>
        <v>306.17623880597012</v>
      </c>
      <c r="J1462">
        <v>293.67333333333301</v>
      </c>
      <c r="K1462" t="s">
        <v>18</v>
      </c>
      <c r="L1462">
        <f>J1462/_xlfn.XLOOKUP(Tabla2[[#This Row],[Unidad de precio]],Tabla3[Medida],Tabla3[Equivalencia en Kg],"ELVIS",0)</f>
        <v>6.4742798353909397</v>
      </c>
      <c r="M1462">
        <v>6142.3910746455704</v>
      </c>
      <c r="N1462" s="2">
        <f>(Tabla2[[#This Row],[Productividad (kg/TAS)]]*Tabla2[[#This Row],[Precio por kg]]-Tabla2[[#This Row],[Costos (En RD$/Tarea)]])</f>
        <v>-4160.1204256682377</v>
      </c>
      <c r="O1462" s="6">
        <f>IF(Tabla2[[#This Row],[Costos (En RD$/Tarea)]]=0,0,Tabla2[[#This Row],[Beneficio Neto  (En RD$/Tarea)]]/Tabla2[[#This Row],[Costos (En RD$/Tarea)]])</f>
        <v>-0.67728029282282154</v>
      </c>
      <c r="P1462" s="4">
        <f>Tabla2[[#This Row],[Rentabilidad (%)]]/12</f>
        <v>-5.6440024401901795E-2</v>
      </c>
    </row>
    <row r="1463" spans="1:16" x14ac:dyDescent="0.35">
      <c r="A1463" s="1">
        <v>40210</v>
      </c>
      <c r="B1463" t="s">
        <v>28</v>
      </c>
      <c r="C1463" s="2">
        <v>80134</v>
      </c>
      <c r="D1463" s="5" t="s">
        <v>17</v>
      </c>
      <c r="E1463" s="2">
        <f>IF(Tabla2[[#This Row],[Frecuencia]]="Annual", Tabla2[[#This Row],[Cosecha/Tarea]]/12,Tabla2[[#This Row],[Cosecha/Tarea]])</f>
        <v>80134</v>
      </c>
      <c r="F1463" s="2">
        <v>45591</v>
      </c>
      <c r="G1463" t="s">
        <v>29</v>
      </c>
      <c r="H1463">
        <f>F1463/Tabla2[[#This Row],[Cosecha Mensual]]</f>
        <v>0.56893453465445376</v>
      </c>
      <c r="I1463">
        <f>H1463*_xlfn.XLOOKUP(Tabla2[[#This Row],[Unidad de producción]],Tabla3[Medida],Tabla3[Equivalencia en Kg],"ELVIS",0)</f>
        <v>319.93464621758557</v>
      </c>
      <c r="J1463">
        <v>7453.5</v>
      </c>
      <c r="K1463" t="s">
        <v>29</v>
      </c>
      <c r="L1463">
        <f>J1463/_xlfn.XLOOKUP(Tabla2[[#This Row],[Unidad de precio]],Tabla3[Medida],Tabla3[Equivalencia en Kg],"ELVIS",0)</f>
        <v>13.254436817583667</v>
      </c>
      <c r="M1463">
        <v>6158.1190308947398</v>
      </c>
      <c r="N1463" s="2">
        <f>(Tabla2[[#This Row],[Productividad (kg/TAS)]]*Tabla2[[#This Row],[Precio por kg]]-Tabla2[[#This Row],[Costos (En RD$/Tarea)]])</f>
        <v>-1917.5654768477689</v>
      </c>
      <c r="O1463" s="6">
        <f>IF(Tabla2[[#This Row],[Costos (En RD$/Tarea)]]=0,0,Tabla2[[#This Row],[Beneficio Neto  (En RD$/Tarea)]]/Tabla2[[#This Row],[Costos (En RD$/Tarea)]])</f>
        <v>-0.31138817993408574</v>
      </c>
      <c r="P1463" s="4">
        <f>Tabla2[[#This Row],[Rentabilidad (%)]]/12</f>
        <v>-2.5949014994507146E-2</v>
      </c>
    </row>
    <row r="1464" spans="1:16" x14ac:dyDescent="0.35">
      <c r="A1464" s="1">
        <v>40210</v>
      </c>
      <c r="B1464" t="s">
        <v>30</v>
      </c>
      <c r="C1464" s="2">
        <v>306292</v>
      </c>
      <c r="D1464" s="2" t="s">
        <v>31</v>
      </c>
      <c r="E1464" s="2">
        <f>IF(Tabla2[[#This Row],[Frecuencia]]="Annual", Tabla2[[#This Row],[Cosecha/Tarea]]/12,Tabla2[[#This Row],[Cosecha/Tarea]])</f>
        <v>25524.333333333332</v>
      </c>
      <c r="F1464" s="2">
        <v>1980177</v>
      </c>
      <c r="G1464" t="s">
        <v>32</v>
      </c>
      <c r="H1464">
        <f>F1464/Tabla2[[#This Row],[Cosecha Mensual]]</f>
        <v>77.579969440925652</v>
      </c>
      <c r="I1464">
        <f>H1464*_xlfn.XLOOKUP(Tabla2[[#This Row],[Unidad de producción]],Tabla3[Medida],Tabla3[Equivalencia en Kg],"ELVIS",0)</f>
        <v>2110.950968487587</v>
      </c>
      <c r="J1464">
        <v>110.886904761905</v>
      </c>
      <c r="K1464" t="s">
        <v>32</v>
      </c>
      <c r="L1464">
        <f>J1464/_xlfn.XLOOKUP(Tabla2[[#This Row],[Unidad de precio]],Tabla3[Medida],Tabla3[Equivalencia en Kg],"ELVIS",0)</f>
        <v>4.0752261948513411</v>
      </c>
      <c r="M1464" s="2">
        <v>10497.9114219602</v>
      </c>
      <c r="N1464" s="2">
        <f>(Tabla2[[#This Row],[Productividad (kg/TAS)]]*Tabla2[[#This Row],[Precio por kg]]-Tabla2[[#This Row],[Costos (En RD$/Tarea)]])</f>
        <v>-1895.3087391327772</v>
      </c>
      <c r="O1464" s="6">
        <f>IF(Tabla2[[#This Row],[Costos (En RD$/Tarea)]]=0,0,Tabla2[[#This Row],[Beneficio Neto  (En RD$/Tarea)]]/Tabla2[[#This Row],[Costos (En RD$/Tarea)]])</f>
        <v>-0.18054150611025824</v>
      </c>
      <c r="P1464" s="4">
        <f>Tabla2[[#This Row],[Rentabilidad (%)]]/12</f>
        <v>-1.5045125509188186E-2</v>
      </c>
    </row>
    <row r="1465" spans="1:16" x14ac:dyDescent="0.35">
      <c r="A1465" s="1">
        <v>40210</v>
      </c>
      <c r="B1465" t="s">
        <v>33</v>
      </c>
      <c r="C1465" s="2">
        <v>656613</v>
      </c>
      <c r="D1465" s="2" t="s">
        <v>31</v>
      </c>
      <c r="E1465" s="2">
        <f>IF(Tabla2[[#This Row],[Frecuencia]]="Annual", Tabla2[[#This Row],[Cosecha/Tarea]]/12,Tabla2[[#This Row],[Cosecha/Tarea]])</f>
        <v>54717.75</v>
      </c>
      <c r="F1465" s="2">
        <v>107113</v>
      </c>
      <c r="G1465" t="s">
        <v>34</v>
      </c>
      <c r="H1465">
        <f>F1465/Tabla2[[#This Row],[Cosecha Mensual]]</f>
        <v>1.9575549067715687</v>
      </c>
      <c r="I1465">
        <f>H1465*_xlfn.XLOOKUP(Tabla2[[#This Row],[Unidad de producción]],Tabla3[Medida],Tabla3[Equivalencia en Kg],"ELVIS",0)</f>
        <v>798.97603519881568</v>
      </c>
      <c r="J1465">
        <v>4653.3333333333303</v>
      </c>
      <c r="K1465" t="s">
        <v>34</v>
      </c>
      <c r="L1465">
        <f>J1465/_xlfn.XLOOKUP(Tabla2[[#This Row],[Unidad de precio]],Tabla3[Medida],Tabla3[Equivalencia en Kg],"ELVIS",0)</f>
        <v>11.401037200375672</v>
      </c>
      <c r="M1465" s="2">
        <v>9292.9734969082201</v>
      </c>
      <c r="N1465" s="2">
        <f>(Tabla2[[#This Row],[Productividad (kg/TAS)]]*Tabla2[[#This Row],[Precio por kg]]-Tabla2[[#This Row],[Costos (En RD$/Tarea)]])</f>
        <v>-183.81799739786038</v>
      </c>
      <c r="O1465" s="6">
        <f>IF(Tabla2[[#This Row],[Costos (En RD$/Tarea)]]=0,0,Tabla2[[#This Row],[Beneficio Neto  (En RD$/Tarea)]]/Tabla2[[#This Row],[Costos (En RD$/Tarea)]])</f>
        <v>-1.9780320847683122E-2</v>
      </c>
      <c r="P1465" s="4">
        <f>Tabla2[[#This Row],[Rentabilidad (%)]]/12</f>
        <v>-1.6483600706402601E-3</v>
      </c>
    </row>
    <row r="1466" spans="1:16" x14ac:dyDescent="0.35">
      <c r="A1466" s="1">
        <v>40238</v>
      </c>
      <c r="B1466" t="s">
        <v>16</v>
      </c>
      <c r="C1466" s="2">
        <v>117633</v>
      </c>
      <c r="D1466" s="5" t="s">
        <v>17</v>
      </c>
      <c r="E1466" s="2">
        <f>IF(Tabla2[[#This Row],[Frecuencia]]="Annual", Tabla2[[#This Row],[Cosecha/Tarea]]/12,Tabla2[[#This Row],[Cosecha/Tarea]])</f>
        <v>117633</v>
      </c>
      <c r="F1466" s="2">
        <v>601251</v>
      </c>
      <c r="G1466" t="s">
        <v>18</v>
      </c>
      <c r="H1466">
        <f>F1466/Tabla2[[#This Row],[Cosecha Mensual]]</f>
        <v>5.1112442936930966</v>
      </c>
      <c r="I1466">
        <f>H1466*_xlfn.XLOOKUP(Tabla2[[#This Row],[Unidad de producción]],Tabla3[Medida],Tabla3[Equivalencia en Kg],"ELVIS",0)</f>
        <v>231.84604116191886</v>
      </c>
      <c r="J1466">
        <v>1942.8388888888901</v>
      </c>
      <c r="K1466" t="s">
        <v>19</v>
      </c>
      <c r="L1466">
        <f>J1466/_xlfn.XLOOKUP(Tabla2[[#This Row],[Unidad de precio]],Tabla3[Medida],Tabla3[Equivalencia en Kg],"ELVIS",0)</f>
        <v>17.662171717171727</v>
      </c>
      <c r="M1466">
        <v>7449.8087382093299</v>
      </c>
      <c r="N1466" s="2">
        <f>(Tabla2[[#This Row],[Productividad (kg/TAS)]]*Tabla2[[#This Row],[Precio por kg]]-Tabla2[[#This Row],[Costos (En RD$/Tarea)]])</f>
        <v>-3354.9041472610547</v>
      </c>
      <c r="O1466" s="6">
        <f>IF(Tabla2[[#This Row],[Costos (En RD$/Tarea)]]=0,0,Tabla2[[#This Row],[Beneficio Neto  (En RD$/Tarea)]]/Tabla2[[#This Row],[Costos (En RD$/Tarea)]])</f>
        <v>-0.45033426563746315</v>
      </c>
      <c r="P1466" s="4">
        <f>Tabla2[[#This Row],[Rentabilidad (%)]]/12</f>
        <v>-3.7527855469788596E-2</v>
      </c>
    </row>
    <row r="1467" spans="1:16" x14ac:dyDescent="0.35">
      <c r="A1467" s="1">
        <v>40238</v>
      </c>
      <c r="B1467" t="s">
        <v>20</v>
      </c>
      <c r="C1467" s="2">
        <v>13712</v>
      </c>
      <c r="D1467" s="5" t="s">
        <v>17</v>
      </c>
      <c r="E1467" s="2">
        <f>IF(Tabla2[[#This Row],[Frecuencia]]="Annual", Tabla2[[#This Row],[Cosecha/Tarea]]/12,Tabla2[[#This Row],[Cosecha/Tarea]])</f>
        <v>13712</v>
      </c>
      <c r="F1467" s="2">
        <v>31760</v>
      </c>
      <c r="G1467" t="s">
        <v>18</v>
      </c>
      <c r="H1467">
        <f>F1467/Tabla2[[#This Row],[Cosecha Mensual]]</f>
        <v>2.3162193698949824</v>
      </c>
      <c r="I1467">
        <f>H1467*_xlfn.XLOOKUP(Tabla2[[#This Row],[Unidad de producción]],Tabla3[Medida],Tabla3[Equivalencia en Kg],"ELVIS",0)</f>
        <v>105.0637106184364</v>
      </c>
      <c r="J1467">
        <v>692.81441666666694</v>
      </c>
      <c r="K1467" t="s">
        <v>18</v>
      </c>
      <c r="L1467">
        <f>J1467/_xlfn.XLOOKUP(Tabla2[[#This Row],[Unidad de precio]],Tabla3[Medida],Tabla3[Equivalencia en Kg],"ELVIS",0)</f>
        <v>15.27368643445033</v>
      </c>
      <c r="M1467">
        <v>2162.02023182316</v>
      </c>
      <c r="N1467" s="2">
        <f>(Tabla2[[#This Row],[Productividad (kg/TAS)]]*Tabla2[[#This Row],[Precio por kg]]-Tabla2[[#This Row],[Costos (En RD$/Tarea)]])</f>
        <v>-557.31006019733286</v>
      </c>
      <c r="O1467" s="6">
        <f>IF(Tabla2[[#This Row],[Costos (En RD$/Tarea)]]=0,0,Tabla2[[#This Row],[Beneficio Neto  (En RD$/Tarea)]]/Tabla2[[#This Row],[Costos (En RD$/Tarea)]])</f>
        <v>-0.25777282376648797</v>
      </c>
      <c r="P1467" s="4">
        <f>Tabla2[[#This Row],[Rentabilidad (%)]]/12</f>
        <v>-2.1481068647207332E-2</v>
      </c>
    </row>
    <row r="1468" spans="1:16" x14ac:dyDescent="0.35">
      <c r="A1468" s="1">
        <v>40238</v>
      </c>
      <c r="B1468" t="s">
        <v>21</v>
      </c>
      <c r="C1468" s="2">
        <v>9985</v>
      </c>
      <c r="D1468" s="5" t="s">
        <v>17</v>
      </c>
      <c r="E1468" s="2">
        <f>IF(Tabla2[[#This Row],[Frecuencia]]="Annual", Tabla2[[#This Row],[Cosecha/Tarea]]/12,Tabla2[[#This Row],[Cosecha/Tarea]])</f>
        <v>9985</v>
      </c>
      <c r="F1468" s="2">
        <v>106102</v>
      </c>
      <c r="G1468" t="s">
        <v>18</v>
      </c>
      <c r="H1468">
        <f>F1468/Tabla2[[#This Row],[Cosecha Mensual]]</f>
        <v>10.626139208813219</v>
      </c>
      <c r="I1468">
        <f>H1468*_xlfn.XLOOKUP(Tabla2[[#This Row],[Unidad de producción]],Tabla3[Medida],Tabla3[Equivalencia en Kg],"ELVIS",0)</f>
        <v>482.00167451176765</v>
      </c>
      <c r="J1468">
        <v>607.10416666666697</v>
      </c>
      <c r="K1468" t="s">
        <v>18</v>
      </c>
      <c r="L1468">
        <f>J1468/_xlfn.XLOOKUP(Tabla2[[#This Row],[Unidad de precio]],Tabla3[Medida],Tabla3[Equivalencia en Kg],"ELVIS",0)</f>
        <v>13.38413065843622</v>
      </c>
      <c r="M1468">
        <v>4521.4268874999998</v>
      </c>
      <c r="N1468" s="2">
        <f>(Tabla2[[#This Row],[Productividad (kg/TAS)]]*Tabla2[[#This Row],[Precio por kg]]-Tabla2[[#This Row],[Costos (En RD$/Tarea)]])</f>
        <v>1929.7465017505456</v>
      </c>
      <c r="O1468" s="6">
        <f>IF(Tabla2[[#This Row],[Costos (En RD$/Tarea)]]=0,0,Tabla2[[#This Row],[Beneficio Neto  (En RD$/Tarea)]]/Tabla2[[#This Row],[Costos (En RD$/Tarea)]])</f>
        <v>0.42680033311730636</v>
      </c>
      <c r="P1468" s="4">
        <f>Tabla2[[#This Row],[Rentabilidad (%)]]/12</f>
        <v>3.5566694426442197E-2</v>
      </c>
    </row>
    <row r="1469" spans="1:16" x14ac:dyDescent="0.35">
      <c r="A1469" s="1">
        <v>40238</v>
      </c>
      <c r="B1469" t="s">
        <v>22</v>
      </c>
      <c r="C1469" s="2">
        <v>7250</v>
      </c>
      <c r="D1469" s="5" t="s">
        <v>17</v>
      </c>
      <c r="E1469" s="2">
        <f>IF(Tabla2[[#This Row],[Frecuencia]]="Annual", Tabla2[[#This Row],[Cosecha/Tarea]]/12,Tabla2[[#This Row],[Cosecha/Tarea]])</f>
        <v>7250</v>
      </c>
      <c r="F1469" s="2">
        <v>69830</v>
      </c>
      <c r="G1469" t="s">
        <v>18</v>
      </c>
      <c r="H1469">
        <f>F1469/Tabla2[[#This Row],[Cosecha Mensual]]</f>
        <v>9.6317241379310339</v>
      </c>
      <c r="I1469">
        <f>H1469*_xlfn.XLOOKUP(Tabla2[[#This Row],[Unidad de producción]],Tabla3[Medida],Tabla3[Equivalencia en Kg],"ELVIS",0)</f>
        <v>436.89500689655171</v>
      </c>
      <c r="J1469">
        <v>1105.6500000000001</v>
      </c>
      <c r="K1469" t="s">
        <v>18</v>
      </c>
      <c r="L1469">
        <f>J1469/_xlfn.XLOOKUP(Tabla2[[#This Row],[Unidad de precio]],Tabla3[Medida],Tabla3[Equivalencia en Kg],"ELVIS",0)</f>
        <v>24.375000000000004</v>
      </c>
      <c r="M1469">
        <v>7599.7694060736003</v>
      </c>
      <c r="N1469" s="2">
        <f>(Tabla2[[#This Row],[Productividad (kg/TAS)]]*Tabla2[[#This Row],[Precio por kg]]-Tabla2[[#This Row],[Costos (En RD$/Tarea)]])</f>
        <v>3049.546387029849</v>
      </c>
      <c r="O1469" s="6">
        <f>IF(Tabla2[[#This Row],[Costos (En RD$/Tarea)]]=0,0,Tabla2[[#This Row],[Beneficio Neto  (En RD$/Tarea)]]/Tabla2[[#This Row],[Costos (En RD$/Tarea)]])</f>
        <v>0.40126827856022917</v>
      </c>
      <c r="P1469" s="4">
        <f>Tabla2[[#This Row],[Rentabilidad (%)]]/12</f>
        <v>3.3439023213352431E-2</v>
      </c>
    </row>
    <row r="1470" spans="1:16" x14ac:dyDescent="0.35">
      <c r="A1470" s="1">
        <v>40238</v>
      </c>
      <c r="B1470" t="s">
        <v>23</v>
      </c>
      <c r="C1470" s="2">
        <v>2504</v>
      </c>
      <c r="D1470" s="5" t="s">
        <v>17</v>
      </c>
      <c r="E1470" s="2">
        <f>IF(Tabla2[[#This Row],[Frecuencia]]="Annual", Tabla2[[#This Row],[Cosecha/Tarea]]/12,Tabla2[[#This Row],[Cosecha/Tarea]])</f>
        <v>2504</v>
      </c>
      <c r="F1470" s="2">
        <v>75922</v>
      </c>
      <c r="G1470" t="s">
        <v>18</v>
      </c>
      <c r="H1470">
        <f>F1470/Tabla2[[#This Row],[Cosecha Mensual]]</f>
        <v>30.320287539936103</v>
      </c>
      <c r="I1470">
        <f>H1470*_xlfn.XLOOKUP(Tabla2[[#This Row],[Unidad de producción]],Tabla3[Medida],Tabla3[Equivalencia en Kg],"ELVIS",0)</f>
        <v>1375.3282428115017</v>
      </c>
      <c r="J1470">
        <v>715.41666666666697</v>
      </c>
      <c r="K1470" t="s">
        <v>18</v>
      </c>
      <c r="L1470">
        <f>J1470/_xlfn.XLOOKUP(Tabla2[[#This Row],[Unidad de precio]],Tabla3[Medida],Tabla3[Equivalencia en Kg],"ELVIS",0)</f>
        <v>15.771972369194598</v>
      </c>
      <c r="M1470">
        <v>20327.21</v>
      </c>
      <c r="N1470" s="2">
        <f>(Tabla2[[#This Row],[Productividad (kg/TAS)]]*Tabla2[[#This Row],[Precio por kg]]-Tabla2[[#This Row],[Costos (En RD$/Tarea)]])</f>
        <v>1364.4290441959638</v>
      </c>
      <c r="O1470" s="6">
        <f>IF(Tabla2[[#This Row],[Costos (En RD$/Tarea)]]=0,0,Tabla2[[#This Row],[Beneficio Neto  (En RD$/Tarea)]]/Tabla2[[#This Row],[Costos (En RD$/Tarea)]])</f>
        <v>6.7123281758586839E-2</v>
      </c>
      <c r="P1470" s="4">
        <f>Tabla2[[#This Row],[Rentabilidad (%)]]/12</f>
        <v>5.5936068132155696E-3</v>
      </c>
    </row>
    <row r="1471" spans="1:16" x14ac:dyDescent="0.35">
      <c r="A1471" s="1">
        <v>40238</v>
      </c>
      <c r="B1471" t="s">
        <v>24</v>
      </c>
      <c r="C1471" s="2">
        <v>7710</v>
      </c>
      <c r="D1471" s="5" t="s">
        <v>17</v>
      </c>
      <c r="E1471" s="2">
        <f>IF(Tabla2[[#This Row],[Frecuencia]]="Annual", Tabla2[[#This Row],[Cosecha/Tarea]]/12,Tabla2[[#This Row],[Cosecha/Tarea]])</f>
        <v>7710</v>
      </c>
      <c r="F1471" s="2">
        <v>66999</v>
      </c>
      <c r="G1471" t="s">
        <v>18</v>
      </c>
      <c r="H1471">
        <f>F1471/Tabla2[[#This Row],[Cosecha Mensual]]</f>
        <v>8.6898832684824896</v>
      </c>
      <c r="I1471">
        <f>H1471*_xlfn.XLOOKUP(Tabla2[[#This Row],[Unidad de producción]],Tabla3[Medida],Tabla3[Equivalencia en Kg],"ELVIS",0)</f>
        <v>394.17310505836571</v>
      </c>
      <c r="J1471">
        <v>1212.21</v>
      </c>
      <c r="K1471" t="s">
        <v>18</v>
      </c>
      <c r="L1471">
        <f>J1471/_xlfn.XLOOKUP(Tabla2[[#This Row],[Unidad de precio]],Tabla3[Medida],Tabla3[Equivalencia en Kg],"ELVIS",0)</f>
        <v>26.724206349206352</v>
      </c>
      <c r="M1471">
        <v>6579.6044973695998</v>
      </c>
      <c r="N1471" s="2">
        <f>(Tabla2[[#This Row],[Productividad (kg/TAS)]]*Tabla2[[#This Row],[Precio por kg]]-Tabla2[[#This Row],[Costos (En RD$/Tarea)]])</f>
        <v>3954.3588995175587</v>
      </c>
      <c r="O1471" s="6">
        <f>IF(Tabla2[[#This Row],[Costos (En RD$/Tarea)]]=0,0,Tabla2[[#This Row],[Beneficio Neto  (En RD$/Tarea)]]/Tabla2[[#This Row],[Costos (En RD$/Tarea)]])</f>
        <v>0.60100252243101171</v>
      </c>
      <c r="P1471" s="4">
        <f>Tabla2[[#This Row],[Rentabilidad (%)]]/12</f>
        <v>5.0083543535917645E-2</v>
      </c>
    </row>
    <row r="1472" spans="1:16" x14ac:dyDescent="0.35">
      <c r="A1472" s="1">
        <v>40238</v>
      </c>
      <c r="B1472" t="s">
        <v>25</v>
      </c>
      <c r="C1472" s="2">
        <v>28504</v>
      </c>
      <c r="D1472" s="5" t="s">
        <v>17</v>
      </c>
      <c r="E1472" s="2">
        <f>IF(Tabla2[[#This Row],[Frecuencia]]="Annual", Tabla2[[#This Row],[Cosecha/Tarea]]/12,Tabla2[[#This Row],[Cosecha/Tarea]])</f>
        <v>28504</v>
      </c>
      <c r="F1472" s="2">
        <v>318205</v>
      </c>
      <c r="G1472" t="s">
        <v>18</v>
      </c>
      <c r="H1472">
        <f>F1472/Tabla2[[#This Row],[Cosecha Mensual]]</f>
        <v>11.163520909346056</v>
      </c>
      <c r="I1472">
        <f>H1472*_xlfn.XLOOKUP(Tabla2[[#This Row],[Unidad de producción]],Tabla3[Medida],Tabla3[Equivalencia en Kg],"ELVIS",0)</f>
        <v>506.37730844793708</v>
      </c>
      <c r="J1472">
        <v>269.58545833333301</v>
      </c>
      <c r="K1472" t="s">
        <v>18</v>
      </c>
      <c r="L1472">
        <f>J1472/_xlfn.XLOOKUP(Tabla2[[#This Row],[Unidad de precio]],Tabla3[Medida],Tabla3[Equivalencia en Kg],"ELVIS",0)</f>
        <v>5.9432420267489645</v>
      </c>
      <c r="M1472">
        <v>3734.0064399798498</v>
      </c>
      <c r="N1472" s="2">
        <f>(Tabla2[[#This Row],[Productividad (kg/TAS)]]*Tabla2[[#This Row],[Precio por kg]]-Tabla2[[#This Row],[Costos (En RD$/Tarea)]])</f>
        <v>-724.48353902004646</v>
      </c>
      <c r="O1472" s="6">
        <f>IF(Tabla2[[#This Row],[Costos (En RD$/Tarea)]]=0,0,Tabla2[[#This Row],[Beneficio Neto  (En RD$/Tarea)]]/Tabla2[[#This Row],[Costos (En RD$/Tarea)]])</f>
        <v>-0.19402310913635062</v>
      </c>
      <c r="P1472" s="4">
        <f>Tabla2[[#This Row],[Rentabilidad (%)]]/12</f>
        <v>-1.6168592428029219E-2</v>
      </c>
    </row>
    <row r="1473" spans="1:16" x14ac:dyDescent="0.35">
      <c r="A1473" s="1">
        <v>40238</v>
      </c>
      <c r="B1473" t="s">
        <v>26</v>
      </c>
      <c r="C1473" s="2">
        <v>12486</v>
      </c>
      <c r="D1473" s="5" t="s">
        <v>17</v>
      </c>
      <c r="E1473" s="2">
        <f>IF(Tabla2[[#This Row],[Frecuencia]]="Annual", Tabla2[[#This Row],[Cosecha/Tarea]]/12,Tabla2[[#This Row],[Cosecha/Tarea]])</f>
        <v>12486</v>
      </c>
      <c r="F1473" s="2">
        <v>91147</v>
      </c>
      <c r="G1473" t="s">
        <v>18</v>
      </c>
      <c r="H1473">
        <f>F1473/Tabla2[[#This Row],[Cosecha Mensual]]</f>
        <v>7.2999359282396288</v>
      </c>
      <c r="I1473">
        <f>H1473*_xlfn.XLOOKUP(Tabla2[[#This Row],[Unidad de producción]],Tabla3[Medida],Tabla3[Equivalencia en Kg],"ELVIS",0)</f>
        <v>331.12509370494956</v>
      </c>
      <c r="J1473">
        <v>640.51250000000005</v>
      </c>
      <c r="K1473" t="s">
        <v>18</v>
      </c>
      <c r="L1473">
        <f>J1473/_xlfn.XLOOKUP(Tabla2[[#This Row],[Unidad de precio]],Tabla3[Medida],Tabla3[Equivalencia en Kg],"ELVIS",0)</f>
        <v>14.120645943562611</v>
      </c>
      <c r="M1473">
        <v>1771.21219288463</v>
      </c>
      <c r="N1473" s="2">
        <f>(Tabla2[[#This Row],[Productividad (kg/TAS)]]*Tabla2[[#This Row],[Precio por kg]]-Tabla2[[#This Row],[Costos (En RD$/Tarea)]])</f>
        <v>2904.4880183519554</v>
      </c>
      <c r="O1473" s="6">
        <f>IF(Tabla2[[#This Row],[Costos (En RD$/Tarea)]]=0,0,Tabla2[[#This Row],[Beneficio Neto  (En RD$/Tarea)]]/Tabla2[[#This Row],[Costos (En RD$/Tarea)]])</f>
        <v>1.6398306369050286</v>
      </c>
      <c r="P1473" s="4">
        <f>Tabla2[[#This Row],[Rentabilidad (%)]]/12</f>
        <v>0.13665255307541904</v>
      </c>
    </row>
    <row r="1474" spans="1:16" x14ac:dyDescent="0.35">
      <c r="A1474" s="1">
        <v>40238</v>
      </c>
      <c r="B1474" t="s">
        <v>27</v>
      </c>
      <c r="C1474" s="2">
        <v>6120</v>
      </c>
      <c r="D1474" s="5" t="s">
        <v>17</v>
      </c>
      <c r="E1474" s="2">
        <f>IF(Tabla2[[#This Row],[Frecuencia]]="Annual", Tabla2[[#This Row],[Cosecha/Tarea]]/12,Tabla2[[#This Row],[Cosecha/Tarea]])</f>
        <v>6120</v>
      </c>
      <c r="F1474" s="2">
        <v>43146</v>
      </c>
      <c r="G1474" t="s">
        <v>18</v>
      </c>
      <c r="H1474">
        <f>F1474/Tabla2[[#This Row],[Cosecha Mensual]]</f>
        <v>7.05</v>
      </c>
      <c r="I1474">
        <f>H1474*_xlfn.XLOOKUP(Tabla2[[#This Row],[Unidad de producción]],Tabla3[Medida],Tabla3[Equivalencia en Kg],"ELVIS",0)</f>
        <v>319.78800000000001</v>
      </c>
      <c r="J1474">
        <v>306.379166666667</v>
      </c>
      <c r="K1474" t="s">
        <v>18</v>
      </c>
      <c r="L1474">
        <f>J1474/_xlfn.XLOOKUP(Tabla2[[#This Row],[Unidad de precio]],Tabla3[Medida],Tabla3[Equivalencia en Kg],"ELVIS",0)</f>
        <v>6.7543907995296957</v>
      </c>
      <c r="M1474">
        <v>6142.3910746455704</v>
      </c>
      <c r="N1474" s="2">
        <f>(Tabla2[[#This Row],[Productividad (kg/TAS)]]*Tabla2[[#This Row],[Precio por kg]]-Tabla2[[#This Row],[Costos (En RD$/Tarea)]])</f>
        <v>-3982.4179496455681</v>
      </c>
      <c r="O1474" s="6">
        <f>IF(Tabla2[[#This Row],[Costos (En RD$/Tarea)]]=0,0,Tabla2[[#This Row],[Beneficio Neto  (En RD$/Tarea)]]/Tabla2[[#This Row],[Costos (En RD$/Tarea)]])</f>
        <v>-0.64834978776979979</v>
      </c>
      <c r="P1474" s="4">
        <f>Tabla2[[#This Row],[Rentabilidad (%)]]/12</f>
        <v>-5.4029148980816649E-2</v>
      </c>
    </row>
    <row r="1475" spans="1:16" x14ac:dyDescent="0.35">
      <c r="A1475" s="1">
        <v>40238</v>
      </c>
      <c r="B1475" t="s">
        <v>28</v>
      </c>
      <c r="C1475" s="2">
        <v>89274</v>
      </c>
      <c r="D1475" s="5" t="s">
        <v>17</v>
      </c>
      <c r="E1475" s="2">
        <f>IF(Tabla2[[#This Row],[Frecuencia]]="Annual", Tabla2[[#This Row],[Cosecha/Tarea]]/12,Tabla2[[#This Row],[Cosecha/Tarea]])</f>
        <v>89274</v>
      </c>
      <c r="F1475" s="2">
        <v>46120</v>
      </c>
      <c r="G1475" t="s">
        <v>29</v>
      </c>
      <c r="H1475">
        <f>F1475/Tabla2[[#This Row],[Cosecha Mensual]]</f>
        <v>0.51661177946546588</v>
      </c>
      <c r="I1475">
        <f>H1475*_xlfn.XLOOKUP(Tabla2[[#This Row],[Unidad de producción]],Tabla3[Medida],Tabla3[Equivalencia en Kg],"ELVIS",0)</f>
        <v>290.51146806461009</v>
      </c>
      <c r="J1475">
        <v>8401.5</v>
      </c>
      <c r="K1475" t="s">
        <v>29</v>
      </c>
      <c r="L1475">
        <f>J1475/_xlfn.XLOOKUP(Tabla2[[#This Row],[Unidad de precio]],Tabla3[Medida],Tabla3[Equivalencia en Kg],"ELVIS",0)</f>
        <v>14.940249671017533</v>
      </c>
      <c r="M1475">
        <v>6158.1190308947398</v>
      </c>
      <c r="N1475" s="2">
        <f>(Tabla2[[#This Row],[Productividad (kg/TAS)]]*Tabla2[[#This Row],[Precio por kg]]-Tabla2[[#This Row],[Costos (En RD$/Tarea)]])</f>
        <v>-1817.8051657156284</v>
      </c>
      <c r="O1475" s="6">
        <f>IF(Tabla2[[#This Row],[Costos (En RD$/Tarea)]]=0,0,Tabla2[[#This Row],[Beneficio Neto  (En RD$/Tarea)]]/Tabla2[[#This Row],[Costos (En RD$/Tarea)]])</f>
        <v>-0.29518837758670469</v>
      </c>
      <c r="P1475" s="4">
        <f>Tabla2[[#This Row],[Rentabilidad (%)]]/12</f>
        <v>-2.4599031465558724E-2</v>
      </c>
    </row>
    <row r="1476" spans="1:16" x14ac:dyDescent="0.35">
      <c r="A1476" s="1">
        <v>40238</v>
      </c>
      <c r="B1476" t="s">
        <v>30</v>
      </c>
      <c r="C1476" s="2">
        <v>314130</v>
      </c>
      <c r="D1476" s="2" t="s">
        <v>31</v>
      </c>
      <c r="E1476" s="2">
        <f>IF(Tabla2[[#This Row],[Frecuencia]]="Annual", Tabla2[[#This Row],[Cosecha/Tarea]]/12,Tabla2[[#This Row],[Cosecha/Tarea]])</f>
        <v>26177.5</v>
      </c>
      <c r="F1476" s="2">
        <v>2213875</v>
      </c>
      <c r="G1476" t="s">
        <v>32</v>
      </c>
      <c r="H1476">
        <f>F1476/Tabla2[[#This Row],[Cosecha Mensual]]</f>
        <v>84.571674147645879</v>
      </c>
      <c r="I1476">
        <f>H1476*_xlfn.XLOOKUP(Tabla2[[#This Row],[Unidad de producción]],Tabla3[Medida],Tabla3[Equivalencia en Kg],"ELVIS",0)</f>
        <v>2301.1952535574446</v>
      </c>
      <c r="J1476">
        <v>121.35944444444399</v>
      </c>
      <c r="K1476" t="s">
        <v>32</v>
      </c>
      <c r="L1476">
        <f>J1476/_xlfn.XLOOKUP(Tabla2[[#This Row],[Unidad de precio]],Tabla3[Medida],Tabla3[Equivalencia en Kg],"ELVIS",0)</f>
        <v>4.4601045367307606</v>
      </c>
      <c r="M1476" s="2">
        <v>10497.9114219602</v>
      </c>
      <c r="N1476" s="2">
        <f>(Tabla2[[#This Row],[Productividad (kg/TAS)]]*Tabla2[[#This Row],[Precio por kg]]-Tabla2[[#This Row],[Costos (En RD$/Tarea)]])</f>
        <v>-234.34003166534785</v>
      </c>
      <c r="O1476" s="6">
        <f>IF(Tabla2[[#This Row],[Costos (En RD$/Tarea)]]=0,0,Tabla2[[#This Row],[Beneficio Neto  (En RD$/Tarea)]]/Tabla2[[#This Row],[Costos (En RD$/Tarea)]])</f>
        <v>-2.2322538478953102E-2</v>
      </c>
      <c r="P1476" s="4">
        <f>Tabla2[[#This Row],[Rentabilidad (%)]]/12</f>
        <v>-1.8602115399127585E-3</v>
      </c>
    </row>
    <row r="1477" spans="1:16" x14ac:dyDescent="0.35">
      <c r="A1477" s="1">
        <v>40238</v>
      </c>
      <c r="B1477" t="s">
        <v>33</v>
      </c>
      <c r="C1477" s="2">
        <v>654210</v>
      </c>
      <c r="D1477" s="2" t="s">
        <v>31</v>
      </c>
      <c r="E1477" s="8">
        <f>IF(Tabla2[[#This Row],[Frecuencia]]="Annual", Tabla2[[#This Row],[Cosecha/Tarea]]/12,Tabla2[[#This Row],[Cosecha/Tarea]])</f>
        <v>54517.5</v>
      </c>
      <c r="F1477" s="2">
        <v>140796</v>
      </c>
      <c r="G1477" t="s">
        <v>34</v>
      </c>
      <c r="H1477">
        <f>F1477/Tabla2[[#This Row],[Cosecha Mensual]]</f>
        <v>2.5825835740817169</v>
      </c>
      <c r="I1477">
        <f>H1477*_xlfn.XLOOKUP(Tabla2[[#This Row],[Unidad de producción]],Tabla3[Medida],Tabla3[Equivalencia en Kg],"ELVIS",0)</f>
        <v>1054.0814857614528</v>
      </c>
      <c r="J1477">
        <v>3957.30416666667</v>
      </c>
      <c r="K1477" t="s">
        <v>34</v>
      </c>
      <c r="L1477">
        <f>J1477/_xlfn.XLOOKUP(Tabla2[[#This Row],[Unidad de precio]],Tabla3[Medida],Tabla3[Equivalencia en Kg],"ELVIS",0)</f>
        <v>9.6957103189187066</v>
      </c>
      <c r="M1477" s="2">
        <v>9292.9734969082201</v>
      </c>
      <c r="N1477" s="2">
        <f>(Tabla2[[#This Row],[Productividad (kg/TAS)]]*Tabla2[[#This Row],[Precio por kg]]-Tabla2[[#This Row],[Costos (En RD$/Tarea)]])</f>
        <v>927.09524157025953</v>
      </c>
      <c r="O1477" s="6">
        <f>IF(Tabla2[[#This Row],[Costos (En RD$/Tarea)]]=0,0,Tabla2[[#This Row],[Beneficio Neto  (En RD$/Tarea)]]/Tabla2[[#This Row],[Costos (En RD$/Tarea)]])</f>
        <v>9.9763035144639647E-2</v>
      </c>
      <c r="P1477" s="4">
        <f>Tabla2[[#This Row],[Rentabilidad (%)]]/12</f>
        <v>8.3135862620533039E-3</v>
      </c>
    </row>
    <row r="1478" spans="1:16" x14ac:dyDescent="0.35">
      <c r="A1478" s="1">
        <v>40269</v>
      </c>
      <c r="B1478" t="s">
        <v>16</v>
      </c>
      <c r="C1478" s="2">
        <v>481235</v>
      </c>
      <c r="D1478" s="5" t="s">
        <v>17</v>
      </c>
      <c r="E1478" s="2">
        <f>IF(Tabla2[[#This Row],[Frecuencia]]="Annual", Tabla2[[#This Row],[Cosecha/Tarea]]/12,Tabla2[[#This Row],[Cosecha/Tarea]])</f>
        <v>481235</v>
      </c>
      <c r="F1478" s="2">
        <v>2337773</v>
      </c>
      <c r="G1478" t="s">
        <v>18</v>
      </c>
      <c r="H1478">
        <f>F1478/Tabla2[[#This Row],[Cosecha Mensual]]</f>
        <v>4.8578615437364281</v>
      </c>
      <c r="I1478">
        <f>H1478*_xlfn.XLOOKUP(Tabla2[[#This Row],[Unidad de producción]],Tabla3[Medida],Tabla3[Equivalencia en Kg],"ELVIS",0)</f>
        <v>220.35259962388437</v>
      </c>
      <c r="J1478">
        <v>2018.6388888888901</v>
      </c>
      <c r="K1478" t="s">
        <v>19</v>
      </c>
      <c r="L1478">
        <f>J1478/_xlfn.XLOOKUP(Tabla2[[#This Row],[Unidad de precio]],Tabla3[Medida],Tabla3[Equivalencia en Kg],"ELVIS",0)</f>
        <v>18.351262626262638</v>
      </c>
      <c r="M1478">
        <v>7449.8087382093299</v>
      </c>
      <c r="N1478" s="2">
        <f>(Tabla2[[#This Row],[Productividad (kg/TAS)]]*Tabla2[[#This Row],[Precio por kg]]-Tabla2[[#This Row],[Costos (En RD$/Tarea)]])</f>
        <v>-3406.0603121317258</v>
      </c>
      <c r="O1478" s="6">
        <f>IF(Tabla2[[#This Row],[Costos (En RD$/Tarea)]]=0,0,Tabla2[[#This Row],[Beneficio Neto  (En RD$/Tarea)]]/Tabla2[[#This Row],[Costos (En RD$/Tarea)]])</f>
        <v>-0.45720104123779454</v>
      </c>
      <c r="P1478" s="4">
        <f>Tabla2[[#This Row],[Rentabilidad (%)]]/12</f>
        <v>-3.8100086769816209E-2</v>
      </c>
    </row>
    <row r="1479" spans="1:16" x14ac:dyDescent="0.35">
      <c r="A1479" s="1">
        <v>40269</v>
      </c>
      <c r="B1479" t="s">
        <v>20</v>
      </c>
      <c r="C1479" s="2">
        <v>22615</v>
      </c>
      <c r="D1479" s="5" t="s">
        <v>17</v>
      </c>
      <c r="E1479" s="2">
        <f>IF(Tabla2[[#This Row],[Frecuencia]]="Annual", Tabla2[[#This Row],[Cosecha/Tarea]]/12,Tabla2[[#This Row],[Cosecha/Tarea]])</f>
        <v>22615</v>
      </c>
      <c r="F1479" s="2">
        <v>50884</v>
      </c>
      <c r="G1479" t="s">
        <v>18</v>
      </c>
      <c r="H1479">
        <f>F1479/Tabla2[[#This Row],[Cosecha Mensual]]</f>
        <v>2.2500110546097725</v>
      </c>
      <c r="I1479">
        <f>H1479*_xlfn.XLOOKUP(Tabla2[[#This Row],[Unidad de producción]],Tabla3[Medida],Tabla3[Equivalencia en Kg],"ELVIS",0)</f>
        <v>102.06050143709928</v>
      </c>
      <c r="J1479">
        <v>670.16071428571399</v>
      </c>
      <c r="K1479" t="s">
        <v>18</v>
      </c>
      <c r="L1479">
        <f>J1479/_xlfn.XLOOKUP(Tabla2[[#This Row],[Unidad de precio]],Tabla3[Medida],Tabla3[Equivalencia en Kg],"ELVIS",0)</f>
        <v>14.774266187956657</v>
      </c>
      <c r="M1479">
        <v>2162.02023182316</v>
      </c>
      <c r="N1479" s="2">
        <f>(Tabla2[[#This Row],[Productividad (kg/TAS)]]*Tabla2[[#This Row],[Precio por kg]]-Tabla2[[#This Row],[Costos (En RD$/Tarea)]])</f>
        <v>-654.15121631512238</v>
      </c>
      <c r="O1479" s="6">
        <f>IF(Tabla2[[#This Row],[Costos (En RD$/Tarea)]]=0,0,Tabla2[[#This Row],[Beneficio Neto  (En RD$/Tarea)]]/Tabla2[[#This Row],[Costos (En RD$/Tarea)]])</f>
        <v>-0.30256479874080472</v>
      </c>
      <c r="P1479" s="4">
        <f>Tabla2[[#This Row],[Rentabilidad (%)]]/12</f>
        <v>-2.5213733228400394E-2</v>
      </c>
    </row>
    <row r="1480" spans="1:16" x14ac:dyDescent="0.35">
      <c r="A1480" s="1">
        <v>40269</v>
      </c>
      <c r="B1480" t="s">
        <v>21</v>
      </c>
      <c r="C1480" s="2">
        <v>14508</v>
      </c>
      <c r="D1480" s="5" t="s">
        <v>17</v>
      </c>
      <c r="E1480" s="2">
        <f>IF(Tabla2[[#This Row],[Frecuencia]]="Annual", Tabla2[[#This Row],[Cosecha/Tarea]]/12,Tabla2[[#This Row],[Cosecha/Tarea]])</f>
        <v>14508</v>
      </c>
      <c r="F1480" s="2">
        <v>169744</v>
      </c>
      <c r="G1480" t="s">
        <v>18</v>
      </c>
      <c r="H1480">
        <f>F1480/Tabla2[[#This Row],[Cosecha Mensual]]</f>
        <v>11.700027570995314</v>
      </c>
      <c r="I1480">
        <f>H1480*_xlfn.XLOOKUP(Tabla2[[#This Row],[Unidad de producción]],Tabla3[Medida],Tabla3[Equivalencia en Kg],"ELVIS",0)</f>
        <v>530.71325062034737</v>
      </c>
      <c r="J1480">
        <v>409.736607142857</v>
      </c>
      <c r="K1480" t="s">
        <v>18</v>
      </c>
      <c r="L1480">
        <f>J1480/_xlfn.XLOOKUP(Tabla2[[#This Row],[Unidad de precio]],Tabla3[Medida],Tabla3[Equivalencia en Kg],"ELVIS",0)</f>
        <v>9.0329939846308864</v>
      </c>
      <c r="M1480">
        <v>4521.4268874999998</v>
      </c>
      <c r="N1480" s="2">
        <f>(Tabla2[[#This Row],[Productividad (kg/TAS)]]*Tabla2[[#This Row],[Precio por kg]]-Tabla2[[#This Row],[Costos (En RD$/Tarea)]])</f>
        <v>272.50271291750232</v>
      </c>
      <c r="O1480" s="6">
        <f>IF(Tabla2[[#This Row],[Costos (En RD$/Tarea)]]=0,0,Tabla2[[#This Row],[Beneficio Neto  (En RD$/Tarea)]]/Tabla2[[#This Row],[Costos (En RD$/Tarea)]])</f>
        <v>6.0269184860838321E-2</v>
      </c>
      <c r="P1480" s="4">
        <f>Tabla2[[#This Row],[Rentabilidad (%)]]/12</f>
        <v>5.0224320717365267E-3</v>
      </c>
    </row>
    <row r="1481" spans="1:16" x14ac:dyDescent="0.35">
      <c r="A1481" s="1">
        <v>40269</v>
      </c>
      <c r="B1481" t="s">
        <v>22</v>
      </c>
      <c r="C1481" s="2">
        <v>4452</v>
      </c>
      <c r="D1481" s="5" t="s">
        <v>17</v>
      </c>
      <c r="E1481" s="2">
        <f>IF(Tabla2[[#This Row],[Frecuencia]]="Annual", Tabla2[[#This Row],[Cosecha/Tarea]]/12,Tabla2[[#This Row],[Cosecha/Tarea]])</f>
        <v>4452</v>
      </c>
      <c r="F1481" s="2">
        <v>44876</v>
      </c>
      <c r="G1481" t="s">
        <v>18</v>
      </c>
      <c r="H1481">
        <f>F1481/Tabla2[[#This Row],[Cosecha Mensual]]</f>
        <v>10.079964061096137</v>
      </c>
      <c r="I1481">
        <f>H1481*_xlfn.XLOOKUP(Tabla2[[#This Row],[Unidad de producción]],Tabla3[Medida],Tabla3[Equivalencia en Kg],"ELVIS",0)</f>
        <v>457.22716981132072</v>
      </c>
      <c r="J1481">
        <v>1084.78125</v>
      </c>
      <c r="K1481" t="s">
        <v>18</v>
      </c>
      <c r="L1481">
        <f>J1481/_xlfn.XLOOKUP(Tabla2[[#This Row],[Unidad de precio]],Tabla3[Medida],Tabla3[Equivalencia en Kg],"ELVIS",0)</f>
        <v>23.914930555555557</v>
      </c>
      <c r="M1481">
        <v>7599.7694060736003</v>
      </c>
      <c r="N1481" s="2">
        <f>(Tabla2[[#This Row],[Productividad (kg/TAS)]]*Tabla2[[#This Row],[Precio por kg]]-Tabla2[[#This Row],[Costos (En RD$/Tarea)]])</f>
        <v>3334.7866080773429</v>
      </c>
      <c r="O1481" s="6">
        <f>IF(Tabla2[[#This Row],[Costos (En RD$/Tarea)]]=0,0,Tabla2[[#This Row],[Beneficio Neto  (En RD$/Tarea)]]/Tabla2[[#This Row],[Costos (En RD$/Tarea)]])</f>
        <v>0.43880102538535454</v>
      </c>
      <c r="P1481" s="4">
        <f>Tabla2[[#This Row],[Rentabilidad (%)]]/12</f>
        <v>3.6566752115446209E-2</v>
      </c>
    </row>
    <row r="1482" spans="1:16" x14ac:dyDescent="0.35">
      <c r="A1482" s="1">
        <v>40269</v>
      </c>
      <c r="B1482" t="s">
        <v>23</v>
      </c>
      <c r="C1482" s="2">
        <v>4668</v>
      </c>
      <c r="D1482" s="5" t="s">
        <v>17</v>
      </c>
      <c r="E1482" s="2">
        <f>IF(Tabla2[[#This Row],[Frecuencia]]="Annual", Tabla2[[#This Row],[Cosecha/Tarea]]/12,Tabla2[[#This Row],[Cosecha/Tarea]])</f>
        <v>4668</v>
      </c>
      <c r="F1482" s="2">
        <v>119340</v>
      </c>
      <c r="G1482" t="s">
        <v>18</v>
      </c>
      <c r="H1482">
        <f>F1482/Tabla2[[#This Row],[Cosecha Mensual]]</f>
        <v>25.565552699228792</v>
      </c>
      <c r="I1482">
        <f>H1482*_xlfn.XLOOKUP(Tabla2[[#This Row],[Unidad de producción]],Tabla3[Medida],Tabla3[Equivalencia en Kg],"ELVIS",0)</f>
        <v>1159.6534704370181</v>
      </c>
      <c r="J1482">
        <v>616.25</v>
      </c>
      <c r="K1482" t="s">
        <v>18</v>
      </c>
      <c r="L1482">
        <f>J1482/_xlfn.XLOOKUP(Tabla2[[#This Row],[Unidad de precio]],Tabla3[Medida],Tabla3[Equivalencia en Kg],"ELVIS",0)</f>
        <v>13.585758377425044</v>
      </c>
      <c r="M1482">
        <v>20327.21</v>
      </c>
      <c r="N1482" s="2">
        <f>(Tabla2[[#This Row],[Productividad (kg/TAS)]]*Tabla2[[#This Row],[Precio por kg]]-Tabla2[[#This Row],[Costos (En RD$/Tarea)]])</f>
        <v>-4572.438149100255</v>
      </c>
      <c r="O1482" s="6">
        <f>IF(Tabla2[[#This Row],[Costos (En RD$/Tarea)]]=0,0,Tabla2[[#This Row],[Beneficio Neto  (En RD$/Tarea)]]/Tabla2[[#This Row],[Costos (En RD$/Tarea)]])</f>
        <v>-0.22494174798707028</v>
      </c>
      <c r="P1482" s="4">
        <f>Tabla2[[#This Row],[Rentabilidad (%)]]/12</f>
        <v>-1.8745145665589189E-2</v>
      </c>
    </row>
    <row r="1483" spans="1:16" x14ac:dyDescent="0.35">
      <c r="A1483" s="1">
        <v>40269</v>
      </c>
      <c r="B1483" t="s">
        <v>24</v>
      </c>
      <c r="C1483" s="2">
        <v>5200</v>
      </c>
      <c r="D1483" s="5" t="s">
        <v>17</v>
      </c>
      <c r="E1483" s="2">
        <f>IF(Tabla2[[#This Row],[Frecuencia]]="Annual", Tabla2[[#This Row],[Cosecha/Tarea]]/12,Tabla2[[#This Row],[Cosecha/Tarea]])</f>
        <v>5200</v>
      </c>
      <c r="F1483" s="2">
        <v>62000</v>
      </c>
      <c r="G1483" t="s">
        <v>18</v>
      </c>
      <c r="H1483">
        <f>F1483/Tabla2[[#This Row],[Cosecha Mensual]]</f>
        <v>11.923076923076923</v>
      </c>
      <c r="I1483">
        <f>H1483*_xlfn.XLOOKUP(Tabla2[[#This Row],[Unidad de producción]],Tabla3[Medida],Tabla3[Equivalencia en Kg],"ELVIS",0)</f>
        <v>540.83076923076919</v>
      </c>
      <c r="J1483">
        <v>1255.4749999999999</v>
      </c>
      <c r="K1483" t="s">
        <v>18</v>
      </c>
      <c r="L1483">
        <f>J1483/_xlfn.XLOOKUP(Tabla2[[#This Row],[Unidad de precio]],Tabla3[Medida],Tabla3[Equivalencia en Kg],"ELVIS",0)</f>
        <v>27.678020282186946</v>
      </c>
      <c r="M1483">
        <v>6579.6044973695998</v>
      </c>
      <c r="N1483" s="2">
        <f>(Tabla2[[#This Row],[Productividad (kg/TAS)]]*Tabla2[[#This Row],[Precio por kg]]-Tabla2[[#This Row],[Costos (En RD$/Tarea)]])</f>
        <v>8389.5205026303993</v>
      </c>
      <c r="O1483" s="6">
        <f>IF(Tabla2[[#This Row],[Costos (En RD$/Tarea)]]=0,0,Tabla2[[#This Row],[Beneficio Neto  (En RD$/Tarea)]]/Tabla2[[#This Row],[Costos (En RD$/Tarea)]])</f>
        <v>1.2750797568431915</v>
      </c>
      <c r="P1483" s="4">
        <f>Tabla2[[#This Row],[Rentabilidad (%)]]/12</f>
        <v>0.10625664640359929</v>
      </c>
    </row>
    <row r="1484" spans="1:16" x14ac:dyDescent="0.35">
      <c r="A1484" s="1">
        <v>40269</v>
      </c>
      <c r="B1484" t="s">
        <v>25</v>
      </c>
      <c r="C1484" s="2">
        <v>28921</v>
      </c>
      <c r="D1484" s="5" t="s">
        <v>17</v>
      </c>
      <c r="E1484" s="2">
        <f>IF(Tabla2[[#This Row],[Frecuencia]]="Annual", Tabla2[[#This Row],[Cosecha/Tarea]]/12,Tabla2[[#This Row],[Cosecha/Tarea]])</f>
        <v>28921</v>
      </c>
      <c r="F1484" s="2">
        <v>305406</v>
      </c>
      <c r="G1484" t="s">
        <v>18</v>
      </c>
      <c r="H1484">
        <f>F1484/Tabla2[[#This Row],[Cosecha Mensual]]</f>
        <v>10.56000829846824</v>
      </c>
      <c r="I1484">
        <f>H1484*_xlfn.XLOOKUP(Tabla2[[#This Row],[Unidad de producción]],Tabla3[Medida],Tabla3[Equivalencia en Kg],"ELVIS",0)</f>
        <v>479.00197641851935</v>
      </c>
      <c r="J1484">
        <v>288.495833333333</v>
      </c>
      <c r="K1484" t="s">
        <v>18</v>
      </c>
      <c r="L1484">
        <f>J1484/_xlfn.XLOOKUP(Tabla2[[#This Row],[Unidad de precio]],Tabla3[Medida],Tabla3[Equivalencia en Kg],"ELVIS",0)</f>
        <v>6.3601374191651896</v>
      </c>
      <c r="M1484">
        <v>3734.0064399798498</v>
      </c>
      <c r="N1484" s="2">
        <f>(Tabla2[[#This Row],[Productividad (kg/TAS)]]*Tabla2[[#This Row],[Precio por kg]]-Tabla2[[#This Row],[Costos (En RD$/Tarea)]])</f>
        <v>-687.48804590634336</v>
      </c>
      <c r="O1484" s="6">
        <f>IF(Tabla2[[#This Row],[Costos (En RD$/Tarea)]]=0,0,Tabla2[[#This Row],[Beneficio Neto  (En RD$/Tarea)]]/Tabla2[[#This Row],[Costos (En RD$/Tarea)]])</f>
        <v>-0.18411538837893737</v>
      </c>
      <c r="P1484" s="4">
        <f>Tabla2[[#This Row],[Rentabilidad (%)]]/12</f>
        <v>-1.5342949031578115E-2</v>
      </c>
    </row>
    <row r="1485" spans="1:16" x14ac:dyDescent="0.35">
      <c r="A1485" s="1">
        <v>40269</v>
      </c>
      <c r="B1485" t="s">
        <v>26</v>
      </c>
      <c r="C1485" s="2">
        <v>16105</v>
      </c>
      <c r="D1485" s="5" t="s">
        <v>17</v>
      </c>
      <c r="E1485" s="2">
        <f>IF(Tabla2[[#This Row],[Frecuencia]]="Annual", Tabla2[[#This Row],[Cosecha/Tarea]]/12,Tabla2[[#This Row],[Cosecha/Tarea]])</f>
        <v>16105</v>
      </c>
      <c r="F1485" s="2">
        <v>142334</v>
      </c>
      <c r="G1485" t="s">
        <v>18</v>
      </c>
      <c r="H1485">
        <f>F1485/Tabla2[[#This Row],[Cosecha Mensual]]</f>
        <v>8.8378764358894752</v>
      </c>
      <c r="I1485">
        <f>H1485*_xlfn.XLOOKUP(Tabla2[[#This Row],[Unidad de producción]],Tabla3[Medida],Tabla3[Equivalencia en Kg],"ELVIS",0)</f>
        <v>400.8860751319466</v>
      </c>
      <c r="J1485">
        <v>605.54861111111097</v>
      </c>
      <c r="K1485" t="s">
        <v>18</v>
      </c>
      <c r="L1485">
        <f>J1485/_xlfn.XLOOKUP(Tabla2[[#This Row],[Unidad de precio]],Tabla3[Medida],Tabla3[Equivalencia en Kg],"ELVIS",0)</f>
        <v>13.34983710562414</v>
      </c>
      <c r="M1485">
        <v>1771.21219288463</v>
      </c>
      <c r="N1485" s="2">
        <f>(Tabla2[[#This Row],[Productividad (kg/TAS)]]*Tabla2[[#This Row],[Precio por kg]]-Tabla2[[#This Row],[Costos (En RD$/Tarea)]])</f>
        <v>3580.5516080398575</v>
      </c>
      <c r="O1485" s="6">
        <f>IF(Tabla2[[#This Row],[Costos (En RD$/Tarea)]]=0,0,Tabla2[[#This Row],[Beneficio Neto  (En RD$/Tarea)]]/Tabla2[[#This Row],[Costos (En RD$/Tarea)]])</f>
        <v>2.0215260613176462</v>
      </c>
      <c r="P1485" s="4">
        <f>Tabla2[[#This Row],[Rentabilidad (%)]]/12</f>
        <v>0.16846050510980384</v>
      </c>
    </row>
    <row r="1486" spans="1:16" x14ac:dyDescent="0.35">
      <c r="A1486" s="1">
        <v>40269</v>
      </c>
      <c r="B1486" t="s">
        <v>27</v>
      </c>
      <c r="C1486" s="2">
        <v>7000</v>
      </c>
      <c r="D1486" s="5" t="s">
        <v>17</v>
      </c>
      <c r="E1486" s="2">
        <f>IF(Tabla2[[#This Row],[Frecuencia]]="Annual", Tabla2[[#This Row],[Cosecha/Tarea]]/12,Tabla2[[#This Row],[Cosecha/Tarea]])</f>
        <v>7000</v>
      </c>
      <c r="F1486" s="2">
        <v>76500</v>
      </c>
      <c r="G1486" t="s">
        <v>18</v>
      </c>
      <c r="H1486">
        <f>F1486/Tabla2[[#This Row],[Cosecha Mensual]]</f>
        <v>10.928571428571429</v>
      </c>
      <c r="I1486">
        <f>H1486*_xlfn.XLOOKUP(Tabla2[[#This Row],[Unidad de producción]],Tabla3[Medida],Tabla3[Equivalencia en Kg],"ELVIS",0)</f>
        <v>495.72</v>
      </c>
      <c r="J1486">
        <v>275.02444444444399</v>
      </c>
      <c r="K1486" t="s">
        <v>18</v>
      </c>
      <c r="L1486">
        <f>J1486/_xlfn.XLOOKUP(Tabla2[[#This Row],[Unidad de precio]],Tabla3[Medida],Tabla3[Equivalencia en Kg],"ELVIS",0)</f>
        <v>6.0631491279639329</v>
      </c>
      <c r="M1486">
        <v>6142.3910746455704</v>
      </c>
      <c r="N1486" s="2">
        <f>(Tabla2[[#This Row],[Productividad (kg/TAS)]]*Tabla2[[#This Row],[Precio por kg]]-Tabla2[[#This Row],[Costos (En RD$/Tarea)]])</f>
        <v>-3136.7667889312893</v>
      </c>
      <c r="O1486" s="6">
        <f>IF(Tabla2[[#This Row],[Costos (En RD$/Tarea)]]=0,0,Tabla2[[#This Row],[Beneficio Neto  (En RD$/Tarea)]]/Tabla2[[#This Row],[Costos (En RD$/Tarea)]])</f>
        <v>-0.51067519974089048</v>
      </c>
      <c r="P1486" s="4">
        <f>Tabla2[[#This Row],[Rentabilidad (%)]]/12</f>
        <v>-4.2556266645074205E-2</v>
      </c>
    </row>
    <row r="1487" spans="1:16" x14ac:dyDescent="0.35">
      <c r="A1487" s="1">
        <v>40269</v>
      </c>
      <c r="B1487" t="s">
        <v>28</v>
      </c>
      <c r="C1487" s="2">
        <v>1376</v>
      </c>
      <c r="D1487" s="5" t="s">
        <v>17</v>
      </c>
      <c r="E1487" s="2">
        <f>IF(Tabla2[[#This Row],[Frecuencia]]="Annual", Tabla2[[#This Row],[Cosecha/Tarea]]/12,Tabla2[[#This Row],[Cosecha/Tarea]])</f>
        <v>1376</v>
      </c>
      <c r="F1487" s="2">
        <v>972</v>
      </c>
      <c r="G1487" t="s">
        <v>29</v>
      </c>
      <c r="H1487">
        <f>F1487/Tabla2[[#This Row],[Cosecha Mensual]]</f>
        <v>0.70639534883720934</v>
      </c>
      <c r="I1487">
        <f>H1487*_xlfn.XLOOKUP(Tabla2[[#This Row],[Unidad de producción]],Tabla3[Medida],Tabla3[Equivalencia en Kg],"ELVIS",0)</f>
        <v>397.23436046511631</v>
      </c>
      <c r="J1487">
        <v>7215.3</v>
      </c>
      <c r="K1487" t="s">
        <v>29</v>
      </c>
      <c r="L1487">
        <f>J1487/_xlfn.XLOOKUP(Tabla2[[#This Row],[Unidad de precio]],Tabla3[Medida],Tabla3[Equivalencia en Kg],"ELVIS",0)</f>
        <v>12.830849663904399</v>
      </c>
      <c r="M1487">
        <v>6158.1190308947398</v>
      </c>
      <c r="N1487" s="2">
        <f>(Tabla2[[#This Row],[Productividad (kg/TAS)]]*Tabla2[[#This Row],[Precio por kg]]-Tabla2[[#This Row],[Costos (En RD$/Tarea)]])</f>
        <v>-1061.264670429623</v>
      </c>
      <c r="O1487" s="6">
        <f>IF(Tabla2[[#This Row],[Costos (En RD$/Tarea)]]=0,0,Tabla2[[#This Row],[Beneficio Neto  (En RD$/Tarea)]]/Tabla2[[#This Row],[Costos (En RD$/Tarea)]])</f>
        <v>-0.1723358488371777</v>
      </c>
      <c r="P1487" s="4">
        <f>Tabla2[[#This Row],[Rentabilidad (%)]]/12</f>
        <v>-1.4361320736431475E-2</v>
      </c>
    </row>
    <row r="1488" spans="1:16" x14ac:dyDescent="0.35">
      <c r="A1488" s="1">
        <v>40269</v>
      </c>
      <c r="B1488" t="s">
        <v>30</v>
      </c>
      <c r="C1488" s="2">
        <v>298359</v>
      </c>
      <c r="D1488" s="2" t="s">
        <v>31</v>
      </c>
      <c r="E1488" s="2">
        <f>IF(Tabla2[[#This Row],[Frecuencia]]="Annual", Tabla2[[#This Row],[Cosecha/Tarea]]/12,Tabla2[[#This Row],[Cosecha/Tarea]])</f>
        <v>24863.25</v>
      </c>
      <c r="F1488" s="2">
        <v>2088513</v>
      </c>
      <c r="G1488" t="s">
        <v>32</v>
      </c>
      <c r="H1488">
        <f>F1488/Tabla2[[#This Row],[Cosecha Mensual]]</f>
        <v>84</v>
      </c>
      <c r="I1488">
        <f>H1488*_xlfn.XLOOKUP(Tabla2[[#This Row],[Unidad de producción]],Tabla3[Medida],Tabla3[Equivalencia en Kg],"ELVIS",0)</f>
        <v>2285.64</v>
      </c>
      <c r="J1488">
        <v>117.54916666666701</v>
      </c>
      <c r="K1488" t="s">
        <v>32</v>
      </c>
      <c r="L1488">
        <f>J1488/_xlfn.XLOOKUP(Tabla2[[#This Row],[Unidad de precio]],Tabla3[Medida],Tabla3[Equivalencia en Kg],"ELVIS",0)</f>
        <v>4.3200722773490261</v>
      </c>
      <c r="M1488" s="2">
        <v>10497.9114219602</v>
      </c>
      <c r="N1488" s="2">
        <f>(Tabla2[[#This Row],[Productividad (kg/TAS)]]*Tabla2[[#This Row],[Precio por kg]]-Tabla2[[#This Row],[Costos (En RD$/Tarea)]])</f>
        <v>-623.78142196017143</v>
      </c>
      <c r="O1488" s="6">
        <f>IF(Tabla2[[#This Row],[Costos (En RD$/Tarea)]]=0,0,Tabla2[[#This Row],[Beneficio Neto  (En RD$/Tarea)]]/Tabla2[[#This Row],[Costos (En RD$/Tarea)]])</f>
        <v>-5.941957375019432E-2</v>
      </c>
      <c r="P1488" s="4">
        <f>Tabla2[[#This Row],[Rentabilidad (%)]]/12</f>
        <v>-4.9516311458495266E-3</v>
      </c>
    </row>
    <row r="1489" spans="1:16" x14ac:dyDescent="0.35">
      <c r="A1489" s="1">
        <v>40269</v>
      </c>
      <c r="B1489" t="s">
        <v>33</v>
      </c>
      <c r="C1489" s="2">
        <v>606326</v>
      </c>
      <c r="D1489" s="2" t="s">
        <v>31</v>
      </c>
      <c r="E1489" s="2">
        <f>IF(Tabla2[[#This Row],[Frecuencia]]="Annual", Tabla2[[#This Row],[Cosecha/Tarea]]/12,Tabla2[[#This Row],[Cosecha/Tarea]])</f>
        <v>50527.166666666664</v>
      </c>
      <c r="F1489" s="2">
        <v>113589</v>
      </c>
      <c r="G1489" t="s">
        <v>34</v>
      </c>
      <c r="H1489">
        <f>F1489/Tabla2[[#This Row],[Cosecha Mensual]]</f>
        <v>2.2480777667459422</v>
      </c>
      <c r="I1489">
        <f>H1489*_xlfn.XLOOKUP(Tabla2[[#This Row],[Unidad de producción]],Tabla3[Medida],Tabla3[Equivalencia en Kg],"ELVIS",0)</f>
        <v>917.5529404973563</v>
      </c>
      <c r="J1489">
        <v>3779.5892857142899</v>
      </c>
      <c r="K1489" t="s">
        <v>34</v>
      </c>
      <c r="L1489">
        <f>J1489/_xlfn.XLOOKUP(Tabla2[[#This Row],[Unidad de precio]],Tabla3[Medida],Tabla3[Equivalencia en Kg],"ELVIS",0)</f>
        <v>9.2602947095780728</v>
      </c>
      <c r="M1489" s="2">
        <v>9292.9734969082201</v>
      </c>
      <c r="N1489" s="2">
        <f>(Tabla2[[#This Row],[Productividad (kg/TAS)]]*Tabla2[[#This Row],[Precio por kg]]-Tabla2[[#This Row],[Costos (En RD$/Tarea)]])</f>
        <v>-796.16285626274657</v>
      </c>
      <c r="O1489" s="6">
        <f>IF(Tabla2[[#This Row],[Costos (En RD$/Tarea)]]=0,0,Tabla2[[#This Row],[Beneficio Neto  (En RD$/Tarea)]]/Tabla2[[#This Row],[Costos (En RD$/Tarea)]])</f>
        <v>-8.5673638962559251E-2</v>
      </c>
      <c r="P1489" s="4">
        <f>Tabla2[[#This Row],[Rentabilidad (%)]]/12</f>
        <v>-7.1394699135466045E-3</v>
      </c>
    </row>
    <row r="1490" spans="1:16" x14ac:dyDescent="0.35">
      <c r="A1490" s="1">
        <v>40299</v>
      </c>
      <c r="B1490" t="s">
        <v>16</v>
      </c>
      <c r="C1490" s="2">
        <v>288786</v>
      </c>
      <c r="D1490" s="5" t="s">
        <v>17</v>
      </c>
      <c r="E1490" s="2">
        <f>IF(Tabla2[[#This Row],[Frecuencia]]="Annual", Tabla2[[#This Row],[Cosecha/Tarea]]/12,Tabla2[[#This Row],[Cosecha/Tarea]])</f>
        <v>288786</v>
      </c>
      <c r="F1490" s="2">
        <v>1383253</v>
      </c>
      <c r="G1490" t="s">
        <v>18</v>
      </c>
      <c r="H1490">
        <f>F1490/Tabla2[[#This Row],[Cosecha Mensual]]</f>
        <v>4.7898893990705922</v>
      </c>
      <c r="I1490">
        <f>H1490*_xlfn.XLOOKUP(Tabla2[[#This Row],[Unidad de producción]],Tabla3[Medida],Tabla3[Equivalencia en Kg],"ELVIS",0)</f>
        <v>217.26938314184207</v>
      </c>
      <c r="J1490">
        <v>1843.45722222222</v>
      </c>
      <c r="K1490" t="s">
        <v>19</v>
      </c>
      <c r="L1490">
        <f>J1490/_xlfn.XLOOKUP(Tabla2[[#This Row],[Unidad de precio]],Tabla3[Medida],Tabla3[Equivalencia en Kg],"ELVIS",0)</f>
        <v>16.758702020202001</v>
      </c>
      <c r="M1490">
        <v>7449.8087382093299</v>
      </c>
      <c r="N1490" s="2">
        <f>(Tabla2[[#This Row],[Productividad (kg/TAS)]]*Tabla2[[#This Row],[Precio por kg]]-Tabla2[[#This Row],[Costos (En RD$/Tarea)]])</f>
        <v>-3808.6558880220987</v>
      </c>
      <c r="O1490" s="6">
        <f>IF(Tabla2[[#This Row],[Costos (En RD$/Tarea)]]=0,0,Tabla2[[#This Row],[Beneficio Neto  (En RD$/Tarea)]]/Tabla2[[#This Row],[Costos (En RD$/Tarea)]])</f>
        <v>-0.51124210323519859</v>
      </c>
      <c r="P1490" s="4">
        <f>Tabla2[[#This Row],[Rentabilidad (%)]]/12</f>
        <v>-4.2603508602933216E-2</v>
      </c>
    </row>
    <row r="1491" spans="1:16" x14ac:dyDescent="0.35">
      <c r="A1491" s="1">
        <v>40299</v>
      </c>
      <c r="B1491" t="s">
        <v>20</v>
      </c>
      <c r="C1491" s="2">
        <v>23500</v>
      </c>
      <c r="D1491" s="5" t="s">
        <v>17</v>
      </c>
      <c r="E1491" s="2">
        <f>IF(Tabla2[[#This Row],[Frecuencia]]="Annual", Tabla2[[#This Row],[Cosecha/Tarea]]/12,Tabla2[[#This Row],[Cosecha/Tarea]])</f>
        <v>23500</v>
      </c>
      <c r="F1491" s="2">
        <v>69328</v>
      </c>
      <c r="G1491" t="s">
        <v>18</v>
      </c>
      <c r="H1491">
        <f>F1491/Tabla2[[#This Row],[Cosecha Mensual]]</f>
        <v>2.9501276595744681</v>
      </c>
      <c r="I1491">
        <f>H1491*_xlfn.XLOOKUP(Tabla2[[#This Row],[Unidad de producción]],Tabla3[Medida],Tabla3[Equivalencia en Kg],"ELVIS",0)</f>
        <v>133.81779063829788</v>
      </c>
      <c r="J1491">
        <v>610.13095238095195</v>
      </c>
      <c r="K1491" t="s">
        <v>18</v>
      </c>
      <c r="L1491">
        <f>J1491/_xlfn.XLOOKUP(Tabla2[[#This Row],[Unidad de precio]],Tabla3[Medida],Tabla3[Equivalencia en Kg],"ELVIS",0)</f>
        <v>13.450858738557143</v>
      </c>
      <c r="M1491">
        <v>2162.02023182316</v>
      </c>
      <c r="N1491" s="2">
        <f>(Tabla2[[#This Row],[Productividad (kg/TAS)]]*Tabla2[[#This Row],[Precio por kg]]-Tabla2[[#This Row],[Costos (En RD$/Tarea)]])</f>
        <v>-362.05603324160074</v>
      </c>
      <c r="O1491" s="6">
        <f>IF(Tabla2[[#This Row],[Costos (En RD$/Tarea)]]=0,0,Tabla2[[#This Row],[Beneficio Neto  (En RD$/Tarea)]]/Tabla2[[#This Row],[Costos (En RD$/Tarea)]])</f>
        <v>-0.16746190803972769</v>
      </c>
      <c r="P1491" s="4">
        <f>Tabla2[[#This Row],[Rentabilidad (%)]]/12</f>
        <v>-1.395515900331064E-2</v>
      </c>
    </row>
    <row r="1492" spans="1:16" x14ac:dyDescent="0.35">
      <c r="A1492" s="1">
        <v>40299</v>
      </c>
      <c r="B1492" t="s">
        <v>21</v>
      </c>
      <c r="C1492" s="2">
        <v>7756</v>
      </c>
      <c r="D1492" s="5" t="s">
        <v>17</v>
      </c>
      <c r="E1492" s="2">
        <f>IF(Tabla2[[#This Row],[Frecuencia]]="Annual", Tabla2[[#This Row],[Cosecha/Tarea]]/12,Tabla2[[#This Row],[Cosecha/Tarea]])</f>
        <v>7756</v>
      </c>
      <c r="F1492" s="2">
        <v>92556</v>
      </c>
      <c r="G1492" t="s">
        <v>18</v>
      </c>
      <c r="H1492">
        <f>F1492/Tabla2[[#This Row],[Cosecha Mensual]]</f>
        <v>11.933470861268695</v>
      </c>
      <c r="I1492">
        <f>H1492*_xlfn.XLOOKUP(Tabla2[[#This Row],[Unidad de producción]],Tabla3[Medida],Tabla3[Equivalencia en Kg],"ELVIS",0)</f>
        <v>541.30223826714803</v>
      </c>
      <c r="J1492">
        <v>410.544642857143</v>
      </c>
      <c r="K1492" t="s">
        <v>18</v>
      </c>
      <c r="L1492">
        <f>J1492/_xlfn.XLOOKUP(Tabla2[[#This Row],[Unidad de precio]],Tabla3[Medida],Tabla3[Equivalencia en Kg],"ELVIS",0)</f>
        <v>9.0508078231292544</v>
      </c>
      <c r="M1492">
        <v>4521.4268874999998</v>
      </c>
      <c r="N1492" s="2">
        <f>(Tabla2[[#This Row],[Productividad (kg/TAS)]]*Tabla2[[#This Row],[Precio por kg]]-Tabla2[[#This Row],[Costos (En RD$/Tarea)]])</f>
        <v>377.7956452856788</v>
      </c>
      <c r="O1492" s="6">
        <f>IF(Tabla2[[#This Row],[Costos (En RD$/Tarea)]]=0,0,Tabla2[[#This Row],[Beneficio Neto  (En RD$/Tarea)]]/Tabla2[[#This Row],[Costos (En RD$/Tarea)]])</f>
        <v>8.3556729918632083E-2</v>
      </c>
      <c r="P1492" s="4">
        <f>Tabla2[[#This Row],[Rentabilidad (%)]]/12</f>
        <v>6.9630608265526736E-3</v>
      </c>
    </row>
    <row r="1493" spans="1:16" x14ac:dyDescent="0.35">
      <c r="A1493" s="1">
        <v>40299</v>
      </c>
      <c r="B1493" t="s">
        <v>22</v>
      </c>
      <c r="C1493" s="2">
        <v>6112</v>
      </c>
      <c r="D1493" s="5" t="s">
        <v>17</v>
      </c>
      <c r="E1493" s="2">
        <f>IF(Tabla2[[#This Row],[Frecuencia]]="Annual", Tabla2[[#This Row],[Cosecha/Tarea]]/12,Tabla2[[#This Row],[Cosecha/Tarea]])</f>
        <v>6112</v>
      </c>
      <c r="F1493" s="2">
        <v>66620</v>
      </c>
      <c r="G1493" t="s">
        <v>18</v>
      </c>
      <c r="H1493">
        <f>F1493/Tabla2[[#This Row],[Cosecha Mensual]]</f>
        <v>10.899869109947645</v>
      </c>
      <c r="I1493">
        <f>H1493*_xlfn.XLOOKUP(Tabla2[[#This Row],[Unidad de producción]],Tabla3[Medida],Tabla3[Equivalencia en Kg],"ELVIS",0)</f>
        <v>494.41806282722513</v>
      </c>
      <c r="J1493">
        <v>1050.90458333333</v>
      </c>
      <c r="K1493" t="s">
        <v>18</v>
      </c>
      <c r="L1493">
        <f>J1493/_xlfn.XLOOKUP(Tabla2[[#This Row],[Unidad de precio]],Tabla3[Medida],Tabla3[Equivalencia en Kg],"ELVIS",0)</f>
        <v>23.168090461493168</v>
      </c>
      <c r="M1493">
        <v>7599.7694060736003</v>
      </c>
      <c r="N1493" s="2">
        <f>(Tabla2[[#This Row],[Productividad (kg/TAS)]]*Tabla2[[#This Row],[Precio por kg]]-Tabla2[[#This Row],[Costos (En RD$/Tarea)]])</f>
        <v>3854.952999303764</v>
      </c>
      <c r="O1493" s="6">
        <f>IF(Tabla2[[#This Row],[Costos (En RD$/Tarea)]]=0,0,Tabla2[[#This Row],[Beneficio Neto  (En RD$/Tarea)]]/Tabla2[[#This Row],[Costos (En RD$/Tarea)]])</f>
        <v>0.50724604831074926</v>
      </c>
      <c r="P1493" s="4">
        <f>Tabla2[[#This Row],[Rentabilidad (%)]]/12</f>
        <v>4.2270504025895772E-2</v>
      </c>
    </row>
    <row r="1494" spans="1:16" x14ac:dyDescent="0.35">
      <c r="A1494" s="1">
        <v>40299</v>
      </c>
      <c r="B1494" t="s">
        <v>23</v>
      </c>
      <c r="C1494" s="2">
        <v>2795</v>
      </c>
      <c r="D1494" s="5" t="s">
        <v>17</v>
      </c>
      <c r="E1494" s="2">
        <f>IF(Tabla2[[#This Row],[Frecuencia]]="Annual", Tabla2[[#This Row],[Cosecha/Tarea]]/12,Tabla2[[#This Row],[Cosecha/Tarea]])</f>
        <v>2795</v>
      </c>
      <c r="F1494" s="2">
        <v>73536</v>
      </c>
      <c r="G1494" t="s">
        <v>18</v>
      </c>
      <c r="H1494">
        <f>F1494/Tabla2[[#This Row],[Cosecha Mensual]]</f>
        <v>26.309838998211092</v>
      </c>
      <c r="I1494">
        <f>H1494*_xlfn.XLOOKUP(Tabla2[[#This Row],[Unidad de producción]],Tabla3[Medida],Tabla3[Equivalencia en Kg],"ELVIS",0)</f>
        <v>1193.4142969588552</v>
      </c>
      <c r="J1494">
        <v>737.5</v>
      </c>
      <c r="K1494" t="s">
        <v>18</v>
      </c>
      <c r="L1494">
        <f>J1494/_xlfn.XLOOKUP(Tabla2[[#This Row],[Unidad de precio]],Tabla3[Medida],Tabla3[Equivalencia en Kg],"ELVIS",0)</f>
        <v>16.258818342151677</v>
      </c>
      <c r="M1494">
        <v>20327.21</v>
      </c>
      <c r="N1494" s="2">
        <f>(Tabla2[[#This Row],[Productividad (kg/TAS)]]*Tabla2[[#This Row],[Precio por kg]]-Tabla2[[#This Row],[Costos (En RD$/Tarea)]])</f>
        <v>-923.70373881931664</v>
      </c>
      <c r="O1494" s="6">
        <f>IF(Tabla2[[#This Row],[Costos (En RD$/Tarea)]]=0,0,Tabla2[[#This Row],[Beneficio Neto  (En RD$/Tarea)]]/Tabla2[[#This Row],[Costos (En RD$/Tarea)]])</f>
        <v>-4.5441737396293772E-2</v>
      </c>
      <c r="P1494" s="4">
        <f>Tabla2[[#This Row],[Rentabilidad (%)]]/12</f>
        <v>-3.7868114496911478E-3</v>
      </c>
    </row>
    <row r="1495" spans="1:16" x14ac:dyDescent="0.35">
      <c r="A1495" s="1">
        <v>40299</v>
      </c>
      <c r="B1495" t="s">
        <v>24</v>
      </c>
      <c r="C1495" s="2">
        <v>5041</v>
      </c>
      <c r="D1495" s="5" t="s">
        <v>17</v>
      </c>
      <c r="E1495" s="2">
        <f>IF(Tabla2[[#This Row],[Frecuencia]]="Annual", Tabla2[[#This Row],[Cosecha/Tarea]]/12,Tabla2[[#This Row],[Cosecha/Tarea]])</f>
        <v>5041</v>
      </c>
      <c r="F1495" s="2">
        <v>47950</v>
      </c>
      <c r="G1495" t="s">
        <v>18</v>
      </c>
      <c r="H1495">
        <f>F1495/Tabla2[[#This Row],[Cosecha Mensual]]</f>
        <v>9.5120015869867096</v>
      </c>
      <c r="I1495">
        <f>H1495*_xlfn.XLOOKUP(Tabla2[[#This Row],[Unidad de producción]],Tabla3[Medida],Tabla3[Equivalencia en Kg],"ELVIS",0)</f>
        <v>431.46439198571716</v>
      </c>
      <c r="J1495">
        <v>1177.125</v>
      </c>
      <c r="K1495" t="s">
        <v>18</v>
      </c>
      <c r="L1495">
        <f>J1495/_xlfn.XLOOKUP(Tabla2[[#This Row],[Unidad de precio]],Tabla3[Medida],Tabla3[Equivalencia en Kg],"ELVIS",0)</f>
        <v>25.950727513227513</v>
      </c>
      <c r="M1495">
        <v>6579.6044973695998</v>
      </c>
      <c r="N1495" s="2">
        <f>(Tabla2[[#This Row],[Productividad (kg/TAS)]]*Tabla2[[#This Row],[Precio por kg]]-Tabla2[[#This Row],[Costos (En RD$/Tarea)]])</f>
        <v>4617.2103707121305</v>
      </c>
      <c r="O1495" s="6">
        <f>IF(Tabla2[[#This Row],[Costos (En RD$/Tarea)]]=0,0,Tabla2[[#This Row],[Beneficio Neto  (En RD$/Tarea)]]/Tabla2[[#This Row],[Costos (En RD$/Tarea)]])</f>
        <v>0.7017458834429946</v>
      </c>
      <c r="P1495" s="4">
        <f>Tabla2[[#This Row],[Rentabilidad (%)]]/12</f>
        <v>5.8478823620249552E-2</v>
      </c>
    </row>
    <row r="1496" spans="1:16" x14ac:dyDescent="0.35">
      <c r="A1496" s="1">
        <v>40299</v>
      </c>
      <c r="B1496" t="s">
        <v>25</v>
      </c>
      <c r="C1496" s="2">
        <v>30226</v>
      </c>
      <c r="D1496" s="5" t="s">
        <v>17</v>
      </c>
      <c r="E1496" s="2">
        <f>IF(Tabla2[[#This Row],[Frecuencia]]="Annual", Tabla2[[#This Row],[Cosecha/Tarea]]/12,Tabla2[[#This Row],[Cosecha/Tarea]])</f>
        <v>30226</v>
      </c>
      <c r="F1496" s="2">
        <v>468564</v>
      </c>
      <c r="G1496" t="s">
        <v>18</v>
      </c>
      <c r="H1496">
        <f>F1496/Tabla2[[#This Row],[Cosecha Mensual]]</f>
        <v>15.502018130086681</v>
      </c>
      <c r="I1496">
        <f>H1496*_xlfn.XLOOKUP(Tabla2[[#This Row],[Unidad de producción]],Tabla3[Medida],Tabla3[Equivalencia en Kg],"ELVIS",0)</f>
        <v>703.17154238073181</v>
      </c>
      <c r="J1496">
        <v>274.735178571429</v>
      </c>
      <c r="K1496" t="s">
        <v>18</v>
      </c>
      <c r="L1496">
        <f>J1496/_xlfn.XLOOKUP(Tabla2[[#This Row],[Unidad de precio]],Tabla3[Medida],Tabla3[Equivalencia en Kg],"ELVIS",0)</f>
        <v>6.05677201436131</v>
      </c>
      <c r="M1496">
        <v>3734.0064399798498</v>
      </c>
      <c r="N1496" s="2">
        <f>(Tabla2[[#This Row],[Productividad (kg/TAS)]]*Tabla2[[#This Row],[Precio por kg]]-Tabla2[[#This Row],[Costos (En RD$/Tarea)]])</f>
        <v>524.94327920704427</v>
      </c>
      <c r="O1496" s="6">
        <f>IF(Tabla2[[#This Row],[Costos (En RD$/Tarea)]]=0,0,Tabla2[[#This Row],[Beneficio Neto  (En RD$/Tarea)]]/Tabla2[[#This Row],[Costos (En RD$/Tarea)]])</f>
        <v>0.14058446005515648</v>
      </c>
      <c r="P1496" s="4">
        <f>Tabla2[[#This Row],[Rentabilidad (%)]]/12</f>
        <v>1.171537167126304E-2</v>
      </c>
    </row>
    <row r="1497" spans="1:16" x14ac:dyDescent="0.35">
      <c r="A1497" s="1">
        <v>40299</v>
      </c>
      <c r="B1497" t="s">
        <v>26</v>
      </c>
      <c r="C1497" s="2">
        <v>12180</v>
      </c>
      <c r="D1497" s="5" t="s">
        <v>17</v>
      </c>
      <c r="E1497" s="2">
        <f>IF(Tabla2[[#This Row],[Frecuencia]]="Annual", Tabla2[[#This Row],[Cosecha/Tarea]]/12,Tabla2[[#This Row],[Cosecha/Tarea]])</f>
        <v>12180</v>
      </c>
      <c r="F1497" s="2">
        <v>75974</v>
      </c>
      <c r="G1497" t="s">
        <v>18</v>
      </c>
      <c r="H1497">
        <f>F1497/Tabla2[[#This Row],[Cosecha Mensual]]</f>
        <v>6.2376026272577993</v>
      </c>
      <c r="I1497">
        <f>H1497*_xlfn.XLOOKUP(Tabla2[[#This Row],[Unidad de producción]],Tabla3[Medida],Tabla3[Equivalencia en Kg],"ELVIS",0)</f>
        <v>282.93765517241377</v>
      </c>
      <c r="J1497">
        <v>656.42361111111097</v>
      </c>
      <c r="K1497" t="s">
        <v>18</v>
      </c>
      <c r="L1497">
        <f>J1497/_xlfn.XLOOKUP(Tabla2[[#This Row],[Unidad de precio]],Tabla3[Medida],Tabla3[Equivalencia en Kg],"ELVIS",0)</f>
        <v>14.471419998040366</v>
      </c>
      <c r="M1497">
        <v>1771.21219288463</v>
      </c>
      <c r="N1497" s="2">
        <f>(Tabla2[[#This Row],[Productividad (kg/TAS)]]*Tabla2[[#This Row],[Precio por kg]]-Tabla2[[#This Row],[Costos (En RD$/Tarea)]])</f>
        <v>2323.2974483760877</v>
      </c>
      <c r="O1497" s="6">
        <f>IF(Tabla2[[#This Row],[Costos (En RD$/Tarea)]]=0,0,Tabla2[[#This Row],[Beneficio Neto  (En RD$/Tarea)]]/Tabla2[[#This Row],[Costos (En RD$/Tarea)]])</f>
        <v>1.311699105115306</v>
      </c>
      <c r="P1497" s="4">
        <f>Tabla2[[#This Row],[Rentabilidad (%)]]/12</f>
        <v>0.10930825875960883</v>
      </c>
    </row>
    <row r="1498" spans="1:16" x14ac:dyDescent="0.35">
      <c r="A1498" s="1">
        <v>40299</v>
      </c>
      <c r="B1498" t="s">
        <v>27</v>
      </c>
      <c r="C1498" s="2">
        <v>6840</v>
      </c>
      <c r="D1498" s="5" t="s">
        <v>17</v>
      </c>
      <c r="E1498" s="2">
        <f>IF(Tabla2[[#This Row],[Frecuencia]]="Annual", Tabla2[[#This Row],[Cosecha/Tarea]]/12,Tabla2[[#This Row],[Cosecha/Tarea]])</f>
        <v>6840</v>
      </c>
      <c r="F1498" s="2">
        <v>53352</v>
      </c>
      <c r="G1498" t="s">
        <v>18</v>
      </c>
      <c r="H1498">
        <f>F1498/Tabla2[[#This Row],[Cosecha Mensual]]</f>
        <v>7.8</v>
      </c>
      <c r="I1498">
        <f>H1498*_xlfn.XLOOKUP(Tabla2[[#This Row],[Unidad de producción]],Tabla3[Medida],Tabla3[Equivalencia en Kg],"ELVIS",0)</f>
        <v>353.80799999999999</v>
      </c>
      <c r="J1498">
        <v>344.45</v>
      </c>
      <c r="K1498" t="s">
        <v>18</v>
      </c>
      <c r="L1498">
        <f>J1498/_xlfn.XLOOKUP(Tabla2[[#This Row],[Unidad de precio]],Tabla3[Medida],Tabla3[Equivalencia en Kg],"ELVIS",0)</f>
        <v>7.5936948853615522</v>
      </c>
      <c r="M1498">
        <v>6142.3910746455704</v>
      </c>
      <c r="N1498" s="2">
        <f>(Tabla2[[#This Row],[Productividad (kg/TAS)]]*Tabla2[[#This Row],[Precio por kg]]-Tabla2[[#This Row],[Costos (En RD$/Tarea)]])</f>
        <v>-3455.6810746455703</v>
      </c>
      <c r="O1498" s="6">
        <f>IF(Tabla2[[#This Row],[Costos (En RD$/Tarea)]]=0,0,Tabla2[[#This Row],[Beneficio Neto  (En RD$/Tarea)]]/Tabla2[[#This Row],[Costos (En RD$/Tarea)]])</f>
        <v>-0.56259541807910218</v>
      </c>
      <c r="P1498" s="4">
        <f>Tabla2[[#This Row],[Rentabilidad (%)]]/12</f>
        <v>-4.6882951506591851E-2</v>
      </c>
    </row>
    <row r="1499" spans="1:16" x14ac:dyDescent="0.35">
      <c r="A1499" s="1">
        <v>40299</v>
      </c>
      <c r="B1499" t="s">
        <v>28</v>
      </c>
      <c r="C1499" s="2">
        <v>542</v>
      </c>
      <c r="D1499" s="5" t="s">
        <v>17</v>
      </c>
      <c r="E1499" s="2">
        <f>IF(Tabla2[[#This Row],[Frecuencia]]="Annual", Tabla2[[#This Row],[Cosecha/Tarea]]/12,Tabla2[[#This Row],[Cosecha/Tarea]])</f>
        <v>542</v>
      </c>
      <c r="F1499" s="2">
        <v>1605</v>
      </c>
      <c r="G1499" t="s">
        <v>29</v>
      </c>
      <c r="H1499">
        <f>F1499/Tabla2[[#This Row],[Cosecha Mensual]]</f>
        <v>2.9612546125461257</v>
      </c>
      <c r="I1499">
        <f>H1499*_xlfn.XLOOKUP(Tabla2[[#This Row],[Unidad de producción]],Tabla3[Medida],Tabla3[Equivalencia en Kg],"ELVIS",0)</f>
        <v>1665.2319188191884</v>
      </c>
      <c r="J1499">
        <v>6000</v>
      </c>
      <c r="K1499" t="s">
        <v>29</v>
      </c>
      <c r="L1499">
        <f>J1499/_xlfn.XLOOKUP(Tabla2[[#This Row],[Unidad de precio]],Tabla3[Medida],Tabla3[Equivalencia en Kg],"ELVIS",0)</f>
        <v>10.669701604011808</v>
      </c>
      <c r="M1499">
        <v>6158.1190308947398</v>
      </c>
      <c r="N1499" s="2">
        <f>(Tabla2[[#This Row],[Productividad (kg/TAS)]]*Tabla2[[#This Row],[Precio por kg]]-Tabla2[[#This Row],[Costos (En RD$/Tarea)]])</f>
        <v>11609.408644382012</v>
      </c>
      <c r="O1499" s="6">
        <f>IF(Tabla2[[#This Row],[Costos (En RD$/Tarea)]]=0,0,Tabla2[[#This Row],[Beneficio Neto  (En RD$/Tarea)]]/Tabla2[[#This Row],[Costos (En RD$/Tarea)]])</f>
        <v>1.8852199163638497</v>
      </c>
      <c r="P1499" s="4">
        <f>Tabla2[[#This Row],[Rentabilidad (%)]]/12</f>
        <v>0.15710165969698747</v>
      </c>
    </row>
    <row r="1500" spans="1:16" x14ac:dyDescent="0.35">
      <c r="A1500" s="1">
        <v>40299</v>
      </c>
      <c r="B1500" t="s">
        <v>30</v>
      </c>
      <c r="C1500" s="2">
        <v>324561</v>
      </c>
      <c r="D1500" s="2" t="s">
        <v>31</v>
      </c>
      <c r="E1500" s="2">
        <f>IF(Tabla2[[#This Row],[Frecuencia]]="Annual", Tabla2[[#This Row],[Cosecha/Tarea]]/12,Tabla2[[#This Row],[Cosecha/Tarea]])</f>
        <v>27046.75</v>
      </c>
      <c r="F1500" s="2">
        <v>2548820</v>
      </c>
      <c r="G1500" t="s">
        <v>32</v>
      </c>
      <c r="H1500">
        <f>F1500/Tabla2[[#This Row],[Cosecha Mensual]]</f>
        <v>94.237570133195305</v>
      </c>
      <c r="I1500">
        <f>H1500*_xlfn.XLOOKUP(Tabla2[[#This Row],[Unidad de producción]],Tabla3[Medida],Tabla3[Equivalencia en Kg],"ELVIS",0)</f>
        <v>2564.2042833242444</v>
      </c>
      <c r="J1500">
        <v>107.49722222222201</v>
      </c>
      <c r="K1500" t="s">
        <v>32</v>
      </c>
      <c r="L1500">
        <f>J1500/_xlfn.XLOOKUP(Tabla2[[#This Row],[Unidad de precio]],Tabla3[Medida],Tabla3[Equivalencia en Kg],"ELVIS",0)</f>
        <v>3.9506513128343257</v>
      </c>
      <c r="M1500" s="2">
        <v>10497.9114219602</v>
      </c>
      <c r="N1500" s="2">
        <f>(Tabla2[[#This Row],[Productividad (kg/TAS)]]*Tabla2[[#This Row],[Precio por kg]]-Tabla2[[#This Row],[Costos (En RD$/Tarea)]])</f>
        <v>-367.63440366987197</v>
      </c>
      <c r="O1500" s="6">
        <f>IF(Tabla2[[#This Row],[Costos (En RD$/Tarea)]]=0,0,Tabla2[[#This Row],[Beneficio Neto  (En RD$/Tarea)]]/Tabla2[[#This Row],[Costos (En RD$/Tarea)]])</f>
        <v>-3.5019766208050765E-2</v>
      </c>
      <c r="P1500" s="4">
        <f>Tabla2[[#This Row],[Rentabilidad (%)]]/12</f>
        <v>-2.9183138506708971E-3</v>
      </c>
    </row>
    <row r="1501" spans="1:16" x14ac:dyDescent="0.35">
      <c r="A1501" s="1">
        <v>40299</v>
      </c>
      <c r="B1501" t="s">
        <v>33</v>
      </c>
      <c r="C1501" s="2">
        <v>659214</v>
      </c>
      <c r="D1501" s="2" t="s">
        <v>31</v>
      </c>
      <c r="E1501" s="2">
        <f>IF(Tabla2[[#This Row],[Frecuencia]]="Annual", Tabla2[[#This Row],[Cosecha/Tarea]]/12,Tabla2[[#This Row],[Cosecha/Tarea]])</f>
        <v>54934.5</v>
      </c>
      <c r="F1501" s="2">
        <v>135450</v>
      </c>
      <c r="G1501" t="s">
        <v>34</v>
      </c>
      <c r="H1501">
        <f>F1501/Tabla2[[#This Row],[Cosecha Mensual]]</f>
        <v>2.4656636539879311</v>
      </c>
      <c r="I1501">
        <f>H1501*_xlfn.XLOOKUP(Tabla2[[#This Row],[Unidad de producción]],Tabla3[Medida],Tabla3[Equivalencia en Kg],"ELVIS",0)</f>
        <v>1006.360620375174</v>
      </c>
      <c r="J1501">
        <v>3397.5833333333298</v>
      </c>
      <c r="K1501" t="s">
        <v>34</v>
      </c>
      <c r="L1501">
        <f>J1501/_xlfn.XLOOKUP(Tabla2[[#This Row],[Unidad de precio]],Tabla3[Medida],Tabla3[Equivalencia en Kg],"ELVIS",0)</f>
        <v>8.3243497080321696</v>
      </c>
      <c r="M1501" s="2">
        <v>9292.9734969082201</v>
      </c>
      <c r="N1501" s="2">
        <f>(Tabla2[[#This Row],[Productividad (kg/TAS)]]*Tabla2[[#This Row],[Precio por kg]]-Tabla2[[#This Row],[Costos (En RD$/Tarea)]])</f>
        <v>-915.67576051306787</v>
      </c>
      <c r="O1501" s="6">
        <f>IF(Tabla2[[#This Row],[Costos (En RD$/Tarea)]]=0,0,Tabla2[[#This Row],[Beneficio Neto  (En RD$/Tarea)]]/Tabla2[[#This Row],[Costos (En RD$/Tarea)]])</f>
        <v>-9.8534205528264335E-2</v>
      </c>
      <c r="P1501" s="4">
        <f>Tabla2[[#This Row],[Rentabilidad (%)]]/12</f>
        <v>-8.2111837940220273E-3</v>
      </c>
    </row>
    <row r="1502" spans="1:16" x14ac:dyDescent="0.35">
      <c r="A1502" s="1">
        <v>40330</v>
      </c>
      <c r="B1502" t="s">
        <v>16</v>
      </c>
      <c r="C1502" s="2">
        <v>247443</v>
      </c>
      <c r="D1502" s="5" t="s">
        <v>17</v>
      </c>
      <c r="E1502" s="2">
        <f>IF(Tabla2[[#This Row],[Frecuencia]]="Annual", Tabla2[[#This Row],[Cosecha/Tarea]]/12,Tabla2[[#This Row],[Cosecha/Tarea]])</f>
        <v>247443</v>
      </c>
      <c r="F1502" s="2">
        <v>1245622</v>
      </c>
      <c r="G1502" t="s">
        <v>18</v>
      </c>
      <c r="H1502">
        <f>F1502/Tabla2[[#This Row],[Cosecha Mensual]]</f>
        <v>5.0339755014286123</v>
      </c>
      <c r="I1502">
        <f>H1502*_xlfn.XLOOKUP(Tabla2[[#This Row],[Unidad de producción]],Tabla3[Medida],Tabla3[Equivalencia en Kg],"ELVIS",0)</f>
        <v>228.34112874480186</v>
      </c>
      <c r="J1502">
        <v>1906.55714285714</v>
      </c>
      <c r="K1502" t="s">
        <v>19</v>
      </c>
      <c r="L1502">
        <f>J1502/_xlfn.XLOOKUP(Tabla2[[#This Row],[Unidad de precio]],Tabla3[Medida],Tabla3[Equivalencia en Kg],"ELVIS",0)</f>
        <v>17.332337662337636</v>
      </c>
      <c r="M1502">
        <v>7449.8087382093299</v>
      </c>
      <c r="N1502" s="2">
        <f>(Tabla2[[#This Row],[Productividad (kg/TAS)]]*Tabla2[[#This Row],[Precio por kg]]-Tabla2[[#This Row],[Costos (En RD$/Tarea)]])</f>
        <v>-3492.1231926051137</v>
      </c>
      <c r="O1502" s="6">
        <f>IF(Tabla2[[#This Row],[Costos (En RD$/Tarea)]]=0,0,Tabla2[[#This Row],[Beneficio Neto  (En RD$/Tarea)]]/Tabla2[[#This Row],[Costos (En RD$/Tarea)]])</f>
        <v>-0.46875340231143925</v>
      </c>
      <c r="P1502" s="4">
        <f>Tabla2[[#This Row],[Rentabilidad (%)]]/12</f>
        <v>-3.9062783525953271E-2</v>
      </c>
    </row>
    <row r="1503" spans="1:16" x14ac:dyDescent="0.35">
      <c r="A1503" s="1">
        <v>40330</v>
      </c>
      <c r="B1503" t="s">
        <v>20</v>
      </c>
      <c r="C1503" s="2">
        <v>17034</v>
      </c>
      <c r="D1503" s="5" t="s">
        <v>17</v>
      </c>
      <c r="E1503" s="2">
        <f>IF(Tabla2[[#This Row],[Frecuencia]]="Annual", Tabla2[[#This Row],[Cosecha/Tarea]]/12,Tabla2[[#This Row],[Cosecha/Tarea]])</f>
        <v>17034</v>
      </c>
      <c r="F1503" s="2">
        <v>80559</v>
      </c>
      <c r="G1503" t="s">
        <v>18</v>
      </c>
      <c r="H1503">
        <f>F1503/Tabla2[[#This Row],[Cosecha Mensual]]</f>
        <v>4.7293060936949631</v>
      </c>
      <c r="I1503">
        <f>H1503*_xlfn.XLOOKUP(Tabla2[[#This Row],[Unidad de producción]],Tabla3[Medida],Tabla3[Equivalencia en Kg],"ELVIS",0)</f>
        <v>214.52132441000353</v>
      </c>
      <c r="J1503">
        <v>592.04166666666697</v>
      </c>
      <c r="K1503" t="s">
        <v>18</v>
      </c>
      <c r="L1503">
        <f>J1503/_xlfn.XLOOKUP(Tabla2[[#This Row],[Unidad de precio]],Tabla3[Medida],Tabla3[Equivalencia en Kg],"ELVIS",0)</f>
        <v>13.05206496178719</v>
      </c>
      <c r="M1503">
        <v>2162.02023182316</v>
      </c>
      <c r="N1503" s="2">
        <f>(Tabla2[[#This Row],[Productividad (kg/TAS)]]*Tabla2[[#This Row],[Precio por kg]]-Tabla2[[#This Row],[Costos (En RD$/Tarea)]])</f>
        <v>637.92603006483023</v>
      </c>
      <c r="O1503" s="6">
        <f>IF(Tabla2[[#This Row],[Costos (En RD$/Tarea)]]=0,0,Tabla2[[#This Row],[Beneficio Neto  (En RD$/Tarea)]]/Tabla2[[#This Row],[Costos (En RD$/Tarea)]])</f>
        <v>0.29506015747451558</v>
      </c>
      <c r="P1503" s="4">
        <f>Tabla2[[#This Row],[Rentabilidad (%)]]/12</f>
        <v>2.4588346456209633E-2</v>
      </c>
    </row>
    <row r="1504" spans="1:16" x14ac:dyDescent="0.35">
      <c r="A1504" s="1">
        <v>40330</v>
      </c>
      <c r="B1504" t="s">
        <v>21</v>
      </c>
      <c r="C1504" s="2">
        <v>13159</v>
      </c>
      <c r="D1504" s="5" t="s">
        <v>17</v>
      </c>
      <c r="E1504" s="2">
        <f>IF(Tabla2[[#This Row],[Frecuencia]]="Annual", Tabla2[[#This Row],[Cosecha/Tarea]]/12,Tabla2[[#This Row],[Cosecha/Tarea]])</f>
        <v>13159</v>
      </c>
      <c r="F1504" s="2">
        <v>148828</v>
      </c>
      <c r="G1504" t="s">
        <v>18</v>
      </c>
      <c r="H1504">
        <f>F1504/Tabla2[[#This Row],[Cosecha Mensual]]</f>
        <v>11.309977961851205</v>
      </c>
      <c r="I1504">
        <f>H1504*_xlfn.XLOOKUP(Tabla2[[#This Row],[Unidad de producción]],Tabla3[Medida],Tabla3[Equivalencia en Kg],"ELVIS",0)</f>
        <v>513.0206003495706</v>
      </c>
      <c r="J1504">
        <v>369.5</v>
      </c>
      <c r="K1504" t="s">
        <v>18</v>
      </c>
      <c r="L1504">
        <f>J1504/_xlfn.XLOOKUP(Tabla2[[#This Row],[Unidad de precio]],Tabla3[Medida],Tabla3[Equivalencia en Kg],"ELVIS",0)</f>
        <v>8.1459435626102294</v>
      </c>
      <c r="M1504">
        <v>4521.4268874999998</v>
      </c>
      <c r="N1504" s="2">
        <f>(Tabla2[[#This Row],[Productividad (kg/TAS)]]*Tabla2[[#This Row],[Precio por kg]]-Tabla2[[#This Row],[Costos (En RD$/Tarea)]])</f>
        <v>-342.39003059597962</v>
      </c>
      <c r="O1504" s="6">
        <f>IF(Tabla2[[#This Row],[Costos (En RD$/Tarea)]]=0,0,Tabla2[[#This Row],[Beneficio Neto  (En RD$/Tarea)]]/Tabla2[[#This Row],[Costos (En RD$/Tarea)]])</f>
        <v>-7.5726101320482686E-2</v>
      </c>
      <c r="P1504" s="4">
        <f>Tabla2[[#This Row],[Rentabilidad (%)]]/12</f>
        <v>-6.3105084433735569E-3</v>
      </c>
    </row>
    <row r="1505" spans="1:16" x14ac:dyDescent="0.35">
      <c r="A1505" s="1">
        <v>40330</v>
      </c>
      <c r="B1505" t="s">
        <v>22</v>
      </c>
      <c r="C1505" s="2">
        <v>4217</v>
      </c>
      <c r="D1505" s="5" t="s">
        <v>17</v>
      </c>
      <c r="E1505" s="2">
        <f>IF(Tabla2[[#This Row],[Frecuencia]]="Annual", Tabla2[[#This Row],[Cosecha/Tarea]]/12,Tabla2[[#This Row],[Cosecha/Tarea]])</f>
        <v>4217</v>
      </c>
      <c r="F1505" s="2">
        <v>46387</v>
      </c>
      <c r="G1505" t="s">
        <v>18</v>
      </c>
      <c r="H1505">
        <f>F1505/Tabla2[[#This Row],[Cosecha Mensual]]</f>
        <v>11</v>
      </c>
      <c r="I1505">
        <f>H1505*_xlfn.XLOOKUP(Tabla2[[#This Row],[Unidad de producción]],Tabla3[Medida],Tabla3[Equivalencia en Kg],"ELVIS",0)</f>
        <v>498.96</v>
      </c>
      <c r="J1505">
        <v>1254.375</v>
      </c>
      <c r="K1505" t="s">
        <v>18</v>
      </c>
      <c r="L1505">
        <f>J1505/_xlfn.XLOOKUP(Tabla2[[#This Row],[Unidad de precio]],Tabla3[Medida],Tabla3[Equivalencia en Kg],"ELVIS",0)</f>
        <v>27.653769841269842</v>
      </c>
      <c r="M1505">
        <v>7599.7694060736003</v>
      </c>
      <c r="N1505" s="2">
        <f>(Tabla2[[#This Row],[Productividad (kg/TAS)]]*Tabla2[[#This Row],[Precio por kg]]-Tabla2[[#This Row],[Costos (En RD$/Tarea)]])</f>
        <v>6198.3555939263997</v>
      </c>
      <c r="O1505" s="6">
        <f>IF(Tabla2[[#This Row],[Costos (En RD$/Tarea)]]=0,0,Tabla2[[#This Row],[Beneficio Neto  (En RD$/Tarea)]]/Tabla2[[#This Row],[Costos (En RD$/Tarea)]])</f>
        <v>0.81559785076804892</v>
      </c>
      <c r="P1505" s="4">
        <f>Tabla2[[#This Row],[Rentabilidad (%)]]/12</f>
        <v>6.7966487564004072E-2</v>
      </c>
    </row>
    <row r="1506" spans="1:16" x14ac:dyDescent="0.35">
      <c r="A1506" s="1">
        <v>40330</v>
      </c>
      <c r="B1506" t="s">
        <v>23</v>
      </c>
      <c r="C1506" s="2">
        <v>2840</v>
      </c>
      <c r="D1506" s="5" t="s">
        <v>17</v>
      </c>
      <c r="E1506" s="2">
        <f>IF(Tabla2[[#This Row],[Frecuencia]]="Annual", Tabla2[[#This Row],[Cosecha/Tarea]]/12,Tabla2[[#This Row],[Cosecha/Tarea]])</f>
        <v>2840</v>
      </c>
      <c r="F1506" s="2">
        <v>99264</v>
      </c>
      <c r="G1506" t="s">
        <v>18</v>
      </c>
      <c r="H1506">
        <f>F1506/Tabla2[[#This Row],[Cosecha Mensual]]</f>
        <v>34.952112676056338</v>
      </c>
      <c r="I1506">
        <f>H1506*_xlfn.XLOOKUP(Tabla2[[#This Row],[Unidad de producción]],Tabla3[Medida],Tabla3[Equivalencia en Kg],"ELVIS",0)</f>
        <v>1585.4278309859155</v>
      </c>
      <c r="J1506">
        <v>800</v>
      </c>
      <c r="K1506" t="s">
        <v>18</v>
      </c>
      <c r="L1506">
        <f>J1506/_xlfn.XLOOKUP(Tabla2[[#This Row],[Unidad de precio]],Tabla3[Medida],Tabla3[Equivalencia en Kg],"ELVIS",0)</f>
        <v>17.636684303350972</v>
      </c>
      <c r="M1506">
        <v>20327.21</v>
      </c>
      <c r="N1506" s="2">
        <f>(Tabla2[[#This Row],[Productividad (kg/TAS)]]*Tabla2[[#This Row],[Precio por kg]]-Tabla2[[#This Row],[Costos (En RD$/Tarea)]])</f>
        <v>7634.480140845073</v>
      </c>
      <c r="O1506" s="6">
        <f>IF(Tabla2[[#This Row],[Costos (En RD$/Tarea)]]=0,0,Tabla2[[#This Row],[Beneficio Neto  (En RD$/Tarea)]]/Tabla2[[#This Row],[Costos (En RD$/Tarea)]])</f>
        <v>0.37557934123005926</v>
      </c>
      <c r="P1506" s="4">
        <f>Tabla2[[#This Row],[Rentabilidad (%)]]/12</f>
        <v>3.1298278435838274E-2</v>
      </c>
    </row>
    <row r="1507" spans="1:16" x14ac:dyDescent="0.35">
      <c r="A1507" s="1">
        <v>40330</v>
      </c>
      <c r="B1507" t="s">
        <v>24</v>
      </c>
      <c r="C1507" s="2">
        <v>5370</v>
      </c>
      <c r="D1507" s="5" t="s">
        <v>17</v>
      </c>
      <c r="E1507" s="2">
        <f>IF(Tabla2[[#This Row],[Frecuencia]]="Annual", Tabla2[[#This Row],[Cosecha/Tarea]]/12,Tabla2[[#This Row],[Cosecha/Tarea]])</f>
        <v>5370</v>
      </c>
      <c r="F1507" s="2">
        <v>51015</v>
      </c>
      <c r="G1507" t="s">
        <v>18</v>
      </c>
      <c r="H1507">
        <f>F1507/Tabla2[[#This Row],[Cosecha Mensual]]</f>
        <v>9.5</v>
      </c>
      <c r="I1507">
        <f>H1507*_xlfn.XLOOKUP(Tabla2[[#This Row],[Unidad de producción]],Tabla3[Medida],Tabla3[Equivalencia en Kg],"ELVIS",0)</f>
        <v>430.92</v>
      </c>
      <c r="J1507">
        <v>1312.1428571428601</v>
      </c>
      <c r="K1507" t="s">
        <v>18</v>
      </c>
      <c r="L1507">
        <f>J1507/_xlfn.XLOOKUP(Tabla2[[#This Row],[Unidad de precio]],Tabla3[Medida],Tabla3[Equivalencia en Kg],"ELVIS",0)</f>
        <v>28.927311665406968</v>
      </c>
      <c r="M1507">
        <v>6579.6044973695998</v>
      </c>
      <c r="N1507" s="2">
        <f>(Tabla2[[#This Row],[Productividad (kg/TAS)]]*Tabla2[[#This Row],[Precio por kg]]-Tabla2[[#This Row],[Costos (En RD$/Tarea)]])</f>
        <v>5885.7526454875706</v>
      </c>
      <c r="O1507" s="6">
        <f>IF(Tabla2[[#This Row],[Costos (En RD$/Tarea)]]=0,0,Tabla2[[#This Row],[Beneficio Neto  (En RD$/Tarea)]]/Tabla2[[#This Row],[Costos (En RD$/Tarea)]])</f>
        <v>0.89454505173382104</v>
      </c>
      <c r="P1507" s="4">
        <f>Tabla2[[#This Row],[Rentabilidad (%)]]/12</f>
        <v>7.4545420977818425E-2</v>
      </c>
    </row>
    <row r="1508" spans="1:16" x14ac:dyDescent="0.35">
      <c r="A1508" s="1">
        <v>40330</v>
      </c>
      <c r="B1508" t="s">
        <v>25</v>
      </c>
      <c r="C1508" s="2">
        <v>24780</v>
      </c>
      <c r="D1508" s="5" t="s">
        <v>17</v>
      </c>
      <c r="E1508" s="2">
        <f>IF(Tabla2[[#This Row],[Frecuencia]]="Annual", Tabla2[[#This Row],[Cosecha/Tarea]]/12,Tabla2[[#This Row],[Cosecha/Tarea]])</f>
        <v>24780</v>
      </c>
      <c r="F1508" s="2">
        <v>282287</v>
      </c>
      <c r="G1508" t="s">
        <v>18</v>
      </c>
      <c r="H1508">
        <f>F1508/Tabla2[[#This Row],[Cosecha Mensual]]</f>
        <v>11.391727199354317</v>
      </c>
      <c r="I1508">
        <f>H1508*_xlfn.XLOOKUP(Tabla2[[#This Row],[Unidad de producción]],Tabla3[Medida],Tabla3[Equivalencia en Kg],"ELVIS",0)</f>
        <v>516.72874576271181</v>
      </c>
      <c r="J1508">
        <v>254.16562500000001</v>
      </c>
      <c r="K1508" t="s">
        <v>18</v>
      </c>
      <c r="L1508">
        <f>J1508/_xlfn.XLOOKUP(Tabla2[[#This Row],[Unidad de precio]],Tabla3[Medida],Tabla3[Equivalencia en Kg],"ELVIS",0)</f>
        <v>5.6032986111111116</v>
      </c>
      <c r="M1508">
        <v>3734.0064399798498</v>
      </c>
      <c r="N1508" s="2">
        <f>(Tabla2[[#This Row],[Productividad (kg/TAS)]]*Tabla2[[#This Row],[Precio por kg]]-Tabla2[[#This Row],[Costos (En RD$/Tarea)]])</f>
        <v>-838.6209765264598</v>
      </c>
      <c r="O1508" s="6">
        <f>IF(Tabla2[[#This Row],[Costos (En RD$/Tarea)]]=0,0,Tabla2[[#This Row],[Beneficio Neto  (En RD$/Tarea)]]/Tabla2[[#This Row],[Costos (En RD$/Tarea)]])</f>
        <v>-0.2245901259160617</v>
      </c>
      <c r="P1508" s="4">
        <f>Tabla2[[#This Row],[Rentabilidad (%)]]/12</f>
        <v>-1.8715843826338476E-2</v>
      </c>
    </row>
    <row r="1509" spans="1:16" x14ac:dyDescent="0.35">
      <c r="A1509" s="1">
        <v>40330</v>
      </c>
      <c r="B1509" t="s">
        <v>26</v>
      </c>
      <c r="C1509" s="2">
        <v>9587</v>
      </c>
      <c r="D1509" s="5" t="s">
        <v>17</v>
      </c>
      <c r="E1509" s="2">
        <f>IF(Tabla2[[#This Row],[Frecuencia]]="Annual", Tabla2[[#This Row],[Cosecha/Tarea]]/12,Tabla2[[#This Row],[Cosecha/Tarea]])</f>
        <v>9587</v>
      </c>
      <c r="F1509" s="2">
        <v>59439</v>
      </c>
      <c r="G1509" t="s">
        <v>18</v>
      </c>
      <c r="H1509">
        <f>F1509/Tabla2[[#This Row],[Cosecha Mensual]]</f>
        <v>6.199958276833212</v>
      </c>
      <c r="I1509">
        <f>H1509*_xlfn.XLOOKUP(Tabla2[[#This Row],[Unidad de producción]],Tabla3[Medida],Tabla3[Equivalencia en Kg],"ELVIS",0)</f>
        <v>281.23010743715452</v>
      </c>
      <c r="J1509">
        <v>643.16666666666697</v>
      </c>
      <c r="K1509" t="s">
        <v>18</v>
      </c>
      <c r="L1509">
        <f>J1509/_xlfn.XLOOKUP(Tabla2[[#This Row],[Unidad de precio]],Tabla3[Medida],Tabla3[Equivalencia en Kg],"ELVIS",0)</f>
        <v>14.179159318048214</v>
      </c>
      <c r="M1509">
        <v>1771.21219288463</v>
      </c>
      <c r="N1509" s="2">
        <f>(Tabla2[[#This Row],[Productividad (kg/TAS)]]*Tabla2[[#This Row],[Precio por kg]]-Tabla2[[#This Row],[Costos (En RD$/Tarea)]])</f>
        <v>2216.3943054985998</v>
      </c>
      <c r="O1509" s="6">
        <f>IF(Tabla2[[#This Row],[Costos (En RD$/Tarea)]]=0,0,Tabla2[[#This Row],[Beneficio Neto  (En RD$/Tarea)]]/Tabla2[[#This Row],[Costos (En RD$/Tarea)]])</f>
        <v>1.251343184290606</v>
      </c>
      <c r="P1509" s="4">
        <f>Tabla2[[#This Row],[Rentabilidad (%)]]/12</f>
        <v>0.10427859869088384</v>
      </c>
    </row>
    <row r="1510" spans="1:16" x14ac:dyDescent="0.35">
      <c r="A1510" s="1">
        <v>40330</v>
      </c>
      <c r="B1510" t="s">
        <v>27</v>
      </c>
      <c r="C1510" s="2">
        <v>7664</v>
      </c>
      <c r="D1510" s="5" t="s">
        <v>17</v>
      </c>
      <c r="E1510" s="2">
        <f>IF(Tabla2[[#This Row],[Frecuencia]]="Annual", Tabla2[[#This Row],[Cosecha/Tarea]]/12,Tabla2[[#This Row],[Cosecha/Tarea]])</f>
        <v>7664</v>
      </c>
      <c r="F1510" s="2">
        <v>57526</v>
      </c>
      <c r="G1510" t="s">
        <v>18</v>
      </c>
      <c r="H1510">
        <f>F1510/Tabla2[[#This Row],[Cosecha Mensual]]</f>
        <v>7.5060020876826723</v>
      </c>
      <c r="I1510">
        <f>H1510*_xlfn.XLOOKUP(Tabla2[[#This Row],[Unidad de producción]],Tabla3[Medida],Tabla3[Equivalencia en Kg],"ELVIS",0)</f>
        <v>340.47225469728602</v>
      </c>
      <c r="J1510">
        <v>562.29861111111097</v>
      </c>
      <c r="K1510" t="s">
        <v>18</v>
      </c>
      <c r="L1510">
        <f>J1510/_xlfn.XLOOKUP(Tabla2[[#This Row],[Unidad de precio]],Tabla3[Medida],Tabla3[Equivalencia en Kg],"ELVIS",0)</f>
        <v>12.396353860474228</v>
      </c>
      <c r="M1510">
        <v>6142.3910746455704</v>
      </c>
      <c r="N1510" s="2">
        <f>(Tabla2[[#This Row],[Productividad (kg/TAS)]]*Tabla2[[#This Row],[Precio por kg]]-Tabla2[[#This Row],[Costos (En RD$/Tarea)]])</f>
        <v>-1921.7765257445044</v>
      </c>
      <c r="O1510" s="6">
        <f>IF(Tabla2[[#This Row],[Costos (En RD$/Tarea)]]=0,0,Tabla2[[#This Row],[Beneficio Neto  (En RD$/Tarea)]]/Tabla2[[#This Row],[Costos (En RD$/Tarea)]])</f>
        <v>-0.31287107942006043</v>
      </c>
      <c r="P1510" s="4">
        <f>Tabla2[[#This Row],[Rentabilidad (%)]]/12</f>
        <v>-2.6072589951671703E-2</v>
      </c>
    </row>
    <row r="1511" spans="1:16" x14ac:dyDescent="0.35">
      <c r="A1511" s="1">
        <v>40330</v>
      </c>
      <c r="B1511" t="s">
        <v>28</v>
      </c>
      <c r="C1511" s="2">
        <v>689</v>
      </c>
      <c r="D1511" s="5" t="s">
        <v>17</v>
      </c>
      <c r="E1511" s="2">
        <f>IF(Tabla2[[#This Row],[Frecuencia]]="Annual", Tabla2[[#This Row],[Cosecha/Tarea]]/12,Tabla2[[#This Row],[Cosecha/Tarea]])</f>
        <v>689</v>
      </c>
      <c r="F1511" s="2">
        <v>1229</v>
      </c>
      <c r="G1511" t="s">
        <v>29</v>
      </c>
      <c r="H1511">
        <f>F1511/Tabla2[[#This Row],[Cosecha Mensual]]</f>
        <v>1.783744557329463</v>
      </c>
      <c r="I1511">
        <f>H1511*_xlfn.XLOOKUP(Tabla2[[#This Row],[Unidad de producción]],Tabla3[Medida],Tabla3[Equivalencia en Kg],"ELVIS",0)</f>
        <v>1003.0709143686503</v>
      </c>
      <c r="J1511">
        <v>8354.25</v>
      </c>
      <c r="K1511" t="s">
        <v>29</v>
      </c>
      <c r="L1511">
        <f>J1511/_xlfn.XLOOKUP(Tabla2[[#This Row],[Unidad de precio]],Tabla3[Medida],Tabla3[Equivalencia en Kg],"ELVIS",0)</f>
        <v>14.85622577088594</v>
      </c>
      <c r="M1511">
        <v>6158.1190308947398</v>
      </c>
      <c r="N1511" s="2">
        <f>(Tabla2[[#This Row],[Productividad (kg/TAS)]]*Tabla2[[#This Row],[Precio por kg]]-Tabla2[[#This Row],[Costos (En RD$/Tarea)]])</f>
        <v>8743.7289371749248</v>
      </c>
      <c r="O1511" s="6">
        <f>IF(Tabla2[[#This Row],[Costos (En RD$/Tarea)]]=0,0,Tabla2[[#This Row],[Beneficio Neto  (En RD$/Tarea)]]/Tabla2[[#This Row],[Costos (En RD$/Tarea)]])</f>
        <v>1.4198700761236358</v>
      </c>
      <c r="P1511" s="4">
        <f>Tabla2[[#This Row],[Rentabilidad (%)]]/12</f>
        <v>0.11832250634363632</v>
      </c>
    </row>
    <row r="1512" spans="1:16" x14ac:dyDescent="0.35">
      <c r="A1512" s="1">
        <v>40330</v>
      </c>
      <c r="B1512" t="s">
        <v>30</v>
      </c>
      <c r="C1512" s="2">
        <v>327581</v>
      </c>
      <c r="D1512" s="2" t="s">
        <v>31</v>
      </c>
      <c r="E1512" s="2">
        <f>IF(Tabla2[[#This Row],[Frecuencia]]="Annual", Tabla2[[#This Row],[Cosecha/Tarea]]/12,Tabla2[[#This Row],[Cosecha/Tarea]])</f>
        <v>27298.416666666668</v>
      </c>
      <c r="F1512" s="2">
        <v>3068332</v>
      </c>
      <c r="G1512" t="s">
        <v>32</v>
      </c>
      <c r="H1512">
        <f>F1512/Tabla2[[#This Row],[Cosecha Mensual]]</f>
        <v>112.39963245731589</v>
      </c>
      <c r="I1512">
        <f>H1512*_xlfn.XLOOKUP(Tabla2[[#This Row],[Unidad de producción]],Tabla3[Medida],Tabla3[Equivalencia en Kg],"ELVIS",0)</f>
        <v>3058.3939991635652</v>
      </c>
      <c r="J1512">
        <v>105.00104166666701</v>
      </c>
      <c r="K1512" t="s">
        <v>32</v>
      </c>
      <c r="L1512">
        <f>J1512/_xlfn.XLOOKUP(Tabla2[[#This Row],[Unidad de precio]],Tabla3[Medida],Tabla3[Equivalencia en Kg],"ELVIS",0)</f>
        <v>3.8589136959451307</v>
      </c>
      <c r="M1512" s="2">
        <v>10497.9114219602</v>
      </c>
      <c r="N1512" s="2">
        <f>(Tabla2[[#This Row],[Productividad (kg/TAS)]]*Tabla2[[#This Row],[Precio por kg]]-Tabla2[[#This Row],[Costos (En RD$/Tarea)]])</f>
        <v>1304.1670690084829</v>
      </c>
      <c r="O1512" s="6">
        <f>IF(Tabla2[[#This Row],[Costos (En RD$/Tarea)]]=0,0,Tabla2[[#This Row],[Beneficio Neto  (En RD$/Tarea)]]/Tabla2[[#This Row],[Costos (En RD$/Tarea)]])</f>
        <v>0.12423109860503712</v>
      </c>
      <c r="P1512" s="4">
        <f>Tabla2[[#This Row],[Rentabilidad (%)]]/12</f>
        <v>1.035259155041976E-2</v>
      </c>
    </row>
    <row r="1513" spans="1:16" x14ac:dyDescent="0.35">
      <c r="A1513" s="1">
        <v>40330</v>
      </c>
      <c r="B1513" t="s">
        <v>33</v>
      </c>
      <c r="C1513" s="2">
        <v>666721</v>
      </c>
      <c r="D1513" s="2" t="s">
        <v>31</v>
      </c>
      <c r="E1513" s="8">
        <f>IF(Tabla2[[#This Row],[Frecuencia]]="Annual", Tabla2[[#This Row],[Cosecha/Tarea]]/12,Tabla2[[#This Row],[Cosecha/Tarea]])</f>
        <v>55560.083333333336</v>
      </c>
      <c r="F1513" s="2">
        <v>158098</v>
      </c>
      <c r="G1513" t="s">
        <v>34</v>
      </c>
      <c r="H1513">
        <f>F1513/Tabla2[[#This Row],[Cosecha Mensual]]</f>
        <v>2.8455320891347355</v>
      </c>
      <c r="I1513">
        <f>H1513*_xlfn.XLOOKUP(Tabla2[[#This Row],[Unidad de producción]],Tabla3[Medida],Tabla3[Equivalencia en Kg],"ELVIS",0)</f>
        <v>1161.4039221803423</v>
      </c>
      <c r="J1513">
        <v>3290.21875</v>
      </c>
      <c r="K1513" t="s">
        <v>34</v>
      </c>
      <c r="L1513">
        <f>J1513/_xlfn.XLOOKUP(Tabla2[[#This Row],[Unidad de precio]],Tabla3[Medida],Tabla3[Equivalencia en Kg],"ELVIS",0)</f>
        <v>8.0612979296827145</v>
      </c>
      <c r="M1513" s="2">
        <v>9292.9734969082201</v>
      </c>
      <c r="N1513" s="2">
        <f>(Tabla2[[#This Row],[Productividad (kg/TAS)]]*Tabla2[[#This Row],[Precio por kg]]-Tabla2[[#This Row],[Costos (En RD$/Tarea)]])</f>
        <v>69.449536489557431</v>
      </c>
      <c r="O1513" s="6">
        <f>IF(Tabla2[[#This Row],[Costos (En RD$/Tarea)]]=0,0,Tabla2[[#This Row],[Beneficio Neto  (En RD$/Tarea)]]/Tabla2[[#This Row],[Costos (En RD$/Tarea)]])</f>
        <v>7.4733384866171575E-3</v>
      </c>
      <c r="P1513" s="4">
        <f>Tabla2[[#This Row],[Rentabilidad (%)]]/12</f>
        <v>6.2277820721809646E-4</v>
      </c>
    </row>
    <row r="1514" spans="1:16" x14ac:dyDescent="0.35">
      <c r="A1514" s="1">
        <v>40360</v>
      </c>
      <c r="B1514" t="s">
        <v>16</v>
      </c>
      <c r="C1514" s="2">
        <v>196803</v>
      </c>
      <c r="D1514" s="5" t="s">
        <v>17</v>
      </c>
      <c r="E1514" s="2">
        <f>IF(Tabla2[[#This Row],[Frecuencia]]="Annual", Tabla2[[#This Row],[Cosecha/Tarea]]/12,Tabla2[[#This Row],[Cosecha/Tarea]])</f>
        <v>196803</v>
      </c>
      <c r="F1514" s="2">
        <v>1028010</v>
      </c>
      <c r="G1514" t="s">
        <v>18</v>
      </c>
      <c r="H1514">
        <f>F1514/Tabla2[[#This Row],[Cosecha Mensual]]</f>
        <v>5.2235484215179646</v>
      </c>
      <c r="I1514">
        <f>H1514*_xlfn.XLOOKUP(Tabla2[[#This Row],[Unidad de producción]],Tabla3[Medida],Tabla3[Equivalencia en Kg],"ELVIS",0)</f>
        <v>236.94015640005486</v>
      </c>
      <c r="J1514">
        <v>1738.50277777778</v>
      </c>
      <c r="K1514" t="s">
        <v>19</v>
      </c>
      <c r="L1514">
        <f>J1514/_xlfn.XLOOKUP(Tabla2[[#This Row],[Unidad de precio]],Tabla3[Medida],Tabla3[Equivalencia en Kg],"ELVIS",0)</f>
        <v>15.804570707070727</v>
      </c>
      <c r="M1514">
        <v>7449.8087382093299</v>
      </c>
      <c r="N1514" s="2">
        <f>(Tabla2[[#This Row],[Productividad (kg/TAS)]]*Tabla2[[#This Row],[Precio por kg]]-Tabla2[[#This Row],[Costos (En RD$/Tarea)]])</f>
        <v>-3705.0712830402663</v>
      </c>
      <c r="O1514" s="6">
        <f>IF(Tabla2[[#This Row],[Costos (En RD$/Tarea)]]=0,0,Tabla2[[#This Row],[Beneficio Neto  (En RD$/Tarea)]]/Tabla2[[#This Row],[Costos (En RD$/Tarea)]])</f>
        <v>-0.49733777245009303</v>
      </c>
      <c r="P1514" s="4">
        <f>Tabla2[[#This Row],[Rentabilidad (%)]]/12</f>
        <v>-4.1444814370841083E-2</v>
      </c>
    </row>
    <row r="1515" spans="1:16" x14ac:dyDescent="0.35">
      <c r="A1515" s="1">
        <v>40360</v>
      </c>
      <c r="B1515" t="s">
        <v>20</v>
      </c>
      <c r="C1515" s="2">
        <v>20567</v>
      </c>
      <c r="D1515" s="5" t="s">
        <v>17</v>
      </c>
      <c r="E1515" s="2">
        <f>IF(Tabla2[[#This Row],[Frecuencia]]="Annual", Tabla2[[#This Row],[Cosecha/Tarea]]/12,Tabla2[[#This Row],[Cosecha/Tarea]])</f>
        <v>20567</v>
      </c>
      <c r="F1515" s="2">
        <v>49349</v>
      </c>
      <c r="G1515" t="s">
        <v>18</v>
      </c>
      <c r="H1515">
        <f>F1515/Tabla2[[#This Row],[Cosecha Mensual]]</f>
        <v>2.3994262653765741</v>
      </c>
      <c r="I1515">
        <f>H1515*_xlfn.XLOOKUP(Tabla2[[#This Row],[Unidad de producción]],Tabla3[Medida],Tabla3[Equivalencia en Kg],"ELVIS",0)</f>
        <v>108.8379753974814</v>
      </c>
      <c r="J1515">
        <v>607.48095238095198</v>
      </c>
      <c r="K1515" t="s">
        <v>18</v>
      </c>
      <c r="L1515">
        <f>J1515/_xlfn.XLOOKUP(Tabla2[[#This Row],[Unidad de precio]],Tabla3[Medida],Tabla3[Equivalencia en Kg],"ELVIS",0)</f>
        <v>13.392437221802293</v>
      </c>
      <c r="M1515">
        <v>2162.02023182316</v>
      </c>
      <c r="N1515" s="2">
        <f>(Tabla2[[#This Row],[Productividad (kg/TAS)]]*Tabla2[[#This Row],[Precio por kg]]-Tabla2[[#This Row],[Costos (En RD$/Tarea)]])</f>
        <v>-704.41447896432783</v>
      </c>
      <c r="O1515" s="6">
        <f>IF(Tabla2[[#This Row],[Costos (En RD$/Tarea)]]=0,0,Tabla2[[#This Row],[Beneficio Neto  (En RD$/Tarea)]]/Tabla2[[#This Row],[Costos (En RD$/Tarea)]])</f>
        <v>-0.3258130837981652</v>
      </c>
      <c r="P1515" s="4">
        <f>Tabla2[[#This Row],[Rentabilidad (%)]]/12</f>
        <v>-2.7151090316513766E-2</v>
      </c>
    </row>
    <row r="1516" spans="1:16" x14ac:dyDescent="0.35">
      <c r="A1516" s="1">
        <v>40360</v>
      </c>
      <c r="B1516" t="s">
        <v>21</v>
      </c>
      <c r="C1516" s="2">
        <v>4896</v>
      </c>
      <c r="D1516" s="5" t="s">
        <v>17</v>
      </c>
      <c r="E1516" s="2">
        <f>IF(Tabla2[[#This Row],[Frecuencia]]="Annual", Tabla2[[#This Row],[Cosecha/Tarea]]/12,Tabla2[[#This Row],[Cosecha/Tarea]])</f>
        <v>4896</v>
      </c>
      <c r="F1516" s="2">
        <v>50889</v>
      </c>
      <c r="G1516" t="s">
        <v>18</v>
      </c>
      <c r="H1516">
        <f>F1516/Tabla2[[#This Row],[Cosecha Mensual]]</f>
        <v>10.393995098039216</v>
      </c>
      <c r="I1516">
        <f>H1516*_xlfn.XLOOKUP(Tabla2[[#This Row],[Unidad de producción]],Tabla3[Medida],Tabla3[Equivalencia en Kg],"ELVIS",0)</f>
        <v>471.47161764705885</v>
      </c>
      <c r="J1516">
        <v>352.60624999999999</v>
      </c>
      <c r="K1516" t="s">
        <v>18</v>
      </c>
      <c r="L1516">
        <f>J1516/_xlfn.XLOOKUP(Tabla2[[#This Row],[Unidad de precio]],Tabla3[Medida],Tabla3[Equivalencia en Kg],"ELVIS",0)</f>
        <v>7.7735063932980601</v>
      </c>
      <c r="M1516">
        <v>4521.4268874999998</v>
      </c>
      <c r="N1516" s="2">
        <f>(Tabla2[[#This Row],[Productividad (kg/TAS)]]*Tabla2[[#This Row],[Precio por kg]]-Tabla2[[#This Row],[Costos (En RD$/Tarea)]])</f>
        <v>-856.43925346200922</v>
      </c>
      <c r="O1516" s="6">
        <f>IF(Tabla2[[#This Row],[Costos (En RD$/Tarea)]]=0,0,Tabla2[[#This Row],[Beneficio Neto  (En RD$/Tarea)]]/Tabla2[[#This Row],[Costos (En RD$/Tarea)]])</f>
        <v>-0.18941791491304066</v>
      </c>
      <c r="P1516" s="4">
        <f>Tabla2[[#This Row],[Rentabilidad (%)]]/12</f>
        <v>-1.5784826242753389E-2</v>
      </c>
    </row>
    <row r="1517" spans="1:16" x14ac:dyDescent="0.35">
      <c r="A1517" s="1">
        <v>40360</v>
      </c>
      <c r="B1517" t="s">
        <v>22</v>
      </c>
      <c r="C1517" s="2">
        <v>2884</v>
      </c>
      <c r="D1517" s="5" t="s">
        <v>17</v>
      </c>
      <c r="E1517" s="2">
        <f>IF(Tabla2[[#This Row],[Frecuencia]]="Annual", Tabla2[[#This Row],[Cosecha/Tarea]]/12,Tabla2[[#This Row],[Cosecha/Tarea]])</f>
        <v>2884</v>
      </c>
      <c r="F1517" s="2">
        <v>25186</v>
      </c>
      <c r="G1517" t="s">
        <v>18</v>
      </c>
      <c r="H1517">
        <f>F1517/Tabla2[[#This Row],[Cosecha Mensual]]</f>
        <v>8.733009708737864</v>
      </c>
      <c r="I1517">
        <f>H1517*_xlfn.XLOOKUP(Tabla2[[#This Row],[Unidad de producción]],Tabla3[Medida],Tabla3[Equivalencia en Kg],"ELVIS",0)</f>
        <v>396.12932038834953</v>
      </c>
      <c r="J1517">
        <v>1395.13333333333</v>
      </c>
      <c r="K1517" t="s">
        <v>18</v>
      </c>
      <c r="L1517">
        <f>J1517/_xlfn.XLOOKUP(Tabla2[[#This Row],[Unidad de precio]],Tabla3[Medida],Tabla3[Equivalencia en Kg],"ELVIS",0)</f>
        <v>30.756907701352073</v>
      </c>
      <c r="M1517">
        <v>7599.7694060736003</v>
      </c>
      <c r="N1517" s="2">
        <f>(Tabla2[[#This Row],[Productividad (kg/TAS)]]*Tabla2[[#This Row],[Precio por kg]]-Tabla2[[#This Row],[Costos (En RD$/Tarea)]])</f>
        <v>4583.94353891019</v>
      </c>
      <c r="O1517" s="6">
        <f>IF(Tabla2[[#This Row],[Costos (En RD$/Tarea)]]=0,0,Tabla2[[#This Row],[Beneficio Neto  (En RD$/Tarea)]]/Tabla2[[#This Row],[Costos (En RD$/Tarea)]])</f>
        <v>0.60316876657425733</v>
      </c>
      <c r="P1517" s="4">
        <f>Tabla2[[#This Row],[Rentabilidad (%)]]/12</f>
        <v>5.0264063881188113E-2</v>
      </c>
    </row>
    <row r="1518" spans="1:16" x14ac:dyDescent="0.35">
      <c r="A1518" s="1">
        <v>40360</v>
      </c>
      <c r="B1518" t="s">
        <v>23</v>
      </c>
      <c r="C1518" s="2">
        <v>2217</v>
      </c>
      <c r="D1518" s="5" t="s">
        <v>17</v>
      </c>
      <c r="E1518" s="2">
        <f>IF(Tabla2[[#This Row],[Frecuencia]]="Annual", Tabla2[[#This Row],[Cosecha/Tarea]]/12,Tabla2[[#This Row],[Cosecha/Tarea]])</f>
        <v>2217</v>
      </c>
      <c r="F1518" s="2">
        <v>71681</v>
      </c>
      <c r="G1518" t="s">
        <v>18</v>
      </c>
      <c r="H1518">
        <f>F1518/Tabla2[[#This Row],[Cosecha Mensual]]</f>
        <v>32.332431213351377</v>
      </c>
      <c r="I1518">
        <f>H1518*_xlfn.XLOOKUP(Tabla2[[#This Row],[Unidad de producción]],Tabla3[Medida],Tabla3[Equivalencia en Kg],"ELVIS",0)</f>
        <v>1466.5990798376185</v>
      </c>
      <c r="J1518">
        <v>862.5</v>
      </c>
      <c r="K1518" t="s">
        <v>18</v>
      </c>
      <c r="L1518">
        <f>J1518/_xlfn.XLOOKUP(Tabla2[[#This Row],[Unidad de precio]],Tabla3[Medida],Tabla3[Equivalencia en Kg],"ELVIS",0)</f>
        <v>19.014550264550266</v>
      </c>
      <c r="M1518">
        <v>20327.21</v>
      </c>
      <c r="N1518" s="2">
        <f>(Tabla2[[#This Row],[Productividad (kg/TAS)]]*Tabla2[[#This Row],[Precio por kg]]-Tabla2[[#This Row],[Costos (En RD$/Tarea)]])</f>
        <v>7559.5119215155682</v>
      </c>
      <c r="O1518" s="6">
        <f>IF(Tabla2[[#This Row],[Costos (En RD$/Tarea)]]=0,0,Tabla2[[#This Row],[Beneficio Neto  (En RD$/Tarea)]]/Tabla2[[#This Row],[Costos (En RD$/Tarea)]])</f>
        <v>0.37189126896979807</v>
      </c>
      <c r="P1518" s="4">
        <f>Tabla2[[#This Row],[Rentabilidad (%)]]/12</f>
        <v>3.0990939080816505E-2</v>
      </c>
    </row>
    <row r="1519" spans="1:16" x14ac:dyDescent="0.35">
      <c r="A1519" s="1">
        <v>40360</v>
      </c>
      <c r="B1519" t="s">
        <v>24</v>
      </c>
      <c r="C1519" s="2">
        <v>4625</v>
      </c>
      <c r="D1519" s="5" t="s">
        <v>17</v>
      </c>
      <c r="E1519" s="2">
        <f>IF(Tabla2[[#This Row],[Frecuencia]]="Annual", Tabla2[[#This Row],[Cosecha/Tarea]]/12,Tabla2[[#This Row],[Cosecha/Tarea]])</f>
        <v>4625</v>
      </c>
      <c r="F1519" s="2">
        <v>43396</v>
      </c>
      <c r="G1519" t="s">
        <v>18</v>
      </c>
      <c r="H1519">
        <f>F1519/Tabla2[[#This Row],[Cosecha Mensual]]</f>
        <v>9.3829189189189197</v>
      </c>
      <c r="I1519">
        <f>H1519*_xlfn.XLOOKUP(Tabla2[[#This Row],[Unidad de producción]],Tabla3[Medida],Tabla3[Equivalencia en Kg],"ELVIS",0)</f>
        <v>425.60920216216221</v>
      </c>
      <c r="J1519">
        <v>1184.0485714285701</v>
      </c>
      <c r="K1519" t="s">
        <v>18</v>
      </c>
      <c r="L1519">
        <f>J1519/_xlfn.XLOOKUP(Tabla2[[#This Row],[Unidad de precio]],Tabla3[Medida],Tabla3[Equivalencia en Kg],"ELVIS",0)</f>
        <v>26.103363567649254</v>
      </c>
      <c r="M1519">
        <v>6579.6044973695998</v>
      </c>
      <c r="N1519" s="2">
        <f>(Tabla2[[#This Row],[Productividad (kg/TAS)]]*Tabla2[[#This Row],[Precio por kg]]-Tabla2[[#This Row],[Costos (En RD$/Tarea)]])</f>
        <v>4530.227244406452</v>
      </c>
      <c r="O1519" s="6">
        <f>IF(Tabla2[[#This Row],[Costos (En RD$/Tarea)]]=0,0,Tabla2[[#This Row],[Beneficio Neto  (En RD$/Tarea)]]/Tabla2[[#This Row],[Costos (En RD$/Tarea)]])</f>
        <v>0.68852576871718507</v>
      </c>
      <c r="P1519" s="4">
        <f>Tabla2[[#This Row],[Rentabilidad (%)]]/12</f>
        <v>5.7377147393098758E-2</v>
      </c>
    </row>
    <row r="1520" spans="1:16" x14ac:dyDescent="0.35">
      <c r="A1520" s="1">
        <v>40360</v>
      </c>
      <c r="B1520" t="s">
        <v>25</v>
      </c>
      <c r="C1520" s="2">
        <v>22096</v>
      </c>
      <c r="D1520" s="5" t="s">
        <v>17</v>
      </c>
      <c r="E1520" s="2">
        <f>IF(Tabla2[[#This Row],[Frecuencia]]="Annual", Tabla2[[#This Row],[Cosecha/Tarea]]/12,Tabla2[[#This Row],[Cosecha/Tarea]])</f>
        <v>22096</v>
      </c>
      <c r="F1520" s="2">
        <v>249567</v>
      </c>
      <c r="G1520" t="s">
        <v>18</v>
      </c>
      <c r="H1520">
        <f>F1520/Tabla2[[#This Row],[Cosecha Mensual]]</f>
        <v>11.294668718320057</v>
      </c>
      <c r="I1520">
        <f>H1520*_xlfn.XLOOKUP(Tabla2[[#This Row],[Unidad de producción]],Tabla3[Medida],Tabla3[Equivalencia en Kg],"ELVIS",0)</f>
        <v>512.32617306299778</v>
      </c>
      <c r="J1520">
        <v>254.737142857143</v>
      </c>
      <c r="K1520" t="s">
        <v>18</v>
      </c>
      <c r="L1520">
        <f>J1520/_xlfn.XLOOKUP(Tabla2[[#This Row],[Unidad de precio]],Tabla3[Medida],Tabla3[Equivalencia en Kg],"ELVIS",0)</f>
        <v>5.6158982111363098</v>
      </c>
      <c r="M1520">
        <v>3734.0064399798498</v>
      </c>
      <c r="N1520" s="2">
        <f>(Tabla2[[#This Row],[Productividad (kg/TAS)]]*Tabla2[[#This Row],[Precio por kg]]-Tabla2[[#This Row],[Costos (En RD$/Tarea)]])</f>
        <v>-856.83480115704924</v>
      </c>
      <c r="O1520" s="6">
        <f>IF(Tabla2[[#This Row],[Costos (En RD$/Tarea)]]=0,0,Tabla2[[#This Row],[Beneficio Neto  (En RD$/Tarea)]]/Tabla2[[#This Row],[Costos (En RD$/Tarea)]])</f>
        <v>-0.22946794948796956</v>
      </c>
      <c r="P1520" s="4">
        <f>Tabla2[[#This Row],[Rentabilidad (%)]]/12</f>
        <v>-1.9122329123997462E-2</v>
      </c>
    </row>
    <row r="1521" spans="1:16" x14ac:dyDescent="0.35">
      <c r="A1521" s="1">
        <v>40360</v>
      </c>
      <c r="B1521" t="s">
        <v>26</v>
      </c>
      <c r="C1521" s="2">
        <v>8429</v>
      </c>
      <c r="D1521" s="5" t="s">
        <v>17</v>
      </c>
      <c r="E1521" s="2">
        <f>IF(Tabla2[[#This Row],[Frecuencia]]="Annual", Tabla2[[#This Row],[Cosecha/Tarea]]/12,Tabla2[[#This Row],[Cosecha/Tarea]])</f>
        <v>8429</v>
      </c>
      <c r="F1521" s="2">
        <v>46161</v>
      </c>
      <c r="G1521" t="s">
        <v>18</v>
      </c>
      <c r="H1521">
        <f>F1521/Tabla2[[#This Row],[Cosecha Mensual]]</f>
        <v>5.4764503499822039</v>
      </c>
      <c r="I1521">
        <f>H1521*_xlfn.XLOOKUP(Tabla2[[#This Row],[Unidad de producción]],Tabla3[Medida],Tabla3[Equivalencia en Kg],"ELVIS",0)</f>
        <v>248.41178787519277</v>
      </c>
      <c r="J1521">
        <v>652.99047619047599</v>
      </c>
      <c r="K1521" t="s">
        <v>18</v>
      </c>
      <c r="L1521">
        <f>J1521/_xlfn.XLOOKUP(Tabla2[[#This Row],[Unidad de precio]],Tabla3[Medida],Tabla3[Equivalencia en Kg],"ELVIS",0)</f>
        <v>14.395733602082805</v>
      </c>
      <c r="M1521">
        <v>1771.21219288463</v>
      </c>
      <c r="N1521" s="2">
        <f>(Tabla2[[#This Row],[Productividad (kg/TAS)]]*Tabla2[[#This Row],[Precio por kg]]-Tabla2[[#This Row],[Costos (En RD$/Tarea)]])</f>
        <v>1804.8577289837485</v>
      </c>
      <c r="O1521" s="6">
        <f>IF(Tabla2[[#This Row],[Costos (En RD$/Tarea)]]=0,0,Tabla2[[#This Row],[Beneficio Neto  (En RD$/Tarea)]]/Tabla2[[#This Row],[Costos (En RD$/Tarea)]])</f>
        <v>1.018995768115351</v>
      </c>
      <c r="P1521" s="4">
        <f>Tabla2[[#This Row],[Rentabilidad (%)]]/12</f>
        <v>8.4916314009612581E-2</v>
      </c>
    </row>
    <row r="1522" spans="1:16" x14ac:dyDescent="0.35">
      <c r="A1522" s="1">
        <v>40360</v>
      </c>
      <c r="B1522" t="s">
        <v>27</v>
      </c>
      <c r="C1522" s="2">
        <v>5256</v>
      </c>
      <c r="D1522" s="5" t="s">
        <v>17</v>
      </c>
      <c r="E1522" s="2">
        <f>IF(Tabla2[[#This Row],[Frecuencia]]="Annual", Tabla2[[#This Row],[Cosecha/Tarea]]/12,Tabla2[[#This Row],[Cosecha/Tarea]])</f>
        <v>5256</v>
      </c>
      <c r="F1522" s="2">
        <v>24832</v>
      </c>
      <c r="G1522" t="s">
        <v>18</v>
      </c>
      <c r="H1522">
        <f>F1522/Tabla2[[#This Row],[Cosecha Mensual]]</f>
        <v>4.724505327245053</v>
      </c>
      <c r="I1522">
        <f>H1522*_xlfn.XLOOKUP(Tabla2[[#This Row],[Unidad de producción]],Tabla3[Medida],Tabla3[Equivalencia en Kg],"ELVIS",0)</f>
        <v>214.30356164383559</v>
      </c>
      <c r="J1522">
        <v>640.33333333333303</v>
      </c>
      <c r="K1522" t="s">
        <v>18</v>
      </c>
      <c r="L1522">
        <f>J1522/_xlfn.XLOOKUP(Tabla2[[#This Row],[Unidad de precio]],Tabla3[Medida],Tabla3[Equivalencia en Kg],"ELVIS",0)</f>
        <v>14.1166960611405</v>
      </c>
      <c r="M1522">
        <v>6142.3910746455704</v>
      </c>
      <c r="N1522" s="2">
        <f>(Tabla2[[#This Row],[Productividad (kg/TAS)]]*Tabla2[[#This Row],[Precio por kg]]-Tabla2[[#This Row],[Costos (En RD$/Tarea)]])</f>
        <v>-3117.1328300996561</v>
      </c>
      <c r="O1522" s="6">
        <f>IF(Tabla2[[#This Row],[Costos (En RD$/Tarea)]]=0,0,Tabla2[[#This Row],[Beneficio Neto  (En RD$/Tarea)]]/Tabla2[[#This Row],[Costos (En RD$/Tarea)]])</f>
        <v>-0.50747873136350596</v>
      </c>
      <c r="P1522" s="4">
        <f>Tabla2[[#This Row],[Rentabilidad (%)]]/12</f>
        <v>-4.2289894280292166E-2</v>
      </c>
    </row>
    <row r="1523" spans="1:16" x14ac:dyDescent="0.35">
      <c r="A1523" s="1">
        <v>40360</v>
      </c>
      <c r="B1523" t="s">
        <v>28</v>
      </c>
      <c r="C1523" s="2">
        <v>1298</v>
      </c>
      <c r="D1523" s="5" t="s">
        <v>17</v>
      </c>
      <c r="E1523" s="2">
        <f>IF(Tabla2[[#This Row],[Frecuencia]]="Annual", Tabla2[[#This Row],[Cosecha/Tarea]]/12,Tabla2[[#This Row],[Cosecha/Tarea]])</f>
        <v>1298</v>
      </c>
      <c r="F1523" s="2">
        <v>1016</v>
      </c>
      <c r="G1523" t="s">
        <v>29</v>
      </c>
      <c r="H1523">
        <f>F1523/Tabla2[[#This Row],[Cosecha Mensual]]</f>
        <v>0.78274268104776579</v>
      </c>
      <c r="I1523">
        <f>H1523*_xlfn.XLOOKUP(Tabla2[[#This Row],[Unidad de producción]],Tabla3[Medida],Tabla3[Equivalencia en Kg],"ELVIS",0)</f>
        <v>440.16751926040064</v>
      </c>
      <c r="J1523">
        <v>6708.3333333333303</v>
      </c>
      <c r="K1523" t="s">
        <v>29</v>
      </c>
      <c r="L1523">
        <f>J1523/_xlfn.XLOOKUP(Tabla2[[#This Row],[Unidad de precio]],Tabla3[Medida],Tabla3[Equivalencia en Kg],"ELVIS",0)</f>
        <v>11.929319154485418</v>
      </c>
      <c r="M1523">
        <v>6158.1190308947398</v>
      </c>
      <c r="N1523" s="2">
        <f>(Tabla2[[#This Row],[Productividad (kg/TAS)]]*Tabla2[[#This Row],[Precio por kg]]-Tabla2[[#This Row],[Costos (En RD$/Tarea)]])</f>
        <v>-907.22021219931321</v>
      </c>
      <c r="O1523" s="6">
        <f>IF(Tabla2[[#This Row],[Costos (En RD$/Tarea)]]=0,0,Tabla2[[#This Row],[Beneficio Neto  (En RD$/Tarea)]]/Tabla2[[#This Row],[Costos (En RD$/Tarea)]])</f>
        <v>-0.14732099325262624</v>
      </c>
      <c r="P1523" s="4">
        <f>Tabla2[[#This Row],[Rentabilidad (%)]]/12</f>
        <v>-1.2276749437718852E-2</v>
      </c>
    </row>
    <row r="1524" spans="1:16" x14ac:dyDescent="0.35">
      <c r="A1524" s="1">
        <v>40360</v>
      </c>
      <c r="B1524" t="s">
        <v>30</v>
      </c>
      <c r="C1524" s="2">
        <v>333439</v>
      </c>
      <c r="D1524" s="2" t="s">
        <v>31</v>
      </c>
      <c r="E1524" s="2">
        <f>IF(Tabla2[[#This Row],[Frecuencia]]="Annual", Tabla2[[#This Row],[Cosecha/Tarea]]/12,Tabla2[[#This Row],[Cosecha/Tarea]])</f>
        <v>27786.583333333332</v>
      </c>
      <c r="F1524" s="2">
        <v>2656347</v>
      </c>
      <c r="G1524" t="s">
        <v>32</v>
      </c>
      <c r="H1524">
        <f>F1524/Tabla2[[#This Row],[Cosecha Mensual]]</f>
        <v>95.598187374602261</v>
      </c>
      <c r="I1524">
        <f>H1524*_xlfn.XLOOKUP(Tabla2[[#This Row],[Unidad de producción]],Tabla3[Medida],Tabla3[Equivalencia en Kg],"ELVIS",0)</f>
        <v>2601.2266784629278</v>
      </c>
      <c r="J1524">
        <v>106.326388888889</v>
      </c>
      <c r="K1524" t="s">
        <v>32</v>
      </c>
      <c r="L1524">
        <f>J1524/_xlfn.XLOOKUP(Tabla2[[#This Row],[Unidad de precio]],Tabla3[Medida],Tabla3[Equivalencia en Kg],"ELVIS",0)</f>
        <v>3.9076217893748253</v>
      </c>
      <c r="M1524" s="2">
        <v>10497.9114219602</v>
      </c>
      <c r="N1524" s="2">
        <f>(Tabla2[[#This Row],[Productividad (kg/TAS)]]*Tabla2[[#This Row],[Precio por kg]]-Tabla2[[#This Row],[Costos (En RD$/Tarea)]])</f>
        <v>-333.3013740953611</v>
      </c>
      <c r="O1524" s="6">
        <f>IF(Tabla2[[#This Row],[Costos (En RD$/Tarea)]]=0,0,Tabla2[[#This Row],[Beneficio Neto  (En RD$/Tarea)]]/Tabla2[[#This Row],[Costos (En RD$/Tarea)]])</f>
        <v>-3.1749303332674353E-2</v>
      </c>
      <c r="P1524" s="4">
        <f>Tabla2[[#This Row],[Rentabilidad (%)]]/12</f>
        <v>-2.6457752777228629E-3</v>
      </c>
    </row>
    <row r="1525" spans="1:16" x14ac:dyDescent="0.35">
      <c r="A1525" s="1">
        <v>40360</v>
      </c>
      <c r="B1525" t="s">
        <v>33</v>
      </c>
      <c r="C1525" s="2">
        <v>697721</v>
      </c>
      <c r="D1525" s="2" t="s">
        <v>31</v>
      </c>
      <c r="E1525" s="8">
        <f>IF(Tabla2[[#This Row],[Frecuencia]]="Annual", Tabla2[[#This Row],[Cosecha/Tarea]]/12,Tabla2[[#This Row],[Cosecha/Tarea]])</f>
        <v>58143.416666666664</v>
      </c>
      <c r="F1525" s="2">
        <v>163689</v>
      </c>
      <c r="G1525" t="s">
        <v>34</v>
      </c>
      <c r="H1525">
        <f>F1525/Tabla2[[#This Row],[Cosecha Mensual]]</f>
        <v>2.8152628342847645</v>
      </c>
      <c r="I1525">
        <f>H1525*_xlfn.XLOOKUP(Tabla2[[#This Row],[Unidad de producción]],Tabla3[Medida],Tabla3[Equivalencia en Kg],"ELVIS",0)</f>
        <v>1149.0495258133267</v>
      </c>
      <c r="J1525">
        <v>3303.5952380952399</v>
      </c>
      <c r="K1525" t="s">
        <v>34</v>
      </c>
      <c r="L1525">
        <f>J1525/_xlfn.XLOOKUP(Tabla2[[#This Row],[Unidad de precio]],Tabla3[Medida],Tabla3[Equivalencia en Kg],"ELVIS",0)</f>
        <v>8.094071390653534</v>
      </c>
      <c r="M1525" s="2">
        <v>9292.9734969082201</v>
      </c>
      <c r="N1525" s="2">
        <f>(Tabla2[[#This Row],[Productividad (kg/TAS)]]*Tabla2[[#This Row],[Precio por kg]]-Tabla2[[#This Row],[Costos (En RD$/Tarea)]])</f>
        <v>7.5153964214368898</v>
      </c>
      <c r="O1525" s="6">
        <f>IF(Tabla2[[#This Row],[Costos (En RD$/Tarea)]]=0,0,Tabla2[[#This Row],[Beneficio Neto  (En RD$/Tarea)]]/Tabla2[[#This Row],[Costos (En RD$/Tarea)]])</f>
        <v>8.0871815936387511E-4</v>
      </c>
      <c r="P1525" s="4">
        <f>Tabla2[[#This Row],[Rentabilidad (%)]]/12</f>
        <v>6.7393179946989597E-5</v>
      </c>
    </row>
    <row r="1526" spans="1:16" x14ac:dyDescent="0.35">
      <c r="A1526" s="1">
        <v>40391</v>
      </c>
      <c r="B1526" t="s">
        <v>16</v>
      </c>
      <c r="C1526" s="2">
        <v>102792</v>
      </c>
      <c r="D1526" s="5" t="s">
        <v>17</v>
      </c>
      <c r="E1526" s="2">
        <f>IF(Tabla2[[#This Row],[Frecuencia]]="Annual", Tabla2[[#This Row],[Cosecha/Tarea]]/12,Tabla2[[#This Row],[Cosecha/Tarea]])</f>
        <v>102792</v>
      </c>
      <c r="F1526" s="2">
        <v>421044</v>
      </c>
      <c r="G1526" t="s">
        <v>18</v>
      </c>
      <c r="H1526">
        <f>F1526/Tabla2[[#This Row],[Cosecha Mensual]]</f>
        <v>4.0960775157599816</v>
      </c>
      <c r="I1526">
        <f>H1526*_xlfn.XLOOKUP(Tabla2[[#This Row],[Unidad de producción]],Tabla3[Medida],Tabla3[Equivalencia en Kg],"ELVIS",0)</f>
        <v>185.79807611487277</v>
      </c>
      <c r="J1526">
        <v>1825.3533333333301</v>
      </c>
      <c r="K1526" t="s">
        <v>19</v>
      </c>
      <c r="L1526">
        <f>J1526/_xlfn.XLOOKUP(Tabla2[[#This Row],[Unidad de precio]],Tabla3[Medida],Tabla3[Equivalencia en Kg],"ELVIS",0)</f>
        <v>16.594121212121184</v>
      </c>
      <c r="M1526">
        <v>7449.8087382093299</v>
      </c>
      <c r="N1526" s="2">
        <f>(Tabla2[[#This Row],[Productividad (kg/TAS)]]*Tabla2[[#This Row],[Precio por kg]]-Tabla2[[#This Row],[Costos (En RD$/Tarea)]])</f>
        <v>-4366.6529421802134</v>
      </c>
      <c r="O1526" s="6">
        <f>IF(Tabla2[[#This Row],[Costos (En RD$/Tarea)]]=0,0,Tabla2[[#This Row],[Beneficio Neto  (En RD$/Tarea)]]/Tabla2[[#This Row],[Costos (En RD$/Tarea)]])</f>
        <v>-0.58614295958822182</v>
      </c>
      <c r="P1526" s="4">
        <f>Tabla2[[#This Row],[Rentabilidad (%)]]/12</f>
        <v>-4.8845246632351819E-2</v>
      </c>
    </row>
    <row r="1527" spans="1:16" x14ac:dyDescent="0.35">
      <c r="A1527" s="1">
        <v>40391</v>
      </c>
      <c r="B1527" t="s">
        <v>20</v>
      </c>
      <c r="C1527" s="2">
        <v>33529</v>
      </c>
      <c r="D1527" s="5" t="s">
        <v>17</v>
      </c>
      <c r="E1527" s="2">
        <f>IF(Tabla2[[#This Row],[Frecuencia]]="Annual", Tabla2[[#This Row],[Cosecha/Tarea]]/12,Tabla2[[#This Row],[Cosecha/Tarea]])</f>
        <v>33529</v>
      </c>
      <c r="F1527" s="2">
        <v>94536</v>
      </c>
      <c r="G1527" t="s">
        <v>18</v>
      </c>
      <c r="H1527">
        <f>F1527/Tabla2[[#This Row],[Cosecha Mensual]]</f>
        <v>2.8195293626412954</v>
      </c>
      <c r="I1527">
        <f>H1527*_xlfn.XLOOKUP(Tabla2[[#This Row],[Unidad de producción]],Tabla3[Medida],Tabla3[Equivalencia en Kg],"ELVIS",0)</f>
        <v>127.89385188940916</v>
      </c>
      <c r="J1527">
        <v>675.02777777777806</v>
      </c>
      <c r="K1527" t="s">
        <v>18</v>
      </c>
      <c r="L1527">
        <f>J1527/_xlfn.XLOOKUP(Tabla2[[#This Row],[Unidad de precio]],Tabla3[Medida],Tabla3[Equivalencia en Kg],"ELVIS",0)</f>
        <v>14.881564765824031</v>
      </c>
      <c r="M1527">
        <v>2162.02023182316</v>
      </c>
      <c r="N1527" s="2">
        <f>(Tabla2[[#This Row],[Productividad (kg/TAS)]]*Tabla2[[#This Row],[Precio por kg]]-Tabla2[[#This Row],[Costos (En RD$/Tarea)]])</f>
        <v>-258.75959178021139</v>
      </c>
      <c r="O1527" s="6">
        <f>IF(Tabla2[[#This Row],[Costos (En RD$/Tarea)]]=0,0,Tabla2[[#This Row],[Beneficio Neto  (En RD$/Tarea)]]/Tabla2[[#This Row],[Costos (En RD$/Tarea)]])</f>
        <v>-0.11968416760004508</v>
      </c>
      <c r="P1527" s="4">
        <f>Tabla2[[#This Row],[Rentabilidad (%)]]/12</f>
        <v>-9.9736806333370898E-3</v>
      </c>
    </row>
    <row r="1528" spans="1:16" x14ac:dyDescent="0.35">
      <c r="A1528" s="1">
        <v>40391</v>
      </c>
      <c r="B1528" t="s">
        <v>21</v>
      </c>
      <c r="C1528" s="2">
        <v>6231</v>
      </c>
      <c r="D1528" s="5" t="s">
        <v>17</v>
      </c>
      <c r="E1528" s="2">
        <f>IF(Tabla2[[#This Row],[Frecuencia]]="Annual", Tabla2[[#This Row],[Cosecha/Tarea]]/12,Tabla2[[#This Row],[Cosecha/Tarea]])</f>
        <v>6231</v>
      </c>
      <c r="F1528" s="2">
        <v>74031</v>
      </c>
      <c r="G1528" t="s">
        <v>18</v>
      </c>
      <c r="H1528">
        <f>F1528/Tabla2[[#This Row],[Cosecha Mensual]]</f>
        <v>11.881078478574867</v>
      </c>
      <c r="I1528">
        <f>H1528*_xlfn.XLOOKUP(Tabla2[[#This Row],[Unidad de producción]],Tabla3[Medida],Tabla3[Equivalencia en Kg],"ELVIS",0)</f>
        <v>538.92571978815602</v>
      </c>
      <c r="J1528">
        <v>402.52499999999998</v>
      </c>
      <c r="K1528" t="s">
        <v>18</v>
      </c>
      <c r="L1528">
        <f>J1528/_xlfn.XLOOKUP(Tabla2[[#This Row],[Unidad de precio]],Tabla3[Medida],Tabla3[Equivalencia en Kg],"ELVIS",0)</f>
        <v>8.8740079365079367</v>
      </c>
      <c r="M1528">
        <v>4521.4268874999998</v>
      </c>
      <c r="N1528" s="2">
        <f>(Tabla2[[#This Row],[Productividad (kg/TAS)]]*Tabla2[[#This Row],[Precio por kg]]-Tabla2[[#This Row],[Costos (En RD$/Tarea)]])</f>
        <v>261.00422708834867</v>
      </c>
      <c r="O1528" s="6">
        <f>IF(Tabla2[[#This Row],[Costos (En RD$/Tarea)]]=0,0,Tabla2[[#This Row],[Beneficio Neto  (En RD$/Tarea)]]/Tabla2[[#This Row],[Costos (En RD$/Tarea)]])</f>
        <v>5.7726074883556036E-2</v>
      </c>
      <c r="P1528" s="4">
        <f>Tabla2[[#This Row],[Rentabilidad (%)]]/12</f>
        <v>4.8105062402963366E-3</v>
      </c>
    </row>
    <row r="1529" spans="1:16" x14ac:dyDescent="0.35">
      <c r="A1529" s="1">
        <v>40391</v>
      </c>
      <c r="B1529" t="s">
        <v>22</v>
      </c>
      <c r="C1529" s="2">
        <v>2537</v>
      </c>
      <c r="D1529" s="5" t="s">
        <v>17</v>
      </c>
      <c r="E1529" s="2">
        <f>IF(Tabla2[[#This Row],[Frecuencia]]="Annual", Tabla2[[#This Row],[Cosecha/Tarea]]/12,Tabla2[[#This Row],[Cosecha/Tarea]])</f>
        <v>2537</v>
      </c>
      <c r="F1529" s="2">
        <v>22710</v>
      </c>
      <c r="G1529" t="s">
        <v>18</v>
      </c>
      <c r="H1529">
        <f>F1529/Tabla2[[#This Row],[Cosecha Mensual]]</f>
        <v>8.9515175404020493</v>
      </c>
      <c r="I1529">
        <f>H1529*_xlfn.XLOOKUP(Tabla2[[#This Row],[Unidad de producción]],Tabla3[Medida],Tabla3[Equivalencia en Kg],"ELVIS",0)</f>
        <v>406.04083563263697</v>
      </c>
      <c r="J1529">
        <v>1166.9791666666699</v>
      </c>
      <c r="K1529" t="s">
        <v>18</v>
      </c>
      <c r="L1529">
        <f>J1529/_xlfn.XLOOKUP(Tabla2[[#This Row],[Unidad de precio]],Tabla3[Medida],Tabla3[Equivalencia en Kg],"ELVIS",0)</f>
        <v>25.727053938859566</v>
      </c>
      <c r="M1529">
        <v>7599.7694060736003</v>
      </c>
      <c r="N1529" s="2">
        <f>(Tabla2[[#This Row],[Productividad (kg/TAS)]]*Tabla2[[#This Row],[Precio por kg]]-Tabla2[[#This Row],[Costos (En RD$/Tarea)]])</f>
        <v>2846.4650736268622</v>
      </c>
      <c r="O1529" s="6">
        <f>IF(Tabla2[[#This Row],[Costos (En RD$/Tarea)]]=0,0,Tabla2[[#This Row],[Beneficio Neto  (En RD$/Tarea)]]/Tabla2[[#This Row],[Costos (En RD$/Tarea)]])</f>
        <v>0.37454624233098677</v>
      </c>
      <c r="P1529" s="4">
        <f>Tabla2[[#This Row],[Rentabilidad (%)]]/12</f>
        <v>3.1212186860915564E-2</v>
      </c>
    </row>
    <row r="1530" spans="1:16" x14ac:dyDescent="0.35">
      <c r="A1530" s="1">
        <v>40391</v>
      </c>
      <c r="B1530" t="s">
        <v>23</v>
      </c>
      <c r="C1530" s="2">
        <v>2501</v>
      </c>
      <c r="D1530" s="5" t="s">
        <v>17</v>
      </c>
      <c r="E1530" s="2">
        <f>IF(Tabla2[[#This Row],[Frecuencia]]="Annual", Tabla2[[#This Row],[Cosecha/Tarea]]/12,Tabla2[[#This Row],[Cosecha/Tarea]])</f>
        <v>2501</v>
      </c>
      <c r="F1530" s="2">
        <v>82741</v>
      </c>
      <c r="G1530" t="s">
        <v>18</v>
      </c>
      <c r="H1530">
        <f>F1530/Tabla2[[#This Row],[Cosecha Mensual]]</f>
        <v>33.083166733306676</v>
      </c>
      <c r="I1530">
        <f>H1530*_xlfn.XLOOKUP(Tabla2[[#This Row],[Unidad de producción]],Tabla3[Medida],Tabla3[Equivalencia en Kg],"ELVIS",0)</f>
        <v>1500.6524430227907</v>
      </c>
      <c r="J1530">
        <v>764.44444444444503</v>
      </c>
      <c r="K1530" t="s">
        <v>18</v>
      </c>
      <c r="L1530">
        <f>J1530/_xlfn.XLOOKUP(Tabla2[[#This Row],[Unidad de precio]],Tabla3[Medida],Tabla3[Equivalencia en Kg],"ELVIS",0)</f>
        <v>16.852831667646495</v>
      </c>
      <c r="M1530">
        <v>20327.21</v>
      </c>
      <c r="N1530" s="2">
        <f>(Tabla2[[#This Row],[Productividad (kg/TAS)]]*Tabla2[[#This Row],[Precio por kg]]-Tabla2[[#This Row],[Costos (En RD$/Tarea)]])</f>
        <v>4963.0330139055659</v>
      </c>
      <c r="O1530" s="6">
        <f>IF(Tabla2[[#This Row],[Costos (En RD$/Tarea)]]=0,0,Tabla2[[#This Row],[Beneficio Neto  (En RD$/Tarea)]]/Tabla2[[#This Row],[Costos (En RD$/Tarea)]])</f>
        <v>0.24415711816356334</v>
      </c>
      <c r="P1530" s="4">
        <f>Tabla2[[#This Row],[Rentabilidad (%)]]/12</f>
        <v>2.0346426513630278E-2</v>
      </c>
    </row>
    <row r="1531" spans="1:16" x14ac:dyDescent="0.35">
      <c r="A1531" s="1">
        <v>40391</v>
      </c>
      <c r="B1531" t="s">
        <v>24</v>
      </c>
      <c r="C1531" s="2">
        <v>3945</v>
      </c>
      <c r="D1531" s="5" t="s">
        <v>17</v>
      </c>
      <c r="E1531" s="2">
        <f>IF(Tabla2[[#This Row],[Frecuencia]]="Annual", Tabla2[[#This Row],[Cosecha/Tarea]]/12,Tabla2[[#This Row],[Cosecha/Tarea]])</f>
        <v>3945</v>
      </c>
      <c r="F1531" s="2">
        <v>32808</v>
      </c>
      <c r="G1531" t="s">
        <v>18</v>
      </c>
      <c r="H1531">
        <f>F1531/Tabla2[[#This Row],[Cosecha Mensual]]</f>
        <v>8.3163498098859314</v>
      </c>
      <c r="I1531">
        <f>H1531*_xlfn.XLOOKUP(Tabla2[[#This Row],[Unidad de producción]],Tabla3[Medida],Tabla3[Equivalencia en Kg],"ELVIS",0)</f>
        <v>377.22962737642587</v>
      </c>
      <c r="J1531">
        <v>1334.25</v>
      </c>
      <c r="K1531" t="s">
        <v>18</v>
      </c>
      <c r="L1531">
        <f>J1531/_xlfn.XLOOKUP(Tabla2[[#This Row],[Unidad de precio]],Tabla3[Medida],Tabla3[Equivalencia en Kg],"ELVIS",0)</f>
        <v>29.414682539682541</v>
      </c>
      <c r="M1531">
        <v>6579.6044973695998</v>
      </c>
      <c r="N1531" s="2">
        <f>(Tabla2[[#This Row],[Productividad (kg/TAS)]]*Tabla2[[#This Row],[Precio por kg]]-Tabla2[[#This Row],[Costos (En RD$/Tarea)]])</f>
        <v>4516.4852364707049</v>
      </c>
      <c r="O1531" s="6">
        <f>IF(Tabla2[[#This Row],[Costos (En RD$/Tarea)]]=0,0,Tabla2[[#This Row],[Beneficio Neto  (En RD$/Tarea)]]/Tabla2[[#This Row],[Costos (En RD$/Tarea)]])</f>
        <v>0.68643719212550081</v>
      </c>
      <c r="P1531" s="4">
        <f>Tabla2[[#This Row],[Rentabilidad (%)]]/12</f>
        <v>5.7203099343791732E-2</v>
      </c>
    </row>
    <row r="1532" spans="1:16" x14ac:dyDescent="0.35">
      <c r="A1532" s="1">
        <v>40391</v>
      </c>
      <c r="B1532" t="s">
        <v>25</v>
      </c>
      <c r="C1532" s="2">
        <v>21884</v>
      </c>
      <c r="D1532" s="5" t="s">
        <v>17</v>
      </c>
      <c r="E1532" s="2">
        <f>IF(Tabla2[[#This Row],[Frecuencia]]="Annual", Tabla2[[#This Row],[Cosecha/Tarea]]/12,Tabla2[[#This Row],[Cosecha/Tarea]])</f>
        <v>21884</v>
      </c>
      <c r="F1532" s="2">
        <v>264037</v>
      </c>
      <c r="G1532" t="s">
        <v>18</v>
      </c>
      <c r="H1532">
        <f>F1532/Tabla2[[#This Row],[Cosecha Mensual]]</f>
        <v>12.065298848473772</v>
      </c>
      <c r="I1532">
        <f>H1532*_xlfn.XLOOKUP(Tabla2[[#This Row],[Unidad de producción]],Tabla3[Medida],Tabla3[Equivalencia en Kg],"ELVIS",0)</f>
        <v>547.28195576677024</v>
      </c>
      <c r="J1532">
        <v>242.618333333333</v>
      </c>
      <c r="K1532" t="s">
        <v>18</v>
      </c>
      <c r="L1532">
        <f>J1532/_xlfn.XLOOKUP(Tabla2[[#This Row],[Unidad de precio]],Tabla3[Medida],Tabla3[Equivalencia en Kg],"ELVIS",0)</f>
        <v>5.3487286890064594</v>
      </c>
      <c r="M1532">
        <v>3734.0064399798498</v>
      </c>
      <c r="N1532" s="2">
        <f>(Tabla2[[#This Row],[Productividad (kg/TAS)]]*Tabla2[[#This Row],[Precio por kg]]-Tabla2[[#This Row],[Costos (En RD$/Tarea)]])</f>
        <v>-806.74374219456195</v>
      </c>
      <c r="O1532" s="6">
        <f>IF(Tabla2[[#This Row],[Costos (En RD$/Tarea)]]=0,0,Tabla2[[#This Row],[Beneficio Neto  (En RD$/Tarea)]]/Tabla2[[#This Row],[Costos (En RD$/Tarea)]])</f>
        <v>-0.21605312019732764</v>
      </c>
      <c r="P1532" s="4">
        <f>Tabla2[[#This Row],[Rentabilidad (%)]]/12</f>
        <v>-1.8004426683110638E-2</v>
      </c>
    </row>
    <row r="1533" spans="1:16" x14ac:dyDescent="0.35">
      <c r="A1533" s="1">
        <v>40391</v>
      </c>
      <c r="B1533" t="s">
        <v>26</v>
      </c>
      <c r="C1533" s="2">
        <v>8508</v>
      </c>
      <c r="D1533" s="5" t="s">
        <v>17</v>
      </c>
      <c r="E1533" s="2">
        <f>IF(Tabla2[[#This Row],[Frecuencia]]="Annual", Tabla2[[#This Row],[Cosecha/Tarea]]/12,Tabla2[[#This Row],[Cosecha/Tarea]])</f>
        <v>8508</v>
      </c>
      <c r="F1533" s="2">
        <v>45127</v>
      </c>
      <c r="G1533" t="s">
        <v>18</v>
      </c>
      <c r="H1533">
        <f>F1533/Tabla2[[#This Row],[Cosecha Mensual]]</f>
        <v>5.3040667606958154</v>
      </c>
      <c r="I1533">
        <f>H1533*_xlfn.XLOOKUP(Tabla2[[#This Row],[Unidad de producción]],Tabla3[Medida],Tabla3[Equivalencia en Kg],"ELVIS",0)</f>
        <v>240.59246826516218</v>
      </c>
      <c r="J1533">
        <v>648.88416666666706</v>
      </c>
      <c r="K1533" t="s">
        <v>18</v>
      </c>
      <c r="L1533">
        <f>J1533/_xlfn.XLOOKUP(Tabla2[[#This Row],[Unidad de precio]],Tabla3[Medida],Tabla3[Equivalencia en Kg],"ELVIS",0)</f>
        <v>14.305206496178727</v>
      </c>
      <c r="M1533">
        <v>1771.21219288463</v>
      </c>
      <c r="N1533" s="2">
        <f>(Tabla2[[#This Row],[Productividad (kg/TAS)]]*Tabla2[[#This Row],[Precio por kg]]-Tabla2[[#This Row],[Costos (En RD$/Tarea)]])</f>
        <v>1670.5127470738421</v>
      </c>
      <c r="O1533" s="6">
        <f>IF(Tabla2[[#This Row],[Costos (En RD$/Tarea)]]=0,0,Tabla2[[#This Row],[Beneficio Neto  (En RD$/Tarea)]]/Tabla2[[#This Row],[Costos (En RD$/Tarea)]])</f>
        <v>0.94314659405839629</v>
      </c>
      <c r="P1533" s="4">
        <f>Tabla2[[#This Row],[Rentabilidad (%)]]/12</f>
        <v>7.8595549504866358E-2</v>
      </c>
    </row>
    <row r="1534" spans="1:16" x14ac:dyDescent="0.35">
      <c r="A1534" s="1">
        <v>40391</v>
      </c>
      <c r="B1534" t="s">
        <v>27</v>
      </c>
      <c r="C1534" s="2">
        <v>4589</v>
      </c>
      <c r="D1534" s="5" t="s">
        <v>17</v>
      </c>
      <c r="E1534" s="2">
        <f>IF(Tabla2[[#This Row],[Frecuencia]]="Annual", Tabla2[[#This Row],[Cosecha/Tarea]]/12,Tabla2[[#This Row],[Cosecha/Tarea]])</f>
        <v>4589</v>
      </c>
      <c r="F1534" s="2">
        <v>27687</v>
      </c>
      <c r="G1534" t="s">
        <v>18</v>
      </c>
      <c r="H1534">
        <f>F1534/Tabla2[[#This Row],[Cosecha Mensual]]</f>
        <v>6.0333405970799738</v>
      </c>
      <c r="I1534">
        <f>H1534*_xlfn.XLOOKUP(Tabla2[[#This Row],[Unidad de producción]],Tabla3[Medida],Tabla3[Equivalencia en Kg],"ELVIS",0)</f>
        <v>273.67232948354763</v>
      </c>
      <c r="J1534">
        <v>603.29999999999995</v>
      </c>
      <c r="K1534" t="s">
        <v>18</v>
      </c>
      <c r="L1534">
        <f>J1534/_xlfn.XLOOKUP(Tabla2[[#This Row],[Unidad de precio]],Tabla3[Medida],Tabla3[Equivalencia en Kg],"ELVIS",0)</f>
        <v>13.300264550264549</v>
      </c>
      <c r="M1534">
        <v>6142.3910746455704</v>
      </c>
      <c r="N1534" s="2">
        <f>(Tabla2[[#This Row],[Productividad (kg/TAS)]]*Tabla2[[#This Row],[Precio por kg]]-Tabla2[[#This Row],[Costos (En RD$/Tarea)]])</f>
        <v>-2502.4766924272221</v>
      </c>
      <c r="O1534" s="6">
        <f>IF(Tabla2[[#This Row],[Costos (En RD$/Tarea)]]=0,0,Tabla2[[#This Row],[Beneficio Neto  (En RD$/Tarea)]]/Tabla2[[#This Row],[Costos (En RD$/Tarea)]])</f>
        <v>-0.40741083757380597</v>
      </c>
      <c r="P1534" s="4">
        <f>Tabla2[[#This Row],[Rentabilidad (%)]]/12</f>
        <v>-3.3950903131150498E-2</v>
      </c>
    </row>
    <row r="1535" spans="1:16" x14ac:dyDescent="0.35">
      <c r="A1535" s="1">
        <v>40391</v>
      </c>
      <c r="B1535" t="s">
        <v>28</v>
      </c>
      <c r="C1535" s="2">
        <v>66607</v>
      </c>
      <c r="D1535" s="5" t="s">
        <v>17</v>
      </c>
      <c r="E1535" s="2">
        <f>IF(Tabla2[[#This Row],[Frecuencia]]="Annual", Tabla2[[#This Row],[Cosecha/Tarea]]/12,Tabla2[[#This Row],[Cosecha/Tarea]])</f>
        <v>66607</v>
      </c>
      <c r="F1535" s="2">
        <v>178249</v>
      </c>
      <c r="G1535" t="s">
        <v>29</v>
      </c>
      <c r="H1535">
        <f>F1535/Tabla2[[#This Row],[Cosecha Mensual]]</f>
        <v>2.6761301364721426</v>
      </c>
      <c r="I1535">
        <f>H1535*_xlfn.XLOOKUP(Tabla2[[#This Row],[Unidad de producción]],Tabla3[Medida],Tabla3[Equivalencia en Kg],"ELVIS",0)</f>
        <v>1504.8950209437448</v>
      </c>
      <c r="J1535">
        <v>5065.625</v>
      </c>
      <c r="K1535" t="s">
        <v>29</v>
      </c>
      <c r="L1535">
        <f>J1535/_xlfn.XLOOKUP(Tabla2[[#This Row],[Unidad de precio]],Tabla3[Medida],Tabla3[Equivalencia en Kg],"ELVIS",0)</f>
        <v>9.0081178646370521</v>
      </c>
      <c r="M1535">
        <v>6158.1190308947398</v>
      </c>
      <c r="N1535" s="2">
        <f>(Tabla2[[#This Row],[Productividad (kg/TAS)]]*Tabla2[[#This Row],[Precio por kg]]-Tabla2[[#This Row],[Costos (En RD$/Tarea)]])</f>
        <v>7398.1526916719586</v>
      </c>
      <c r="O1535" s="6">
        <f>IF(Tabla2[[#This Row],[Costos (En RD$/Tarea)]]=0,0,Tabla2[[#This Row],[Beneficio Neto  (En RD$/Tarea)]]/Tabla2[[#This Row],[Costos (En RD$/Tarea)]])</f>
        <v>1.2013656531411749</v>
      </c>
      <c r="P1535" s="4">
        <f>Tabla2[[#This Row],[Rentabilidad (%)]]/12</f>
        <v>0.10011380442843125</v>
      </c>
    </row>
    <row r="1536" spans="1:16" x14ac:dyDescent="0.35">
      <c r="A1536" s="1">
        <v>40391</v>
      </c>
      <c r="B1536" t="s">
        <v>30</v>
      </c>
      <c r="C1536" s="2">
        <v>344111</v>
      </c>
      <c r="D1536" s="2" t="s">
        <v>31</v>
      </c>
      <c r="E1536" s="2">
        <f>IF(Tabla2[[#This Row],[Frecuencia]]="Annual", Tabla2[[#This Row],[Cosecha/Tarea]]/12,Tabla2[[#This Row],[Cosecha/Tarea]])</f>
        <v>28675.916666666668</v>
      </c>
      <c r="F1536" s="2">
        <v>3203592</v>
      </c>
      <c r="G1536" t="s">
        <v>32</v>
      </c>
      <c r="H1536">
        <f>F1536/Tabla2[[#This Row],[Cosecha Mensual]]</f>
        <v>111.71716103234131</v>
      </c>
      <c r="I1536">
        <f>H1536*_xlfn.XLOOKUP(Tabla2[[#This Row],[Unidad de producción]],Tabla3[Medida],Tabla3[Equivalencia en Kg],"ELVIS",0)</f>
        <v>3039.8239516900071</v>
      </c>
      <c r="J1536">
        <v>98.337999999999994</v>
      </c>
      <c r="K1536" t="s">
        <v>32</v>
      </c>
      <c r="L1536">
        <f>J1536/_xlfn.XLOOKUP(Tabla2[[#This Row],[Unidad de precio]],Tabla3[Medida],Tabla3[Equivalencia en Kg],"ELVIS",0)</f>
        <v>3.6140389562660782</v>
      </c>
      <c r="M1536" s="2">
        <v>10497.9114219602</v>
      </c>
      <c r="N1536" s="2">
        <f>(Tabla2[[#This Row],[Productividad (kg/TAS)]]*Tabla2[[#This Row],[Precio por kg]]-Tabla2[[#This Row],[Costos (En RD$/Tarea)]])</f>
        <v>488.13075963817937</v>
      </c>
      <c r="O1536" s="6">
        <f>IF(Tabla2[[#This Row],[Costos (En RD$/Tarea)]]=0,0,Tabla2[[#This Row],[Beneficio Neto  (En RD$/Tarea)]]/Tabla2[[#This Row],[Costos (En RD$/Tarea)]])</f>
        <v>4.6497892772944943E-2</v>
      </c>
      <c r="P1536" s="4">
        <f>Tabla2[[#This Row],[Rentabilidad (%)]]/12</f>
        <v>3.8748243977454119E-3</v>
      </c>
    </row>
    <row r="1537" spans="1:16" x14ac:dyDescent="0.35">
      <c r="A1537" s="1">
        <v>40391</v>
      </c>
      <c r="B1537" t="s">
        <v>33</v>
      </c>
      <c r="C1537" s="2">
        <v>680055</v>
      </c>
      <c r="D1537" s="2" t="s">
        <v>31</v>
      </c>
      <c r="E1537" s="8">
        <f>IF(Tabla2[[#This Row],[Frecuencia]]="Annual", Tabla2[[#This Row],[Cosecha/Tarea]]/12,Tabla2[[#This Row],[Cosecha/Tarea]])</f>
        <v>56671.25</v>
      </c>
      <c r="F1537" s="2">
        <v>165959</v>
      </c>
      <c r="G1537" t="s">
        <v>34</v>
      </c>
      <c r="H1537">
        <f>F1537/Tabla2[[#This Row],[Cosecha Mensual]]</f>
        <v>2.928451375256413</v>
      </c>
      <c r="I1537">
        <f>H1537*_xlfn.XLOOKUP(Tabla2[[#This Row],[Unidad de producción]],Tabla3[Medida],Tabla3[Equivalencia en Kg],"ELVIS",0)</f>
        <v>1195.2474288109049</v>
      </c>
      <c r="J1537">
        <v>3285.0749999999998</v>
      </c>
      <c r="K1537" t="s">
        <v>34</v>
      </c>
      <c r="L1537">
        <f>J1537/_xlfn.XLOOKUP(Tabla2[[#This Row],[Unidad de precio]],Tabla3[Medida],Tabla3[Equivalencia en Kg],"ELVIS",0)</f>
        <v>8.0486953325983102</v>
      </c>
      <c r="M1537" s="2">
        <v>9292.9734969082201</v>
      </c>
      <c r="N1537" s="2">
        <f>(Tabla2[[#This Row],[Productividad (kg/TAS)]]*Tabla2[[#This Row],[Precio por kg]]-Tabla2[[#This Row],[Costos (En RD$/Tarea)]])</f>
        <v>327.20890466224046</v>
      </c>
      <c r="O1537" s="6">
        <f>IF(Tabla2[[#This Row],[Costos (En RD$/Tarea)]]=0,0,Tabla2[[#This Row],[Beneficio Neto  (En RD$/Tarea)]]/Tabla2[[#This Row],[Costos (En RD$/Tarea)]])</f>
        <v>3.5210355950235209E-2</v>
      </c>
      <c r="P1537" s="4">
        <f>Tabla2[[#This Row],[Rentabilidad (%)]]/12</f>
        <v>2.9341963291862672E-3</v>
      </c>
    </row>
    <row r="1538" spans="1:16" x14ac:dyDescent="0.35">
      <c r="A1538" s="1">
        <v>40422</v>
      </c>
      <c r="B1538" t="s">
        <v>16</v>
      </c>
      <c r="C1538" s="2">
        <v>226018</v>
      </c>
      <c r="D1538" s="5" t="s">
        <v>17</v>
      </c>
      <c r="E1538" s="2">
        <f>IF(Tabla2[[#This Row],[Frecuencia]]="Annual", Tabla2[[#This Row],[Cosecha/Tarea]]/12,Tabla2[[#This Row],[Cosecha/Tarea]])</f>
        <v>226018</v>
      </c>
      <c r="F1538" s="2">
        <v>1087356</v>
      </c>
      <c r="G1538" t="s">
        <v>18</v>
      </c>
      <c r="H1538">
        <f>F1538/Tabla2[[#This Row],[Cosecha Mensual]]</f>
        <v>4.8109265633710585</v>
      </c>
      <c r="I1538">
        <f>H1538*_xlfn.XLOOKUP(Tabla2[[#This Row],[Unidad de producción]],Tabla3[Medida],Tabla3[Equivalencia en Kg],"ELVIS",0)</f>
        <v>218.22362891451121</v>
      </c>
      <c r="J1538">
        <v>1682.3</v>
      </c>
      <c r="K1538" t="s">
        <v>19</v>
      </c>
      <c r="L1538">
        <f>J1538/_xlfn.XLOOKUP(Tabla2[[#This Row],[Unidad de precio]],Tabla3[Medida],Tabla3[Equivalencia en Kg],"ELVIS",0)</f>
        <v>15.293636363636363</v>
      </c>
      <c r="M1538">
        <v>7449.8087382093299</v>
      </c>
      <c r="N1538" s="2">
        <f>(Tabla2[[#This Row],[Productividad (kg/TAS)]]*Tabla2[[#This Row],[Precio por kg]]-Tabla2[[#This Row],[Costos (En RD$/Tarea)]])</f>
        <v>-4112.3759116376732</v>
      </c>
      <c r="O1538" s="6">
        <f>IF(Tabla2[[#This Row],[Costos (En RD$/Tarea)]]=0,0,Tabla2[[#This Row],[Beneficio Neto  (En RD$/Tarea)]]/Tabla2[[#This Row],[Costos (En RD$/Tarea)]])</f>
        <v>-0.55201093828700665</v>
      </c>
      <c r="P1538" s="4">
        <f>Tabla2[[#This Row],[Rentabilidad (%)]]/12</f>
        <v>-4.6000911523917221E-2</v>
      </c>
    </row>
    <row r="1539" spans="1:16" x14ac:dyDescent="0.35">
      <c r="A1539" s="1">
        <v>40422</v>
      </c>
      <c r="B1539" t="s">
        <v>20</v>
      </c>
      <c r="C1539" s="2">
        <v>54003</v>
      </c>
      <c r="D1539" s="5" t="s">
        <v>17</v>
      </c>
      <c r="E1539" s="2">
        <f>IF(Tabla2[[#This Row],[Frecuencia]]="Annual", Tabla2[[#This Row],[Cosecha/Tarea]]/12,Tabla2[[#This Row],[Cosecha/Tarea]])</f>
        <v>54003</v>
      </c>
      <c r="F1539" s="2">
        <v>105246</v>
      </c>
      <c r="G1539" t="s">
        <v>18</v>
      </c>
      <c r="H1539">
        <f>F1539/Tabla2[[#This Row],[Cosecha Mensual]]</f>
        <v>1.9488917282373202</v>
      </c>
      <c r="I1539">
        <f>H1539*_xlfn.XLOOKUP(Tabla2[[#This Row],[Unidad de producción]],Tabla3[Medida],Tabla3[Equivalencia en Kg],"ELVIS",0)</f>
        <v>88.401728792844835</v>
      </c>
      <c r="J1539">
        <v>577.54549999999995</v>
      </c>
      <c r="K1539" t="s">
        <v>18</v>
      </c>
      <c r="L1539">
        <f>J1539/_xlfn.XLOOKUP(Tabla2[[#This Row],[Unidad de precio]],Tabla3[Medida],Tabla3[Equivalencia en Kg],"ELVIS",0)</f>
        <v>12.732484567901233</v>
      </c>
      <c r="M1539">
        <v>2162.02023182316</v>
      </c>
      <c r="N1539" s="2">
        <f>(Tabla2[[#This Row],[Productividad (kg/TAS)]]*Tabla2[[#This Row],[Precio por kg]]-Tabla2[[#This Row],[Costos (En RD$/Tarea)]])</f>
        <v>-1036.446584192473</v>
      </c>
      <c r="O1539" s="6">
        <f>IF(Tabla2[[#This Row],[Costos (En RD$/Tarea)]]=0,0,Tabla2[[#This Row],[Beneficio Neto  (En RD$/Tarea)]]/Tabla2[[#This Row],[Costos (En RD$/Tarea)]])</f>
        <v>-0.47938801355178434</v>
      </c>
      <c r="P1539" s="4">
        <f>Tabla2[[#This Row],[Rentabilidad (%)]]/12</f>
        <v>-3.9949001129315362E-2</v>
      </c>
    </row>
    <row r="1540" spans="1:16" x14ac:dyDescent="0.35">
      <c r="A1540" s="1">
        <v>40422</v>
      </c>
      <c r="B1540" t="s">
        <v>21</v>
      </c>
      <c r="C1540" s="2">
        <v>5904</v>
      </c>
      <c r="D1540" s="5" t="s">
        <v>17</v>
      </c>
      <c r="E1540" s="2">
        <f>IF(Tabla2[[#This Row],[Frecuencia]]="Annual", Tabla2[[#This Row],[Cosecha/Tarea]]/12,Tabla2[[#This Row],[Cosecha/Tarea]])</f>
        <v>5904</v>
      </c>
      <c r="F1540" s="2">
        <v>72002</v>
      </c>
      <c r="G1540" t="s">
        <v>18</v>
      </c>
      <c r="H1540">
        <f>F1540/Tabla2[[#This Row],[Cosecha Mensual]]</f>
        <v>12.195460704607045</v>
      </c>
      <c r="I1540">
        <f>H1540*_xlfn.XLOOKUP(Tabla2[[#This Row],[Unidad de producción]],Tabla3[Medida],Tabla3[Equivalencia en Kg],"ELVIS",0)</f>
        <v>553.18609756097555</v>
      </c>
      <c r="J1540">
        <v>375.34964285714301</v>
      </c>
      <c r="K1540" t="s">
        <v>18</v>
      </c>
      <c r="L1540">
        <f>J1540/_xlfn.XLOOKUP(Tabla2[[#This Row],[Unidad de precio]],Tabla3[Medida],Tabla3[Equivalencia en Kg],"ELVIS",0)</f>
        <v>8.2749039430587086</v>
      </c>
      <c r="M1540">
        <v>4521.4268874999998</v>
      </c>
      <c r="N1540" s="2">
        <f>(Tabla2[[#This Row],[Productividad (kg/TAS)]]*Tabla2[[#This Row],[Precio por kg]]-Tabla2[[#This Row],[Costos (En RD$/Tarea)]])</f>
        <v>56.134932452576322</v>
      </c>
      <c r="O1540" s="6">
        <f>IF(Tabla2[[#This Row],[Costos (En RD$/Tarea)]]=0,0,Tabla2[[#This Row],[Beneficio Neto  (En RD$/Tarea)]]/Tabla2[[#This Row],[Costos (En RD$/Tarea)]])</f>
        <v>1.2415313539132469E-2</v>
      </c>
      <c r="P1540" s="4">
        <f>Tabla2[[#This Row],[Rentabilidad (%)]]/12</f>
        <v>1.0346094615943725E-3</v>
      </c>
    </row>
    <row r="1541" spans="1:16" x14ac:dyDescent="0.35">
      <c r="A1541" s="1">
        <v>40422</v>
      </c>
      <c r="B1541" t="s">
        <v>22</v>
      </c>
      <c r="C1541" s="2">
        <v>2507</v>
      </c>
      <c r="D1541" s="5" t="s">
        <v>17</v>
      </c>
      <c r="E1541" s="2">
        <f>IF(Tabla2[[#This Row],[Frecuencia]]="Annual", Tabla2[[#This Row],[Cosecha/Tarea]]/12,Tabla2[[#This Row],[Cosecha/Tarea]])</f>
        <v>2507</v>
      </c>
      <c r="F1541" s="2">
        <v>25583</v>
      </c>
      <c r="G1541" t="s">
        <v>18</v>
      </c>
      <c r="H1541">
        <f>F1541/Tabla2[[#This Row],[Cosecha Mensual]]</f>
        <v>10.204627044276027</v>
      </c>
      <c r="I1541">
        <f>H1541*_xlfn.XLOOKUP(Tabla2[[#This Row],[Unidad de producción]],Tabla3[Medida],Tabla3[Equivalencia en Kg],"ELVIS",0)</f>
        <v>462.88188272836055</v>
      </c>
      <c r="J1541">
        <v>1361.5</v>
      </c>
      <c r="K1541" t="s">
        <v>18</v>
      </c>
      <c r="L1541">
        <f>J1541/_xlfn.XLOOKUP(Tabla2[[#This Row],[Unidad de precio]],Tabla3[Medida],Tabla3[Equivalencia en Kg],"ELVIS",0)</f>
        <v>30.015432098765434</v>
      </c>
      <c r="M1541">
        <v>7599.7694060736003</v>
      </c>
      <c r="N1541" s="2">
        <f>(Tabla2[[#This Row],[Productividad (kg/TAS)]]*Tabla2[[#This Row],[Precio por kg]]-Tabla2[[#This Row],[Costos (En RD$/Tarea)]])</f>
        <v>6293.8303147082106</v>
      </c>
      <c r="O1541" s="6">
        <f>IF(Tabla2[[#This Row],[Costos (En RD$/Tarea)]]=0,0,Tabla2[[#This Row],[Beneficio Neto  (En RD$/Tarea)]]/Tabla2[[#This Row],[Costos (En RD$/Tarea)]])</f>
        <v>0.82816069520192204</v>
      </c>
      <c r="P1541" s="4">
        <f>Tabla2[[#This Row],[Rentabilidad (%)]]/12</f>
        <v>6.9013391266826832E-2</v>
      </c>
    </row>
    <row r="1542" spans="1:16" x14ac:dyDescent="0.35">
      <c r="A1542" s="1">
        <v>40422</v>
      </c>
      <c r="B1542" t="s">
        <v>23</v>
      </c>
      <c r="C1542" s="2">
        <v>1892</v>
      </c>
      <c r="D1542" s="5" t="s">
        <v>17</v>
      </c>
      <c r="E1542" s="2">
        <f>IF(Tabla2[[#This Row],[Frecuencia]]="Annual", Tabla2[[#This Row],[Cosecha/Tarea]]/12,Tabla2[[#This Row],[Cosecha/Tarea]])</f>
        <v>1892</v>
      </c>
      <c r="F1542" s="2">
        <v>72170</v>
      </c>
      <c r="G1542" t="s">
        <v>18</v>
      </c>
      <c r="H1542">
        <f>F1542/Tabla2[[#This Row],[Cosecha Mensual]]</f>
        <v>38.144820295983088</v>
      </c>
      <c r="I1542">
        <f>H1542*_xlfn.XLOOKUP(Tabla2[[#This Row],[Unidad de producción]],Tabla3[Medida],Tabla3[Equivalencia en Kg],"ELVIS",0)</f>
        <v>1730.2490486257927</v>
      </c>
      <c r="J1542">
        <v>718.75</v>
      </c>
      <c r="K1542" t="s">
        <v>18</v>
      </c>
      <c r="L1542">
        <f>J1542/_xlfn.XLOOKUP(Tabla2[[#This Row],[Unidad de precio]],Tabla3[Medida],Tabla3[Equivalencia en Kg],"ELVIS",0)</f>
        <v>15.845458553791888</v>
      </c>
      <c r="M1542">
        <v>20327.21</v>
      </c>
      <c r="N1542" s="2">
        <f>(Tabla2[[#This Row],[Productividad (kg/TAS)]]*Tabla2[[#This Row],[Precio por kg]]-Tabla2[[#This Row],[Costos (En RD$/Tarea)]])</f>
        <v>7089.3795877378434</v>
      </c>
      <c r="O1542" s="6">
        <f>IF(Tabla2[[#This Row],[Costos (En RD$/Tarea)]]=0,0,Tabla2[[#This Row],[Beneficio Neto  (En RD$/Tarea)]]/Tabla2[[#This Row],[Costos (En RD$/Tarea)]])</f>
        <v>0.34876304164407429</v>
      </c>
      <c r="P1542" s="4">
        <f>Tabla2[[#This Row],[Rentabilidad (%)]]/12</f>
        <v>2.9063586803672856E-2</v>
      </c>
    </row>
    <row r="1543" spans="1:16" x14ac:dyDescent="0.35">
      <c r="A1543" s="1">
        <v>40422</v>
      </c>
      <c r="B1543" t="s">
        <v>24</v>
      </c>
      <c r="C1543" s="2">
        <v>3800</v>
      </c>
      <c r="D1543" s="5" t="s">
        <v>17</v>
      </c>
      <c r="E1543" s="2">
        <f>IF(Tabla2[[#This Row],[Frecuencia]]="Annual", Tabla2[[#This Row],[Cosecha/Tarea]]/12,Tabla2[[#This Row],[Cosecha/Tarea]])</f>
        <v>3800</v>
      </c>
      <c r="F1543" s="2">
        <v>36286</v>
      </c>
      <c r="G1543" t="s">
        <v>18</v>
      </c>
      <c r="H1543">
        <f>F1543/Tabla2[[#This Row],[Cosecha Mensual]]</f>
        <v>9.548947368421052</v>
      </c>
      <c r="I1543">
        <f>H1543*_xlfn.XLOOKUP(Tabla2[[#This Row],[Unidad de producción]],Tabla3[Medida],Tabla3[Equivalencia en Kg],"ELVIS",0)</f>
        <v>433.1402526315789</v>
      </c>
      <c r="J1543">
        <v>1335.1949999999999</v>
      </c>
      <c r="K1543" t="s">
        <v>18</v>
      </c>
      <c r="L1543">
        <f>J1543/_xlfn.XLOOKUP(Tabla2[[#This Row],[Unidad de precio]],Tabla3[Medida],Tabla3[Equivalencia en Kg],"ELVIS",0)</f>
        <v>29.435515873015873</v>
      </c>
      <c r="M1543">
        <v>6579.6044973695998</v>
      </c>
      <c r="N1543" s="2">
        <f>(Tabla2[[#This Row],[Productividad (kg/TAS)]]*Tabla2[[#This Row],[Precio por kg]]-Tabla2[[#This Row],[Costos (En RD$/Tarea)]])</f>
        <v>6170.1022842093471</v>
      </c>
      <c r="O1543" s="6">
        <f>IF(Tabla2[[#This Row],[Costos (En RD$/Tarea)]]=0,0,Tabla2[[#This Row],[Beneficio Neto  (En RD$/Tarea)]]/Tabla2[[#This Row],[Costos (En RD$/Tarea)]])</f>
        <v>0.93776188016711892</v>
      </c>
      <c r="P1543" s="4">
        <f>Tabla2[[#This Row],[Rentabilidad (%)]]/12</f>
        <v>7.8146823347259906E-2</v>
      </c>
    </row>
    <row r="1544" spans="1:16" x14ac:dyDescent="0.35">
      <c r="A1544" s="1">
        <v>40422</v>
      </c>
      <c r="B1544" t="s">
        <v>25</v>
      </c>
      <c r="C1544" s="2">
        <v>23732</v>
      </c>
      <c r="D1544" s="5" t="s">
        <v>17</v>
      </c>
      <c r="E1544" s="2">
        <f>IF(Tabla2[[#This Row],[Frecuencia]]="Annual", Tabla2[[#This Row],[Cosecha/Tarea]]/12,Tabla2[[#This Row],[Cosecha/Tarea]])</f>
        <v>23732</v>
      </c>
      <c r="F1544" s="2">
        <v>293225</v>
      </c>
      <c r="G1544" t="s">
        <v>18</v>
      </c>
      <c r="H1544">
        <f>F1544/Tabla2[[#This Row],[Cosecha Mensual]]</f>
        <v>12.355680094387326</v>
      </c>
      <c r="I1544">
        <f>H1544*_xlfn.XLOOKUP(Tabla2[[#This Row],[Unidad de producción]],Tabla3[Medida],Tabla3[Equivalencia en Kg],"ELVIS",0)</f>
        <v>560.45364908140914</v>
      </c>
      <c r="J1544">
        <v>256.05374999999998</v>
      </c>
      <c r="K1544" t="s">
        <v>18</v>
      </c>
      <c r="L1544">
        <f>J1544/_xlfn.XLOOKUP(Tabla2[[#This Row],[Unidad de precio]],Tabla3[Medida],Tabla3[Equivalencia en Kg],"ELVIS",0)</f>
        <v>5.6449239417989414</v>
      </c>
      <c r="M1544">
        <v>3734.0064399798498</v>
      </c>
      <c r="N1544" s="2">
        <f>(Tabla2[[#This Row],[Productividad (kg/TAS)]]*Tabla2[[#This Row],[Precio por kg]]-Tabla2[[#This Row],[Costos (En RD$/Tarea)]])</f>
        <v>-570.28821801162121</v>
      </c>
      <c r="O1544" s="6">
        <f>IF(Tabla2[[#This Row],[Costos (En RD$/Tarea)]]=0,0,Tabla2[[#This Row],[Beneficio Neto  (En RD$/Tarea)]]/Tabla2[[#This Row],[Costos (En RD$/Tarea)]])</f>
        <v>-0.15272823632695681</v>
      </c>
      <c r="P1544" s="4">
        <f>Tabla2[[#This Row],[Rentabilidad (%)]]/12</f>
        <v>-1.2727353027246402E-2</v>
      </c>
    </row>
    <row r="1545" spans="1:16" x14ac:dyDescent="0.35">
      <c r="A1545" s="1">
        <v>40422</v>
      </c>
      <c r="B1545" t="s">
        <v>26</v>
      </c>
      <c r="C1545" s="2">
        <v>9160</v>
      </c>
      <c r="D1545" s="5" t="s">
        <v>17</v>
      </c>
      <c r="E1545" s="2">
        <f>IF(Tabla2[[#This Row],[Frecuencia]]="Annual", Tabla2[[#This Row],[Cosecha/Tarea]]/12,Tabla2[[#This Row],[Cosecha/Tarea]])</f>
        <v>9160</v>
      </c>
      <c r="F1545" s="2">
        <v>47885</v>
      </c>
      <c r="G1545" t="s">
        <v>18</v>
      </c>
      <c r="H1545">
        <f>F1545/Tabla2[[#This Row],[Cosecha Mensual]]</f>
        <v>5.2276200873362448</v>
      </c>
      <c r="I1545">
        <f>H1545*_xlfn.XLOOKUP(Tabla2[[#This Row],[Unidad de producción]],Tabla3[Medida],Tabla3[Equivalencia en Kg],"ELVIS",0)</f>
        <v>237.12484716157206</v>
      </c>
      <c r="J1545">
        <v>644.69047619047603</v>
      </c>
      <c r="K1545" t="s">
        <v>18</v>
      </c>
      <c r="L1545">
        <f>J1545/_xlfn.XLOOKUP(Tabla2[[#This Row],[Unidad de precio]],Tabla3[Medida],Tabla3[Equivalencia en Kg],"ELVIS",0)</f>
        <v>14.212753002435539</v>
      </c>
      <c r="M1545">
        <v>1771.21219288463</v>
      </c>
      <c r="N1545" s="2">
        <f>(Tabla2[[#This Row],[Productividad (kg/TAS)]]*Tabla2[[#This Row],[Precio por kg]]-Tabla2[[#This Row],[Costos (En RD$/Tarea)]])</f>
        <v>1598.9846905630716</v>
      </c>
      <c r="O1545" s="6">
        <f>IF(Tabla2[[#This Row],[Costos (En RD$/Tarea)]]=0,0,Tabla2[[#This Row],[Beneficio Neto  (En RD$/Tarea)]]/Tabla2[[#This Row],[Costos (En RD$/Tarea)]])</f>
        <v>0.90276291964710031</v>
      </c>
      <c r="P1545" s="4">
        <f>Tabla2[[#This Row],[Rentabilidad (%)]]/12</f>
        <v>7.5230243303925026E-2</v>
      </c>
    </row>
    <row r="1546" spans="1:16" x14ac:dyDescent="0.35">
      <c r="A1546" s="1">
        <v>40422</v>
      </c>
      <c r="B1546" t="s">
        <v>27</v>
      </c>
      <c r="C1546" s="2">
        <v>4213</v>
      </c>
      <c r="D1546" s="5" t="s">
        <v>17</v>
      </c>
      <c r="E1546" s="2">
        <f>IF(Tabla2[[#This Row],[Frecuencia]]="Annual", Tabla2[[#This Row],[Cosecha/Tarea]]/12,Tabla2[[#This Row],[Cosecha/Tarea]])</f>
        <v>4213</v>
      </c>
      <c r="F1546" s="2">
        <v>19191</v>
      </c>
      <c r="G1546" t="s">
        <v>18</v>
      </c>
      <c r="H1546">
        <f>F1546/Tabla2[[#This Row],[Cosecha Mensual]]</f>
        <v>4.5551863280322813</v>
      </c>
      <c r="I1546">
        <f>H1546*_xlfn.XLOOKUP(Tabla2[[#This Row],[Unidad de producción]],Tabla3[Medida],Tabla3[Equivalencia en Kg],"ELVIS",0)</f>
        <v>206.62325183954428</v>
      </c>
      <c r="J1546">
        <v>624.96428571428601</v>
      </c>
      <c r="K1546" t="s">
        <v>18</v>
      </c>
      <c r="L1546">
        <f>J1546/_xlfn.XLOOKUP(Tabla2[[#This Row],[Unidad de precio]],Tabla3[Medida],Tabla3[Equivalencia en Kg],"ELVIS",0)</f>
        <v>13.777872260015124</v>
      </c>
      <c r="M1546">
        <v>6142.3910746455704</v>
      </c>
      <c r="N1546" s="2">
        <f>(Tabla2[[#This Row],[Productividad (kg/TAS)]]*Tabla2[[#This Row],[Precio por kg]]-Tabla2[[#This Row],[Costos (En RD$/Tarea)]])</f>
        <v>-3295.5623048513944</v>
      </c>
      <c r="O1546" s="6">
        <f>IF(Tabla2[[#This Row],[Costos (En RD$/Tarea)]]=0,0,Tabla2[[#This Row],[Beneficio Neto  (En RD$/Tarea)]]/Tabla2[[#This Row],[Costos (En RD$/Tarea)]])</f>
        <v>-0.53652759402681893</v>
      </c>
      <c r="P1546" s="4">
        <f>Tabla2[[#This Row],[Rentabilidad (%)]]/12</f>
        <v>-4.4710632835568247E-2</v>
      </c>
    </row>
    <row r="1547" spans="1:16" x14ac:dyDescent="0.35">
      <c r="A1547" s="1">
        <v>40422</v>
      </c>
      <c r="B1547" t="s">
        <v>28</v>
      </c>
      <c r="C1547" s="2">
        <v>48516</v>
      </c>
      <c r="D1547" s="5" t="s">
        <v>17</v>
      </c>
      <c r="E1547" s="2">
        <f>IF(Tabla2[[#This Row],[Frecuencia]]="Annual", Tabla2[[#This Row],[Cosecha/Tarea]]/12,Tabla2[[#This Row],[Cosecha/Tarea]])</f>
        <v>48516</v>
      </c>
      <c r="F1547" s="2">
        <v>104524</v>
      </c>
      <c r="G1547" t="s">
        <v>29</v>
      </c>
      <c r="H1547">
        <f>F1547/Tabla2[[#This Row],[Cosecha Mensual]]</f>
        <v>2.1544232830406465</v>
      </c>
      <c r="I1547">
        <f>H1547*_xlfn.XLOOKUP(Tabla2[[#This Row],[Unidad de producción]],Tabla3[Medida],Tabla3[Equivalencia en Kg],"ELVIS",0)</f>
        <v>1211.5183889850773</v>
      </c>
      <c r="J1547">
        <v>3146.6875</v>
      </c>
      <c r="K1547" t="s">
        <v>29</v>
      </c>
      <c r="L1547">
        <f>J1547/_xlfn.XLOOKUP(Tabla2[[#This Row],[Unidad de precio]],Tabla3[Medida],Tabla3[Equivalencia en Kg],"ELVIS",0)</f>
        <v>5.5957027776789836</v>
      </c>
      <c r="M1547">
        <v>6158.1190308947398</v>
      </c>
      <c r="N1547" s="2">
        <f>(Tabla2[[#This Row],[Productividad (kg/TAS)]]*Tabla2[[#This Row],[Precio por kg]]-Tabla2[[#This Row],[Costos (En RD$/Tarea)]])</f>
        <v>621.17778355822429</v>
      </c>
      <c r="O1547" s="6">
        <f>IF(Tabla2[[#This Row],[Costos (En RD$/Tarea)]]=0,0,Tabla2[[#This Row],[Beneficio Neto  (En RD$/Tarea)]]/Tabla2[[#This Row],[Costos (En RD$/Tarea)]])</f>
        <v>0.10087135056042765</v>
      </c>
      <c r="P1547" s="4">
        <f>Tabla2[[#This Row],[Rentabilidad (%)]]/12</f>
        <v>8.4059458800356378E-3</v>
      </c>
    </row>
    <row r="1548" spans="1:16" x14ac:dyDescent="0.35">
      <c r="A1548" s="1">
        <v>40422</v>
      </c>
      <c r="B1548" t="s">
        <v>30</v>
      </c>
      <c r="C1548" s="2">
        <v>338309</v>
      </c>
      <c r="D1548" s="2" t="s">
        <v>31</v>
      </c>
      <c r="E1548" s="2">
        <f>IF(Tabla2[[#This Row],[Frecuencia]]="Annual", Tabla2[[#This Row],[Cosecha/Tarea]]/12,Tabla2[[#This Row],[Cosecha/Tarea]])</f>
        <v>28192.416666666668</v>
      </c>
      <c r="F1548" s="2">
        <v>2824640</v>
      </c>
      <c r="G1548" t="s">
        <v>32</v>
      </c>
      <c r="H1548">
        <f>F1548/Tabla2[[#This Row],[Cosecha Mensual]]</f>
        <v>100.19148175188954</v>
      </c>
      <c r="I1548">
        <f>H1548*_xlfn.XLOOKUP(Tabla2[[#This Row],[Unidad de producción]],Tabla3[Medida],Tabla3[Equivalencia en Kg],"ELVIS",0)</f>
        <v>2726.2102184689143</v>
      </c>
      <c r="J1548">
        <v>104.510416666667</v>
      </c>
      <c r="K1548" t="s">
        <v>32</v>
      </c>
      <c r="L1548">
        <f>J1548/_xlfn.XLOOKUP(Tabla2[[#This Row],[Unidad de precio]],Tabla3[Medida],Tabla3[Equivalencia en Kg],"ELVIS",0)</f>
        <v>3.8408826411858508</v>
      </c>
      <c r="M1548" s="2">
        <v>10497.9114219602</v>
      </c>
      <c r="N1548" s="2">
        <f>(Tabla2[[#This Row],[Productividad (kg/TAS)]]*Tabla2[[#This Row],[Precio por kg]]-Tabla2[[#This Row],[Costos (En RD$/Tarea)]])</f>
        <v>-26.857917619461659</v>
      </c>
      <c r="O1548" s="6">
        <f>IF(Tabla2[[#This Row],[Costos (En RD$/Tarea)]]=0,0,Tabla2[[#This Row],[Beneficio Neto  (En RD$/Tarea)]]/Tabla2[[#This Row],[Costos (En RD$/Tarea)]])</f>
        <v>-2.5584058142535436E-3</v>
      </c>
      <c r="P1548" s="4">
        <f>Tabla2[[#This Row],[Rentabilidad (%)]]/12</f>
        <v>-2.1320048452112863E-4</v>
      </c>
    </row>
    <row r="1549" spans="1:16" x14ac:dyDescent="0.35">
      <c r="A1549" s="1">
        <v>40422</v>
      </c>
      <c r="B1549" t="s">
        <v>33</v>
      </c>
      <c r="C1549" s="2">
        <v>696338</v>
      </c>
      <c r="D1549" s="2" t="s">
        <v>31</v>
      </c>
      <c r="E1549" s="2">
        <f>IF(Tabla2[[#This Row],[Frecuencia]]="Annual", Tabla2[[#This Row],[Cosecha/Tarea]]/12,Tabla2[[#This Row],[Cosecha/Tarea]])</f>
        <v>58028.166666666664</v>
      </c>
      <c r="F1549" s="2">
        <v>147333</v>
      </c>
      <c r="G1549" t="s">
        <v>34</v>
      </c>
      <c r="H1549">
        <f>F1549/Tabla2[[#This Row],[Cosecha Mensual]]</f>
        <v>2.5389911221274728</v>
      </c>
      <c r="I1549">
        <f>H1549*_xlfn.XLOOKUP(Tabla2[[#This Row],[Unidad de producción]],Tabla3[Medida],Tabla3[Equivalencia en Kg],"ELVIS",0)</f>
        <v>1036.289226496328</v>
      </c>
      <c r="J1549">
        <v>3468.9354166666699</v>
      </c>
      <c r="K1549" t="s">
        <v>34</v>
      </c>
      <c r="L1549">
        <f>J1549/_xlfn.XLOOKUP(Tabla2[[#This Row],[Unidad de precio]],Tabla3[Medida],Tabla3[Equivalencia en Kg],"ELVIS",0)</f>
        <v>8.4991679937931401</v>
      </c>
      <c r="M1549" s="2">
        <v>9292.9734969082201</v>
      </c>
      <c r="N1549" s="2">
        <f>(Tabla2[[#This Row],[Productividad (kg/TAS)]]*Tabla2[[#This Row],[Precio por kg]]-Tabla2[[#This Row],[Costos (En RD$/Tarea)]])</f>
        <v>-485.3772707579792</v>
      </c>
      <c r="O1549" s="6">
        <f>IF(Tabla2[[#This Row],[Costos (En RD$/Tarea)]]=0,0,Tabla2[[#This Row],[Beneficio Neto  (En RD$/Tarea)]]/Tabla2[[#This Row],[Costos (En RD$/Tarea)]])</f>
        <v>-5.223056655864397E-2</v>
      </c>
      <c r="P1549" s="4">
        <f>Tabla2[[#This Row],[Rentabilidad (%)]]/12</f>
        <v>-4.3525472132203312E-3</v>
      </c>
    </row>
    <row r="1550" spans="1:16" x14ac:dyDescent="0.35">
      <c r="A1550" s="1">
        <v>40452</v>
      </c>
      <c r="B1550" t="s">
        <v>16</v>
      </c>
      <c r="C1550" s="2">
        <v>573490</v>
      </c>
      <c r="D1550" s="5" t="s">
        <v>17</v>
      </c>
      <c r="E1550" s="2">
        <f>IF(Tabla2[[#This Row],[Frecuencia]]="Annual", Tabla2[[#This Row],[Cosecha/Tarea]]/12,Tabla2[[#This Row],[Cosecha/Tarea]])</f>
        <v>573490</v>
      </c>
      <c r="F1550" s="2">
        <v>2358911</v>
      </c>
      <c r="G1550" t="s">
        <v>18</v>
      </c>
      <c r="H1550">
        <f>F1550/Tabla2[[#This Row],[Cosecha Mensual]]</f>
        <v>4.1132556801339168</v>
      </c>
      <c r="I1550">
        <f>H1550*_xlfn.XLOOKUP(Tabla2[[#This Row],[Unidad de producción]],Tabla3[Medida],Tabla3[Equivalencia en Kg],"ELVIS",0)</f>
        <v>186.57727765087446</v>
      </c>
      <c r="J1550">
        <v>1865.43055555556</v>
      </c>
      <c r="K1550" t="s">
        <v>19</v>
      </c>
      <c r="L1550">
        <f>J1550/_xlfn.XLOOKUP(Tabla2[[#This Row],[Unidad de precio]],Tabla3[Medida],Tabla3[Equivalencia en Kg],"ELVIS",0)</f>
        <v>16.958459595959635</v>
      </c>
      <c r="M1550">
        <v>7449.8087382093299</v>
      </c>
      <c r="N1550" s="2">
        <f>(Tabla2[[#This Row],[Productividad (kg/TAS)]]*Tabla2[[#This Row],[Precio por kg]]-Tabla2[[#This Row],[Costos (En RD$/Tarea)]])</f>
        <v>-4285.7455136428325</v>
      </c>
      <c r="O1550" s="6">
        <f>IF(Tabla2[[#This Row],[Costos (En RD$/Tarea)]]=0,0,Tabla2[[#This Row],[Beneficio Neto  (En RD$/Tarea)]]/Tabla2[[#This Row],[Costos (En RD$/Tarea)]])</f>
        <v>-0.57528262325201307</v>
      </c>
      <c r="P1550" s="4">
        <f>Tabla2[[#This Row],[Rentabilidad (%)]]/12</f>
        <v>-4.7940218604334423E-2</v>
      </c>
    </row>
    <row r="1551" spans="1:16" x14ac:dyDescent="0.35">
      <c r="A1551" s="1">
        <v>40452</v>
      </c>
      <c r="B1551" t="s">
        <v>20</v>
      </c>
      <c r="C1551" s="2">
        <v>33312</v>
      </c>
      <c r="D1551" s="5" t="s">
        <v>17</v>
      </c>
      <c r="E1551" s="2">
        <f>IF(Tabla2[[#This Row],[Frecuencia]]="Annual", Tabla2[[#This Row],[Cosecha/Tarea]]/12,Tabla2[[#This Row],[Cosecha/Tarea]])</f>
        <v>33312</v>
      </c>
      <c r="F1551" s="2">
        <v>62532</v>
      </c>
      <c r="G1551" t="s">
        <v>18</v>
      </c>
      <c r="H1551">
        <f>F1551/Tabla2[[#This Row],[Cosecha Mensual]]</f>
        <v>1.8771613832853027</v>
      </c>
      <c r="I1551">
        <f>H1551*_xlfn.XLOOKUP(Tabla2[[#This Row],[Unidad de producción]],Tabla3[Medida],Tabla3[Equivalencia en Kg],"ELVIS",0)</f>
        <v>85.148040345821329</v>
      </c>
      <c r="J1551">
        <v>531.68721549999998</v>
      </c>
      <c r="K1551" t="s">
        <v>18</v>
      </c>
      <c r="L1551">
        <f>J1551/_xlfn.XLOOKUP(Tabla2[[#This Row],[Unidad de precio]],Tabla3[Medida],Tabla3[Equivalencia en Kg],"ELVIS",0)</f>
        <v>11.721499459876544</v>
      </c>
      <c r="M1551">
        <v>2162.02023182316</v>
      </c>
      <c r="N1551" s="2">
        <f>(Tabla2[[#This Row],[Productividad (kg/TAS)]]*Tabla2[[#This Row],[Precio por kg]]-Tabla2[[#This Row],[Costos (En RD$/Tarea)]])</f>
        <v>-1163.9575229000691</v>
      </c>
      <c r="O1551" s="6">
        <f>IF(Tabla2[[#This Row],[Costos (En RD$/Tarea)]]=0,0,Tabla2[[#This Row],[Beneficio Neto  (En RD$/Tarea)]]/Tabla2[[#This Row],[Costos (En RD$/Tarea)]])</f>
        <v>-0.53836569416306634</v>
      </c>
      <c r="P1551" s="4">
        <f>Tabla2[[#This Row],[Rentabilidad (%)]]/12</f>
        <v>-4.4863807846922198E-2</v>
      </c>
    </row>
    <row r="1552" spans="1:16" x14ac:dyDescent="0.35">
      <c r="A1552" s="1">
        <v>40452</v>
      </c>
      <c r="B1552" t="s">
        <v>21</v>
      </c>
      <c r="C1552" s="2">
        <v>8040</v>
      </c>
      <c r="D1552" s="5" t="s">
        <v>17</v>
      </c>
      <c r="E1552" s="2">
        <f>IF(Tabla2[[#This Row],[Frecuencia]]="Annual", Tabla2[[#This Row],[Cosecha/Tarea]]/12,Tabla2[[#This Row],[Cosecha/Tarea]])</f>
        <v>8040</v>
      </c>
      <c r="F1552" s="2">
        <v>91911</v>
      </c>
      <c r="G1552" t="s">
        <v>18</v>
      </c>
      <c r="H1552">
        <f>F1552/Tabla2[[#This Row],[Cosecha Mensual]]</f>
        <v>11.431716417910447</v>
      </c>
      <c r="I1552">
        <f>H1552*_xlfn.XLOOKUP(Tabla2[[#This Row],[Unidad de producción]],Tabla3[Medida],Tabla3[Equivalencia en Kg],"ELVIS",0)</f>
        <v>518.54265671641792</v>
      </c>
      <c r="J1552">
        <v>243.90625</v>
      </c>
      <c r="K1552" t="s">
        <v>18</v>
      </c>
      <c r="L1552">
        <f>J1552/_xlfn.XLOOKUP(Tabla2[[#This Row],[Unidad de precio]],Tabla3[Medida],Tabla3[Equivalencia en Kg],"ELVIS",0)</f>
        <v>5.3771219135802468</v>
      </c>
      <c r="M1552">
        <v>4521.4268874999998</v>
      </c>
      <c r="N1552" s="2">
        <f>(Tabla2[[#This Row],[Productividad (kg/TAS)]]*Tabla2[[#This Row],[Precio por kg]]-Tabla2[[#This Row],[Costos (En RD$/Tarea)]])</f>
        <v>-1733.1598049440295</v>
      </c>
      <c r="O1552" s="6">
        <f>IF(Tabla2[[#This Row],[Costos (En RD$/Tarea)]]=0,0,Tabla2[[#This Row],[Beneficio Neto  (En RD$/Tarea)]]/Tabla2[[#This Row],[Costos (En RD$/Tarea)]])</f>
        <v>-0.383321426635372</v>
      </c>
      <c r="P1552" s="4">
        <f>Tabla2[[#This Row],[Rentabilidad (%)]]/12</f>
        <v>-3.1943452219614331E-2</v>
      </c>
    </row>
    <row r="1553" spans="1:16" x14ac:dyDescent="0.35">
      <c r="A1553" s="1">
        <v>40452</v>
      </c>
      <c r="B1553" t="s">
        <v>22</v>
      </c>
      <c r="C1553" s="2">
        <v>5103</v>
      </c>
      <c r="D1553" s="5" t="s">
        <v>17</v>
      </c>
      <c r="E1553" s="2">
        <f>IF(Tabla2[[#This Row],[Frecuencia]]="Annual", Tabla2[[#This Row],[Cosecha/Tarea]]/12,Tabla2[[#This Row],[Cosecha/Tarea]])</f>
        <v>5103</v>
      </c>
      <c r="F1553" s="2">
        <v>48836</v>
      </c>
      <c r="G1553" t="s">
        <v>18</v>
      </c>
      <c r="H1553">
        <f>F1553/Tabla2[[#This Row],[Cosecha Mensual]]</f>
        <v>9.5700568293160888</v>
      </c>
      <c r="I1553">
        <f>H1553*_xlfn.XLOOKUP(Tabla2[[#This Row],[Unidad de producción]],Tabla3[Medida],Tabla3[Equivalencia en Kg],"ELVIS",0)</f>
        <v>434.09777777777776</v>
      </c>
      <c r="J1553">
        <v>1198.4375</v>
      </c>
      <c r="K1553" t="s">
        <v>18</v>
      </c>
      <c r="L1553">
        <f>J1553/_xlfn.XLOOKUP(Tabla2[[#This Row],[Unidad de precio]],Tabla3[Medida],Tabla3[Equivalencia en Kg],"ELVIS",0)</f>
        <v>26.420579805996471</v>
      </c>
      <c r="M1553">
        <v>7599.7694060736003</v>
      </c>
      <c r="N1553" s="2">
        <f>(Tabla2[[#This Row],[Productividad (kg/TAS)]]*Tabla2[[#This Row],[Precio por kg]]-Tabla2[[#This Row],[Costos (En RD$/Tarea)]])</f>
        <v>3869.3455753098979</v>
      </c>
      <c r="O1553" s="6">
        <f>IF(Tabla2[[#This Row],[Costos (En RD$/Tarea)]]=0,0,Tabla2[[#This Row],[Beneficio Neto  (En RD$/Tarea)]]/Tabla2[[#This Row],[Costos (En RD$/Tarea)]])</f>
        <v>0.50913986577245174</v>
      </c>
      <c r="P1553" s="4">
        <f>Tabla2[[#This Row],[Rentabilidad (%)]]/12</f>
        <v>4.2428322147704312E-2</v>
      </c>
    </row>
    <row r="1554" spans="1:16" x14ac:dyDescent="0.35">
      <c r="A1554" s="1">
        <v>40452</v>
      </c>
      <c r="B1554" t="s">
        <v>23</v>
      </c>
      <c r="C1554" s="2">
        <v>2312</v>
      </c>
      <c r="D1554" s="5" t="s">
        <v>17</v>
      </c>
      <c r="E1554" s="2">
        <f>IF(Tabla2[[#This Row],[Frecuencia]]="Annual", Tabla2[[#This Row],[Cosecha/Tarea]]/12,Tabla2[[#This Row],[Cosecha/Tarea]])</f>
        <v>2312</v>
      </c>
      <c r="F1554" s="2">
        <v>83116</v>
      </c>
      <c r="G1554" t="s">
        <v>18</v>
      </c>
      <c r="H1554">
        <f>F1554/Tabla2[[#This Row],[Cosecha Mensual]]</f>
        <v>35.949826989619375</v>
      </c>
      <c r="I1554">
        <f>H1554*_xlfn.XLOOKUP(Tabla2[[#This Row],[Unidad de producción]],Tabla3[Medida],Tabla3[Equivalencia en Kg],"ELVIS",0)</f>
        <v>1630.6841522491347</v>
      </c>
      <c r="J1554">
        <v>850</v>
      </c>
      <c r="K1554" t="s">
        <v>18</v>
      </c>
      <c r="L1554">
        <f>J1554/_xlfn.XLOOKUP(Tabla2[[#This Row],[Unidad de precio]],Tabla3[Medida],Tabla3[Equivalencia en Kg],"ELVIS",0)</f>
        <v>18.738977072310405</v>
      </c>
      <c r="M1554">
        <v>20327.21</v>
      </c>
      <c r="N1554" s="2">
        <f>(Tabla2[[#This Row],[Productividad (kg/TAS)]]*Tabla2[[#This Row],[Precio por kg]]-Tabla2[[#This Row],[Costos (En RD$/Tarea)]])</f>
        <v>10230.142941176466</v>
      </c>
      <c r="O1554" s="6">
        <f>IF(Tabla2[[#This Row],[Costos (En RD$/Tarea)]]=0,0,Tabla2[[#This Row],[Beneficio Neto  (En RD$/Tarea)]]/Tabla2[[#This Row],[Costos (En RD$/Tarea)]])</f>
        <v>0.50327334352212949</v>
      </c>
      <c r="P1554" s="4">
        <f>Tabla2[[#This Row],[Rentabilidad (%)]]/12</f>
        <v>4.1939445293510791E-2</v>
      </c>
    </row>
    <row r="1555" spans="1:16" x14ac:dyDescent="0.35">
      <c r="A1555" s="1">
        <v>40452</v>
      </c>
      <c r="B1555" t="s">
        <v>24</v>
      </c>
      <c r="C1555" s="2">
        <v>4978</v>
      </c>
      <c r="D1555" s="5" t="s">
        <v>17</v>
      </c>
      <c r="E1555" s="2">
        <f>IF(Tabla2[[#This Row],[Frecuencia]]="Annual", Tabla2[[#This Row],[Cosecha/Tarea]]/12,Tabla2[[#This Row],[Cosecha/Tarea]])</f>
        <v>4978</v>
      </c>
      <c r="F1555" s="2">
        <v>58541</v>
      </c>
      <c r="G1555" t="s">
        <v>18</v>
      </c>
      <c r="H1555">
        <f>F1555/Tabla2[[#This Row],[Cosecha Mensual]]</f>
        <v>11.759943752511049</v>
      </c>
      <c r="I1555">
        <f>H1555*_xlfn.XLOOKUP(Tabla2[[#This Row],[Unidad de producción]],Tabla3[Medida],Tabla3[Equivalencia en Kg],"ELVIS",0)</f>
        <v>533.43104861390123</v>
      </c>
      <c r="J1555">
        <v>1240.1666666666699</v>
      </c>
      <c r="K1555" t="s">
        <v>18</v>
      </c>
      <c r="L1555">
        <f>J1555/_xlfn.XLOOKUP(Tabla2[[#This Row],[Unidad de precio]],Tabla3[Medida],Tabla3[Equivalencia en Kg],"ELVIS",0)</f>
        <v>27.340534979423939</v>
      </c>
      <c r="M1555">
        <v>6579.6044973695998</v>
      </c>
      <c r="N1555" s="2">
        <f>(Tabla2[[#This Row],[Productividad (kg/TAS)]]*Tabla2[[#This Row],[Precio por kg]]-Tabla2[[#This Row],[Costos (En RD$/Tarea)]])</f>
        <v>8004.6857463695587</v>
      </c>
      <c r="O1555" s="6">
        <f>IF(Tabla2[[#This Row],[Costos (En RD$/Tarea)]]=0,0,Tabla2[[#This Row],[Beneficio Neto  (En RD$/Tarea)]]/Tabla2[[#This Row],[Costos (En RD$/Tarea)]])</f>
        <v>1.2165907159875156</v>
      </c>
      <c r="P1555" s="4">
        <f>Tabla2[[#This Row],[Rentabilidad (%)]]/12</f>
        <v>0.1013825596656263</v>
      </c>
    </row>
    <row r="1556" spans="1:16" x14ac:dyDescent="0.35">
      <c r="A1556" s="1">
        <v>40452</v>
      </c>
      <c r="B1556" t="s">
        <v>25</v>
      </c>
      <c r="C1556" s="2">
        <v>28140</v>
      </c>
      <c r="D1556" s="5" t="s">
        <v>17</v>
      </c>
      <c r="E1556" s="2">
        <f>IF(Tabla2[[#This Row],[Frecuencia]]="Annual", Tabla2[[#This Row],[Cosecha/Tarea]]/12,Tabla2[[#This Row],[Cosecha/Tarea]])</f>
        <v>28140</v>
      </c>
      <c r="F1556" s="2">
        <v>329519</v>
      </c>
      <c r="G1556" t="s">
        <v>18</v>
      </c>
      <c r="H1556">
        <f>F1556/Tabla2[[#This Row],[Cosecha Mensual]]</f>
        <v>11.709985785358919</v>
      </c>
      <c r="I1556">
        <f>H1556*_xlfn.XLOOKUP(Tabla2[[#This Row],[Unidad de producción]],Tabla3[Medida],Tabla3[Equivalencia en Kg],"ELVIS",0)</f>
        <v>531.1649552238805</v>
      </c>
      <c r="J1556">
        <v>234.36428571428601</v>
      </c>
      <c r="K1556" t="s">
        <v>18</v>
      </c>
      <c r="L1556">
        <f>J1556/_xlfn.XLOOKUP(Tabla2[[#This Row],[Unidad de precio]],Tabla3[Medida],Tabla3[Equivalencia en Kg],"ELVIS",0)</f>
        <v>5.1667611489040128</v>
      </c>
      <c r="M1556">
        <v>3734.0064399798498</v>
      </c>
      <c r="N1556" s="2">
        <f>(Tabla2[[#This Row],[Productividad (kg/TAS)]]*Tabla2[[#This Row],[Precio por kg]]-Tabla2[[#This Row],[Costos (En RD$/Tarea)]])</f>
        <v>-989.60398566976437</v>
      </c>
      <c r="O1556" s="6">
        <f>IF(Tabla2[[#This Row],[Costos (En RD$/Tarea)]]=0,0,Tabla2[[#This Row],[Beneficio Neto  (En RD$/Tarea)]]/Tabla2[[#This Row],[Costos (En RD$/Tarea)]])</f>
        <v>-0.26502471315370968</v>
      </c>
      <c r="P1556" s="4">
        <f>Tabla2[[#This Row],[Rentabilidad (%)]]/12</f>
        <v>-2.2085392762809141E-2</v>
      </c>
    </row>
    <row r="1557" spans="1:16" x14ac:dyDescent="0.35">
      <c r="A1557" s="1">
        <v>40452</v>
      </c>
      <c r="B1557" t="s">
        <v>26</v>
      </c>
      <c r="C1557" s="2">
        <v>10853</v>
      </c>
      <c r="D1557" s="5" t="s">
        <v>17</v>
      </c>
      <c r="E1557" s="2">
        <f>IF(Tabla2[[#This Row],[Frecuencia]]="Annual", Tabla2[[#This Row],[Cosecha/Tarea]]/12,Tabla2[[#This Row],[Cosecha/Tarea]])</f>
        <v>10853</v>
      </c>
      <c r="F1557" s="2">
        <v>66997</v>
      </c>
      <c r="G1557" t="s">
        <v>18</v>
      </c>
      <c r="H1557">
        <f>F1557/Tabla2[[#This Row],[Cosecha Mensual]]</f>
        <v>6.1731318529438868</v>
      </c>
      <c r="I1557">
        <f>H1557*_xlfn.XLOOKUP(Tabla2[[#This Row],[Unidad de producción]],Tabla3[Medida],Tabla3[Equivalencia en Kg],"ELVIS",0)</f>
        <v>280.01326084953467</v>
      </c>
      <c r="J1557">
        <v>503.055555555556</v>
      </c>
      <c r="K1557" t="s">
        <v>18</v>
      </c>
      <c r="L1557">
        <f>J1557/_xlfn.XLOOKUP(Tabla2[[#This Row],[Unidad de precio]],Tabla3[Medida],Tabla3[Equivalencia en Kg],"ELVIS",0)</f>
        <v>11.09029002547522</v>
      </c>
      <c r="M1557">
        <v>1771.21219288463</v>
      </c>
      <c r="N1557" s="2">
        <f>(Tabla2[[#This Row],[Productividad (kg/TAS)]]*Tabla2[[#This Row],[Precio por kg]]-Tabla2[[#This Row],[Costos (En RD$/Tarea)]])</f>
        <v>1334.2160809157554</v>
      </c>
      <c r="O1557" s="6">
        <f>IF(Tabla2[[#This Row],[Costos (En RD$/Tarea)]]=0,0,Tabla2[[#This Row],[Beneficio Neto  (En RD$/Tarea)]]/Tabla2[[#This Row],[Costos (En RD$/Tarea)]])</f>
        <v>0.75327850964193377</v>
      </c>
      <c r="P1557" s="4">
        <f>Tabla2[[#This Row],[Rentabilidad (%)]]/12</f>
        <v>6.2773209136827809E-2</v>
      </c>
    </row>
    <row r="1558" spans="1:16" x14ac:dyDescent="0.35">
      <c r="A1558" s="1">
        <v>40452</v>
      </c>
      <c r="B1558" t="s">
        <v>27</v>
      </c>
      <c r="C1558" s="2">
        <v>7910</v>
      </c>
      <c r="D1558" s="5" t="s">
        <v>17</v>
      </c>
      <c r="E1558" s="2">
        <f>IF(Tabla2[[#This Row],[Frecuencia]]="Annual", Tabla2[[#This Row],[Cosecha/Tarea]]/12,Tabla2[[#This Row],[Cosecha/Tarea]])</f>
        <v>7910</v>
      </c>
      <c r="F1558" s="2">
        <v>41528</v>
      </c>
      <c r="G1558" t="s">
        <v>18</v>
      </c>
      <c r="H1558">
        <f>F1558/Tabla2[[#This Row],[Cosecha Mensual]]</f>
        <v>5.2500632111251582</v>
      </c>
      <c r="I1558">
        <f>H1558*_xlfn.XLOOKUP(Tabla2[[#This Row],[Unidad de producción]],Tabla3[Medida],Tabla3[Equivalencia en Kg],"ELVIS",0)</f>
        <v>238.14286725663717</v>
      </c>
      <c r="J1558">
        <v>671.84027777777806</v>
      </c>
      <c r="K1558" t="s">
        <v>18</v>
      </c>
      <c r="L1558">
        <f>J1558/_xlfn.XLOOKUP(Tabla2[[#This Row],[Unidad de precio]],Tabla3[Medida],Tabla3[Equivalencia en Kg],"ELVIS",0)</f>
        <v>14.811293601802868</v>
      </c>
      <c r="M1558">
        <v>6142.3910746455704</v>
      </c>
      <c r="N1558" s="2">
        <f>(Tabla2[[#This Row],[Productividad (kg/TAS)]]*Tabla2[[#This Row],[Precio por kg]]-Tabla2[[#This Row],[Costos (En RD$/Tarea)]])</f>
        <v>-2615.1871485323504</v>
      </c>
      <c r="O1558" s="6">
        <f>IF(Tabla2[[#This Row],[Costos (En RD$/Tarea)]]=0,0,Tabla2[[#This Row],[Beneficio Neto  (En RD$/Tarea)]]/Tabla2[[#This Row],[Costos (En RD$/Tarea)]])</f>
        <v>-0.42576044357176535</v>
      </c>
      <c r="P1558" s="4">
        <f>Tabla2[[#This Row],[Rentabilidad (%)]]/12</f>
        <v>-3.5480036964313781E-2</v>
      </c>
    </row>
    <row r="1559" spans="1:16" x14ac:dyDescent="0.35">
      <c r="A1559" s="1">
        <v>40452</v>
      </c>
      <c r="B1559" t="s">
        <v>28</v>
      </c>
      <c r="C1559" s="2">
        <v>68125</v>
      </c>
      <c r="D1559" s="5" t="s">
        <v>17</v>
      </c>
      <c r="E1559" s="2">
        <f>IF(Tabla2[[#This Row],[Frecuencia]]="Annual", Tabla2[[#This Row],[Cosecha/Tarea]]/12,Tabla2[[#This Row],[Cosecha/Tarea]])</f>
        <v>68125</v>
      </c>
      <c r="F1559" s="2">
        <v>85838</v>
      </c>
      <c r="G1559" t="s">
        <v>29</v>
      </c>
      <c r="H1559">
        <f>F1559/Tabla2[[#This Row],[Cosecha Mensual]]</f>
        <v>1.2600073394495412</v>
      </c>
      <c r="I1559">
        <f>H1559*_xlfn.XLOOKUP(Tabla2[[#This Row],[Unidad de producción]],Tabla3[Medida],Tabla3[Equivalencia en Kg],"ELVIS",0)</f>
        <v>708.55252726605511</v>
      </c>
      <c r="J1559">
        <v>3008.2166666666699</v>
      </c>
      <c r="K1559" t="s">
        <v>29</v>
      </c>
      <c r="L1559">
        <f>J1559/_xlfn.XLOOKUP(Tabla2[[#This Row],[Unidad de precio]],Tabla3[Medida],Tabla3[Equivalencia en Kg],"ELVIS",0)</f>
        <v>5.3494623655914033</v>
      </c>
      <c r="M1559">
        <v>6158.1190308947398</v>
      </c>
      <c r="N1559" s="2">
        <f>(Tabla2[[#This Row],[Productividad (kg/TAS)]]*Tabla2[[#This Row],[Precio por kg]]-Tabla2[[#This Row],[Costos (En RD$/Tarea)]])</f>
        <v>-2367.7439522403015</v>
      </c>
      <c r="O1559" s="6">
        <f>IF(Tabla2[[#This Row],[Costos (En RD$/Tarea)]]=0,0,Tabla2[[#This Row],[Beneficio Neto  (En RD$/Tarea)]]/Tabla2[[#This Row],[Costos (En RD$/Tarea)]])</f>
        <v>-0.38449142349498916</v>
      </c>
      <c r="P1559" s="4">
        <f>Tabla2[[#This Row],[Rentabilidad (%)]]/12</f>
        <v>-3.2040951957915766E-2</v>
      </c>
    </row>
    <row r="1560" spans="1:16" x14ac:dyDescent="0.35">
      <c r="A1560" s="1">
        <v>40452</v>
      </c>
      <c r="B1560" t="s">
        <v>30</v>
      </c>
      <c r="C1560" s="2">
        <v>306938</v>
      </c>
      <c r="D1560" s="2" t="s">
        <v>31</v>
      </c>
      <c r="E1560" s="2">
        <f>IF(Tabla2[[#This Row],[Frecuencia]]="Annual", Tabla2[[#This Row],[Cosecha/Tarea]]/12,Tabla2[[#This Row],[Cosecha/Tarea]])</f>
        <v>25578.166666666668</v>
      </c>
      <c r="F1560" s="2">
        <v>2584624</v>
      </c>
      <c r="G1560" t="s">
        <v>32</v>
      </c>
      <c r="H1560">
        <f>F1560/Tabla2[[#This Row],[Cosecha Mensual]]</f>
        <v>101.04805530758654</v>
      </c>
      <c r="I1560">
        <f>H1560*_xlfn.XLOOKUP(Tabla2[[#This Row],[Unidad de producción]],Tabla3[Medida],Tabla3[Equivalencia en Kg],"ELVIS",0)</f>
        <v>2749.5175849194297</v>
      </c>
      <c r="J1560">
        <v>117.488095238095</v>
      </c>
      <c r="K1560" t="s">
        <v>32</v>
      </c>
      <c r="L1560">
        <f>J1560/_xlfn.XLOOKUP(Tabla2[[#This Row],[Unidad de precio]],Tabla3[Medida],Tabla3[Equivalencia en Kg],"ELVIS",0)</f>
        <v>4.3178278294044468</v>
      </c>
      <c r="M1560" s="2">
        <v>10497.9114219602</v>
      </c>
      <c r="N1560" s="2">
        <f>(Tabla2[[#This Row],[Productividad (kg/TAS)]]*Tabla2[[#This Row],[Precio por kg]]-Tabla2[[#This Row],[Costos (En RD$/Tarea)]])</f>
        <v>1374.0321236418185</v>
      </c>
      <c r="O1560" s="6">
        <f>IF(Tabla2[[#This Row],[Costos (En RD$/Tarea)]]=0,0,Tabla2[[#This Row],[Beneficio Neto  (En RD$/Tarea)]]/Tabla2[[#This Row],[Costos (En RD$/Tarea)]])</f>
        <v>0.13088623712022665</v>
      </c>
      <c r="P1560" s="4">
        <f>Tabla2[[#This Row],[Rentabilidad (%)]]/12</f>
        <v>1.0907186426685554E-2</v>
      </c>
    </row>
    <row r="1561" spans="1:16" x14ac:dyDescent="0.35">
      <c r="A1561" s="1">
        <v>40452</v>
      </c>
      <c r="B1561" t="s">
        <v>33</v>
      </c>
      <c r="C1561" s="2">
        <v>622690</v>
      </c>
      <c r="D1561" s="2" t="s">
        <v>31</v>
      </c>
      <c r="E1561" s="2">
        <f>IF(Tabla2[[#This Row],[Frecuencia]]="Annual", Tabla2[[#This Row],[Cosecha/Tarea]]/12,Tabla2[[#This Row],[Cosecha/Tarea]])</f>
        <v>51890.833333333336</v>
      </c>
      <c r="F1561" s="2">
        <v>108900</v>
      </c>
      <c r="G1561" t="s">
        <v>34</v>
      </c>
      <c r="H1561">
        <f>F1561/Tabla2[[#This Row],[Cosecha Mensual]]</f>
        <v>2.0986365607284521</v>
      </c>
      <c r="I1561">
        <f>H1561*_xlfn.XLOOKUP(Tabla2[[#This Row],[Unidad de producción]],Tabla3[Medida],Tabla3[Equivalencia en Kg],"ELVIS",0)</f>
        <v>856.55851226131767</v>
      </c>
      <c r="J1561">
        <v>3602.13095238095</v>
      </c>
      <c r="K1561" t="s">
        <v>34</v>
      </c>
      <c r="L1561">
        <f>J1561/_xlfn.XLOOKUP(Tabla2[[#This Row],[Unidad de precio]],Tabla3[Medida],Tabla3[Equivalencia en Kg],"ELVIS",0)</f>
        <v>8.8255076623323543</v>
      </c>
      <c r="M1561" s="2">
        <v>9292.9734969082201</v>
      </c>
      <c r="N1561" s="2">
        <f>(Tabla2[[#This Row],[Productividad (kg/TAS)]]*Tabla2[[#This Row],[Precio por kg]]-Tabla2[[#This Row],[Costos (En RD$/Tarea)]])</f>
        <v>-1733.4097837099589</v>
      </c>
      <c r="O1561" s="6">
        <f>IF(Tabla2[[#This Row],[Costos (En RD$/Tarea)]]=0,0,Tabla2[[#This Row],[Beneficio Neto  (En RD$/Tarea)]]/Tabla2[[#This Row],[Costos (En RD$/Tarea)]])</f>
        <v>-0.18652907858681247</v>
      </c>
      <c r="P1561" s="4">
        <f>Tabla2[[#This Row],[Rentabilidad (%)]]/12</f>
        <v>-1.5544089882234373E-2</v>
      </c>
    </row>
    <row r="1562" spans="1:16" x14ac:dyDescent="0.35">
      <c r="A1562" s="1">
        <v>40483</v>
      </c>
      <c r="B1562" t="s">
        <v>16</v>
      </c>
      <c r="C1562" s="2">
        <v>429948</v>
      </c>
      <c r="D1562" s="5" t="s">
        <v>17</v>
      </c>
      <c r="E1562" s="2">
        <f>IF(Tabla2[[#This Row],[Frecuencia]]="Annual", Tabla2[[#This Row],[Cosecha/Tarea]]/12,Tabla2[[#This Row],[Cosecha/Tarea]])</f>
        <v>429948</v>
      </c>
      <c r="F1562" s="2">
        <v>1435121</v>
      </c>
      <c r="G1562" t="s">
        <v>18</v>
      </c>
      <c r="H1562">
        <f>F1562/Tabla2[[#This Row],[Cosecha Mensual]]</f>
        <v>3.3378943500144205</v>
      </c>
      <c r="I1562">
        <f>H1562*_xlfn.XLOOKUP(Tabla2[[#This Row],[Unidad de producción]],Tabla3[Medida],Tabla3[Equivalencia en Kg],"ELVIS",0)</f>
        <v>151.4068877166541</v>
      </c>
      <c r="J1562">
        <v>1829.2619047619</v>
      </c>
      <c r="K1562" t="s">
        <v>19</v>
      </c>
      <c r="L1562">
        <f>J1562/_xlfn.XLOOKUP(Tabla2[[#This Row],[Unidad de precio]],Tabla3[Medida],Tabla3[Equivalencia en Kg],"ELVIS",0)</f>
        <v>16.629653679653636</v>
      </c>
      <c r="M1562">
        <v>7449.8087382093299</v>
      </c>
      <c r="N1562" s="2">
        <f>(Tabla2[[#This Row],[Productividad (kg/TAS)]]*Tabla2[[#This Row],[Precio por kg]]-Tabla2[[#This Row],[Costos (En RD$/Tarea)]])</f>
        <v>-4931.9646307671683</v>
      </c>
      <c r="O1562" s="6">
        <f>IF(Tabla2[[#This Row],[Costos (En RD$/Tarea)]]=0,0,Tabla2[[#This Row],[Beneficio Neto  (En RD$/Tarea)]]/Tabla2[[#This Row],[Costos (En RD$/Tarea)]])</f>
        <v>-0.66202567127282219</v>
      </c>
      <c r="P1562" s="4">
        <f>Tabla2[[#This Row],[Rentabilidad (%)]]/12</f>
        <v>-5.5168805939401849E-2</v>
      </c>
    </row>
    <row r="1563" spans="1:16" x14ac:dyDescent="0.35">
      <c r="A1563" s="1">
        <v>40483</v>
      </c>
      <c r="B1563" t="s">
        <v>20</v>
      </c>
      <c r="C1563" s="2">
        <v>30660</v>
      </c>
      <c r="D1563" s="5" t="s">
        <v>17</v>
      </c>
      <c r="E1563" s="2">
        <f>IF(Tabla2[[#This Row],[Frecuencia]]="Annual", Tabla2[[#This Row],[Cosecha/Tarea]]/12,Tabla2[[#This Row],[Cosecha/Tarea]])</f>
        <v>30660</v>
      </c>
      <c r="F1563" s="2">
        <v>63338</v>
      </c>
      <c r="G1563" t="s">
        <v>18</v>
      </c>
      <c r="H1563">
        <f>F1563/Tabla2[[#This Row],[Cosecha Mensual]]</f>
        <v>2.0658186562296152</v>
      </c>
      <c r="I1563">
        <f>H1563*_xlfn.XLOOKUP(Tabla2[[#This Row],[Unidad de producción]],Tabla3[Medida],Tabla3[Equivalencia en Kg],"ELVIS",0)</f>
        <v>93.70553424657534</v>
      </c>
      <c r="J1563">
        <v>567.45000000000005</v>
      </c>
      <c r="K1563" t="s">
        <v>18</v>
      </c>
      <c r="L1563">
        <f>J1563/_xlfn.XLOOKUP(Tabla2[[#This Row],[Unidad de precio]],Tabla3[Medida],Tabla3[Equivalencia en Kg],"ELVIS",0)</f>
        <v>12.509920634920636</v>
      </c>
      <c r="M1563">
        <v>2162.02023182316</v>
      </c>
      <c r="N1563" s="2">
        <f>(Tabla2[[#This Row],[Productividad (kg/TAS)]]*Tabla2[[#This Row],[Precio por kg]]-Tabla2[[#This Row],[Costos (En RD$/Tarea)]])</f>
        <v>-989.77143534566471</v>
      </c>
      <c r="O1563" s="6">
        <f>IF(Tabla2[[#This Row],[Costos (En RD$/Tarea)]]=0,0,Tabla2[[#This Row],[Beneficio Neto  (En RD$/Tarea)]]/Tabla2[[#This Row],[Costos (En RD$/Tarea)]])</f>
        <v>-0.45779934006955303</v>
      </c>
      <c r="P1563" s="4">
        <f>Tabla2[[#This Row],[Rentabilidad (%)]]/12</f>
        <v>-3.8149945005796083E-2</v>
      </c>
    </row>
    <row r="1564" spans="1:16" x14ac:dyDescent="0.35">
      <c r="A1564" s="1">
        <v>40483</v>
      </c>
      <c r="B1564" t="s">
        <v>21</v>
      </c>
      <c r="C1564" s="2">
        <v>8067</v>
      </c>
      <c r="D1564" s="5" t="s">
        <v>17</v>
      </c>
      <c r="E1564" s="2">
        <f>IF(Tabla2[[#This Row],[Frecuencia]]="Annual", Tabla2[[#This Row],[Cosecha/Tarea]]/12,Tabla2[[#This Row],[Cosecha/Tarea]])</f>
        <v>8067</v>
      </c>
      <c r="F1564" s="2">
        <v>95484</v>
      </c>
      <c r="G1564" t="s">
        <v>18</v>
      </c>
      <c r="H1564">
        <f>F1564/Tabla2[[#This Row],[Cosecha Mensual]]</f>
        <v>11.836370397917442</v>
      </c>
      <c r="I1564">
        <f>H1564*_xlfn.XLOOKUP(Tabla2[[#This Row],[Unidad de producción]],Tabla3[Medida],Tabla3[Equivalencia en Kg],"ELVIS",0)</f>
        <v>536.89776124953517</v>
      </c>
      <c r="J1564">
        <v>353.92361111111097</v>
      </c>
      <c r="K1564" t="s">
        <v>18</v>
      </c>
      <c r="L1564">
        <f>J1564/_xlfn.XLOOKUP(Tabla2[[#This Row],[Unidad de precio]],Tabla3[Medida],Tabla3[Equivalencia en Kg],"ELVIS",0)</f>
        <v>7.8025487458357796</v>
      </c>
      <c r="M1564">
        <v>4521.4268874999998</v>
      </c>
      <c r="N1564" s="2">
        <f>(Tabla2[[#This Row],[Productividad (kg/TAS)]]*Tabla2[[#This Row],[Precio por kg]]-Tabla2[[#This Row],[Costos (En RD$/Tarea)]])</f>
        <v>-332.25593382040097</v>
      </c>
      <c r="O1564" s="6">
        <f>IF(Tabla2[[#This Row],[Costos (En RD$/Tarea)]]=0,0,Tabla2[[#This Row],[Beneficio Neto  (En RD$/Tarea)]]/Tabla2[[#This Row],[Costos (En RD$/Tarea)]])</f>
        <v>-7.3484752067751083E-2</v>
      </c>
      <c r="P1564" s="4">
        <f>Tabla2[[#This Row],[Rentabilidad (%)]]/12</f>
        <v>-6.1237293389792566E-3</v>
      </c>
    </row>
    <row r="1565" spans="1:16" x14ac:dyDescent="0.35">
      <c r="A1565" s="1">
        <v>40483</v>
      </c>
      <c r="B1565" t="s">
        <v>22</v>
      </c>
      <c r="C1565" s="2">
        <v>5932</v>
      </c>
      <c r="D1565" s="5" t="s">
        <v>17</v>
      </c>
      <c r="E1565" s="2">
        <f>IF(Tabla2[[#This Row],[Frecuencia]]="Annual", Tabla2[[#This Row],[Cosecha/Tarea]]/12,Tabla2[[#This Row],[Cosecha/Tarea]])</f>
        <v>5932</v>
      </c>
      <c r="F1565" s="2">
        <v>44087</v>
      </c>
      <c r="G1565" t="s">
        <v>18</v>
      </c>
      <c r="H1565">
        <f>F1565/Tabla2[[#This Row],[Cosecha Mensual]]</f>
        <v>7.4320633850303439</v>
      </c>
      <c r="I1565">
        <f>H1565*_xlfn.XLOOKUP(Tabla2[[#This Row],[Unidad de producción]],Tabla3[Medida],Tabla3[Equivalencia en Kg],"ELVIS",0)</f>
        <v>337.11839514497638</v>
      </c>
      <c r="J1565">
        <v>1152.0999999999999</v>
      </c>
      <c r="K1565" t="s">
        <v>18</v>
      </c>
      <c r="L1565">
        <f>J1565/_xlfn.XLOOKUP(Tabla2[[#This Row],[Unidad de precio]],Tabla3[Medida],Tabla3[Equivalencia en Kg],"ELVIS",0)</f>
        <v>25.399029982363313</v>
      </c>
      <c r="M1565">
        <v>7599.7694060736003</v>
      </c>
      <c r="N1565" s="2">
        <f>(Tabla2[[#This Row],[Productividad (kg/TAS)]]*Tabla2[[#This Row],[Precio por kg]]-Tabla2[[#This Row],[Costos (En RD$/Tarea)]])</f>
        <v>962.71081981985753</v>
      </c>
      <c r="O1565" s="6">
        <f>IF(Tabla2[[#This Row],[Costos (En RD$/Tarea)]]=0,0,Tabla2[[#This Row],[Beneficio Neto  (En RD$/Tarea)]]/Tabla2[[#This Row],[Costos (En RD$/Tarea)]])</f>
        <v>0.12667631981708238</v>
      </c>
      <c r="P1565" s="4">
        <f>Tabla2[[#This Row],[Rentabilidad (%)]]/12</f>
        <v>1.0556359984756866E-2</v>
      </c>
    </row>
    <row r="1566" spans="1:16" x14ac:dyDescent="0.35">
      <c r="A1566" s="1">
        <v>40483</v>
      </c>
      <c r="B1566" t="s">
        <v>23</v>
      </c>
      <c r="C1566" s="2">
        <v>3553</v>
      </c>
      <c r="D1566" s="5" t="s">
        <v>17</v>
      </c>
      <c r="E1566" s="2">
        <f>IF(Tabla2[[#This Row],[Frecuencia]]="Annual", Tabla2[[#This Row],[Cosecha/Tarea]]/12,Tabla2[[#This Row],[Cosecha/Tarea]])</f>
        <v>3553</v>
      </c>
      <c r="F1566" s="2">
        <v>116055</v>
      </c>
      <c r="G1566" t="s">
        <v>18</v>
      </c>
      <c r="H1566">
        <f>F1566/Tabla2[[#This Row],[Cosecha Mensual]]</f>
        <v>32.663945961159584</v>
      </c>
      <c r="I1566">
        <f>H1566*_xlfn.XLOOKUP(Tabla2[[#This Row],[Unidad de producción]],Tabla3[Medida],Tabla3[Equivalencia en Kg],"ELVIS",0)</f>
        <v>1481.6365887981988</v>
      </c>
      <c r="J1566">
        <v>606.25</v>
      </c>
      <c r="K1566" t="s">
        <v>18</v>
      </c>
      <c r="L1566">
        <f>J1566/_xlfn.XLOOKUP(Tabla2[[#This Row],[Unidad de precio]],Tabla3[Medida],Tabla3[Equivalencia en Kg],"ELVIS",0)</f>
        <v>13.365299823633157</v>
      </c>
      <c r="M1566">
        <v>20327.21</v>
      </c>
      <c r="N1566" s="2">
        <f>(Tabla2[[#This Row],[Productividad (kg/TAS)]]*Tabla2[[#This Row],[Precio por kg]]-Tabla2[[#This Row],[Costos (En RD$/Tarea)]])</f>
        <v>-524.69276104700111</v>
      </c>
      <c r="O1566" s="6">
        <f>IF(Tabla2[[#This Row],[Costos (En RD$/Tarea)]]=0,0,Tabla2[[#This Row],[Beneficio Neto  (En RD$/Tarea)]]/Tabla2[[#This Row],[Costos (En RD$/Tarea)]])</f>
        <v>-2.5812335340019664E-2</v>
      </c>
      <c r="P1566" s="4">
        <f>Tabla2[[#This Row],[Rentabilidad (%)]]/12</f>
        <v>-2.1510279450016388E-3</v>
      </c>
    </row>
    <row r="1567" spans="1:16" x14ac:dyDescent="0.35">
      <c r="A1567" s="1">
        <v>40483</v>
      </c>
      <c r="B1567" t="s">
        <v>24</v>
      </c>
      <c r="C1567" s="2">
        <v>6099</v>
      </c>
      <c r="D1567" s="5" t="s">
        <v>17</v>
      </c>
      <c r="E1567" s="2">
        <f>IF(Tabla2[[#This Row],[Frecuencia]]="Annual", Tabla2[[#This Row],[Cosecha/Tarea]]/12,Tabla2[[#This Row],[Cosecha/Tarea]])</f>
        <v>6099</v>
      </c>
      <c r="F1567" s="2">
        <v>58144</v>
      </c>
      <c r="G1567" t="s">
        <v>18</v>
      </c>
      <c r="H1567">
        <f>F1567/Tabla2[[#This Row],[Cosecha Mensual]]</f>
        <v>9.5333661255943589</v>
      </c>
      <c r="I1567">
        <f>H1567*_xlfn.XLOOKUP(Tabla2[[#This Row],[Unidad de producción]],Tabla3[Medida],Tabla3[Equivalencia en Kg],"ELVIS",0)</f>
        <v>432.43348745696011</v>
      </c>
      <c r="J1567">
        <v>1191.0625</v>
      </c>
      <c r="K1567" t="s">
        <v>18</v>
      </c>
      <c r="L1567">
        <f>J1567/_xlfn.XLOOKUP(Tabla2[[#This Row],[Unidad de precio]],Tabla3[Medida],Tabla3[Equivalencia en Kg],"ELVIS",0)</f>
        <v>26.257991622574956</v>
      </c>
      <c r="M1567">
        <v>6579.6044973695998</v>
      </c>
      <c r="N1567" s="2">
        <f>(Tabla2[[#This Row],[Productividad (kg/TAS)]]*Tabla2[[#This Row],[Precio por kg]]-Tabla2[[#This Row],[Costos (En RD$/Tarea)]])</f>
        <v>4775.2303935961309</v>
      </c>
      <c r="O1567" s="6">
        <f>IF(Tabla2[[#This Row],[Costos (En RD$/Tarea)]]=0,0,Tabla2[[#This Row],[Beneficio Neto  (En RD$/Tarea)]]/Tabla2[[#This Row],[Costos (En RD$/Tarea)]])</f>
        <v>0.72576252805243491</v>
      </c>
      <c r="P1567" s="4">
        <f>Tabla2[[#This Row],[Rentabilidad (%)]]/12</f>
        <v>6.048021067103624E-2</v>
      </c>
    </row>
    <row r="1568" spans="1:16" x14ac:dyDescent="0.35">
      <c r="A1568" s="1">
        <v>40483</v>
      </c>
      <c r="B1568" t="s">
        <v>25</v>
      </c>
      <c r="C1568" s="2">
        <v>43224</v>
      </c>
      <c r="D1568" s="5" t="s">
        <v>17</v>
      </c>
      <c r="E1568" s="2">
        <f>IF(Tabla2[[#This Row],[Frecuencia]]="Annual", Tabla2[[#This Row],[Cosecha/Tarea]]/12,Tabla2[[#This Row],[Cosecha/Tarea]])</f>
        <v>43224</v>
      </c>
      <c r="F1568" s="2">
        <v>414950</v>
      </c>
      <c r="G1568" t="s">
        <v>18</v>
      </c>
      <c r="H1568">
        <f>F1568/Tabla2[[#This Row],[Cosecha Mensual]]</f>
        <v>9.599990745881918</v>
      </c>
      <c r="I1568">
        <f>H1568*_xlfn.XLOOKUP(Tabla2[[#This Row],[Unidad de producción]],Tabla3[Medida],Tabla3[Equivalencia en Kg],"ELVIS",0)</f>
        <v>435.45558023320382</v>
      </c>
      <c r="J1568">
        <v>247.17812499999999</v>
      </c>
      <c r="K1568" t="s">
        <v>18</v>
      </c>
      <c r="L1568">
        <f>J1568/_xlfn.XLOOKUP(Tabla2[[#This Row],[Unidad de precio]],Tabla3[Medida],Tabla3[Equivalencia en Kg],"ELVIS",0)</f>
        <v>5.4492531966490301</v>
      </c>
      <c r="M1568">
        <v>3734.0064399798498</v>
      </c>
      <c r="N1568" s="2">
        <f>(Tabla2[[#This Row],[Productividad (kg/TAS)]]*Tabla2[[#This Row],[Precio por kg]]-Tabla2[[#This Row],[Costos (En RD$/Tarea)]])</f>
        <v>-1361.0987273954056</v>
      </c>
      <c r="O1568" s="6">
        <f>IF(Tabla2[[#This Row],[Costos (En RD$/Tarea)]]=0,0,Tabla2[[#This Row],[Beneficio Neto  (En RD$/Tarea)]]/Tabla2[[#This Row],[Costos (En RD$/Tarea)]])</f>
        <v>-0.36451429564292626</v>
      </c>
      <c r="P1568" s="4">
        <f>Tabla2[[#This Row],[Rentabilidad (%)]]/12</f>
        <v>-3.0376191303577188E-2</v>
      </c>
    </row>
    <row r="1569" spans="1:16" x14ac:dyDescent="0.35">
      <c r="A1569" s="1">
        <v>40483</v>
      </c>
      <c r="B1569" t="s">
        <v>26</v>
      </c>
      <c r="C1569" s="2">
        <v>10594</v>
      </c>
      <c r="D1569" s="5" t="s">
        <v>17</v>
      </c>
      <c r="E1569" s="2">
        <f>IF(Tabla2[[#This Row],[Frecuencia]]="Annual", Tabla2[[#This Row],[Cosecha/Tarea]]/12,Tabla2[[#This Row],[Cosecha/Tarea]])</f>
        <v>10594</v>
      </c>
      <c r="F1569" s="2">
        <v>57762</v>
      </c>
      <c r="G1569" t="s">
        <v>18</v>
      </c>
      <c r="H1569">
        <f>F1569/Tabla2[[#This Row],[Cosecha Mensual]]</f>
        <v>5.4523315084009818</v>
      </c>
      <c r="I1569">
        <f>H1569*_xlfn.XLOOKUP(Tabla2[[#This Row],[Unidad de producción]],Tabla3[Medida],Tabla3[Equivalencia en Kg],"ELVIS",0)</f>
        <v>247.31775722106852</v>
      </c>
      <c r="J1569">
        <v>546.392857142857</v>
      </c>
      <c r="K1569" t="s">
        <v>18</v>
      </c>
      <c r="L1569">
        <f>J1569/_xlfn.XLOOKUP(Tabla2[[#This Row],[Unidad de precio]],Tabla3[Medida],Tabla3[Equivalencia en Kg],"ELVIS",0)</f>
        <v>12.045697908793144</v>
      </c>
      <c r="M1569">
        <v>1771.21219288463</v>
      </c>
      <c r="N1569" s="2">
        <f>(Tabla2[[#This Row],[Productividad (kg/TAS)]]*Tabla2[[#This Row],[Precio por kg]]-Tabla2[[#This Row],[Costos (En RD$/Tarea)]])</f>
        <v>1207.9027980806059</v>
      </c>
      <c r="O1569" s="6">
        <f>IF(Tabla2[[#This Row],[Costos (En RD$/Tarea)]]=0,0,Tabla2[[#This Row],[Beneficio Neto  (En RD$/Tarea)]]/Tabla2[[#This Row],[Costos (En RD$/Tarea)]])</f>
        <v>0.68196391315113536</v>
      </c>
      <c r="P1569" s="4">
        <f>Tabla2[[#This Row],[Rentabilidad (%)]]/12</f>
        <v>5.6830326095927947E-2</v>
      </c>
    </row>
    <row r="1570" spans="1:16" x14ac:dyDescent="0.35">
      <c r="A1570" s="1">
        <v>40483</v>
      </c>
      <c r="B1570" t="s">
        <v>27</v>
      </c>
      <c r="C1570" s="2">
        <v>7204</v>
      </c>
      <c r="D1570" s="5" t="s">
        <v>17</v>
      </c>
      <c r="E1570" s="2">
        <f>IF(Tabla2[[#This Row],[Frecuencia]]="Annual", Tabla2[[#This Row],[Cosecha/Tarea]]/12,Tabla2[[#This Row],[Cosecha/Tarea]])</f>
        <v>7204</v>
      </c>
      <c r="F1570" s="2">
        <v>42432</v>
      </c>
      <c r="G1570" t="s">
        <v>18</v>
      </c>
      <c r="H1570">
        <f>F1570/Tabla2[[#This Row],[Cosecha Mensual]]</f>
        <v>5.8900610771793449</v>
      </c>
      <c r="I1570">
        <f>H1570*_xlfn.XLOOKUP(Tabla2[[#This Row],[Unidad de producción]],Tabla3[Medida],Tabla3[Equivalencia en Kg],"ELVIS",0)</f>
        <v>267.17317046085509</v>
      </c>
      <c r="J1570">
        <v>601.04761904761904</v>
      </c>
      <c r="K1570" t="s">
        <v>18</v>
      </c>
      <c r="L1570">
        <f>J1570/_xlfn.XLOOKUP(Tabla2[[#This Row],[Unidad de precio]],Tabla3[Medida],Tabla3[Equivalencia en Kg],"ELVIS",0)</f>
        <v>13.25060888552952</v>
      </c>
      <c r="M1570">
        <v>6142.3910746455704</v>
      </c>
      <c r="N1570" s="2">
        <f>(Tabla2[[#This Row],[Productividad (kg/TAS)]]*Tabla2[[#This Row],[Precio por kg]]-Tabla2[[#This Row],[Costos (En RD$/Tarea)]])</f>
        <v>-2602.183888161871</v>
      </c>
      <c r="O1570" s="6">
        <f>IF(Tabla2[[#This Row],[Costos (En RD$/Tarea)]]=0,0,Tabla2[[#This Row],[Beneficio Neto  (En RD$/Tarea)]]/Tabla2[[#This Row],[Costos (En RD$/Tarea)]])</f>
        <v>-0.42364347312614292</v>
      </c>
      <c r="P1570" s="4">
        <f>Tabla2[[#This Row],[Rentabilidad (%)]]/12</f>
        <v>-3.530362276051191E-2</v>
      </c>
    </row>
    <row r="1571" spans="1:16" x14ac:dyDescent="0.35">
      <c r="A1571" s="1">
        <v>40483</v>
      </c>
      <c r="B1571" t="s">
        <v>28</v>
      </c>
      <c r="C1571" s="2">
        <v>30380</v>
      </c>
      <c r="D1571" s="5" t="s">
        <v>17</v>
      </c>
      <c r="E1571" s="2">
        <f>IF(Tabla2[[#This Row],[Frecuencia]]="Annual", Tabla2[[#This Row],[Cosecha/Tarea]]/12,Tabla2[[#This Row],[Cosecha/Tarea]])</f>
        <v>30380</v>
      </c>
      <c r="F1571" s="2">
        <v>55180</v>
      </c>
      <c r="G1571" t="s">
        <v>29</v>
      </c>
      <c r="H1571">
        <f>F1571/Tabla2[[#This Row],[Cosecha Mensual]]</f>
        <v>1.8163265306122449</v>
      </c>
      <c r="I1571">
        <f>H1571*_xlfn.XLOOKUP(Tabla2[[#This Row],[Unidad de producción]],Tabla3[Medida],Tabla3[Equivalencia en Kg],"ELVIS",0)</f>
        <v>1021.3930612244899</v>
      </c>
      <c r="J1571">
        <v>4361.55</v>
      </c>
      <c r="K1571" t="s">
        <v>29</v>
      </c>
      <c r="L1571">
        <f>J1571/_xlfn.XLOOKUP(Tabla2[[#This Row],[Unidad de precio]],Tabla3[Medida],Tabla3[Equivalencia en Kg],"ELVIS",0)</f>
        <v>7.7560728384962836</v>
      </c>
      <c r="M1571">
        <v>6158.1190308947398</v>
      </c>
      <c r="N1571" s="2">
        <f>(Tabla2[[#This Row],[Productividad (kg/TAS)]]*Tabla2[[#This Row],[Precio por kg]]-Tabla2[[#This Row],[Costos (En RD$/Tarea)]])</f>
        <v>1763.8799486970975</v>
      </c>
      <c r="O1571" s="6">
        <f>IF(Tabla2[[#This Row],[Costos (En RD$/Tarea)]]=0,0,Tabla2[[#This Row],[Beneficio Neto  (En RD$/Tarea)]]/Tabla2[[#This Row],[Costos (En RD$/Tarea)]])</f>
        <v>0.28643161001725809</v>
      </c>
      <c r="P1571" s="4">
        <f>Tabla2[[#This Row],[Rentabilidad (%)]]/12</f>
        <v>2.3869300834771508E-2</v>
      </c>
    </row>
    <row r="1572" spans="1:16" x14ac:dyDescent="0.35">
      <c r="A1572" s="1">
        <v>40483</v>
      </c>
      <c r="B1572" t="s">
        <v>30</v>
      </c>
      <c r="C1572" s="2">
        <v>341438</v>
      </c>
      <c r="D1572" s="2" t="s">
        <v>31</v>
      </c>
      <c r="E1572" s="2">
        <f>IF(Tabla2[[#This Row],[Frecuencia]]="Annual", Tabla2[[#This Row],[Cosecha/Tarea]]/12,Tabla2[[#This Row],[Cosecha/Tarea]])</f>
        <v>28453.166666666668</v>
      </c>
      <c r="F1572" s="2">
        <v>2731504</v>
      </c>
      <c r="G1572" t="s">
        <v>32</v>
      </c>
      <c r="H1572">
        <f>F1572/Tabla2[[#This Row],[Cosecha Mensual]]</f>
        <v>96</v>
      </c>
      <c r="I1572">
        <f>H1572*_xlfn.XLOOKUP(Tabla2[[#This Row],[Unidad de producción]],Tabla3[Medida],Tabla3[Equivalencia en Kg],"ELVIS",0)</f>
        <v>2612.16</v>
      </c>
      <c r="J1572">
        <v>111.118055555556</v>
      </c>
      <c r="K1572" t="s">
        <v>32</v>
      </c>
      <c r="L1572">
        <f>J1572/_xlfn.XLOOKUP(Tabla2[[#This Row],[Unidad de precio]],Tabla3[Medida],Tabla3[Equivalencia en Kg],"ELVIS",0)</f>
        <v>4.0837212626077175</v>
      </c>
      <c r="M1572" s="2">
        <v>10497.9114219602</v>
      </c>
      <c r="N1572" s="2">
        <f>(Tabla2[[#This Row],[Productividad (kg/TAS)]]*Tabla2[[#This Row],[Precio por kg]]-Tabla2[[#This Row],[Costos (En RD$/Tarea)]])</f>
        <v>169.42191137317423</v>
      </c>
      <c r="O1572" s="6">
        <f>IF(Tabla2[[#This Row],[Costos (En RD$/Tarea)]]=0,0,Tabla2[[#This Row],[Beneficio Neto  (En RD$/Tarea)]]/Tabla2[[#This Row],[Costos (En RD$/Tarea)]])</f>
        <v>1.6138630301144156E-2</v>
      </c>
      <c r="P1572" s="4">
        <f>Tabla2[[#This Row],[Rentabilidad (%)]]/12</f>
        <v>1.3448858584286796E-3</v>
      </c>
    </row>
    <row r="1573" spans="1:16" x14ac:dyDescent="0.35">
      <c r="A1573" s="1">
        <v>40483</v>
      </c>
      <c r="B1573" t="s">
        <v>33</v>
      </c>
      <c r="C1573" s="2">
        <v>696022</v>
      </c>
      <c r="D1573" s="2" t="s">
        <v>31</v>
      </c>
      <c r="E1573" s="2">
        <f>IF(Tabla2[[#This Row],[Frecuencia]]="Annual", Tabla2[[#This Row],[Cosecha/Tarea]]/12,Tabla2[[#This Row],[Cosecha/Tarea]])</f>
        <v>58001.833333333336</v>
      </c>
      <c r="F1573" s="2">
        <v>123957</v>
      </c>
      <c r="G1573" t="s">
        <v>34</v>
      </c>
      <c r="H1573">
        <f>F1573/Tabla2[[#This Row],[Cosecha Mensual]]</f>
        <v>2.1371221024622784</v>
      </c>
      <c r="I1573">
        <f>H1573*_xlfn.XLOOKUP(Tabla2[[#This Row],[Unidad de producción]],Tabla3[Medida],Tabla3[Equivalencia en Kg],"ELVIS",0)</f>
        <v>872.26638611997885</v>
      </c>
      <c r="J1573">
        <v>3563.3697916666702</v>
      </c>
      <c r="K1573" t="s">
        <v>34</v>
      </c>
      <c r="L1573">
        <f>J1573/_xlfn.XLOOKUP(Tabla2[[#This Row],[Unidad de precio]],Tabla3[Medida],Tabla3[Equivalencia en Kg],"ELVIS",0)</f>
        <v>8.7305397321246367</v>
      </c>
      <c r="M1573" s="2">
        <v>9292.9734969082201</v>
      </c>
      <c r="N1573" s="2">
        <f>(Tabla2[[#This Row],[Productividad (kg/TAS)]]*Tabla2[[#This Row],[Precio por kg]]-Tabla2[[#This Row],[Costos (En RD$/Tarea)]])</f>
        <v>-1677.6171558909755</v>
      </c>
      <c r="O1573" s="6">
        <f>IF(Tabla2[[#This Row],[Costos (En RD$/Tarea)]]=0,0,Tabla2[[#This Row],[Beneficio Neto  (En RD$/Tarea)]]/Tabla2[[#This Row],[Costos (En RD$/Tarea)]])</f>
        <v>-0.18052533523840567</v>
      </c>
      <c r="P1573" s="4">
        <f>Tabla2[[#This Row],[Rentabilidad (%)]]/12</f>
        <v>-1.5043777936533805E-2</v>
      </c>
    </row>
    <row r="1574" spans="1:16" x14ac:dyDescent="0.35">
      <c r="A1574" s="1">
        <v>40513</v>
      </c>
      <c r="B1574" t="s">
        <v>16</v>
      </c>
      <c r="C1574" s="2">
        <v>143785</v>
      </c>
      <c r="D1574" s="5" t="s">
        <v>17</v>
      </c>
      <c r="E1574" s="2">
        <f>IF(Tabla2[[#This Row],[Frecuencia]]="Annual", Tabla2[[#This Row],[Cosecha/Tarea]]/12,Tabla2[[#This Row],[Cosecha/Tarea]])</f>
        <v>143785</v>
      </c>
      <c r="F1574" s="2">
        <v>515175</v>
      </c>
      <c r="G1574" t="s">
        <v>18</v>
      </c>
      <c r="H1574">
        <f>F1574/Tabla2[[#This Row],[Cosecha Mensual]]</f>
        <v>3.5829537156170672</v>
      </c>
      <c r="I1574">
        <f>H1574*_xlfn.XLOOKUP(Tabla2[[#This Row],[Unidad de producción]],Tabla3[Medida],Tabla3[Equivalencia en Kg],"ELVIS",0)</f>
        <v>162.52278054039016</v>
      </c>
      <c r="J1574">
        <v>1979.49066666667</v>
      </c>
      <c r="K1574" t="s">
        <v>19</v>
      </c>
      <c r="L1574">
        <f>J1574/_xlfn.XLOOKUP(Tabla2[[#This Row],[Unidad de precio]],Tabla3[Medida],Tabla3[Equivalencia en Kg],"ELVIS",0)</f>
        <v>17.995369696969728</v>
      </c>
      <c r="M1574">
        <v>7449.8087382093299</v>
      </c>
      <c r="N1574" s="2">
        <f>(Tabla2[[#This Row],[Productividad (kg/TAS)]]*Tabla2[[#This Row],[Precio por kg]]-Tabla2[[#This Row],[Costos (En RD$/Tarea)]])</f>
        <v>-4525.1512182055312</v>
      </c>
      <c r="O1574" s="6">
        <f>IF(Tabla2[[#This Row],[Costos (En RD$/Tarea)]]=0,0,Tabla2[[#This Row],[Beneficio Neto  (En RD$/Tarea)]]/Tabla2[[#This Row],[Costos (En RD$/Tarea)]])</f>
        <v>-0.60741844216704244</v>
      </c>
      <c r="P1574" s="4">
        <f>Tabla2[[#This Row],[Rentabilidad (%)]]/12</f>
        <v>-5.0618203513920206E-2</v>
      </c>
    </row>
    <row r="1575" spans="1:16" x14ac:dyDescent="0.35">
      <c r="A1575" s="1">
        <v>40513</v>
      </c>
      <c r="B1575" t="s">
        <v>20</v>
      </c>
      <c r="C1575" s="2">
        <v>25426</v>
      </c>
      <c r="D1575" s="5" t="s">
        <v>17</v>
      </c>
      <c r="E1575" s="2">
        <f>IF(Tabla2[[#This Row],[Frecuencia]]="Annual", Tabla2[[#This Row],[Cosecha/Tarea]]/12,Tabla2[[#This Row],[Cosecha/Tarea]])</f>
        <v>25426</v>
      </c>
      <c r="F1575" s="2">
        <v>46285</v>
      </c>
      <c r="G1575" t="s">
        <v>18</v>
      </c>
      <c r="H1575">
        <f>F1575/Tabla2[[#This Row],[Cosecha Mensual]]</f>
        <v>1.8203807126563361</v>
      </c>
      <c r="I1575">
        <f>H1575*_xlfn.XLOOKUP(Tabla2[[#This Row],[Unidad de producción]],Tabla3[Medida],Tabla3[Equivalencia en Kg],"ELVIS",0)</f>
        <v>82.572469126091406</v>
      </c>
      <c r="J1575">
        <v>565.06272222222196</v>
      </c>
      <c r="K1575" t="s">
        <v>18</v>
      </c>
      <c r="L1575">
        <f>J1575/_xlfn.XLOOKUP(Tabla2[[#This Row],[Unidad de precio]],Tabla3[Medida],Tabla3[Equivalencia en Kg],"ELVIS",0)</f>
        <v>12.457291054281789</v>
      </c>
      <c r="M1575">
        <v>2162.02023182316</v>
      </c>
      <c r="N1575" s="2">
        <f>(Tabla2[[#This Row],[Productividad (kg/TAS)]]*Tabla2[[#This Row],[Precio por kg]]-Tabla2[[#This Row],[Costos (En RD$/Tarea)]])</f>
        <v>-1133.3909508487422</v>
      </c>
      <c r="O1575" s="6">
        <f>IF(Tabla2[[#This Row],[Costos (En RD$/Tarea)]]=0,0,Tabla2[[#This Row],[Beneficio Neto  (En RD$/Tarea)]]/Tabla2[[#This Row],[Costos (En RD$/Tarea)]])</f>
        <v>-0.52422772653380367</v>
      </c>
      <c r="P1575" s="4">
        <f>Tabla2[[#This Row],[Rentabilidad (%)]]/12</f>
        <v>-4.3685643877816975E-2</v>
      </c>
    </row>
    <row r="1576" spans="1:16" x14ac:dyDescent="0.35">
      <c r="A1576" s="1">
        <v>40513</v>
      </c>
      <c r="B1576" t="s">
        <v>21</v>
      </c>
      <c r="C1576" s="2">
        <v>7332</v>
      </c>
      <c r="D1576" s="5" t="s">
        <v>17</v>
      </c>
      <c r="E1576" s="2">
        <f>IF(Tabla2[[#This Row],[Frecuencia]]="Annual", Tabla2[[#This Row],[Cosecha/Tarea]]/12,Tabla2[[#This Row],[Cosecha/Tarea]])</f>
        <v>7332</v>
      </c>
      <c r="F1576" s="2">
        <v>71117</v>
      </c>
      <c r="G1576" t="s">
        <v>18</v>
      </c>
      <c r="H1576">
        <f>F1576/Tabla2[[#This Row],[Cosecha Mensual]]</f>
        <v>9.6995362793235138</v>
      </c>
      <c r="I1576">
        <f>H1576*_xlfn.XLOOKUP(Tabla2[[#This Row],[Unidad de producción]],Tabla3[Medida],Tabla3[Equivalencia en Kg],"ELVIS",0)</f>
        <v>439.97096563011456</v>
      </c>
      <c r="J1576">
        <v>387.816666666667</v>
      </c>
      <c r="K1576" t="s">
        <v>18</v>
      </c>
      <c r="L1576">
        <f>J1576/_xlfn.XLOOKUP(Tabla2[[#This Row],[Unidad de precio]],Tabla3[Medida],Tabla3[Equivalencia en Kg],"ELVIS",0)</f>
        <v>8.5497501469723769</v>
      </c>
      <c r="M1576">
        <v>4521.4268874999998</v>
      </c>
      <c r="N1576" s="2">
        <f>(Tabla2[[#This Row],[Productividad (kg/TAS)]]*Tabla2[[#This Row],[Precio por kg]]-Tabla2[[#This Row],[Costos (En RD$/Tarea)]])</f>
        <v>-759.78505944034941</v>
      </c>
      <c r="O1576" s="6">
        <f>IF(Tabla2[[#This Row],[Costos (En RD$/Tarea)]]=0,0,Tabla2[[#This Row],[Beneficio Neto  (En RD$/Tarea)]]/Tabla2[[#This Row],[Costos (En RD$/Tarea)]])</f>
        <v>-0.16804099200207392</v>
      </c>
      <c r="P1576" s="4">
        <f>Tabla2[[#This Row],[Rentabilidad (%)]]/12</f>
        <v>-1.4003416000172826E-2</v>
      </c>
    </row>
    <row r="1577" spans="1:16" x14ac:dyDescent="0.35">
      <c r="A1577" s="1">
        <v>40513</v>
      </c>
      <c r="B1577" t="s">
        <v>22</v>
      </c>
      <c r="C1577" s="2">
        <v>4227</v>
      </c>
      <c r="D1577" s="5" t="s">
        <v>17</v>
      </c>
      <c r="E1577" s="2">
        <f>IF(Tabla2[[#This Row],[Frecuencia]]="Annual", Tabla2[[#This Row],[Cosecha/Tarea]]/12,Tabla2[[#This Row],[Cosecha/Tarea]])</f>
        <v>4227</v>
      </c>
      <c r="F1577" s="2">
        <v>41611</v>
      </c>
      <c r="G1577" t="s">
        <v>18</v>
      </c>
      <c r="H1577">
        <f>F1577/Tabla2[[#This Row],[Cosecha Mensual]]</f>
        <v>9.8440974686538922</v>
      </c>
      <c r="I1577">
        <f>H1577*_xlfn.XLOOKUP(Tabla2[[#This Row],[Unidad de producción]],Tabla3[Medida],Tabla3[Equivalencia en Kg],"ELVIS",0)</f>
        <v>446.52826117814055</v>
      </c>
      <c r="J1577">
        <v>1022.178125</v>
      </c>
      <c r="K1577" t="s">
        <v>18</v>
      </c>
      <c r="L1577">
        <f>J1577/_xlfn.XLOOKUP(Tabla2[[#This Row],[Unidad de precio]],Tabla3[Medida],Tabla3[Equivalencia en Kg],"ELVIS",0)</f>
        <v>22.534791115520282</v>
      </c>
      <c r="M1577">
        <v>7599.7694060736003</v>
      </c>
      <c r="N1577" s="2">
        <f>(Tabla2[[#This Row],[Productividad (kg/TAS)]]*Tabla2[[#This Row],[Precio por kg]]-Tabla2[[#This Row],[Costos (En RD$/Tarea)]])</f>
        <v>2462.6516867522814</v>
      </c>
      <c r="O1577" s="6">
        <f>IF(Tabla2[[#This Row],[Costos (En RD$/Tarea)]]=0,0,Tabla2[[#This Row],[Beneficio Neto  (En RD$/Tarea)]]/Tabla2[[#This Row],[Costos (En RD$/Tarea)]])</f>
        <v>0.32404294856422539</v>
      </c>
      <c r="P1577" s="4">
        <f>Tabla2[[#This Row],[Rentabilidad (%)]]/12</f>
        <v>2.7003579047018781E-2</v>
      </c>
    </row>
    <row r="1578" spans="1:16" x14ac:dyDescent="0.35">
      <c r="A1578" s="1">
        <v>40513</v>
      </c>
      <c r="B1578" t="s">
        <v>23</v>
      </c>
      <c r="C1578" s="2">
        <v>2417</v>
      </c>
      <c r="D1578" s="5" t="s">
        <v>17</v>
      </c>
      <c r="E1578" s="2">
        <f>IF(Tabla2[[#This Row],[Frecuencia]]="Annual", Tabla2[[#This Row],[Cosecha/Tarea]]/12,Tabla2[[#This Row],[Cosecha/Tarea]])</f>
        <v>2417</v>
      </c>
      <c r="F1578" s="2">
        <v>88055</v>
      </c>
      <c r="G1578" t="s">
        <v>18</v>
      </c>
      <c r="H1578">
        <f>F1578/Tabla2[[#This Row],[Cosecha Mensual]]</f>
        <v>36.431526685974347</v>
      </c>
      <c r="I1578">
        <f>H1578*_xlfn.XLOOKUP(Tabla2[[#This Row],[Unidad de producción]],Tabla3[Medida],Tabla3[Equivalencia en Kg],"ELVIS",0)</f>
        <v>1652.5340504757964</v>
      </c>
      <c r="J1578">
        <v>993.75</v>
      </c>
      <c r="K1578" t="s">
        <v>18</v>
      </c>
      <c r="L1578">
        <f>J1578/_xlfn.XLOOKUP(Tabla2[[#This Row],[Unidad de precio]],Tabla3[Medida],Tabla3[Equivalencia en Kg],"ELVIS",0)</f>
        <v>21.908068783068785</v>
      </c>
      <c r="M1578">
        <v>20327.21</v>
      </c>
      <c r="N1578" s="2">
        <f>(Tabla2[[#This Row],[Productividad (kg/TAS)]]*Tabla2[[#This Row],[Precio por kg]]-Tabla2[[#This Row],[Costos (En RD$/Tarea)]])</f>
        <v>15876.619644187012</v>
      </c>
      <c r="O1578" s="6">
        <f>IF(Tabla2[[#This Row],[Costos (En RD$/Tarea)]]=0,0,Tabla2[[#This Row],[Beneficio Neto  (En RD$/Tarea)]]/Tabla2[[#This Row],[Costos (En RD$/Tarea)]])</f>
        <v>0.78105257161150066</v>
      </c>
      <c r="P1578" s="4">
        <f>Tabla2[[#This Row],[Rentabilidad (%)]]/12</f>
        <v>6.5087714300958388E-2</v>
      </c>
    </row>
    <row r="1579" spans="1:16" x14ac:dyDescent="0.35">
      <c r="A1579" s="1">
        <v>40513</v>
      </c>
      <c r="B1579" t="s">
        <v>24</v>
      </c>
      <c r="C1579" s="2">
        <v>11267</v>
      </c>
      <c r="D1579" s="5" t="s">
        <v>17</v>
      </c>
      <c r="E1579" s="2">
        <f>IF(Tabla2[[#This Row],[Frecuencia]]="Annual", Tabla2[[#This Row],[Cosecha/Tarea]]/12,Tabla2[[#This Row],[Cosecha/Tarea]])</f>
        <v>11267</v>
      </c>
      <c r="F1579" s="2">
        <v>80612</v>
      </c>
      <c r="G1579" t="s">
        <v>18</v>
      </c>
      <c r="H1579">
        <f>F1579/Tabla2[[#This Row],[Cosecha Mensual]]</f>
        <v>7.1546995651016241</v>
      </c>
      <c r="I1579">
        <f>H1579*_xlfn.XLOOKUP(Tabla2[[#This Row],[Unidad de producción]],Tabla3[Medida],Tabla3[Equivalencia en Kg],"ELVIS",0)</f>
        <v>324.53717227300967</v>
      </c>
      <c r="J1579">
        <v>1334.1</v>
      </c>
      <c r="K1579" t="s">
        <v>18</v>
      </c>
      <c r="L1579">
        <f>J1579/_xlfn.XLOOKUP(Tabla2[[#This Row],[Unidad de precio]],Tabla3[Medida],Tabla3[Equivalencia en Kg],"ELVIS",0)</f>
        <v>29.411375661375661</v>
      </c>
      <c r="M1579">
        <v>6579.6044973695998</v>
      </c>
      <c r="N1579" s="2">
        <f>(Tabla2[[#This Row],[Productividad (kg/TAS)]]*Tabla2[[#This Row],[Precio por kg]]-Tabla2[[#This Row],[Costos (En RD$/Tarea)]])</f>
        <v>2965.4801924324775</v>
      </c>
      <c r="O1579" s="6">
        <f>IF(Tabla2[[#This Row],[Costos (En RD$/Tarea)]]=0,0,Tabla2[[#This Row],[Beneficio Neto  (En RD$/Tarea)]]/Tabla2[[#This Row],[Costos (En RD$/Tarea)]])</f>
        <v>0.45070797091497211</v>
      </c>
      <c r="P1579" s="4">
        <f>Tabla2[[#This Row],[Rentabilidad (%)]]/12</f>
        <v>3.7558997576247678E-2</v>
      </c>
    </row>
    <row r="1580" spans="1:16" x14ac:dyDescent="0.35">
      <c r="A1580" s="1">
        <v>40513</v>
      </c>
      <c r="B1580" t="s">
        <v>25</v>
      </c>
      <c r="C1580" s="2">
        <v>28458</v>
      </c>
      <c r="D1580" s="5" t="s">
        <v>17</v>
      </c>
      <c r="E1580" s="2">
        <f>IF(Tabla2[[#This Row],[Frecuencia]]="Annual", Tabla2[[#This Row],[Cosecha/Tarea]]/12,Tabla2[[#This Row],[Cosecha/Tarea]])</f>
        <v>28458</v>
      </c>
      <c r="F1580" s="2">
        <v>400240</v>
      </c>
      <c r="G1580" t="s">
        <v>18</v>
      </c>
      <c r="H1580">
        <f>F1580/Tabla2[[#This Row],[Cosecha Mensual]]</f>
        <v>14.064235013001616</v>
      </c>
      <c r="I1580">
        <f>H1580*_xlfn.XLOOKUP(Tabla2[[#This Row],[Unidad de producción]],Tabla3[Medida],Tabla3[Equivalencia en Kg],"ELVIS",0)</f>
        <v>637.95370018975325</v>
      </c>
      <c r="J1580">
        <v>278.02</v>
      </c>
      <c r="K1580" t="s">
        <v>18</v>
      </c>
      <c r="L1580">
        <f>J1580/_xlfn.XLOOKUP(Tabla2[[#This Row],[Unidad de precio]],Tabla3[Medida],Tabla3[Equivalencia en Kg],"ELVIS",0)</f>
        <v>6.1291887125220459</v>
      </c>
      <c r="M1580">
        <v>3734.0064399798498</v>
      </c>
      <c r="N1580" s="2">
        <f>(Tabla2[[#This Row],[Productividad (kg/TAS)]]*Tabla2[[#This Row],[Precio por kg]]-Tabla2[[#This Row],[Costos (En RD$/Tarea)]])</f>
        <v>176.13217833485896</v>
      </c>
      <c r="O1580" s="6">
        <f>IF(Tabla2[[#This Row],[Costos (En RD$/Tarea)]]=0,0,Tabla2[[#This Row],[Beneficio Neto  (En RD$/Tarea)]]/Tabla2[[#This Row],[Costos (En RD$/Tarea)]])</f>
        <v>4.7169757515418062E-2</v>
      </c>
      <c r="P1580" s="4">
        <f>Tabla2[[#This Row],[Rentabilidad (%)]]/12</f>
        <v>3.9308131262848385E-3</v>
      </c>
    </row>
    <row r="1581" spans="1:16" x14ac:dyDescent="0.35">
      <c r="A1581" s="1">
        <v>40513</v>
      </c>
      <c r="B1581" t="s">
        <v>26</v>
      </c>
      <c r="C1581" s="2">
        <v>12990</v>
      </c>
      <c r="D1581" s="5" t="s">
        <v>17</v>
      </c>
      <c r="E1581" s="2">
        <f>IF(Tabla2[[#This Row],[Frecuencia]]="Annual", Tabla2[[#This Row],[Cosecha/Tarea]]/12,Tabla2[[#This Row],[Cosecha/Tarea]])</f>
        <v>12990</v>
      </c>
      <c r="F1581" s="2">
        <v>72296</v>
      </c>
      <c r="G1581" t="s">
        <v>18</v>
      </c>
      <c r="H1581">
        <f>F1581/Tabla2[[#This Row],[Cosecha Mensual]]</f>
        <v>5.5655119322555811</v>
      </c>
      <c r="I1581">
        <f>H1581*_xlfn.XLOOKUP(Tabla2[[#This Row],[Unidad de producción]],Tabla3[Medida],Tabla3[Equivalencia en Kg],"ELVIS",0)</f>
        <v>252.45162124711317</v>
      </c>
      <c r="J1581">
        <v>540.95416666666699</v>
      </c>
      <c r="K1581" t="s">
        <v>18</v>
      </c>
      <c r="L1581">
        <f>J1581/_xlfn.XLOOKUP(Tabla2[[#This Row],[Unidad de precio]],Tabla3[Medida],Tabla3[Equivalencia en Kg],"ELVIS",0)</f>
        <v>11.925797325102888</v>
      </c>
      <c r="M1581">
        <v>1771.21219288463</v>
      </c>
      <c r="N1581" s="2">
        <f>(Tabla2[[#This Row],[Productividad (kg/TAS)]]*Tabla2[[#This Row],[Precio por kg]]-Tabla2[[#This Row],[Costos (En RD$/Tarea)]])</f>
        <v>1239.4746765020795</v>
      </c>
      <c r="O1581" s="6">
        <f>IF(Tabla2[[#This Row],[Costos (En RD$/Tarea)]]=0,0,Tabla2[[#This Row],[Beneficio Neto  (En RD$/Tarea)]]/Tabla2[[#This Row],[Costos (En RD$/Tarea)]])</f>
        <v>0.69978892505445522</v>
      </c>
      <c r="P1581" s="4">
        <f>Tabla2[[#This Row],[Rentabilidad (%)]]/12</f>
        <v>5.8315743754537935E-2</v>
      </c>
    </row>
    <row r="1582" spans="1:16" x14ac:dyDescent="0.35">
      <c r="A1582" s="1">
        <v>40513</v>
      </c>
      <c r="B1582" t="s">
        <v>27</v>
      </c>
      <c r="C1582" s="2">
        <v>7044</v>
      </c>
      <c r="D1582" s="5" t="s">
        <v>17</v>
      </c>
      <c r="E1582" s="2">
        <f>IF(Tabla2[[#This Row],[Frecuencia]]="Annual", Tabla2[[#This Row],[Cosecha/Tarea]]/12,Tabla2[[#This Row],[Cosecha/Tarea]])</f>
        <v>7044</v>
      </c>
      <c r="F1582" s="2">
        <v>38200</v>
      </c>
      <c r="G1582" t="s">
        <v>18</v>
      </c>
      <c r="H1582">
        <f>F1582/Tabla2[[#This Row],[Cosecha Mensual]]</f>
        <v>5.4230550823395802</v>
      </c>
      <c r="I1582">
        <f>H1582*_xlfn.XLOOKUP(Tabla2[[#This Row],[Unidad de producción]],Tabla3[Medida],Tabla3[Equivalencia en Kg],"ELVIS",0)</f>
        <v>245.98977853492335</v>
      </c>
      <c r="J1582">
        <v>632.41666666666697</v>
      </c>
      <c r="K1582" t="s">
        <v>18</v>
      </c>
      <c r="L1582">
        <f>J1582/_xlfn.XLOOKUP(Tabla2[[#This Row],[Unidad de precio]],Tabla3[Medida],Tabla3[Equivalencia en Kg],"ELVIS",0)</f>
        <v>13.942166372721935</v>
      </c>
      <c r="M1582">
        <v>6142.3910746455704</v>
      </c>
      <c r="N1582" s="2">
        <f>(Tabla2[[#This Row],[Productividad (kg/TAS)]]*Tabla2[[#This Row],[Precio por kg]]-Tabla2[[#This Row],[Costos (En RD$/Tarea)]])</f>
        <v>-2712.7606563226459</v>
      </c>
      <c r="O1582" s="6">
        <f>IF(Tabla2[[#This Row],[Costos (En RD$/Tarea)]]=0,0,Tabla2[[#This Row],[Beneficio Neto  (En RD$/Tarea)]]/Tabla2[[#This Row],[Costos (En RD$/Tarea)]])</f>
        <v>-0.44164570821944582</v>
      </c>
      <c r="P1582" s="4">
        <f>Tabla2[[#This Row],[Rentabilidad (%)]]/12</f>
        <v>-3.6803809018287149E-2</v>
      </c>
    </row>
    <row r="1583" spans="1:16" x14ac:dyDescent="0.35">
      <c r="A1583" s="1">
        <v>40513</v>
      </c>
      <c r="B1583" t="s">
        <v>28</v>
      </c>
      <c r="C1583" s="2">
        <v>43310</v>
      </c>
      <c r="D1583" s="5" t="s">
        <v>17</v>
      </c>
      <c r="E1583" s="2">
        <f>IF(Tabla2[[#This Row],[Frecuencia]]="Annual", Tabla2[[#This Row],[Cosecha/Tarea]]/12,Tabla2[[#This Row],[Cosecha/Tarea]])</f>
        <v>43310</v>
      </c>
      <c r="F1583" s="2">
        <v>66988</v>
      </c>
      <c r="G1583" t="s">
        <v>29</v>
      </c>
      <c r="H1583">
        <f>F1583/Tabla2[[#This Row],[Cosecha Mensual]]</f>
        <v>1.5467097667975063</v>
      </c>
      <c r="I1583">
        <f>H1583*_xlfn.XLOOKUP(Tabla2[[#This Row],[Unidad de producción]],Tabla3[Medida],Tabla3[Equivalencia en Kg],"ELVIS",0)</f>
        <v>869.77677026090976</v>
      </c>
      <c r="J1583">
        <v>5500</v>
      </c>
      <c r="K1583" t="s">
        <v>29</v>
      </c>
      <c r="L1583">
        <f>J1583/_xlfn.XLOOKUP(Tabla2[[#This Row],[Unidad de precio]],Tabla3[Medida],Tabla3[Equivalencia en Kg],"ELVIS",0)</f>
        <v>9.7805598036774892</v>
      </c>
      <c r="M1583">
        <v>6158.1190308947398</v>
      </c>
      <c r="N1583" s="2">
        <f>(Tabla2[[#This Row],[Productividad (kg/TAS)]]*Tabla2[[#This Row],[Precio por kg]]-Tabla2[[#This Row],[Costos (En RD$/Tarea)]])</f>
        <v>2348.7846864915437</v>
      </c>
      <c r="O1583" s="6">
        <f>IF(Tabla2[[#This Row],[Costos (En RD$/Tarea)]]=0,0,Tabla2[[#This Row],[Beneficio Neto  (En RD$/Tarea)]]/Tabla2[[#This Row],[Costos (En RD$/Tarea)]])</f>
        <v>0.38141268051297778</v>
      </c>
      <c r="P1583" s="4">
        <f>Tabla2[[#This Row],[Rentabilidad (%)]]/12</f>
        <v>3.1784390042748148E-2</v>
      </c>
    </row>
    <row r="1584" spans="1:16" x14ac:dyDescent="0.35">
      <c r="A1584" s="1">
        <v>40513</v>
      </c>
      <c r="B1584" t="s">
        <v>30</v>
      </c>
      <c r="C1584" s="2">
        <v>338291</v>
      </c>
      <c r="D1584" s="2" t="s">
        <v>31</v>
      </c>
      <c r="E1584" s="2">
        <f>IF(Tabla2[[#This Row],[Frecuencia]]="Annual", Tabla2[[#This Row],[Cosecha/Tarea]]/12,Tabla2[[#This Row],[Cosecha/Tarea]])</f>
        <v>28190.916666666668</v>
      </c>
      <c r="F1584" s="2">
        <v>2368040</v>
      </c>
      <c r="G1584" t="s">
        <v>32</v>
      </c>
      <c r="H1584">
        <f>F1584/Tabla2[[#This Row],[Cosecha Mensual]]</f>
        <v>84.000106417256148</v>
      </c>
      <c r="I1584">
        <f>H1584*_xlfn.XLOOKUP(Tabla2[[#This Row],[Unidad de producción]],Tabla3[Medida],Tabla3[Equivalencia en Kg],"ELVIS",0)</f>
        <v>2285.6428956135401</v>
      </c>
      <c r="J1584">
        <v>98.75</v>
      </c>
      <c r="K1584" t="s">
        <v>32</v>
      </c>
      <c r="L1584">
        <f>J1584/_xlfn.XLOOKUP(Tabla2[[#This Row],[Unidad de precio]],Tabla3[Medida],Tabla3[Equivalencia en Kg],"ELVIS",0)</f>
        <v>3.6291804483645715</v>
      </c>
      <c r="M1584" s="2">
        <v>10497.9114219602</v>
      </c>
      <c r="N1584" s="2">
        <f>(Tabla2[[#This Row],[Productividad (kg/TAS)]]*Tabla2[[#This Row],[Precio por kg]]-Tabla2[[#This Row],[Costos (En RD$/Tarea)]])</f>
        <v>-2202.900913256155</v>
      </c>
      <c r="O1584" s="6">
        <f>IF(Tabla2[[#This Row],[Costos (En RD$/Tarea)]]=0,0,Tabla2[[#This Row],[Beneficio Neto  (En RD$/Tarea)]]/Tabla2[[#This Row],[Costos (En RD$/Tarea)]])</f>
        <v>-0.20984182707504909</v>
      </c>
      <c r="P1584" s="4">
        <f>Tabla2[[#This Row],[Rentabilidad (%)]]/12</f>
        <v>-1.7486818922920758E-2</v>
      </c>
    </row>
    <row r="1585" spans="1:16" x14ac:dyDescent="0.35">
      <c r="A1585" s="1">
        <v>40513</v>
      </c>
      <c r="B1585" t="s">
        <v>33</v>
      </c>
      <c r="C1585" s="2">
        <v>694440</v>
      </c>
      <c r="D1585" s="2" t="s">
        <v>31</v>
      </c>
      <c r="E1585" s="8">
        <f>IF(Tabla2[[#This Row],[Frecuencia]]="Annual", Tabla2[[#This Row],[Cosecha/Tarea]]/12,Tabla2[[#This Row],[Cosecha/Tarea]])</f>
        <v>57870</v>
      </c>
      <c r="F1585" s="2">
        <v>250290</v>
      </c>
      <c r="G1585" t="s">
        <v>34</v>
      </c>
      <c r="H1585">
        <f>F1585/Tabla2[[#This Row],[Cosecha Mensual]]</f>
        <v>4.325038880248834</v>
      </c>
      <c r="I1585">
        <f>H1585*_xlfn.XLOOKUP(Tabla2[[#This Row],[Unidad de producción]],Tabla3[Medida],Tabla3[Equivalencia en Kg],"ELVIS",0)</f>
        <v>1765.2646189735615</v>
      </c>
      <c r="J1585">
        <v>3559.3555555555599</v>
      </c>
      <c r="K1585" t="s">
        <v>34</v>
      </c>
      <c r="L1585">
        <f>J1585/_xlfn.XLOOKUP(Tabla2[[#This Row],[Unidad de precio]],Tabla3[Medida],Tabla3[Equivalencia en Kg],"ELVIS",0)</f>
        <v>8.7207045340084779</v>
      </c>
      <c r="M1585" s="2">
        <v>9292.9734969082201</v>
      </c>
      <c r="N1585" s="2">
        <f>(Tabla2[[#This Row],[Productividad (kg/TAS)]]*Tabla2[[#This Row],[Precio por kg]]-Tabla2[[#This Row],[Costos (En RD$/Tarea)]])</f>
        <v>6101.3776694992648</v>
      </c>
      <c r="O1585" s="6">
        <f>IF(Tabla2[[#This Row],[Costos (En RD$/Tarea)]]=0,0,Tabla2[[#This Row],[Beneficio Neto  (En RD$/Tarea)]]/Tabla2[[#This Row],[Costos (En RD$/Tarea)]])</f>
        <v>0.65655816962452307</v>
      </c>
      <c r="P1585" s="4">
        <f>Tabla2[[#This Row],[Rentabilidad (%)]]/12</f>
        <v>5.4713180802043591E-2</v>
      </c>
    </row>
    <row r="1586" spans="1:16" x14ac:dyDescent="0.35">
      <c r="A1586" s="1">
        <v>40544</v>
      </c>
      <c r="B1586" t="s">
        <v>16</v>
      </c>
      <c r="C1586" s="2">
        <v>70085</v>
      </c>
      <c r="D1586" s="5" t="s">
        <v>17</v>
      </c>
      <c r="E1586" s="2">
        <f>IF(Tabla2[[#This Row],[Frecuencia]]="Annual", Tabla2[[#This Row],[Cosecha/Tarea]]/12,Tabla2[[#This Row],[Cosecha/Tarea]])</f>
        <v>70085</v>
      </c>
      <c r="F1586" s="2">
        <v>196212</v>
      </c>
      <c r="G1586" t="s">
        <v>18</v>
      </c>
      <c r="H1586">
        <f>F1586/Tabla2[[#This Row],[Cosecha Mensual]]</f>
        <v>2.7996290219019762</v>
      </c>
      <c r="I1586">
        <f>H1586*_xlfn.XLOOKUP(Tabla2[[#This Row],[Unidad de producción]],Tabla3[Medida],Tabla3[Equivalencia en Kg],"ELVIS",0)</f>
        <v>126.99117243347364</v>
      </c>
      <c r="J1586">
        <v>1840.835</v>
      </c>
      <c r="K1586" t="s">
        <v>19</v>
      </c>
      <c r="L1586">
        <f>J1586/_xlfn.XLOOKUP(Tabla2[[#This Row],[Unidad de precio]],Tabla3[Medida],Tabla3[Equivalencia en Kg],"ELVIS",0)</f>
        <v>16.734863636363638</v>
      </c>
      <c r="M1586">
        <v>7569</v>
      </c>
      <c r="N1586" s="2">
        <f>(Tabla2[[#This Row],[Productividad (kg/TAS)]]*Tabla2[[#This Row],[Precio por kg]]-Tabla2[[#This Row],[Costos (En RD$/Tarea)]])</f>
        <v>-5443.8200463038775</v>
      </c>
      <c r="O1586" s="6">
        <f>IF(Tabla2[[#This Row],[Costos (En RD$/Tarea)]]=0,0,Tabla2[[#This Row],[Beneficio Neto  (En RD$/Tarea)]]/Tabla2[[#This Row],[Costos (En RD$/Tarea)]])</f>
        <v>-0.71922579552171717</v>
      </c>
      <c r="P1586" s="4">
        <f>Tabla2[[#This Row],[Rentabilidad (%)]]/12</f>
        <v>-5.9935482960143095E-2</v>
      </c>
    </row>
    <row r="1587" spans="1:16" x14ac:dyDescent="0.35">
      <c r="A1587" s="1">
        <v>40544</v>
      </c>
      <c r="B1587" t="s">
        <v>20</v>
      </c>
      <c r="C1587" s="2">
        <v>29758</v>
      </c>
      <c r="D1587" s="5" t="s">
        <v>17</v>
      </c>
      <c r="E1587" s="2">
        <f>IF(Tabla2[[#This Row],[Frecuencia]]="Annual", Tabla2[[#This Row],[Cosecha/Tarea]]/12,Tabla2[[#This Row],[Cosecha/Tarea]])</f>
        <v>29758</v>
      </c>
      <c r="F1587" s="2">
        <v>49623</v>
      </c>
      <c r="G1587" t="s">
        <v>18</v>
      </c>
      <c r="H1587">
        <f>F1587/Tabla2[[#This Row],[Cosecha Mensual]]</f>
        <v>1.667551582767659</v>
      </c>
      <c r="I1587">
        <f>H1587*_xlfn.XLOOKUP(Tabla2[[#This Row],[Unidad de producción]],Tabla3[Medida],Tabla3[Equivalencia en Kg],"ELVIS",0)</f>
        <v>75.64013979434101</v>
      </c>
      <c r="J1587">
        <v>552.50369999999998</v>
      </c>
      <c r="K1587" t="s">
        <v>18</v>
      </c>
      <c r="L1587">
        <f>J1587/_xlfn.XLOOKUP(Tabla2[[#This Row],[Unidad de precio]],Tabla3[Medida],Tabla3[Equivalencia en Kg],"ELVIS",0)</f>
        <v>12.180416666666666</v>
      </c>
      <c r="M1587">
        <v>2249.6320342847998</v>
      </c>
      <c r="N1587" s="2">
        <f>(Tabla2[[#This Row],[Productividad (kg/TAS)]]*Tabla2[[#This Row],[Precio por kg]]-Tabla2[[#This Row],[Costos (En RD$/Tarea)]])</f>
        <v>-1328.3036148648121</v>
      </c>
      <c r="O1587" s="6">
        <f>IF(Tabla2[[#This Row],[Costos (En RD$/Tarea)]]=0,0,Tabla2[[#This Row],[Beneficio Neto  (En RD$/Tarea)]]/Tabla2[[#This Row],[Costos (En RD$/Tarea)]])</f>
        <v>-0.59045372515203565</v>
      </c>
      <c r="P1587" s="4">
        <f>Tabla2[[#This Row],[Rentabilidad (%)]]/12</f>
        <v>-4.9204477096002973E-2</v>
      </c>
    </row>
    <row r="1588" spans="1:16" x14ac:dyDescent="0.35">
      <c r="A1588" s="1">
        <v>40544</v>
      </c>
      <c r="B1588" t="s">
        <v>21</v>
      </c>
      <c r="C1588" s="2">
        <v>7236</v>
      </c>
      <c r="D1588" s="5" t="s">
        <v>17</v>
      </c>
      <c r="E1588" s="2">
        <f>IF(Tabla2[[#This Row],[Frecuencia]]="Annual", Tabla2[[#This Row],[Cosecha/Tarea]]/12,Tabla2[[#This Row],[Cosecha/Tarea]])</f>
        <v>7236</v>
      </c>
      <c r="F1588" s="2">
        <v>90099</v>
      </c>
      <c r="G1588" t="s">
        <v>18</v>
      </c>
      <c r="H1588">
        <f>F1588/Tabla2[[#This Row],[Cosecha Mensual]]</f>
        <v>12.451492537313433</v>
      </c>
      <c r="I1588">
        <f>H1588*_xlfn.XLOOKUP(Tabla2[[#This Row],[Unidad de producción]],Tabla3[Medida],Tabla3[Equivalencia en Kg],"ELVIS",0)</f>
        <v>564.79970149253734</v>
      </c>
      <c r="J1588">
        <v>444.74200000000002</v>
      </c>
      <c r="K1588" t="s">
        <v>18</v>
      </c>
      <c r="L1588">
        <f>J1588/_xlfn.XLOOKUP(Tabla2[[#This Row],[Unidad de precio]],Tabla3[Medida],Tabla3[Equivalencia en Kg],"ELVIS",0)</f>
        <v>9.8047178130511465</v>
      </c>
      <c r="M1588">
        <v>4921.4416007500004</v>
      </c>
      <c r="N1588" s="2">
        <f>(Tabla2[[#This Row],[Productividad (kg/TAS)]]*Tabla2[[#This Row],[Precio por kg]]-Tabla2[[#This Row],[Costos (En RD$/Tarea)]])</f>
        <v>616.26009327985048</v>
      </c>
      <c r="O1588" s="6">
        <f>IF(Tabla2[[#This Row],[Costos (En RD$/Tarea)]]=0,0,Tabla2[[#This Row],[Beneficio Neto  (En RD$/Tarea)]]/Tabla2[[#This Row],[Costos (En RD$/Tarea)]])</f>
        <v>0.12521942619128831</v>
      </c>
      <c r="P1588" s="4">
        <f>Tabla2[[#This Row],[Rentabilidad (%)]]/12</f>
        <v>1.0434952182607359E-2</v>
      </c>
    </row>
    <row r="1589" spans="1:16" x14ac:dyDescent="0.35">
      <c r="A1589" s="1">
        <v>40544</v>
      </c>
      <c r="B1589" t="s">
        <v>22</v>
      </c>
      <c r="C1589" s="2">
        <v>7100</v>
      </c>
      <c r="D1589" s="5" t="s">
        <v>17</v>
      </c>
      <c r="E1589" s="2">
        <f>IF(Tabla2[[#This Row],[Frecuencia]]="Annual", Tabla2[[#This Row],[Cosecha/Tarea]]/12,Tabla2[[#This Row],[Cosecha/Tarea]])</f>
        <v>7100</v>
      </c>
      <c r="F1589" s="2">
        <v>76001</v>
      </c>
      <c r="G1589" t="s">
        <v>18</v>
      </c>
      <c r="H1589">
        <f>F1589/Tabla2[[#This Row],[Cosecha Mensual]]</f>
        <v>10.704366197183099</v>
      </c>
      <c r="I1589">
        <f>H1589*_xlfn.XLOOKUP(Tabla2[[#This Row],[Unidad de producción]],Tabla3[Medida],Tabla3[Equivalencia en Kg],"ELVIS",0)</f>
        <v>485.55005070422533</v>
      </c>
      <c r="J1589">
        <v>1019.15</v>
      </c>
      <c r="K1589" t="s">
        <v>18</v>
      </c>
      <c r="L1589">
        <f>J1589/_xlfn.XLOOKUP(Tabla2[[#This Row],[Unidad de precio]],Tabla3[Medida],Tabla3[Equivalencia en Kg],"ELVIS",0)</f>
        <v>22.468033509700177</v>
      </c>
      <c r="M1589">
        <v>8263.3527360768003</v>
      </c>
      <c r="N1589" s="2">
        <f>(Tabla2[[#This Row],[Productividad (kg/TAS)]]*Tabla2[[#This Row],[Precio por kg]]-Tabla2[[#This Row],[Costos (En RD$/Tarea)]])</f>
        <v>2646.0020737823543</v>
      </c>
      <c r="O1589" s="6">
        <f>IF(Tabla2[[#This Row],[Costos (En RD$/Tarea)]]=0,0,Tabla2[[#This Row],[Beneficio Neto  (En RD$/Tarea)]]/Tabla2[[#This Row],[Costos (En RD$/Tarea)]])</f>
        <v>0.32020926109449843</v>
      </c>
      <c r="P1589" s="4">
        <f>Tabla2[[#This Row],[Rentabilidad (%)]]/12</f>
        <v>2.6684105091208204E-2</v>
      </c>
    </row>
    <row r="1590" spans="1:16" x14ac:dyDescent="0.35">
      <c r="A1590" s="1">
        <v>40544</v>
      </c>
      <c r="B1590" t="s">
        <v>23</v>
      </c>
      <c r="C1590" s="2">
        <v>2938</v>
      </c>
      <c r="D1590" s="5" t="s">
        <v>17</v>
      </c>
      <c r="E1590" s="2">
        <f>IF(Tabla2[[#This Row],[Frecuencia]]="Annual", Tabla2[[#This Row],[Cosecha/Tarea]]/12,Tabla2[[#This Row],[Cosecha/Tarea]])</f>
        <v>2938</v>
      </c>
      <c r="F1590" s="2">
        <v>125730</v>
      </c>
      <c r="G1590" t="s">
        <v>18</v>
      </c>
      <c r="H1590">
        <f>F1590/Tabla2[[#This Row],[Cosecha Mensual]]</f>
        <v>42.794417971409125</v>
      </c>
      <c r="I1590">
        <f>H1590*_xlfn.XLOOKUP(Tabla2[[#This Row],[Unidad de producción]],Tabla3[Medida],Tabla3[Equivalencia en Kg],"ELVIS",0)</f>
        <v>1941.1547991831178</v>
      </c>
      <c r="J1590">
        <v>1008</v>
      </c>
      <c r="K1590" t="s">
        <v>18</v>
      </c>
      <c r="L1590">
        <f>J1590/_xlfn.XLOOKUP(Tabla2[[#This Row],[Unidad de precio]],Tabla3[Medida],Tabla3[Equivalencia en Kg],"ELVIS",0)</f>
        <v>22.222222222222221</v>
      </c>
      <c r="M1590">
        <v>22831.198995686002</v>
      </c>
      <c r="N1590" s="2">
        <f>(Tabla2[[#This Row],[Productividad (kg/TAS)]]*Tabla2[[#This Row],[Precio por kg]]-Tabla2[[#This Row],[Costos (En RD$/Tarea)]])</f>
        <v>20305.57431949439</v>
      </c>
      <c r="O1590" s="6">
        <f>IF(Tabla2[[#This Row],[Costos (En RD$/Tarea)]]=0,0,Tabla2[[#This Row],[Beneficio Neto  (En RD$/Tarea)]]/Tabla2[[#This Row],[Costos (En RD$/Tarea)]])</f>
        <v>0.88937835999463566</v>
      </c>
      <c r="P1590" s="4">
        <f>Tabla2[[#This Row],[Rentabilidad (%)]]/12</f>
        <v>7.4114863332886305E-2</v>
      </c>
    </row>
    <row r="1591" spans="1:16" x14ac:dyDescent="0.35">
      <c r="A1591" s="1">
        <v>40544</v>
      </c>
      <c r="B1591" t="s">
        <v>24</v>
      </c>
      <c r="C1591" s="2">
        <v>7592</v>
      </c>
      <c r="D1591" s="5" t="s">
        <v>17</v>
      </c>
      <c r="E1591" s="2">
        <f>IF(Tabla2[[#This Row],[Frecuencia]]="Annual", Tabla2[[#This Row],[Cosecha/Tarea]]/12,Tabla2[[#This Row],[Cosecha/Tarea]])</f>
        <v>7592</v>
      </c>
      <c r="F1591" s="2">
        <v>41359</v>
      </c>
      <c r="G1591" t="s">
        <v>18</v>
      </c>
      <c r="H1591">
        <f>F1591/Tabla2[[#This Row],[Cosecha Mensual]]</f>
        <v>5.447708113804004</v>
      </c>
      <c r="I1591">
        <f>H1591*_xlfn.XLOOKUP(Tabla2[[#This Row],[Unidad de producción]],Tabla3[Medida],Tabla3[Equivalencia en Kg],"ELVIS",0)</f>
        <v>247.10804004214961</v>
      </c>
      <c r="J1591">
        <v>1260.1666666666699</v>
      </c>
      <c r="K1591" t="s">
        <v>18</v>
      </c>
      <c r="L1591">
        <f>J1591/_xlfn.XLOOKUP(Tabla2[[#This Row],[Unidad de precio]],Tabla3[Medida],Tabla3[Equivalencia en Kg],"ELVIS",0)</f>
        <v>27.781452087007715</v>
      </c>
      <c r="M1591">
        <v>6908.3833517736002</v>
      </c>
      <c r="N1591" s="2">
        <f>(Tabla2[[#This Row],[Productividad (kg/TAS)]]*Tabla2[[#This Row],[Precio por kg]]-Tabla2[[#This Row],[Costos (En RD$/Tarea)]])</f>
        <v>-43.36317702823726</v>
      </c>
      <c r="O1591" s="6">
        <f>IF(Tabla2[[#This Row],[Costos (En RD$/Tarea)]]=0,0,Tabla2[[#This Row],[Beneficio Neto  (En RD$/Tarea)]]/Tabla2[[#This Row],[Costos (En RD$/Tarea)]])</f>
        <v>-6.2768921208034237E-3</v>
      </c>
      <c r="P1591" s="4">
        <f>Tabla2[[#This Row],[Rentabilidad (%)]]/12</f>
        <v>-5.2307434340028531E-4</v>
      </c>
    </row>
    <row r="1592" spans="1:16" x14ac:dyDescent="0.35">
      <c r="A1592" s="1">
        <v>40544</v>
      </c>
      <c r="B1592" t="s">
        <v>25</v>
      </c>
      <c r="C1592" s="2">
        <v>36780</v>
      </c>
      <c r="D1592" s="5" t="s">
        <v>17</v>
      </c>
      <c r="E1592" s="2">
        <f>IF(Tabla2[[#This Row],[Frecuencia]]="Annual", Tabla2[[#This Row],[Cosecha/Tarea]]/12,Tabla2[[#This Row],[Cosecha/Tarea]])</f>
        <v>36780</v>
      </c>
      <c r="F1592" s="2">
        <v>335899</v>
      </c>
      <c r="G1592" t="s">
        <v>18</v>
      </c>
      <c r="H1592">
        <f>F1592/Tabla2[[#This Row],[Cosecha Mensual]]</f>
        <v>9.1326536160957037</v>
      </c>
      <c r="I1592">
        <f>H1592*_xlfn.XLOOKUP(Tabla2[[#This Row],[Unidad de producción]],Tabla3[Medida],Tabla3[Equivalencia en Kg],"ELVIS",0)</f>
        <v>414.25716802610111</v>
      </c>
      <c r="J1592">
        <v>363.31493999999998</v>
      </c>
      <c r="K1592" t="s">
        <v>18</v>
      </c>
      <c r="L1592">
        <f>J1592/_xlfn.XLOOKUP(Tabla2[[#This Row],[Unidad de precio]],Tabla3[Medida],Tabla3[Equivalencia en Kg],"ELVIS",0)</f>
        <v>8.0095886243386243</v>
      </c>
      <c r="M1592">
        <v>4283.9889411321201</v>
      </c>
      <c r="N1592" s="2">
        <f>(Tabla2[[#This Row],[Productividad (kg/TAS)]]*Tabla2[[#This Row],[Precio por kg]]-Tabla2[[#This Row],[Costos (En RD$/Tarea)]])</f>
        <v>-965.95944055952668</v>
      </c>
      <c r="O1592" s="6">
        <f>IF(Tabla2[[#This Row],[Costos (En RD$/Tarea)]]=0,0,Tabla2[[#This Row],[Beneficio Neto  (En RD$/Tarea)]]/Tabla2[[#This Row],[Costos (En RD$/Tarea)]])</f>
        <v>-0.22548131048728962</v>
      </c>
      <c r="P1592" s="4">
        <f>Tabla2[[#This Row],[Rentabilidad (%)]]/12</f>
        <v>-1.8790109207274135E-2</v>
      </c>
    </row>
    <row r="1593" spans="1:16" x14ac:dyDescent="0.35">
      <c r="A1593" s="1">
        <v>40544</v>
      </c>
      <c r="B1593" t="s">
        <v>26</v>
      </c>
      <c r="C1593" s="2">
        <v>10301</v>
      </c>
      <c r="D1593" s="5" t="s">
        <v>17</v>
      </c>
      <c r="E1593" s="2">
        <f>IF(Tabla2[[#This Row],[Frecuencia]]="Annual", Tabla2[[#This Row],[Cosecha/Tarea]]/12,Tabla2[[#This Row],[Cosecha/Tarea]])</f>
        <v>10301</v>
      </c>
      <c r="F1593" s="2">
        <v>62830</v>
      </c>
      <c r="G1593" t="s">
        <v>18</v>
      </c>
      <c r="H1593">
        <f>F1593/Tabla2[[#This Row],[Cosecha Mensual]]</f>
        <v>6.0994078244830598</v>
      </c>
      <c r="I1593">
        <f>H1593*_xlfn.XLOOKUP(Tabla2[[#This Row],[Unidad de producción]],Tabla3[Medida],Tabla3[Equivalencia en Kg],"ELVIS",0)</f>
        <v>276.6691389185516</v>
      </c>
      <c r="J1593">
        <v>591.25</v>
      </c>
      <c r="K1593" t="s">
        <v>18</v>
      </c>
      <c r="L1593">
        <f>J1593/_xlfn.XLOOKUP(Tabla2[[#This Row],[Unidad de precio]],Tabla3[Medida],Tabla3[Equivalencia en Kg],"ELVIS",0)</f>
        <v>13.034611992945326</v>
      </c>
      <c r="M1593">
        <v>2009.79</v>
      </c>
      <c r="N1593" s="2">
        <f>(Tabla2[[#This Row],[Productividad (kg/TAS)]]*Tabla2[[#This Row],[Precio por kg]]-Tabla2[[#This Row],[Costos (En RD$/Tarea)]])</f>
        <v>1596.4848762256092</v>
      </c>
      <c r="O1593" s="6">
        <f>IF(Tabla2[[#This Row],[Costos (En RD$/Tarea)]]=0,0,Tabla2[[#This Row],[Beneficio Neto  (En RD$/Tarea)]]/Tabla2[[#This Row],[Costos (En RD$/Tarea)]])</f>
        <v>0.79435407491609034</v>
      </c>
      <c r="P1593" s="4">
        <f>Tabla2[[#This Row],[Rentabilidad (%)]]/12</f>
        <v>6.6196172909674195E-2</v>
      </c>
    </row>
    <row r="1594" spans="1:16" x14ac:dyDescent="0.35">
      <c r="A1594" s="1">
        <v>40544</v>
      </c>
      <c r="B1594" t="s">
        <v>27</v>
      </c>
      <c r="C1594" s="2">
        <v>6042</v>
      </c>
      <c r="D1594" s="5" t="s">
        <v>17</v>
      </c>
      <c r="E1594" s="2">
        <f>IF(Tabla2[[#This Row],[Frecuencia]]="Annual", Tabla2[[#This Row],[Cosecha/Tarea]]/12,Tabla2[[#This Row],[Cosecha/Tarea]])</f>
        <v>6042</v>
      </c>
      <c r="F1594" s="2">
        <v>39356</v>
      </c>
      <c r="G1594" t="s">
        <v>18</v>
      </c>
      <c r="H1594">
        <f>F1594/Tabla2[[#This Row],[Cosecha Mensual]]</f>
        <v>6.5137371731214833</v>
      </c>
      <c r="I1594">
        <f>H1594*_xlfn.XLOOKUP(Tabla2[[#This Row],[Unidad de producción]],Tabla3[Medida],Tabla3[Equivalencia en Kg],"ELVIS",0)</f>
        <v>295.46311817279047</v>
      </c>
      <c r="J1594">
        <v>403.85399999999998</v>
      </c>
      <c r="K1594" t="s">
        <v>18</v>
      </c>
      <c r="L1594">
        <f>J1594/_xlfn.XLOOKUP(Tabla2[[#This Row],[Unidad de precio]],Tabla3[Medida],Tabla3[Equivalencia en Kg],"ELVIS",0)</f>
        <v>8.9033068783068785</v>
      </c>
      <c r="M1594">
        <v>6922.0219999999999</v>
      </c>
      <c r="N1594" s="2">
        <f>(Tabla2[[#This Row],[Productividad (kg/TAS)]]*Tabla2[[#This Row],[Precio por kg]]-Tabla2[[#This Row],[Costos (En RD$/Tarea)]])</f>
        <v>-4291.4231876861959</v>
      </c>
      <c r="O1594" s="6">
        <f>IF(Tabla2[[#This Row],[Costos (En RD$/Tarea)]]=0,0,Tabla2[[#This Row],[Beneficio Neto  (En RD$/Tarea)]]/Tabla2[[#This Row],[Costos (En RD$/Tarea)]])</f>
        <v>-0.61996670737050474</v>
      </c>
      <c r="P1594" s="4">
        <f>Tabla2[[#This Row],[Rentabilidad (%)]]/12</f>
        <v>-5.1663892280875395E-2</v>
      </c>
    </row>
    <row r="1595" spans="1:16" x14ac:dyDescent="0.35">
      <c r="A1595" s="1">
        <v>40544</v>
      </c>
      <c r="B1595" t="s">
        <v>28</v>
      </c>
      <c r="C1595" s="2">
        <v>75322</v>
      </c>
      <c r="D1595" s="5" t="s">
        <v>17</v>
      </c>
      <c r="E1595" s="2">
        <f>IF(Tabla2[[#This Row],[Frecuencia]]="Annual", Tabla2[[#This Row],[Cosecha/Tarea]]/12,Tabla2[[#This Row],[Cosecha/Tarea]])</f>
        <v>75322</v>
      </c>
      <c r="F1595" s="2">
        <v>43500</v>
      </c>
      <c r="G1595" t="s">
        <v>29</v>
      </c>
      <c r="H1595">
        <f>F1595/Tabla2[[#This Row],[Cosecha Mensual]]</f>
        <v>0.57752051193542386</v>
      </c>
      <c r="I1595">
        <f>H1595*_xlfn.XLOOKUP(Tabla2[[#This Row],[Unidad de producción]],Tabla3[Medida],Tabla3[Equivalencia en Kg],"ELVIS",0)</f>
        <v>324.76288468176625</v>
      </c>
      <c r="J1595">
        <v>6604.6</v>
      </c>
      <c r="K1595" t="s">
        <v>29</v>
      </c>
      <c r="L1595">
        <f>J1595/_xlfn.XLOOKUP(Tabla2[[#This Row],[Unidad de precio]],Tabla3[Medida],Tabla3[Equivalencia en Kg],"ELVIS",0)</f>
        <v>11.744851868976065</v>
      </c>
      <c r="M1595">
        <v>6816.0513247333301</v>
      </c>
      <c r="N1595" s="2">
        <f>(Tabla2[[#This Row],[Productividad (kg/TAS)]]*Tabla2[[#This Row],[Precio por kg]]-Tabla2[[#This Row],[Costos (En RD$/Tarea)]])</f>
        <v>-3001.7593516046295</v>
      </c>
      <c r="O1595" s="6">
        <f>IF(Tabla2[[#This Row],[Costos (En RD$/Tarea)]]=0,0,Tabla2[[#This Row],[Beneficio Neto  (En RD$/Tarea)]]/Tabla2[[#This Row],[Costos (En RD$/Tarea)]])</f>
        <v>-0.44039564970882461</v>
      </c>
      <c r="P1595" s="4">
        <f>Tabla2[[#This Row],[Rentabilidad (%)]]/12</f>
        <v>-3.6699637475735382E-2</v>
      </c>
    </row>
    <row r="1596" spans="1:16" x14ac:dyDescent="0.35">
      <c r="A1596" s="1">
        <v>40544</v>
      </c>
      <c r="B1596" t="s">
        <v>30</v>
      </c>
      <c r="C1596" s="2">
        <v>340372</v>
      </c>
      <c r="D1596" s="2" t="s">
        <v>31</v>
      </c>
      <c r="E1596" s="2">
        <f>IF(Tabla2[[#This Row],[Frecuencia]]="Annual", Tabla2[[#This Row],[Cosecha/Tarea]]/12,Tabla2[[#This Row],[Cosecha/Tarea]])</f>
        <v>28364.333333333332</v>
      </c>
      <c r="F1596" s="2">
        <v>2437271</v>
      </c>
      <c r="G1596" t="s">
        <v>32</v>
      </c>
      <c r="H1596">
        <f>F1596/Tabla2[[#This Row],[Cosecha Mensual]]</f>
        <v>85.927314820255489</v>
      </c>
      <c r="I1596">
        <f>H1596*_xlfn.XLOOKUP(Tabla2[[#This Row],[Unidad de producción]],Tabla3[Medida],Tabla3[Equivalencia en Kg],"ELVIS",0)</f>
        <v>2338.0822362591521</v>
      </c>
      <c r="J1596">
        <v>122.855</v>
      </c>
      <c r="K1596" t="s">
        <v>32</v>
      </c>
      <c r="L1596">
        <f>J1596/_xlfn.XLOOKUP(Tabla2[[#This Row],[Unidad de precio]],Tabla3[Medida],Tabla3[Equivalencia en Kg],"ELVIS",0)</f>
        <v>4.5150679897096655</v>
      </c>
      <c r="M1596" s="2">
        <v>11259.713084354</v>
      </c>
      <c r="N1596" s="2">
        <f>(Tabla2[[#This Row],[Productividad (kg/TAS)]]*Tabla2[[#This Row],[Precio por kg]]-Tabla2[[#This Row],[Costos (En RD$/Tarea)]])</f>
        <v>-703.11282211151047</v>
      </c>
      <c r="O1596" s="6">
        <f>IF(Tabla2[[#This Row],[Costos (En RD$/Tarea)]]=0,0,Tabla2[[#This Row],[Beneficio Neto  (En RD$/Tarea)]]/Tabla2[[#This Row],[Costos (En RD$/Tarea)]])</f>
        <v>-6.2445003424512209E-2</v>
      </c>
      <c r="P1596" s="4">
        <f>Tabla2[[#This Row],[Rentabilidad (%)]]/12</f>
        <v>-5.2037502853760171E-3</v>
      </c>
    </row>
    <row r="1597" spans="1:16" x14ac:dyDescent="0.35">
      <c r="A1597" s="1">
        <v>40544</v>
      </c>
      <c r="B1597" t="s">
        <v>33</v>
      </c>
      <c r="C1597" s="2">
        <v>673917</v>
      </c>
      <c r="D1597" s="2" t="s">
        <v>31</v>
      </c>
      <c r="E1597" s="2">
        <f>IF(Tabla2[[#This Row],[Frecuencia]]="Annual", Tabla2[[#This Row],[Cosecha/Tarea]]/12,Tabla2[[#This Row],[Cosecha/Tarea]])</f>
        <v>56159.75</v>
      </c>
      <c r="F1597" s="2">
        <v>110083</v>
      </c>
      <c r="G1597" t="s">
        <v>34</v>
      </c>
      <c r="H1597">
        <f>F1597/Tabla2[[#This Row],[Cosecha Mensual]]</f>
        <v>1.9601761047725461</v>
      </c>
      <c r="I1597">
        <f>H1597*_xlfn.XLOOKUP(Tabla2[[#This Row],[Unidad de producción]],Tabla3[Medida],Tabla3[Equivalencia en Kg],"ELVIS",0)</f>
        <v>800.04587716291462</v>
      </c>
      <c r="J1597">
        <v>4897.4866666666703</v>
      </c>
      <c r="K1597" t="s">
        <v>34</v>
      </c>
      <c r="L1597">
        <f>J1597/_xlfn.XLOOKUP(Tabla2[[#This Row],[Unidad de precio]],Tabla3[Medida],Tabla3[Equivalencia en Kg],"ELVIS",0)</f>
        <v>11.999232308383366</v>
      </c>
      <c r="M1597" s="2">
        <v>10868.026372878299</v>
      </c>
      <c r="N1597" s="2">
        <f>(Tabla2[[#This Row],[Productividad (kg/TAS)]]*Tabla2[[#This Row],[Precio por kg]]-Tabla2[[#This Row],[Costos (En RD$/Tarea)]])</f>
        <v>-1268.0900354361438</v>
      </c>
      <c r="O1597" s="6">
        <f>IF(Tabla2[[#This Row],[Costos (En RD$/Tarea)]]=0,0,Tabla2[[#This Row],[Beneficio Neto  (En RD$/Tarea)]]/Tabla2[[#This Row],[Costos (En RD$/Tarea)]])</f>
        <v>-0.1166808021924501</v>
      </c>
      <c r="P1597" s="4">
        <f>Tabla2[[#This Row],[Rentabilidad (%)]]/12</f>
        <v>-9.7234001827041748E-3</v>
      </c>
    </row>
    <row r="1598" spans="1:16" x14ac:dyDescent="0.35">
      <c r="A1598" s="1">
        <v>40575</v>
      </c>
      <c r="B1598" t="s">
        <v>16</v>
      </c>
      <c r="C1598" s="2">
        <v>7231</v>
      </c>
      <c r="D1598" s="5" t="s">
        <v>17</v>
      </c>
      <c r="E1598" s="2">
        <f>IF(Tabla2[[#This Row],[Frecuencia]]="Annual", Tabla2[[#This Row],[Cosecha/Tarea]]/12,Tabla2[[#This Row],[Cosecha/Tarea]])</f>
        <v>7231</v>
      </c>
      <c r="F1598" s="2">
        <v>18255</v>
      </c>
      <c r="G1598" t="s">
        <v>18</v>
      </c>
      <c r="H1598">
        <f>F1598/Tabla2[[#This Row],[Cosecha Mensual]]</f>
        <v>2.5245470889226937</v>
      </c>
      <c r="I1598">
        <f>H1598*_xlfn.XLOOKUP(Tabla2[[#This Row],[Unidad de producción]],Tabla3[Medida],Tabla3[Equivalencia en Kg],"ELVIS",0)</f>
        <v>114.51345595353338</v>
      </c>
      <c r="J1598">
        <v>1175</v>
      </c>
      <c r="K1598" t="s">
        <v>19</v>
      </c>
      <c r="L1598">
        <f>J1598/_xlfn.XLOOKUP(Tabla2[[#This Row],[Unidad de precio]],Tabla3[Medida],Tabla3[Equivalencia en Kg],"ELVIS",0)</f>
        <v>10.681818181818182</v>
      </c>
      <c r="M1598">
        <v>7569</v>
      </c>
      <c r="N1598" s="2">
        <f>(Tabla2[[#This Row],[Productividad (kg/TAS)]]*Tabla2[[#This Row],[Precio por kg]]-Tabla2[[#This Row],[Costos (En RD$/Tarea)]])</f>
        <v>-6345.7880841327114</v>
      </c>
      <c r="O1598" s="6">
        <f>IF(Tabla2[[#This Row],[Costos (En RD$/Tarea)]]=0,0,Tabla2[[#This Row],[Beneficio Neto  (En RD$/Tarea)]]/Tabla2[[#This Row],[Costos (En RD$/Tarea)]])</f>
        <v>-0.83839187265592696</v>
      </c>
      <c r="P1598" s="4">
        <f>Tabla2[[#This Row],[Rentabilidad (%)]]/12</f>
        <v>-6.9865989387993918E-2</v>
      </c>
    </row>
    <row r="1599" spans="1:16" x14ac:dyDescent="0.35">
      <c r="A1599" s="1">
        <v>40575</v>
      </c>
      <c r="B1599" t="s">
        <v>20</v>
      </c>
      <c r="C1599" s="2">
        <v>29767</v>
      </c>
      <c r="D1599" s="5" t="s">
        <v>17</v>
      </c>
      <c r="E1599" s="2">
        <f>IF(Tabla2[[#This Row],[Frecuencia]]="Annual", Tabla2[[#This Row],[Cosecha/Tarea]]/12,Tabla2[[#This Row],[Cosecha/Tarea]])</f>
        <v>29767</v>
      </c>
      <c r="F1599" s="2">
        <v>72080</v>
      </c>
      <c r="G1599" t="s">
        <v>18</v>
      </c>
      <c r="H1599">
        <f>F1599/Tabla2[[#This Row],[Cosecha Mensual]]</f>
        <v>2.4214734437464305</v>
      </c>
      <c r="I1599">
        <f>H1599*_xlfn.XLOOKUP(Tabla2[[#This Row],[Unidad de producción]],Tabla3[Medida],Tabla3[Equivalencia en Kg],"ELVIS",0)</f>
        <v>109.83803540833809</v>
      </c>
      <c r="J1599">
        <v>576.10361250000005</v>
      </c>
      <c r="K1599" t="s">
        <v>18</v>
      </c>
      <c r="L1599">
        <f>J1599/_xlfn.XLOOKUP(Tabla2[[#This Row],[Unidad de precio]],Tabla3[Medida],Tabla3[Equivalencia en Kg],"ELVIS",0)</f>
        <v>12.700696924603175</v>
      </c>
      <c r="M1599">
        <v>2249.6320342847998</v>
      </c>
      <c r="N1599" s="2">
        <f>(Tabla2[[#This Row],[Productividad (kg/TAS)]]*Tabla2[[#This Row],[Precio por kg]]-Tabla2[[#This Row],[Costos (En RD$/Tarea)]])</f>
        <v>-854.61243576966558</v>
      </c>
      <c r="O1599" s="6">
        <f>IF(Tabla2[[#This Row],[Costos (En RD$/Tarea)]]=0,0,Tabla2[[#This Row],[Beneficio Neto  (En RD$/Tarea)]]/Tabla2[[#This Row],[Costos (En RD$/Tarea)]])</f>
        <v>-0.37988987654212653</v>
      </c>
      <c r="P1599" s="4">
        <f>Tabla2[[#This Row],[Rentabilidad (%)]]/12</f>
        <v>-3.1657489711843879E-2</v>
      </c>
    </row>
    <row r="1600" spans="1:16" x14ac:dyDescent="0.35">
      <c r="A1600" s="1">
        <v>40575</v>
      </c>
      <c r="B1600" t="s">
        <v>21</v>
      </c>
      <c r="C1600" s="2">
        <v>8954</v>
      </c>
      <c r="D1600" s="5" t="s">
        <v>17</v>
      </c>
      <c r="E1600" s="2">
        <f>IF(Tabla2[[#This Row],[Frecuencia]]="Annual", Tabla2[[#This Row],[Cosecha/Tarea]]/12,Tabla2[[#This Row],[Cosecha/Tarea]])</f>
        <v>8954</v>
      </c>
      <c r="F1600" s="2">
        <v>98782</v>
      </c>
      <c r="G1600" t="s">
        <v>18</v>
      </c>
      <c r="H1600">
        <f>F1600/Tabla2[[#This Row],[Cosecha Mensual]]</f>
        <v>11.032164395800759</v>
      </c>
      <c r="I1600">
        <f>H1600*_xlfn.XLOOKUP(Tabla2[[#This Row],[Unidad de producción]],Tabla3[Medida],Tabla3[Equivalencia en Kg],"ELVIS",0)</f>
        <v>500.41897699352245</v>
      </c>
      <c r="J1600">
        <v>476.75</v>
      </c>
      <c r="K1600" t="s">
        <v>18</v>
      </c>
      <c r="L1600">
        <f>J1600/_xlfn.XLOOKUP(Tabla2[[#This Row],[Unidad de precio]],Tabla3[Medida],Tabla3[Equivalencia en Kg],"ELVIS",0)</f>
        <v>10.510361552028218</v>
      </c>
      <c r="M1600">
        <v>4921.4416007500004</v>
      </c>
      <c r="N1600" s="2">
        <f>(Tabla2[[#This Row],[Productividad (kg/TAS)]]*Tabla2[[#This Row],[Precio por kg]]-Tabla2[[#This Row],[Costos (En RD$/Tarea)]])</f>
        <v>338.14277494801172</v>
      </c>
      <c r="O1600" s="6">
        <f>IF(Tabla2[[#This Row],[Costos (En RD$/Tarea)]]=0,0,Tabla2[[#This Row],[Beneficio Neto  (En RD$/Tarea)]]/Tabla2[[#This Row],[Costos (En RD$/Tarea)]])</f>
        <v>6.8708074255413421E-2</v>
      </c>
      <c r="P1600" s="4">
        <f>Tabla2[[#This Row],[Rentabilidad (%)]]/12</f>
        <v>5.7256728546177848E-3</v>
      </c>
    </row>
    <row r="1601" spans="1:16" x14ac:dyDescent="0.35">
      <c r="A1601" s="1">
        <v>40575</v>
      </c>
      <c r="B1601" t="s">
        <v>22</v>
      </c>
      <c r="C1601" s="2">
        <v>10641</v>
      </c>
      <c r="D1601" s="5" t="s">
        <v>17</v>
      </c>
      <c r="E1601" s="2">
        <f>IF(Tabla2[[#This Row],[Frecuencia]]="Annual", Tabla2[[#This Row],[Cosecha/Tarea]]/12,Tabla2[[#This Row],[Cosecha/Tarea]])</f>
        <v>10641</v>
      </c>
      <c r="F1601" s="2">
        <v>83964</v>
      </c>
      <c r="G1601" t="s">
        <v>18</v>
      </c>
      <c r="H1601">
        <f>F1601/Tabla2[[#This Row],[Cosecha Mensual]]</f>
        <v>7.8906117846067101</v>
      </c>
      <c r="I1601">
        <f>H1601*_xlfn.XLOOKUP(Tabla2[[#This Row],[Unidad de producción]],Tabla3[Medida],Tabla3[Equivalencia en Kg],"ELVIS",0)</f>
        <v>357.91815054976036</v>
      </c>
      <c r="J1601">
        <v>1047.2</v>
      </c>
      <c r="K1601" t="s">
        <v>18</v>
      </c>
      <c r="L1601">
        <f>J1601/_xlfn.XLOOKUP(Tabla2[[#This Row],[Unidad de precio]],Tabla3[Medida],Tabla3[Equivalencia en Kg],"ELVIS",0)</f>
        <v>23.086419753086421</v>
      </c>
      <c r="M1601">
        <v>8263.3527360768003</v>
      </c>
      <c r="N1601" s="2">
        <f>(Tabla2[[#This Row],[Productividad (kg/TAS)]]*Tabla2[[#This Row],[Precio por kg]]-Tabla2[[#This Row],[Costos (En RD$/Tarea)]])</f>
        <v>-0.30407523665417102</v>
      </c>
      <c r="O1601" s="6">
        <f>IF(Tabla2[[#This Row],[Costos (En RD$/Tarea)]]=0,0,Tabla2[[#This Row],[Beneficio Neto  (En RD$/Tarea)]]/Tabla2[[#This Row],[Costos (En RD$/Tarea)]])</f>
        <v>-3.6798046309534294E-5</v>
      </c>
      <c r="P1601" s="4">
        <f>Tabla2[[#This Row],[Rentabilidad (%)]]/12</f>
        <v>-3.0665038591278578E-6</v>
      </c>
    </row>
    <row r="1602" spans="1:16" x14ac:dyDescent="0.35">
      <c r="A1602" s="1">
        <v>40575</v>
      </c>
      <c r="B1602" t="s">
        <v>23</v>
      </c>
      <c r="C1602" s="2">
        <v>3842</v>
      </c>
      <c r="D1602" s="5" t="s">
        <v>17</v>
      </c>
      <c r="E1602" s="2">
        <f>IF(Tabla2[[#This Row],[Frecuencia]]="Annual", Tabla2[[#This Row],[Cosecha/Tarea]]/12,Tabla2[[#This Row],[Cosecha/Tarea]])</f>
        <v>3842</v>
      </c>
      <c r="F1602" s="2">
        <v>137889</v>
      </c>
      <c r="G1602" t="s">
        <v>18</v>
      </c>
      <c r="H1602">
        <f>F1602/Tabla2[[#This Row],[Cosecha Mensual]]</f>
        <v>35.889901093180633</v>
      </c>
      <c r="I1602">
        <f>H1602*_xlfn.XLOOKUP(Tabla2[[#This Row],[Unidad de producción]],Tabla3[Medida],Tabla3[Equivalencia en Kg],"ELVIS",0)</f>
        <v>1627.9659135866734</v>
      </c>
      <c r="J1602">
        <v>1035</v>
      </c>
      <c r="K1602" t="s">
        <v>18</v>
      </c>
      <c r="L1602">
        <f>J1602/_xlfn.XLOOKUP(Tabla2[[#This Row],[Unidad de precio]],Tabla3[Medida],Tabla3[Equivalencia en Kg],"ELVIS",0)</f>
        <v>22.817460317460316</v>
      </c>
      <c r="M1602">
        <v>22831.198995686002</v>
      </c>
      <c r="N1602" s="2">
        <f>(Tabla2[[#This Row],[Productividad (kg/TAS)]]*Tabla2[[#This Row],[Precio por kg]]-Tabla2[[#This Row],[Costos (En RD$/Tarea)]])</f>
        <v>14314.848635755949</v>
      </c>
      <c r="O1602" s="6">
        <f>IF(Tabla2[[#This Row],[Costos (En RD$/Tarea)]]=0,0,Tabla2[[#This Row],[Beneficio Neto  (En RD$/Tarea)]]/Tabla2[[#This Row],[Costos (En RD$/Tarea)]])</f>
        <v>0.62698628479655261</v>
      </c>
      <c r="P1602" s="4">
        <f>Tabla2[[#This Row],[Rentabilidad (%)]]/12</f>
        <v>5.2248857066379384E-2</v>
      </c>
    </row>
    <row r="1603" spans="1:16" x14ac:dyDescent="0.35">
      <c r="A1603" s="1">
        <v>40575</v>
      </c>
      <c r="B1603" t="s">
        <v>24</v>
      </c>
      <c r="C1603" s="2">
        <v>7619</v>
      </c>
      <c r="D1603" s="5" t="s">
        <v>17</v>
      </c>
      <c r="E1603" s="2">
        <f>IF(Tabla2[[#This Row],[Frecuencia]]="Annual", Tabla2[[#This Row],[Cosecha/Tarea]]/12,Tabla2[[#This Row],[Cosecha/Tarea]])</f>
        <v>7619</v>
      </c>
      <c r="F1603" s="2">
        <v>64970</v>
      </c>
      <c r="G1603" t="s">
        <v>18</v>
      </c>
      <c r="H1603">
        <f>F1603/Tabla2[[#This Row],[Cosecha Mensual]]</f>
        <v>8.527365796036225</v>
      </c>
      <c r="I1603">
        <f>H1603*_xlfn.XLOOKUP(Tabla2[[#This Row],[Unidad de producción]],Tabla3[Medida],Tabla3[Equivalencia en Kg],"ELVIS",0)</f>
        <v>386.80131250820318</v>
      </c>
      <c r="J1603">
        <v>1183.3333333333301</v>
      </c>
      <c r="K1603" t="s">
        <v>18</v>
      </c>
      <c r="L1603">
        <f>J1603/_xlfn.XLOOKUP(Tabla2[[#This Row],[Unidad de precio]],Tabla3[Medida],Tabla3[Equivalencia en Kg],"ELVIS",0)</f>
        <v>26.087595532039906</v>
      </c>
      <c r="M1603">
        <v>6908.3833517736002</v>
      </c>
      <c r="N1603" s="2">
        <f>(Tabla2[[#This Row],[Productividad (kg/TAS)]]*Tabla2[[#This Row],[Precio por kg]]-Tabla2[[#This Row],[Costos (En RD$/Tarea)]])</f>
        <v>3182.3328402025727</v>
      </c>
      <c r="O1603" s="6">
        <f>IF(Tabla2[[#This Row],[Costos (En RD$/Tarea)]]=0,0,Tabla2[[#This Row],[Beneficio Neto  (En RD$/Tarea)]]/Tabla2[[#This Row],[Costos (En RD$/Tarea)]])</f>
        <v>0.46064798059962425</v>
      </c>
      <c r="P1603" s="4">
        <f>Tabla2[[#This Row],[Rentabilidad (%)]]/12</f>
        <v>3.8387331716635352E-2</v>
      </c>
    </row>
    <row r="1604" spans="1:16" x14ac:dyDescent="0.35">
      <c r="A1604" s="1">
        <v>40575</v>
      </c>
      <c r="B1604" t="s">
        <v>25</v>
      </c>
      <c r="C1604" s="2">
        <v>68412</v>
      </c>
      <c r="D1604" s="5" t="s">
        <v>17</v>
      </c>
      <c r="E1604" s="2">
        <f>IF(Tabla2[[#This Row],[Frecuencia]]="Annual", Tabla2[[#This Row],[Cosecha/Tarea]]/12,Tabla2[[#This Row],[Cosecha/Tarea]])</f>
        <v>68412</v>
      </c>
      <c r="F1604" s="2">
        <v>515160</v>
      </c>
      <c r="G1604" t="s">
        <v>18</v>
      </c>
      <c r="H1604">
        <f>F1604/Tabla2[[#This Row],[Cosecha Mensual]]</f>
        <v>7.5302578495000878</v>
      </c>
      <c r="I1604">
        <f>H1604*_xlfn.XLOOKUP(Tabla2[[#This Row],[Unidad de producción]],Tabla3[Medida],Tabla3[Equivalencia en Kg],"ELVIS",0)</f>
        <v>341.57249605332396</v>
      </c>
      <c r="J1604">
        <v>369.75</v>
      </c>
      <c r="K1604" t="s">
        <v>18</v>
      </c>
      <c r="L1604">
        <f>J1604/_xlfn.XLOOKUP(Tabla2[[#This Row],[Unidad de precio]],Tabla3[Medida],Tabla3[Equivalencia en Kg],"ELVIS",0)</f>
        <v>8.151455026455027</v>
      </c>
      <c r="M1604">
        <v>4283.9889411321201</v>
      </c>
      <c r="N1604" s="2">
        <f>(Tabla2[[#This Row],[Productividad (kg/TAS)]]*Tabla2[[#This Row],[Precio por kg]]-Tabla2[[#This Row],[Costos (En RD$/Tarea)]])</f>
        <v>-1499.6761012794627</v>
      </c>
      <c r="O1604" s="6">
        <f>IF(Tabla2[[#This Row],[Costos (En RD$/Tarea)]]=0,0,Tabla2[[#This Row],[Beneficio Neto  (En RD$/Tarea)]]/Tabla2[[#This Row],[Costos (En RD$/Tarea)]])</f>
        <v>-0.35006535308262182</v>
      </c>
      <c r="P1604" s="4">
        <f>Tabla2[[#This Row],[Rentabilidad (%)]]/12</f>
        <v>-2.9172112756885152E-2</v>
      </c>
    </row>
    <row r="1605" spans="1:16" x14ac:dyDescent="0.35">
      <c r="A1605" s="1">
        <v>40575</v>
      </c>
      <c r="B1605" t="s">
        <v>26</v>
      </c>
      <c r="C1605" s="2">
        <v>12016</v>
      </c>
      <c r="D1605" s="5" t="s">
        <v>17</v>
      </c>
      <c r="E1605" s="2">
        <f>IF(Tabla2[[#This Row],[Frecuencia]]="Annual", Tabla2[[#This Row],[Cosecha/Tarea]]/12,Tabla2[[#This Row],[Cosecha/Tarea]])</f>
        <v>12016</v>
      </c>
      <c r="F1605" s="2">
        <v>81703</v>
      </c>
      <c r="G1605" t="s">
        <v>18</v>
      </c>
      <c r="H1605">
        <f>F1605/Tabla2[[#This Row],[Cosecha Mensual]]</f>
        <v>6.7995173102529964</v>
      </c>
      <c r="I1605">
        <f>H1605*_xlfn.XLOOKUP(Tabla2[[#This Row],[Unidad de producción]],Tabla3[Medida],Tabla3[Equivalencia en Kg],"ELVIS",0)</f>
        <v>308.4261051930759</v>
      </c>
      <c r="J1605">
        <v>592.5</v>
      </c>
      <c r="K1605" t="s">
        <v>18</v>
      </c>
      <c r="L1605">
        <f>J1605/_xlfn.XLOOKUP(Tabla2[[#This Row],[Unidad de precio]],Tabla3[Medida],Tabla3[Equivalencia en Kg],"ELVIS",0)</f>
        <v>13.062169312169312</v>
      </c>
      <c r="M1605">
        <v>2009.79</v>
      </c>
      <c r="N1605" s="2">
        <f>(Tabla2[[#This Row],[Productividad (kg/TAS)]]*Tabla2[[#This Row],[Precio por kg]]-Tabla2[[#This Row],[Costos (En RD$/Tarea)]])</f>
        <v>2018.9240063248999</v>
      </c>
      <c r="O1605" s="6">
        <f>IF(Tabla2[[#This Row],[Costos (En RD$/Tarea)]]=0,0,Tabla2[[#This Row],[Beneficio Neto  (En RD$/Tarea)]]/Tabla2[[#This Row],[Costos (En RD$/Tarea)]])</f>
        <v>1.0045447565789958</v>
      </c>
      <c r="P1605" s="4">
        <f>Tabla2[[#This Row],[Rentabilidad (%)]]/12</f>
        <v>8.3712063048249644E-2</v>
      </c>
    </row>
    <row r="1606" spans="1:16" x14ac:dyDescent="0.35">
      <c r="A1606" s="1">
        <v>40575</v>
      </c>
      <c r="B1606" t="s">
        <v>27</v>
      </c>
      <c r="C1606" s="2">
        <v>6210</v>
      </c>
      <c r="D1606" s="5" t="s">
        <v>17</v>
      </c>
      <c r="E1606" s="2">
        <f>IF(Tabla2[[#This Row],[Frecuencia]]="Annual", Tabla2[[#This Row],[Cosecha/Tarea]]/12,Tabla2[[#This Row],[Cosecha/Tarea]])</f>
        <v>6210</v>
      </c>
      <c r="F1606" s="2">
        <v>40843</v>
      </c>
      <c r="G1606" t="s">
        <v>18</v>
      </c>
      <c r="H1606">
        <f>F1606/Tabla2[[#This Row],[Cosecha Mensual]]</f>
        <v>6.5769726247987119</v>
      </c>
      <c r="I1606">
        <f>H1606*_xlfn.XLOOKUP(Tabla2[[#This Row],[Unidad de producción]],Tabla3[Medida],Tabla3[Equivalencia en Kg],"ELVIS",0)</f>
        <v>298.33147826086957</v>
      </c>
      <c r="J1606">
        <v>507.608</v>
      </c>
      <c r="K1606" t="s">
        <v>18</v>
      </c>
      <c r="L1606">
        <f>J1606/_xlfn.XLOOKUP(Tabla2[[#This Row],[Unidad de precio]],Tabla3[Medida],Tabla3[Equivalencia en Kg],"ELVIS",0)</f>
        <v>11.190652557319224</v>
      </c>
      <c r="M1606">
        <v>6922.0219999999999</v>
      </c>
      <c r="N1606" s="2">
        <f>(Tabla2[[#This Row],[Productividad (kg/TAS)]]*Tabla2[[#This Row],[Precio por kg]]-Tabla2[[#This Row],[Costos (En RD$/Tarea)]])</f>
        <v>-3583.4980798711754</v>
      </c>
      <c r="O1606" s="6">
        <f>IF(Tabla2[[#This Row],[Costos (En RD$/Tarea)]]=0,0,Tabla2[[#This Row],[Beneficio Neto  (En RD$/Tarea)]]/Tabla2[[#This Row],[Costos (En RD$/Tarea)]])</f>
        <v>-0.51769527457023046</v>
      </c>
      <c r="P1606" s="4">
        <f>Tabla2[[#This Row],[Rentabilidad (%)]]/12</f>
        <v>-4.3141272880852538E-2</v>
      </c>
    </row>
    <row r="1607" spans="1:16" x14ac:dyDescent="0.35">
      <c r="A1607" s="1">
        <v>40575</v>
      </c>
      <c r="B1607" t="s">
        <v>28</v>
      </c>
      <c r="C1607" s="2">
        <v>70072</v>
      </c>
      <c r="D1607" s="5" t="s">
        <v>17</v>
      </c>
      <c r="E1607" s="2">
        <f>IF(Tabla2[[#This Row],[Frecuencia]]="Annual", Tabla2[[#This Row],[Cosecha/Tarea]]/12,Tabla2[[#This Row],[Cosecha/Tarea]])</f>
        <v>70072</v>
      </c>
      <c r="F1607" s="2">
        <v>42616</v>
      </c>
      <c r="G1607" t="s">
        <v>29</v>
      </c>
      <c r="H1607">
        <f>F1607/Tabla2[[#This Row],[Cosecha Mensual]]</f>
        <v>0.60817444913802943</v>
      </c>
      <c r="I1607">
        <f>H1607*_xlfn.XLOOKUP(Tabla2[[#This Row],[Unidad de producción]],Tabla3[Medida],Tabla3[Equivalencia en Kg],"ELVIS",0)</f>
        <v>342.00081972827951</v>
      </c>
      <c r="J1607">
        <v>8025</v>
      </c>
      <c r="K1607" t="s">
        <v>29</v>
      </c>
      <c r="L1607">
        <f>J1607/_xlfn.XLOOKUP(Tabla2[[#This Row],[Unidad de precio]],Tabla3[Medida],Tabla3[Equivalencia en Kg],"ELVIS",0)</f>
        <v>14.270725895365793</v>
      </c>
      <c r="M1607">
        <v>6816.0513247333301</v>
      </c>
      <c r="N1607" s="2">
        <f>(Tabla2[[#This Row],[Productividad (kg/TAS)]]*Tabla2[[#This Row],[Precio por kg]]-Tabla2[[#This Row],[Costos (En RD$/Tarea)]])</f>
        <v>-1935.4513704006431</v>
      </c>
      <c r="O1607" s="6">
        <f>IF(Tabla2[[#This Row],[Costos (En RD$/Tarea)]]=0,0,Tabla2[[#This Row],[Beneficio Neto  (En RD$/Tarea)]]/Tabla2[[#This Row],[Costos (En RD$/Tarea)]])</f>
        <v>-0.2839549290624459</v>
      </c>
      <c r="P1607" s="4">
        <f>Tabla2[[#This Row],[Rentabilidad (%)]]/12</f>
        <v>-2.3662910755203825E-2</v>
      </c>
    </row>
    <row r="1608" spans="1:16" x14ac:dyDescent="0.35">
      <c r="A1608" s="1">
        <v>40575</v>
      </c>
      <c r="B1608" t="s">
        <v>30</v>
      </c>
      <c r="C1608" s="2">
        <v>335173</v>
      </c>
      <c r="D1608" s="2" t="s">
        <v>31</v>
      </c>
      <c r="E1608" s="2">
        <f>IF(Tabla2[[#This Row],[Frecuencia]]="Annual", Tabla2[[#This Row],[Cosecha/Tarea]]/12,Tabla2[[#This Row],[Cosecha/Tarea]])</f>
        <v>27931.083333333332</v>
      </c>
      <c r="F1608" s="2">
        <v>2200738</v>
      </c>
      <c r="G1608" t="s">
        <v>32</v>
      </c>
      <c r="H1608">
        <f>F1608/Tabla2[[#This Row],[Cosecha Mensual]]</f>
        <v>78.791716516545193</v>
      </c>
      <c r="I1608">
        <f>H1608*_xlfn.XLOOKUP(Tabla2[[#This Row],[Unidad de producción]],Tabla3[Medida],Tabla3[Equivalencia en Kg],"ELVIS",0)</f>
        <v>2143.9226064151949</v>
      </c>
      <c r="J1608">
        <v>130.416666666667</v>
      </c>
      <c r="K1608" t="s">
        <v>32</v>
      </c>
      <c r="L1608">
        <f>J1608/_xlfn.XLOOKUP(Tabla2[[#This Row],[Unidad de precio]],Tabla3[Medida],Tabla3[Equivalencia en Kg],"ELVIS",0)</f>
        <v>4.7929682714688351</v>
      </c>
      <c r="M1608" s="2">
        <v>11259.713084354</v>
      </c>
      <c r="N1608" s="2">
        <f>(Tabla2[[#This Row],[Productividad (kg/TAS)]]*Tabla2[[#This Row],[Precio por kg]]-Tabla2[[#This Row],[Costos (En RD$/Tarea)]])</f>
        <v>-983.96005532120398</v>
      </c>
      <c r="O1608" s="6">
        <f>IF(Tabla2[[#This Row],[Costos (En RD$/Tarea)]]=0,0,Tabla2[[#This Row],[Beneficio Neto  (En RD$/Tarea)]]/Tabla2[[#This Row],[Costos (En RD$/Tarea)]])</f>
        <v>-8.7387666803736899E-2</v>
      </c>
      <c r="P1608" s="4">
        <f>Tabla2[[#This Row],[Rentabilidad (%)]]/12</f>
        <v>-7.2823055669780749E-3</v>
      </c>
    </row>
    <row r="1609" spans="1:16" x14ac:dyDescent="0.35">
      <c r="A1609" s="1">
        <v>40575</v>
      </c>
      <c r="B1609" t="s">
        <v>33</v>
      </c>
      <c r="C1609" s="2">
        <v>690886</v>
      </c>
      <c r="D1609" s="2" t="s">
        <v>31</v>
      </c>
      <c r="E1609" s="8">
        <f>IF(Tabla2[[#This Row],[Frecuencia]]="Annual", Tabla2[[#This Row],[Cosecha/Tarea]]/12,Tabla2[[#This Row],[Cosecha/Tarea]])</f>
        <v>57573.833333333336</v>
      </c>
      <c r="F1609" s="2">
        <v>143400</v>
      </c>
      <c r="G1609" t="s">
        <v>34</v>
      </c>
      <c r="H1609">
        <f>F1609/Tabla2[[#This Row],[Cosecha Mensual]]</f>
        <v>2.4907148212585</v>
      </c>
      <c r="I1609">
        <f>H1609*_xlfn.XLOOKUP(Tabla2[[#This Row],[Unidad de producción]],Tabla3[Medida],Tabla3[Equivalencia en Kg],"ELVIS",0)</f>
        <v>1016.5852542966567</v>
      </c>
      <c r="J1609">
        <v>4990</v>
      </c>
      <c r="K1609" t="s">
        <v>34</v>
      </c>
      <c r="L1609">
        <f>J1609/_xlfn.XLOOKUP(Tabla2[[#This Row],[Unidad de precio]],Tabla3[Medida],Tabla3[Equivalencia en Kg],"ELVIS",0)</f>
        <v>12.225897341663604</v>
      </c>
      <c r="M1609" s="2">
        <v>10868.026372878299</v>
      </c>
      <c r="N1609" s="2">
        <f>(Tabla2[[#This Row],[Productividad (kg/TAS)]]*Tabla2[[#This Row],[Precio por kg]]-Tabla2[[#This Row],[Costos (En RD$/Tarea)]])</f>
        <v>1560.6405852016142</v>
      </c>
      <c r="O1609" s="6">
        <f>IF(Tabla2[[#This Row],[Costos (En RD$/Tarea)]]=0,0,Tabla2[[#This Row],[Beneficio Neto  (En RD$/Tarea)]]/Tabla2[[#This Row],[Costos (En RD$/Tarea)]])</f>
        <v>0.1435992637169404</v>
      </c>
      <c r="P1609" s="4">
        <f>Tabla2[[#This Row],[Rentabilidad (%)]]/12</f>
        <v>1.1966605309745033E-2</v>
      </c>
    </row>
    <row r="1610" spans="1:16" x14ac:dyDescent="0.35">
      <c r="A1610" s="1">
        <v>40603</v>
      </c>
      <c r="B1610" t="s">
        <v>16</v>
      </c>
      <c r="C1610" s="2">
        <v>5095</v>
      </c>
      <c r="D1610" s="5" t="s">
        <v>17</v>
      </c>
      <c r="E1610" s="2">
        <f>IF(Tabla2[[#This Row],[Frecuencia]]="Annual", Tabla2[[#This Row],[Cosecha/Tarea]]/12,Tabla2[[#This Row],[Cosecha/Tarea]])</f>
        <v>5095</v>
      </c>
      <c r="F1610" s="2">
        <v>19111</v>
      </c>
      <c r="G1610" t="s">
        <v>18</v>
      </c>
      <c r="H1610">
        <f>F1610/Tabla2[[#This Row],[Cosecha Mensual]]</f>
        <v>3.7509322865554466</v>
      </c>
      <c r="I1610">
        <f>H1610*_xlfn.XLOOKUP(Tabla2[[#This Row],[Unidad de producción]],Tabla3[Medida],Tabla3[Equivalencia en Kg],"ELVIS",0)</f>
        <v>170.14228851815506</v>
      </c>
      <c r="J1610">
        <v>1800</v>
      </c>
      <c r="K1610" t="s">
        <v>19</v>
      </c>
      <c r="L1610">
        <f>J1610/_xlfn.XLOOKUP(Tabla2[[#This Row],[Unidad de precio]],Tabla3[Medida],Tabla3[Equivalencia en Kg],"ELVIS",0)</f>
        <v>16.363636363636363</v>
      </c>
      <c r="M1610">
        <v>7569</v>
      </c>
      <c r="N1610" s="2">
        <f>(Tabla2[[#This Row],[Productividad (kg/TAS)]]*Tabla2[[#This Row],[Precio por kg]]-Tabla2[[#This Row],[Costos (En RD$/Tarea)]])</f>
        <v>-4784.8534606120083</v>
      </c>
      <c r="O1610" s="6">
        <f>IF(Tabla2[[#This Row],[Costos (En RD$/Tarea)]]=0,0,Tabla2[[#This Row],[Beneficio Neto  (En RD$/Tarea)]]/Tabla2[[#This Row],[Costos (En RD$/Tarea)]])</f>
        <v>-0.63216454757722396</v>
      </c>
      <c r="P1610" s="4">
        <f>Tabla2[[#This Row],[Rentabilidad (%)]]/12</f>
        <v>-5.2680378964768661E-2</v>
      </c>
    </row>
    <row r="1611" spans="1:16" x14ac:dyDescent="0.35">
      <c r="A1611" s="1">
        <v>40603</v>
      </c>
      <c r="B1611" t="s">
        <v>20</v>
      </c>
      <c r="C1611" s="2">
        <v>14294</v>
      </c>
      <c r="D1611" s="5" t="s">
        <v>17</v>
      </c>
      <c r="E1611" s="2">
        <f>IF(Tabla2[[#This Row],[Frecuencia]]="Annual", Tabla2[[#This Row],[Cosecha/Tarea]]/12,Tabla2[[#This Row],[Cosecha/Tarea]])</f>
        <v>14294</v>
      </c>
      <c r="F1611" s="2">
        <v>32143</v>
      </c>
      <c r="G1611" t="s">
        <v>18</v>
      </c>
      <c r="H1611">
        <f>F1611/Tabla2[[#This Row],[Cosecha Mensual]]</f>
        <v>2.2487057506646146</v>
      </c>
      <c r="I1611">
        <f>H1611*_xlfn.XLOOKUP(Tabla2[[#This Row],[Unidad de producción]],Tabla3[Medida],Tabla3[Equivalencia en Kg],"ELVIS",0)</f>
        <v>102.00129285014692</v>
      </c>
      <c r="J1611">
        <v>619.96500000000003</v>
      </c>
      <c r="K1611" t="s">
        <v>18</v>
      </c>
      <c r="L1611">
        <f>J1611/_xlfn.XLOOKUP(Tabla2[[#This Row],[Unidad de precio]],Tabla3[Medida],Tabla3[Equivalencia en Kg],"ELVIS",0)</f>
        <v>13.667658730158731</v>
      </c>
      <c r="M1611">
        <v>2249.6320342847998</v>
      </c>
      <c r="N1611" s="2">
        <f>(Tabla2[[#This Row],[Productividad (kg/TAS)]]*Tabla2[[#This Row],[Precio por kg]]-Tabla2[[#This Row],[Costos (En RD$/Tarea)]])</f>
        <v>-855.51317357401194</v>
      </c>
      <c r="O1611" s="6">
        <f>IF(Tabla2[[#This Row],[Costos (En RD$/Tarea)]]=0,0,Tabla2[[#This Row],[Beneficio Neto  (En RD$/Tarea)]]/Tabla2[[#This Row],[Costos (En RD$/Tarea)]])</f>
        <v>-0.3802902699356322</v>
      </c>
      <c r="P1611" s="4">
        <f>Tabla2[[#This Row],[Rentabilidad (%)]]/12</f>
        <v>-3.169085582796935E-2</v>
      </c>
    </row>
    <row r="1612" spans="1:16" x14ac:dyDescent="0.35">
      <c r="A1612" s="1">
        <v>40603</v>
      </c>
      <c r="B1612" t="s">
        <v>21</v>
      </c>
      <c r="C1612" s="2">
        <v>9164</v>
      </c>
      <c r="D1612" s="5" t="s">
        <v>17</v>
      </c>
      <c r="E1612" s="2">
        <f>IF(Tabla2[[#This Row],[Frecuencia]]="Annual", Tabla2[[#This Row],[Cosecha/Tarea]]/12,Tabla2[[#This Row],[Cosecha/Tarea]])</f>
        <v>9164</v>
      </c>
      <c r="F1612" s="2">
        <v>106841</v>
      </c>
      <c r="G1612" t="s">
        <v>18</v>
      </c>
      <c r="H1612">
        <f>F1612/Tabla2[[#This Row],[Cosecha Mensual]]</f>
        <v>11.658773461370581</v>
      </c>
      <c r="I1612">
        <f>H1612*_xlfn.XLOOKUP(Tabla2[[#This Row],[Unidad de producción]],Tabla3[Medida],Tabla3[Equivalencia en Kg],"ELVIS",0)</f>
        <v>528.84196420776959</v>
      </c>
      <c r="J1612">
        <v>541.04250000000002</v>
      </c>
      <c r="K1612" t="s">
        <v>18</v>
      </c>
      <c r="L1612">
        <f>J1612/_xlfn.XLOOKUP(Tabla2[[#This Row],[Unidad de precio]],Tabla3[Medida],Tabla3[Equivalencia en Kg],"ELVIS",0)</f>
        <v>11.927744708994709</v>
      </c>
      <c r="M1612">
        <v>4921.4416007500004</v>
      </c>
      <c r="N1612" s="2">
        <f>(Tabla2[[#This Row],[Productividad (kg/TAS)]]*Tabla2[[#This Row],[Precio por kg]]-Tabla2[[#This Row],[Costos (En RD$/Tarea)]])</f>
        <v>1386.4503397235922</v>
      </c>
      <c r="O1612" s="6">
        <f>IF(Tabla2[[#This Row],[Costos (En RD$/Tarea)]]=0,0,Tabla2[[#This Row],[Beneficio Neto  (En RD$/Tarea)]]/Tabla2[[#This Row],[Costos (En RD$/Tarea)]])</f>
        <v>0.28171630432682671</v>
      </c>
      <c r="P1612" s="4">
        <f>Tabla2[[#This Row],[Rentabilidad (%)]]/12</f>
        <v>2.3476358693902227E-2</v>
      </c>
    </row>
    <row r="1613" spans="1:16" x14ac:dyDescent="0.35">
      <c r="A1613" s="1">
        <v>40603</v>
      </c>
      <c r="B1613" t="s">
        <v>22</v>
      </c>
      <c r="C1613" s="2">
        <v>7978</v>
      </c>
      <c r="D1613" s="5" t="s">
        <v>17</v>
      </c>
      <c r="E1613" s="2">
        <f>IF(Tabla2[[#This Row],[Frecuencia]]="Annual", Tabla2[[#This Row],[Cosecha/Tarea]]/12,Tabla2[[#This Row],[Cosecha/Tarea]])</f>
        <v>7978</v>
      </c>
      <c r="F1613" s="2">
        <v>83878</v>
      </c>
      <c r="G1613" t="s">
        <v>18</v>
      </c>
      <c r="H1613">
        <f>F1613/Tabla2[[#This Row],[Cosecha Mensual]]</f>
        <v>10.513662572073201</v>
      </c>
      <c r="I1613">
        <f>H1613*_xlfn.XLOOKUP(Tabla2[[#This Row],[Unidad de producción]],Tabla3[Medida],Tabla3[Equivalencia en Kg],"ELVIS",0)</f>
        <v>476.89973426924041</v>
      </c>
      <c r="J1613">
        <v>1188.5</v>
      </c>
      <c r="K1613" t="s">
        <v>18</v>
      </c>
      <c r="L1613">
        <f>J1613/_xlfn.XLOOKUP(Tabla2[[#This Row],[Unidad de precio]],Tabla3[Medida],Tabla3[Equivalencia en Kg],"ELVIS",0)</f>
        <v>26.201499118165785</v>
      </c>
      <c r="M1613">
        <v>8263.3527360768003</v>
      </c>
      <c r="N1613" s="2">
        <f>(Tabla2[[#This Row],[Productividad (kg/TAS)]]*Tabla2[[#This Row],[Precio por kg]]-Tabla2[[#This Row],[Costos (En RD$/Tarea)]])</f>
        <v>4232.1352308322003</v>
      </c>
      <c r="O1613" s="6">
        <f>IF(Tabla2[[#This Row],[Costos (En RD$/Tarea)]]=0,0,Tabla2[[#This Row],[Beneficio Neto  (En RD$/Tarea)]]/Tabla2[[#This Row],[Costos (En RD$/Tarea)]])</f>
        <v>0.51215715533420336</v>
      </c>
      <c r="P1613" s="4">
        <f>Tabla2[[#This Row],[Rentabilidad (%)]]/12</f>
        <v>4.2679762944516947E-2</v>
      </c>
    </row>
    <row r="1614" spans="1:16" x14ac:dyDescent="0.35">
      <c r="A1614" s="1">
        <v>40603</v>
      </c>
      <c r="B1614" t="s">
        <v>23</v>
      </c>
      <c r="C1614" s="2">
        <v>2528</v>
      </c>
      <c r="D1614" s="5" t="s">
        <v>17</v>
      </c>
      <c r="E1614" s="2">
        <f>IF(Tabla2[[#This Row],[Frecuencia]]="Annual", Tabla2[[#This Row],[Cosecha/Tarea]]/12,Tabla2[[#This Row],[Cosecha/Tarea]])</f>
        <v>2528</v>
      </c>
      <c r="F1614" s="2">
        <v>75998</v>
      </c>
      <c r="G1614" t="s">
        <v>18</v>
      </c>
      <c r="H1614">
        <f>F1614/Tabla2[[#This Row],[Cosecha Mensual]]</f>
        <v>30.0625</v>
      </c>
      <c r="I1614">
        <f>H1614*_xlfn.XLOOKUP(Tabla2[[#This Row],[Unidad de producción]],Tabla3[Medida],Tabla3[Equivalencia en Kg],"ELVIS",0)</f>
        <v>1363.635</v>
      </c>
      <c r="J1614">
        <v>911.25</v>
      </c>
      <c r="K1614" t="s">
        <v>18</v>
      </c>
      <c r="L1614">
        <f>J1614/_xlfn.XLOOKUP(Tabla2[[#This Row],[Unidad de precio]],Tabla3[Medida],Tabla3[Equivalencia en Kg],"ELVIS",0)</f>
        <v>20.089285714285715</v>
      </c>
      <c r="M1614">
        <v>22831.198995686002</v>
      </c>
      <c r="N1614" s="2">
        <f>(Tabla2[[#This Row],[Productividad (kg/TAS)]]*Tabla2[[#This Row],[Precio por kg]]-Tabla2[[#This Row],[Costos (En RD$/Tarea)]])</f>
        <v>4563.2541293139984</v>
      </c>
      <c r="O1614" s="6">
        <f>IF(Tabla2[[#This Row],[Costos (En RD$/Tarea)]]=0,0,Tabla2[[#This Row],[Beneficio Neto  (En RD$/Tarea)]]/Tabla2[[#This Row],[Costos (En RD$/Tarea)]])</f>
        <v>0.19986922851385219</v>
      </c>
      <c r="P1614" s="4">
        <f>Tabla2[[#This Row],[Rentabilidad (%)]]/12</f>
        <v>1.6655769042821015E-2</v>
      </c>
    </row>
    <row r="1615" spans="1:16" x14ac:dyDescent="0.35">
      <c r="A1615" s="1">
        <v>40603</v>
      </c>
      <c r="B1615" t="s">
        <v>24</v>
      </c>
      <c r="C1615" s="2">
        <v>7719</v>
      </c>
      <c r="D1615" s="5" t="s">
        <v>17</v>
      </c>
      <c r="E1615" s="2">
        <f>IF(Tabla2[[#This Row],[Frecuencia]]="Annual", Tabla2[[#This Row],[Cosecha/Tarea]]/12,Tabla2[[#This Row],[Cosecha/Tarea]])</f>
        <v>7719</v>
      </c>
      <c r="F1615" s="2">
        <v>67236</v>
      </c>
      <c r="G1615" t="s">
        <v>18</v>
      </c>
      <c r="H1615">
        <f>F1615/Tabla2[[#This Row],[Cosecha Mensual]]</f>
        <v>8.7104547221142639</v>
      </c>
      <c r="I1615">
        <f>H1615*_xlfn.XLOOKUP(Tabla2[[#This Row],[Unidad de producción]],Tabla3[Medida],Tabla3[Equivalencia en Kg],"ELVIS",0)</f>
        <v>395.10622619510298</v>
      </c>
      <c r="J1615">
        <v>1115.325</v>
      </c>
      <c r="K1615" t="s">
        <v>18</v>
      </c>
      <c r="L1615">
        <f>J1615/_xlfn.XLOOKUP(Tabla2[[#This Row],[Unidad de precio]],Tabla3[Medida],Tabla3[Equivalencia en Kg],"ELVIS",0)</f>
        <v>24.588293650793652</v>
      </c>
      <c r="M1615">
        <v>6908.3833517736002</v>
      </c>
      <c r="N1615" s="2">
        <f>(Tabla2[[#This Row],[Productividad (kg/TAS)]]*Tabla2[[#This Row],[Precio por kg]]-Tabla2[[#This Row],[Costos (En RD$/Tarea)]])</f>
        <v>2806.6045611684913</v>
      </c>
      <c r="O1615" s="6">
        <f>IF(Tabla2[[#This Row],[Costos (En RD$/Tarea)]]=0,0,Tabla2[[#This Row],[Beneficio Neto  (En RD$/Tarea)]]/Tabla2[[#This Row],[Costos (En RD$/Tarea)]])</f>
        <v>0.40626068622088657</v>
      </c>
      <c r="P1615" s="4">
        <f>Tabla2[[#This Row],[Rentabilidad (%)]]/12</f>
        <v>3.3855057185073881E-2</v>
      </c>
    </row>
    <row r="1616" spans="1:16" x14ac:dyDescent="0.35">
      <c r="A1616" s="1">
        <v>40603</v>
      </c>
      <c r="B1616" t="s">
        <v>25</v>
      </c>
      <c r="C1616" s="2">
        <v>26508</v>
      </c>
      <c r="D1616" s="5" t="s">
        <v>17</v>
      </c>
      <c r="E1616" s="2">
        <f>IF(Tabla2[[#This Row],[Frecuencia]]="Annual", Tabla2[[#This Row],[Cosecha/Tarea]]/12,Tabla2[[#This Row],[Cosecha/Tarea]])</f>
        <v>26508</v>
      </c>
      <c r="F1616" s="2">
        <v>269801</v>
      </c>
      <c r="G1616" t="s">
        <v>18</v>
      </c>
      <c r="H1616">
        <f>F1616/Tabla2[[#This Row],[Cosecha Mensual]]</f>
        <v>10.178097178210352</v>
      </c>
      <c r="I1616">
        <f>H1616*_xlfn.XLOOKUP(Tabla2[[#This Row],[Unidad de producción]],Tabla3[Medida],Tabla3[Equivalencia en Kg],"ELVIS",0)</f>
        <v>461.67848800362157</v>
      </c>
      <c r="J1616">
        <v>421.113</v>
      </c>
      <c r="K1616" t="s">
        <v>18</v>
      </c>
      <c r="L1616">
        <f>J1616/_xlfn.XLOOKUP(Tabla2[[#This Row],[Unidad de precio]],Tabla3[Medida],Tabla3[Equivalencia en Kg],"ELVIS",0)</f>
        <v>9.2837962962962965</v>
      </c>
      <c r="M1616">
        <v>4283.9889411321201</v>
      </c>
      <c r="N1616" s="2">
        <f>(Tabla2[[#This Row],[Productividad (kg/TAS)]]*Tabla2[[#This Row],[Precio por kg]]-Tabla2[[#This Row],[Costos (En RD$/Tarea)]])</f>
        <v>2.1400958755757529</v>
      </c>
      <c r="O1616" s="6">
        <f>IF(Tabla2[[#This Row],[Costos (En RD$/Tarea)]]=0,0,Tabla2[[#This Row],[Beneficio Neto  (En RD$/Tarea)]]/Tabla2[[#This Row],[Costos (En RD$/Tarea)]])</f>
        <v>4.9955681608510277E-4</v>
      </c>
      <c r="P1616" s="4">
        <f>Tabla2[[#This Row],[Rentabilidad (%)]]/12</f>
        <v>4.1629734673758567E-5</v>
      </c>
    </row>
    <row r="1617" spans="1:16" x14ac:dyDescent="0.35">
      <c r="A1617" s="1">
        <v>40603</v>
      </c>
      <c r="B1617" t="s">
        <v>26</v>
      </c>
      <c r="C1617" s="2">
        <v>13240</v>
      </c>
      <c r="D1617" s="5" t="s">
        <v>17</v>
      </c>
      <c r="E1617" s="2">
        <f>IF(Tabla2[[#This Row],[Frecuencia]]="Annual", Tabla2[[#This Row],[Cosecha/Tarea]]/12,Tabla2[[#This Row],[Cosecha/Tarea]])</f>
        <v>13240</v>
      </c>
      <c r="F1617" s="2">
        <v>91668</v>
      </c>
      <c r="G1617" t="s">
        <v>18</v>
      </c>
      <c r="H1617">
        <f>F1617/Tabla2[[#This Row],[Cosecha Mensual]]</f>
        <v>6.9235649546827798</v>
      </c>
      <c r="I1617">
        <f>H1617*_xlfn.XLOOKUP(Tabla2[[#This Row],[Unidad de producción]],Tabla3[Medida],Tabla3[Equivalencia en Kg],"ELVIS",0)</f>
        <v>314.05290634441087</v>
      </c>
      <c r="J1617">
        <v>643.88400000000001</v>
      </c>
      <c r="K1617" t="s">
        <v>18</v>
      </c>
      <c r="L1617">
        <f>J1617/_xlfn.XLOOKUP(Tabla2[[#This Row],[Unidad de precio]],Tabla3[Medida],Tabla3[Equivalencia en Kg],"ELVIS",0)</f>
        <v>14.194973544973546</v>
      </c>
      <c r="M1617">
        <v>2009.79</v>
      </c>
      <c r="N1617" s="2">
        <f>(Tabla2[[#This Row],[Productividad (kg/TAS)]]*Tabla2[[#This Row],[Precio por kg]]-Tabla2[[#This Row],[Costos (En RD$/Tarea)]])</f>
        <v>2448.1826972809667</v>
      </c>
      <c r="O1617" s="6">
        <f>IF(Tabla2[[#This Row],[Costos (En RD$/Tarea)]]=0,0,Tabla2[[#This Row],[Beneficio Neto  (En RD$/Tarea)]]/Tabla2[[#This Row],[Costos (En RD$/Tarea)]])</f>
        <v>1.218128609098944</v>
      </c>
      <c r="P1617" s="4">
        <f>Tabla2[[#This Row],[Rentabilidad (%)]]/12</f>
        <v>0.10151071742491201</v>
      </c>
    </row>
    <row r="1618" spans="1:16" x14ac:dyDescent="0.35">
      <c r="A1618" s="1">
        <v>40603</v>
      </c>
      <c r="B1618" t="s">
        <v>27</v>
      </c>
      <c r="C1618" s="2">
        <v>6468</v>
      </c>
      <c r="D1618" s="5" t="s">
        <v>17</v>
      </c>
      <c r="E1618" s="2">
        <f>IF(Tabla2[[#This Row],[Frecuencia]]="Annual", Tabla2[[#This Row],[Cosecha/Tarea]]/12,Tabla2[[#This Row],[Cosecha/Tarea]])</f>
        <v>6468</v>
      </c>
      <c r="F1618" s="2">
        <v>44876</v>
      </c>
      <c r="G1618" t="s">
        <v>18</v>
      </c>
      <c r="H1618">
        <f>F1618/Tabla2[[#This Row],[Cosecha Mensual]]</f>
        <v>6.9381570810142241</v>
      </c>
      <c r="I1618">
        <f>H1618*_xlfn.XLOOKUP(Tabla2[[#This Row],[Unidad de producción]],Tabla3[Medida],Tabla3[Equivalencia en Kg],"ELVIS",0)</f>
        <v>314.71480519480519</v>
      </c>
      <c r="J1618">
        <v>485.75439999999998</v>
      </c>
      <c r="K1618" t="s">
        <v>18</v>
      </c>
      <c r="L1618">
        <f>J1618/_xlfn.XLOOKUP(Tabla2[[#This Row],[Unidad de precio]],Tabla3[Medida],Tabla3[Equivalencia en Kg],"ELVIS",0)</f>
        <v>10.708871252204585</v>
      </c>
      <c r="M1618">
        <v>6922.0219999999999</v>
      </c>
      <c r="N1618" s="2">
        <f>(Tabla2[[#This Row],[Productividad (kg/TAS)]]*Tabla2[[#This Row],[Precio por kg]]-Tabla2[[#This Row],[Costos (En RD$/Tarea)]])</f>
        <v>-3551.7816700061844</v>
      </c>
      <c r="O1618" s="6">
        <f>IF(Tabla2[[#This Row],[Costos (En RD$/Tarea)]]=0,0,Tabla2[[#This Row],[Beneficio Neto  (En RD$/Tarea)]]/Tabla2[[#This Row],[Costos (En RD$/Tarea)]])</f>
        <v>-0.51311331717902431</v>
      </c>
      <c r="P1618" s="4">
        <f>Tabla2[[#This Row],[Rentabilidad (%)]]/12</f>
        <v>-4.2759443098252026E-2</v>
      </c>
    </row>
    <row r="1619" spans="1:16" x14ac:dyDescent="0.35">
      <c r="A1619" s="1">
        <v>40603</v>
      </c>
      <c r="B1619" t="s">
        <v>28</v>
      </c>
      <c r="C1619" s="2">
        <v>58987</v>
      </c>
      <c r="D1619" s="5" t="s">
        <v>17</v>
      </c>
      <c r="E1619" s="2">
        <f>IF(Tabla2[[#This Row],[Frecuencia]]="Annual", Tabla2[[#This Row],[Cosecha/Tarea]]/12,Tabla2[[#This Row],[Cosecha/Tarea]])</f>
        <v>58987</v>
      </c>
      <c r="F1619" s="2">
        <v>37350</v>
      </c>
      <c r="G1619" t="s">
        <v>29</v>
      </c>
      <c r="H1619">
        <f>F1619/Tabla2[[#This Row],[Cosecha Mensual]]</f>
        <v>0.6331903639785037</v>
      </c>
      <c r="I1619">
        <f>H1619*_xlfn.XLOOKUP(Tabla2[[#This Row],[Unidad de producción]],Tabla3[Medida],Tabla3[Equivalencia en Kg],"ELVIS",0)</f>
        <v>356.06826927967177</v>
      </c>
      <c r="J1619">
        <v>8000</v>
      </c>
      <c r="K1619" t="s">
        <v>29</v>
      </c>
      <c r="L1619">
        <f>J1619/_xlfn.XLOOKUP(Tabla2[[#This Row],[Unidad de precio]],Tabla3[Medida],Tabla3[Equivalencia en Kg],"ELVIS",0)</f>
        <v>14.226268805349076</v>
      </c>
      <c r="M1619">
        <v>6816.0513247333301</v>
      </c>
      <c r="N1619" s="2">
        <f>(Tabla2[[#This Row],[Productividad (kg/TAS)]]*Tabla2[[#This Row],[Precio por kg]]-Tabla2[[#This Row],[Costos (En RD$/Tarea)]])</f>
        <v>-1750.5284129053007</v>
      </c>
      <c r="O1619" s="6">
        <f>IF(Tabla2[[#This Row],[Costos (En RD$/Tarea)]]=0,0,Tabla2[[#This Row],[Beneficio Neto  (En RD$/Tarea)]]/Tabla2[[#This Row],[Costos (En RD$/Tarea)]])</f>
        <v>-0.25682441776123038</v>
      </c>
      <c r="P1619" s="4">
        <f>Tabla2[[#This Row],[Rentabilidad (%)]]/12</f>
        <v>-2.1402034813435864E-2</v>
      </c>
    </row>
    <row r="1620" spans="1:16" x14ac:dyDescent="0.35">
      <c r="A1620" s="1">
        <v>40603</v>
      </c>
      <c r="B1620" t="s">
        <v>30</v>
      </c>
      <c r="C1620" s="2">
        <v>355438</v>
      </c>
      <c r="D1620" s="2" t="s">
        <v>31</v>
      </c>
      <c r="E1620" s="2">
        <f>IF(Tabla2[[#This Row],[Frecuencia]]="Annual", Tabla2[[#This Row],[Cosecha/Tarea]]/12,Tabla2[[#This Row],[Cosecha/Tarea]])</f>
        <v>29619.833333333332</v>
      </c>
      <c r="F1620" s="2">
        <v>2263180</v>
      </c>
      <c r="G1620" t="s">
        <v>32</v>
      </c>
      <c r="H1620">
        <f>F1620/Tabla2[[#This Row],[Cosecha Mensual]]</f>
        <v>76.407587258537362</v>
      </c>
      <c r="I1620">
        <f>H1620*_xlfn.XLOOKUP(Tabla2[[#This Row],[Unidad de producción]],Tabla3[Medida],Tabla3[Equivalencia en Kg],"ELVIS",0)</f>
        <v>2079.0504493048015</v>
      </c>
      <c r="J1620">
        <v>113.85</v>
      </c>
      <c r="K1620" t="s">
        <v>32</v>
      </c>
      <c r="L1620">
        <f>J1620/_xlfn.XLOOKUP(Tabla2[[#This Row],[Unidad de precio]],Tabla3[Medida],Tabla3[Equivalencia en Kg],"ELVIS",0)</f>
        <v>4.18412348401323</v>
      </c>
      <c r="M1620" s="2">
        <v>11259.713084354</v>
      </c>
      <c r="N1620" s="2">
        <f>(Tabla2[[#This Row],[Productividad (kg/TAS)]]*Tabla2[[#This Row],[Precio por kg]]-Tabla2[[#This Row],[Costos (En RD$/Tarea)]])</f>
        <v>-2560.7092749695221</v>
      </c>
      <c r="O1620" s="6">
        <f>IF(Tabla2[[#This Row],[Costos (En RD$/Tarea)]]=0,0,Tabla2[[#This Row],[Beneficio Neto  (En RD$/Tarea)]]/Tabla2[[#This Row],[Costos (En RD$/Tarea)]])</f>
        <v>-0.2274222491981408</v>
      </c>
      <c r="P1620" s="4">
        <f>Tabla2[[#This Row],[Rentabilidad (%)]]/12</f>
        <v>-1.8951854099845067E-2</v>
      </c>
    </row>
    <row r="1621" spans="1:16" x14ac:dyDescent="0.35">
      <c r="A1621" s="1">
        <v>40603</v>
      </c>
      <c r="B1621" t="s">
        <v>33</v>
      </c>
      <c r="C1621" s="2">
        <v>672241</v>
      </c>
      <c r="D1621" s="2" t="s">
        <v>31</v>
      </c>
      <c r="E1621" s="8">
        <f>IF(Tabla2[[#This Row],[Frecuencia]]="Annual", Tabla2[[#This Row],[Cosecha/Tarea]]/12,Tabla2[[#This Row],[Cosecha/Tarea]])</f>
        <v>56020.083333333336</v>
      </c>
      <c r="F1621" s="2">
        <v>141162</v>
      </c>
      <c r="G1621" t="s">
        <v>34</v>
      </c>
      <c r="H1621">
        <f>F1621/Tabla2[[#This Row],[Cosecha Mensual]]</f>
        <v>2.5198463051197413</v>
      </c>
      <c r="I1621">
        <f>H1621*_xlfn.XLOOKUP(Tabla2[[#This Row],[Unidad de producción]],Tabla3[Medida],Tabla3[Equivalencia en Kg],"ELVIS",0)</f>
        <v>1028.4752694346223</v>
      </c>
      <c r="J1621">
        <v>4680.0833333333303</v>
      </c>
      <c r="K1621" t="s">
        <v>34</v>
      </c>
      <c r="L1621">
        <f>J1621/_xlfn.XLOOKUP(Tabla2[[#This Row],[Unidad de precio]],Tabla3[Medida],Tabla3[Equivalencia en Kg],"ELVIS",0)</f>
        <v>11.466576830413649</v>
      </c>
      <c r="M1621" s="2">
        <v>10868.026372878299</v>
      </c>
      <c r="N1621" s="2">
        <f>(Tabla2[[#This Row],[Productividad (kg/TAS)]]*Tabla2[[#This Row],[Precio por kg]]-Tabla2[[#This Row],[Costos (En RD$/Tarea)]])</f>
        <v>925.06432227417645</v>
      </c>
      <c r="O1621" s="6">
        <f>IF(Tabla2[[#This Row],[Costos (En RD$/Tarea)]]=0,0,Tabla2[[#This Row],[Beneficio Neto  (En RD$/Tarea)]]/Tabla2[[#This Row],[Costos (En RD$/Tarea)]])</f>
        <v>8.5117968114497816E-2</v>
      </c>
      <c r="P1621" s="4">
        <f>Tabla2[[#This Row],[Rentabilidad (%)]]/12</f>
        <v>7.0931640095414847E-3</v>
      </c>
    </row>
    <row r="1622" spans="1:16" x14ac:dyDescent="0.35">
      <c r="A1622" s="1">
        <v>40634</v>
      </c>
      <c r="B1622" t="s">
        <v>16</v>
      </c>
      <c r="C1622" s="2">
        <v>139719</v>
      </c>
      <c r="D1622" s="5" t="s">
        <v>17</v>
      </c>
      <c r="E1622" s="2">
        <f>IF(Tabla2[[#This Row],[Frecuencia]]="Annual", Tabla2[[#This Row],[Cosecha/Tarea]]/12,Tabla2[[#This Row],[Cosecha/Tarea]])</f>
        <v>139719</v>
      </c>
      <c r="F1622" s="2">
        <v>647357</v>
      </c>
      <c r="G1622" t="s">
        <v>18</v>
      </c>
      <c r="H1622">
        <f>F1622/Tabla2[[#This Row],[Cosecha Mensual]]</f>
        <v>4.6332782227184559</v>
      </c>
      <c r="I1622">
        <f>H1622*_xlfn.XLOOKUP(Tabla2[[#This Row],[Unidad de producción]],Tabla3[Medida],Tabla3[Equivalencia en Kg],"ELVIS",0)</f>
        <v>210.16550018250916</v>
      </c>
      <c r="J1622">
        <v>1916.6666666666699</v>
      </c>
      <c r="K1622" t="s">
        <v>19</v>
      </c>
      <c r="L1622">
        <f>J1622/_xlfn.XLOOKUP(Tabla2[[#This Row],[Unidad de precio]],Tabla3[Medida],Tabla3[Equivalencia en Kg],"ELVIS",0)</f>
        <v>17.424242424242454</v>
      </c>
      <c r="M1622">
        <v>7569</v>
      </c>
      <c r="N1622" s="2">
        <f>(Tabla2[[#This Row],[Productividad (kg/TAS)]]*Tabla2[[#This Row],[Precio por kg]]-Tabla2[[#This Row],[Costos (En RD$/Tarea)]])</f>
        <v>-3907.0253756077886</v>
      </c>
      <c r="O1622" s="6">
        <f>IF(Tabla2[[#This Row],[Costos (En RD$/Tarea)]]=0,0,Tabla2[[#This Row],[Beneficio Neto  (En RD$/Tarea)]]/Tabla2[[#This Row],[Costos (En RD$/Tarea)]])</f>
        <v>-0.51618778908809471</v>
      </c>
      <c r="P1622" s="4">
        <f>Tabla2[[#This Row],[Rentabilidad (%)]]/12</f>
        <v>-4.3015649090674561E-2</v>
      </c>
    </row>
    <row r="1623" spans="1:16" x14ac:dyDescent="0.35">
      <c r="A1623" s="1">
        <v>40634</v>
      </c>
      <c r="B1623" t="s">
        <v>20</v>
      </c>
      <c r="C1623" s="2">
        <v>31820</v>
      </c>
      <c r="D1623" s="5" t="s">
        <v>17</v>
      </c>
      <c r="E1623" s="2">
        <f>IF(Tabla2[[#This Row],[Frecuencia]]="Annual", Tabla2[[#This Row],[Cosecha/Tarea]]/12,Tabla2[[#This Row],[Cosecha/Tarea]])</f>
        <v>31820</v>
      </c>
      <c r="F1623" s="2">
        <v>83029</v>
      </c>
      <c r="G1623" t="s">
        <v>18</v>
      </c>
      <c r="H1623">
        <f>F1623/Tabla2[[#This Row],[Cosecha Mensual]]</f>
        <v>2.6093337523570082</v>
      </c>
      <c r="I1623">
        <f>H1623*_xlfn.XLOOKUP(Tabla2[[#This Row],[Unidad de producción]],Tabla3[Medida],Tabla3[Equivalencia en Kg],"ELVIS",0)</f>
        <v>118.35937900691388</v>
      </c>
      <c r="J1623">
        <v>695.83333333333303</v>
      </c>
      <c r="K1623" t="s">
        <v>18</v>
      </c>
      <c r="L1623">
        <f>J1623/_xlfn.XLOOKUP(Tabla2[[#This Row],[Unidad de precio]],Tabla3[Medida],Tabla3[Equivalencia en Kg],"ELVIS",0)</f>
        <v>15.340241034685473</v>
      </c>
      <c r="M1623">
        <v>2249.6320342847998</v>
      </c>
      <c r="N1623" s="2">
        <f>(Tabla2[[#This Row],[Productividad (kg/TAS)]]*Tabla2[[#This Row],[Precio por kg]]-Tabla2[[#This Row],[Costos (En RD$/Tarea)]])</f>
        <v>-433.97063160304924</v>
      </c>
      <c r="O1623" s="6">
        <f>IF(Tabla2[[#This Row],[Costos (En RD$/Tarea)]]=0,0,Tabla2[[#This Row],[Beneficio Neto  (En RD$/Tarea)]]/Tabla2[[#This Row],[Costos (En RD$/Tarea)]])</f>
        <v>-0.19290738440298599</v>
      </c>
      <c r="P1623" s="4">
        <f>Tabla2[[#This Row],[Rentabilidad (%)]]/12</f>
        <v>-1.6075615366915499E-2</v>
      </c>
    </row>
    <row r="1624" spans="1:16" x14ac:dyDescent="0.35">
      <c r="A1624" s="1">
        <v>40634</v>
      </c>
      <c r="B1624" t="s">
        <v>21</v>
      </c>
      <c r="C1624" s="2">
        <v>7848</v>
      </c>
      <c r="D1624" s="5" t="s">
        <v>17</v>
      </c>
      <c r="E1624" s="2">
        <f>IF(Tabla2[[#This Row],[Frecuencia]]="Annual", Tabla2[[#This Row],[Cosecha/Tarea]]/12,Tabla2[[#This Row],[Cosecha/Tarea]])</f>
        <v>7848</v>
      </c>
      <c r="F1624" s="2">
        <v>67944</v>
      </c>
      <c r="G1624" t="s">
        <v>18</v>
      </c>
      <c r="H1624">
        <f>F1624/Tabla2[[#This Row],[Cosecha Mensual]]</f>
        <v>8.6574923547400608</v>
      </c>
      <c r="I1624">
        <f>H1624*_xlfn.XLOOKUP(Tabla2[[#This Row],[Unidad de producción]],Tabla3[Medida],Tabla3[Equivalencia en Kg],"ELVIS",0)</f>
        <v>392.70385321100918</v>
      </c>
      <c r="J1624">
        <v>479.296875</v>
      </c>
      <c r="K1624" t="s">
        <v>18</v>
      </c>
      <c r="L1624">
        <f>J1624/_xlfn.XLOOKUP(Tabla2[[#This Row],[Unidad de precio]],Tabla3[Medida],Tabla3[Equivalencia en Kg],"ELVIS",0)</f>
        <v>10.56650958994709</v>
      </c>
      <c r="M1624">
        <v>4921.4416007500004</v>
      </c>
      <c r="N1624" s="2">
        <f>(Tabla2[[#This Row],[Productividad (kg/TAS)]]*Tabla2[[#This Row],[Precio por kg]]-Tabla2[[#This Row],[Costos (En RD$/Tarea)]])</f>
        <v>-771.93256978669706</v>
      </c>
      <c r="O1624" s="6">
        <f>IF(Tabla2[[#This Row],[Costos (En RD$/Tarea)]]=0,0,Tabla2[[#This Row],[Beneficio Neto  (En RD$/Tarea)]]/Tabla2[[#This Row],[Costos (En RD$/Tarea)]])</f>
        <v>-0.15685090516345024</v>
      </c>
      <c r="P1624" s="4">
        <f>Tabla2[[#This Row],[Rentabilidad (%)]]/12</f>
        <v>-1.3070908763620853E-2</v>
      </c>
    </row>
    <row r="1625" spans="1:16" x14ac:dyDescent="0.35">
      <c r="A1625" s="1">
        <v>40634</v>
      </c>
      <c r="B1625" t="s">
        <v>22</v>
      </c>
      <c r="C1625" s="2">
        <v>5571</v>
      </c>
      <c r="D1625" s="5" t="s">
        <v>17</v>
      </c>
      <c r="E1625" s="2">
        <f>IF(Tabla2[[#This Row],[Frecuencia]]="Annual", Tabla2[[#This Row],[Cosecha/Tarea]]/12,Tabla2[[#This Row],[Cosecha/Tarea]])</f>
        <v>5571</v>
      </c>
      <c r="F1625" s="2">
        <v>53666</v>
      </c>
      <c r="G1625" t="s">
        <v>18</v>
      </c>
      <c r="H1625">
        <f>F1625/Tabla2[[#This Row],[Cosecha Mensual]]</f>
        <v>9.6330999820499006</v>
      </c>
      <c r="I1625">
        <f>H1625*_xlfn.XLOOKUP(Tabla2[[#This Row],[Unidad de producción]],Tabla3[Medida],Tabla3[Equivalencia en Kg],"ELVIS",0)</f>
        <v>436.95741518578347</v>
      </c>
      <c r="J1625">
        <v>1039.125</v>
      </c>
      <c r="K1625" t="s">
        <v>18</v>
      </c>
      <c r="L1625">
        <f>J1625/_xlfn.XLOOKUP(Tabla2[[#This Row],[Unidad de precio]],Tabla3[Medida],Tabla3[Equivalencia en Kg],"ELVIS",0)</f>
        <v>22.908399470899472</v>
      </c>
      <c r="M1625">
        <v>8263.3527360768003</v>
      </c>
      <c r="N1625" s="2">
        <f>(Tabla2[[#This Row],[Productividad (kg/TAS)]]*Tabla2[[#This Row],[Precio por kg]]-Tabla2[[#This Row],[Costos (En RD$/Tarea)]])</f>
        <v>1746.6422827708029</v>
      </c>
      <c r="O1625" s="6">
        <f>IF(Tabla2[[#This Row],[Costos (En RD$/Tarea)]]=0,0,Tabla2[[#This Row],[Beneficio Neto  (En RD$/Tarea)]]/Tabla2[[#This Row],[Costos (En RD$/Tarea)]])</f>
        <v>0.21137210749157223</v>
      </c>
      <c r="P1625" s="4">
        <f>Tabla2[[#This Row],[Rentabilidad (%)]]/12</f>
        <v>1.7614342290964351E-2</v>
      </c>
    </row>
    <row r="1626" spans="1:16" x14ac:dyDescent="0.35">
      <c r="A1626" s="1">
        <v>40634</v>
      </c>
      <c r="B1626" t="s">
        <v>23</v>
      </c>
      <c r="C1626" s="2">
        <v>4745</v>
      </c>
      <c r="D1626" s="5" t="s">
        <v>17</v>
      </c>
      <c r="E1626" s="2">
        <f>IF(Tabla2[[#This Row],[Frecuencia]]="Annual", Tabla2[[#This Row],[Cosecha/Tarea]]/12,Tabla2[[#This Row],[Cosecha/Tarea]])</f>
        <v>4745</v>
      </c>
      <c r="F1626" s="2">
        <v>119524</v>
      </c>
      <c r="G1626" t="s">
        <v>18</v>
      </c>
      <c r="H1626">
        <f>F1626/Tabla2[[#This Row],[Cosecha Mensual]]</f>
        <v>25.189462592202318</v>
      </c>
      <c r="I1626">
        <f>H1626*_xlfn.XLOOKUP(Tabla2[[#This Row],[Unidad de producción]],Tabla3[Medida],Tabla3[Equivalencia en Kg],"ELVIS",0)</f>
        <v>1142.5940231822972</v>
      </c>
      <c r="J1626">
        <v>987.5</v>
      </c>
      <c r="K1626" t="s">
        <v>18</v>
      </c>
      <c r="L1626">
        <f>J1626/_xlfn.XLOOKUP(Tabla2[[#This Row],[Unidad de precio]],Tabla3[Medida],Tabla3[Equivalencia en Kg],"ELVIS",0)</f>
        <v>21.770282186948855</v>
      </c>
      <c r="M1626">
        <v>22831.198995686002</v>
      </c>
      <c r="N1626" s="2">
        <f>(Tabla2[[#This Row],[Productividad (kg/TAS)]]*Tabla2[[#This Row],[Precio por kg]]-Tabla2[[#This Row],[Costos (En RD$/Tarea)]])</f>
        <v>2043.3953141137899</v>
      </c>
      <c r="O1626" s="6">
        <f>IF(Tabla2[[#This Row],[Costos (En RD$/Tarea)]]=0,0,Tabla2[[#This Row],[Beneficio Neto  (En RD$/Tarea)]]/Tabla2[[#This Row],[Costos (En RD$/Tarea)]])</f>
        <v>8.9500131574337963E-2</v>
      </c>
      <c r="P1626" s="4">
        <f>Tabla2[[#This Row],[Rentabilidad (%)]]/12</f>
        <v>7.4583442978614972E-3</v>
      </c>
    </row>
    <row r="1627" spans="1:16" x14ac:dyDescent="0.35">
      <c r="A1627" s="1">
        <v>40634</v>
      </c>
      <c r="B1627" t="s">
        <v>24</v>
      </c>
      <c r="C1627" s="2">
        <v>6955</v>
      </c>
      <c r="D1627" s="5" t="s">
        <v>17</v>
      </c>
      <c r="E1627" s="2">
        <f>IF(Tabla2[[#This Row],[Frecuencia]]="Annual", Tabla2[[#This Row],[Cosecha/Tarea]]/12,Tabla2[[#This Row],[Cosecha/Tarea]])</f>
        <v>6955</v>
      </c>
      <c r="F1627" s="2">
        <v>62164</v>
      </c>
      <c r="G1627" t="s">
        <v>18</v>
      </c>
      <c r="H1627">
        <f>F1627/Tabla2[[#This Row],[Cosecha Mensual]]</f>
        <v>8.9380301941049609</v>
      </c>
      <c r="I1627">
        <f>H1627*_xlfn.XLOOKUP(Tabla2[[#This Row],[Unidad de producción]],Tabla3[Medida],Tabla3[Equivalencia en Kg],"ELVIS",0)</f>
        <v>405.429049604601</v>
      </c>
      <c r="J1627">
        <v>1086.57</v>
      </c>
      <c r="K1627" t="s">
        <v>18</v>
      </c>
      <c r="L1627">
        <f>J1627/_xlfn.XLOOKUP(Tabla2[[#This Row],[Unidad de precio]],Tabla3[Medida],Tabla3[Equivalencia en Kg],"ELVIS",0)</f>
        <v>23.954365079365079</v>
      </c>
      <c r="M1627">
        <v>6908.3833517736002</v>
      </c>
      <c r="N1627" s="2">
        <f>(Tabla2[[#This Row],[Productividad (kg/TAS)]]*Tabla2[[#This Row],[Precio por kg]]-Tabla2[[#This Row],[Costos (En RD$/Tarea)]])</f>
        <v>2803.4121162350257</v>
      </c>
      <c r="O1627" s="6">
        <f>IF(Tabla2[[#This Row],[Costos (En RD$/Tarea)]]=0,0,Tabla2[[#This Row],[Beneficio Neto  (En RD$/Tarea)]]/Tabla2[[#This Row],[Costos (En RD$/Tarea)]])</f>
        <v>0.40579857449793971</v>
      </c>
      <c r="P1627" s="4">
        <f>Tabla2[[#This Row],[Rentabilidad (%)]]/12</f>
        <v>3.3816547874828309E-2</v>
      </c>
    </row>
    <row r="1628" spans="1:16" x14ac:dyDescent="0.35">
      <c r="A1628" s="1">
        <v>40634</v>
      </c>
      <c r="B1628" t="s">
        <v>25</v>
      </c>
      <c r="C1628" s="2">
        <v>23206</v>
      </c>
      <c r="D1628" s="5" t="s">
        <v>17</v>
      </c>
      <c r="E1628" s="2">
        <f>IF(Tabla2[[#This Row],[Frecuencia]]="Annual", Tabla2[[#This Row],[Cosecha/Tarea]]/12,Tabla2[[#This Row],[Cosecha/Tarea]])</f>
        <v>23206</v>
      </c>
      <c r="F1628" s="2">
        <v>262478</v>
      </c>
      <c r="G1628" t="s">
        <v>18</v>
      </c>
      <c r="H1628">
        <f>F1628/Tabla2[[#This Row],[Cosecha Mensual]]</f>
        <v>11.310781694389382</v>
      </c>
      <c r="I1628">
        <f>H1628*_xlfn.XLOOKUP(Tabla2[[#This Row],[Unidad de producción]],Tabla3[Medida],Tabla3[Equivalencia en Kg],"ELVIS",0)</f>
        <v>513.05705765750236</v>
      </c>
      <c r="J1628">
        <v>801.59142857142899</v>
      </c>
      <c r="K1628" t="s">
        <v>18</v>
      </c>
      <c r="L1628">
        <f>J1628/_xlfn.XLOOKUP(Tabla2[[#This Row],[Unidad de precio]],Tabla3[Medida],Tabla3[Equivalencia en Kg],"ELVIS",0)</f>
        <v>17.671768707483004</v>
      </c>
      <c r="M1628">
        <v>4283.9889411321201</v>
      </c>
      <c r="N1628" s="2">
        <f>(Tabla2[[#This Row],[Productividad (kg/TAS)]]*Tabla2[[#This Row],[Precio por kg]]-Tabla2[[#This Row],[Costos (En RD$/Tarea)]])</f>
        <v>4782.6367155330336</v>
      </c>
      <c r="O1628" s="6">
        <f>IF(Tabla2[[#This Row],[Costos (En RD$/Tarea)]]=0,0,Tabla2[[#This Row],[Beneficio Neto  (En RD$/Tarea)]]/Tabla2[[#This Row],[Costos (En RD$/Tarea)]])</f>
        <v>1.1163980069166886</v>
      </c>
      <c r="P1628" s="4">
        <f>Tabla2[[#This Row],[Rentabilidad (%)]]/12</f>
        <v>9.303316724305738E-2</v>
      </c>
    </row>
    <row r="1629" spans="1:16" x14ac:dyDescent="0.35">
      <c r="A1629" s="1">
        <v>40634</v>
      </c>
      <c r="B1629" t="s">
        <v>26</v>
      </c>
      <c r="C1629" s="2">
        <v>12099</v>
      </c>
      <c r="D1629" s="5" t="s">
        <v>17</v>
      </c>
      <c r="E1629" s="2">
        <f>IF(Tabla2[[#This Row],[Frecuencia]]="Annual", Tabla2[[#This Row],[Cosecha/Tarea]]/12,Tabla2[[#This Row],[Cosecha/Tarea]])</f>
        <v>12099</v>
      </c>
      <c r="F1629" s="2">
        <v>70884</v>
      </c>
      <c r="G1629" t="s">
        <v>18</v>
      </c>
      <c r="H1629">
        <f>F1629/Tabla2[[#This Row],[Cosecha Mensual]]</f>
        <v>5.8586660054549959</v>
      </c>
      <c r="I1629">
        <f>H1629*_xlfn.XLOOKUP(Tabla2[[#This Row],[Unidad de producción]],Tabla3[Medida],Tabla3[Equivalencia en Kg],"ELVIS",0)</f>
        <v>265.74909000743861</v>
      </c>
      <c r="J1629">
        <v>742.5</v>
      </c>
      <c r="K1629" t="s">
        <v>18</v>
      </c>
      <c r="L1629">
        <f>J1629/_xlfn.XLOOKUP(Tabla2[[#This Row],[Unidad de precio]],Tabla3[Medida],Tabla3[Equivalencia en Kg],"ELVIS",0)</f>
        <v>16.36904761904762</v>
      </c>
      <c r="M1629">
        <v>2009.79</v>
      </c>
      <c r="N1629" s="2">
        <f>(Tabla2[[#This Row],[Productividad (kg/TAS)]]*Tabla2[[#This Row],[Precio por kg]]-Tabla2[[#This Row],[Costos (En RD$/Tarea)]])</f>
        <v>2340.2695090503348</v>
      </c>
      <c r="O1629" s="6">
        <f>IF(Tabla2[[#This Row],[Costos (En RD$/Tarea)]]=0,0,Tabla2[[#This Row],[Beneficio Neto  (En RD$/Tarea)]]/Tabla2[[#This Row],[Costos (En RD$/Tarea)]])</f>
        <v>1.1644348459542215</v>
      </c>
      <c r="P1629" s="4">
        <f>Tabla2[[#This Row],[Rentabilidad (%)]]/12</f>
        <v>9.7036237162851799E-2</v>
      </c>
    </row>
    <row r="1630" spans="1:16" x14ac:dyDescent="0.35">
      <c r="A1630" s="1">
        <v>40634</v>
      </c>
      <c r="B1630" t="s">
        <v>27</v>
      </c>
      <c r="C1630" s="2">
        <v>7540</v>
      </c>
      <c r="D1630" s="5" t="s">
        <v>17</v>
      </c>
      <c r="E1630" s="2">
        <f>IF(Tabla2[[#This Row],[Frecuencia]]="Annual", Tabla2[[#This Row],[Cosecha/Tarea]]/12,Tabla2[[#This Row],[Cosecha/Tarea]])</f>
        <v>7540</v>
      </c>
      <c r="F1630" s="2">
        <v>76706</v>
      </c>
      <c r="G1630" t="s">
        <v>18</v>
      </c>
      <c r="H1630">
        <f>F1630/Tabla2[[#This Row],[Cosecha Mensual]]</f>
        <v>10.173209549071618</v>
      </c>
      <c r="I1630">
        <f>H1630*_xlfn.XLOOKUP(Tabla2[[#This Row],[Unidad de producción]],Tabla3[Medida],Tabla3[Equivalencia en Kg],"ELVIS",0)</f>
        <v>461.4567851458886</v>
      </c>
      <c r="J1630">
        <v>382.57828571428598</v>
      </c>
      <c r="K1630" t="s">
        <v>18</v>
      </c>
      <c r="L1630">
        <f>J1630/_xlfn.XLOOKUP(Tabla2[[#This Row],[Unidad de precio]],Tabla3[Medida],Tabla3[Equivalencia en Kg],"ELVIS",0)</f>
        <v>8.4342655580750883</v>
      </c>
      <c r="M1630">
        <v>6922.0219999999999</v>
      </c>
      <c r="N1630" s="2">
        <f>(Tabla2[[#This Row],[Productividad (kg/TAS)]]*Tabla2[[#This Row],[Precio por kg]]-Tabla2[[#This Row],[Costos (En RD$/Tarea)]])</f>
        <v>-3029.9729305039755</v>
      </c>
      <c r="O1630" s="6">
        <f>IF(Tabla2[[#This Row],[Costos (En RD$/Tarea)]]=0,0,Tabla2[[#This Row],[Beneficio Neto  (En RD$/Tarea)]]/Tabla2[[#This Row],[Costos (En RD$/Tarea)]])</f>
        <v>-0.43772945687025777</v>
      </c>
      <c r="P1630" s="4">
        <f>Tabla2[[#This Row],[Rentabilidad (%)]]/12</f>
        <v>-3.6477454739188148E-2</v>
      </c>
    </row>
    <row r="1631" spans="1:16" x14ac:dyDescent="0.35">
      <c r="A1631" s="1">
        <v>40634</v>
      </c>
      <c r="B1631" t="s">
        <v>28</v>
      </c>
      <c r="C1631" s="2">
        <v>1378</v>
      </c>
      <c r="D1631" s="5" t="s">
        <v>17</v>
      </c>
      <c r="E1631" s="2">
        <f>IF(Tabla2[[#This Row],[Frecuencia]]="Annual", Tabla2[[#This Row],[Cosecha/Tarea]]/12,Tabla2[[#This Row],[Cosecha/Tarea]])</f>
        <v>1378</v>
      </c>
      <c r="F1631" s="2">
        <v>1442</v>
      </c>
      <c r="G1631" t="s">
        <v>29</v>
      </c>
      <c r="H1631">
        <f>F1631/Tabla2[[#This Row],[Cosecha Mensual]]</f>
        <v>1.04644412191582</v>
      </c>
      <c r="I1631">
        <f>H1631*_xlfn.XLOOKUP(Tabla2[[#This Row],[Unidad de producción]],Tabla3[Medida],Tabla3[Equivalencia en Kg],"ELVIS",0)</f>
        <v>588.45738751814224</v>
      </c>
      <c r="J1631">
        <v>10000</v>
      </c>
      <c r="K1631" t="s">
        <v>29</v>
      </c>
      <c r="L1631">
        <f>J1631/_xlfn.XLOOKUP(Tabla2[[#This Row],[Unidad de precio]],Tabla3[Medida],Tabla3[Equivalencia en Kg],"ELVIS",0)</f>
        <v>17.782836006686345</v>
      </c>
      <c r="M1631">
        <v>6816.0513247333301</v>
      </c>
      <c r="N1631" s="2">
        <f>(Tabla2[[#This Row],[Productividad (kg/TAS)]]*Tabla2[[#This Row],[Precio por kg]]-Tabla2[[#This Row],[Costos (En RD$/Tarea)]])</f>
        <v>3648.3898944248695</v>
      </c>
      <c r="O1631" s="6">
        <f>IF(Tabla2[[#This Row],[Costos (En RD$/Tarea)]]=0,0,Tabla2[[#This Row],[Beneficio Neto  (En RD$/Tarea)]]/Tabla2[[#This Row],[Costos (En RD$/Tarea)]])</f>
        <v>0.53526443986505756</v>
      </c>
      <c r="P1631" s="4">
        <f>Tabla2[[#This Row],[Rentabilidad (%)]]/12</f>
        <v>4.4605369988754799E-2</v>
      </c>
    </row>
    <row r="1632" spans="1:16" x14ac:dyDescent="0.35">
      <c r="A1632" s="1">
        <v>40634</v>
      </c>
      <c r="B1632" t="s">
        <v>30</v>
      </c>
      <c r="C1632" s="2">
        <v>347113</v>
      </c>
      <c r="D1632" s="2" t="s">
        <v>31</v>
      </c>
      <c r="E1632" s="2">
        <f>IF(Tabla2[[#This Row],[Frecuencia]]="Annual", Tabla2[[#This Row],[Cosecha/Tarea]]/12,Tabla2[[#This Row],[Cosecha/Tarea]])</f>
        <v>28926.083333333332</v>
      </c>
      <c r="F1632" s="2">
        <v>3109223</v>
      </c>
      <c r="G1632" t="s">
        <v>32</v>
      </c>
      <c r="H1632">
        <f>F1632/Tabla2[[#This Row],[Cosecha Mensual]]</f>
        <v>107.48855848095577</v>
      </c>
      <c r="I1632">
        <f>H1632*_xlfn.XLOOKUP(Tabla2[[#This Row],[Unidad de producción]],Tabla3[Medida],Tabla3[Equivalencia en Kg],"ELVIS",0)</f>
        <v>2924.7636762668067</v>
      </c>
      <c r="J1632">
        <v>116.75</v>
      </c>
      <c r="K1632" t="s">
        <v>32</v>
      </c>
      <c r="L1632">
        <f>J1632/_xlfn.XLOOKUP(Tabla2[[#This Row],[Unidad de precio]],Tabla3[Medida],Tabla3[Equivalencia en Kg],"ELVIS",0)</f>
        <v>4.2907019478133037</v>
      </c>
      <c r="M1632" s="2">
        <v>11259.713084354</v>
      </c>
      <c r="N1632" s="2">
        <f>(Tabla2[[#This Row],[Productividad (kg/TAS)]]*Tabla2[[#This Row],[Precio por kg]]-Tabla2[[#This Row],[Costos (En RD$/Tarea)]])</f>
        <v>1289.5761182975857</v>
      </c>
      <c r="O1632" s="6">
        <f>IF(Tabla2[[#This Row],[Costos (En RD$/Tarea)]]=0,0,Tabla2[[#This Row],[Beneficio Neto  (En RD$/Tarea)]]/Tabla2[[#This Row],[Costos (En RD$/Tarea)]])</f>
        <v>0.11453010468708334</v>
      </c>
      <c r="P1632" s="4">
        <f>Tabla2[[#This Row],[Rentabilidad (%)]]/12</f>
        <v>9.5441753905902791E-3</v>
      </c>
    </row>
    <row r="1633" spans="1:16" x14ac:dyDescent="0.35">
      <c r="A1633" s="1">
        <v>40634</v>
      </c>
      <c r="B1633" t="s">
        <v>33</v>
      </c>
      <c r="C1633" s="2">
        <v>678409</v>
      </c>
      <c r="D1633" s="2" t="s">
        <v>31</v>
      </c>
      <c r="E1633" s="2">
        <f>IF(Tabla2[[#This Row],[Frecuencia]]="Annual", Tabla2[[#This Row],[Cosecha/Tarea]]/12,Tabla2[[#This Row],[Cosecha/Tarea]])</f>
        <v>56534.083333333336</v>
      </c>
      <c r="F1633" s="2">
        <v>129111</v>
      </c>
      <c r="G1633" t="s">
        <v>34</v>
      </c>
      <c r="H1633">
        <f>F1633/Tabla2[[#This Row],[Cosecha Mensual]]</f>
        <v>2.2837727683447593</v>
      </c>
      <c r="I1633">
        <f>H1633*_xlfn.XLOOKUP(Tabla2[[#This Row],[Unidad de producción]],Tabla3[Medida],Tabla3[Equivalencia en Kg],"ELVIS",0)</f>
        <v>932.12185539991344</v>
      </c>
      <c r="J1633">
        <v>4661</v>
      </c>
      <c r="K1633" t="s">
        <v>34</v>
      </c>
      <c r="L1633">
        <f>J1633/_xlfn.XLOOKUP(Tabla2[[#This Row],[Unidad de precio]],Tabla3[Medida],Tabla3[Equivalencia en Kg],"ELVIS",0)</f>
        <v>11.419821144187187</v>
      </c>
      <c r="M1633" s="2">
        <v>10868.026372878299</v>
      </c>
      <c r="N1633" s="2">
        <f>(Tabla2[[#This Row],[Productividad (kg/TAS)]]*Tabla2[[#This Row],[Precio por kg]]-Tabla2[[#This Row],[Costos (En RD$/Tarea)]])</f>
        <v>-223.36149962337549</v>
      </c>
      <c r="O1633" s="6">
        <f>IF(Tabla2[[#This Row],[Costos (En RD$/Tarea)]]=0,0,Tabla2[[#This Row],[Beneficio Neto  (En RD$/Tarea)]]/Tabla2[[#This Row],[Costos (En RD$/Tarea)]])</f>
        <v>-2.0552167611663626E-2</v>
      </c>
      <c r="P1633" s="4">
        <f>Tabla2[[#This Row],[Rentabilidad (%)]]/12</f>
        <v>-1.7126806343053021E-3</v>
      </c>
    </row>
    <row r="1634" spans="1:16" x14ac:dyDescent="0.35">
      <c r="A1634" s="1">
        <v>40664</v>
      </c>
      <c r="B1634" t="s">
        <v>16</v>
      </c>
      <c r="C1634" s="2">
        <v>558778</v>
      </c>
      <c r="D1634" s="5" t="s">
        <v>17</v>
      </c>
      <c r="E1634" s="2">
        <f>IF(Tabla2[[#This Row],[Frecuencia]]="Annual", Tabla2[[#This Row],[Cosecha/Tarea]]/12,Tabla2[[#This Row],[Cosecha/Tarea]])</f>
        <v>558778</v>
      </c>
      <c r="F1634" s="2">
        <v>2551300</v>
      </c>
      <c r="G1634" t="s">
        <v>18</v>
      </c>
      <c r="H1634">
        <f>F1634/Tabla2[[#This Row],[Cosecha Mensual]]</f>
        <v>4.5658562076531286</v>
      </c>
      <c r="I1634">
        <f>H1634*_xlfn.XLOOKUP(Tabla2[[#This Row],[Unidad de producción]],Tabla3[Medida],Tabla3[Equivalencia en Kg],"ELVIS",0)</f>
        <v>207.1072375791459</v>
      </c>
      <c r="J1634">
        <v>1777.0833333333301</v>
      </c>
      <c r="K1634" t="s">
        <v>19</v>
      </c>
      <c r="L1634">
        <f>J1634/_xlfn.XLOOKUP(Tabla2[[#This Row],[Unidad de precio]],Tabla3[Medida],Tabla3[Equivalencia en Kg],"ELVIS",0)</f>
        <v>16.155303030302999</v>
      </c>
      <c r="M1634">
        <v>7569</v>
      </c>
      <c r="N1634" s="2">
        <f>(Tabla2[[#This Row],[Productividad (kg/TAS)]]*Tabla2[[#This Row],[Precio por kg]]-Tabla2[[#This Row],[Costos (En RD$/Tarea)]])</f>
        <v>-4223.119817139941</v>
      </c>
      <c r="O1634" s="6">
        <f>IF(Tabla2[[#This Row],[Costos (En RD$/Tarea)]]=0,0,Tabla2[[#This Row],[Beneficio Neto  (En RD$/Tarea)]]/Tabla2[[#This Row],[Costos (En RD$/Tarea)]])</f>
        <v>-0.55794950682255795</v>
      </c>
      <c r="P1634" s="4">
        <f>Tabla2[[#This Row],[Rentabilidad (%)]]/12</f>
        <v>-4.6495792235213163E-2</v>
      </c>
    </row>
    <row r="1635" spans="1:16" x14ac:dyDescent="0.35">
      <c r="A1635" s="1">
        <v>40664</v>
      </c>
      <c r="B1635" t="s">
        <v>20</v>
      </c>
      <c r="C1635" s="2">
        <v>26300</v>
      </c>
      <c r="D1635" s="5" t="s">
        <v>17</v>
      </c>
      <c r="E1635" s="2">
        <f>IF(Tabla2[[#This Row],[Frecuencia]]="Annual", Tabla2[[#This Row],[Cosecha/Tarea]]/12,Tabla2[[#This Row],[Cosecha/Tarea]])</f>
        <v>26300</v>
      </c>
      <c r="F1635" s="2">
        <v>72300</v>
      </c>
      <c r="G1635" t="s">
        <v>18</v>
      </c>
      <c r="H1635">
        <f>F1635/Tabla2[[#This Row],[Cosecha Mensual]]</f>
        <v>2.7490494296577945</v>
      </c>
      <c r="I1635">
        <f>H1635*_xlfn.XLOOKUP(Tabla2[[#This Row],[Unidad de producción]],Tabla3[Medida],Tabla3[Equivalencia en Kg],"ELVIS",0)</f>
        <v>124.69688212927755</v>
      </c>
      <c r="J1635">
        <v>702.68111111111102</v>
      </c>
      <c r="K1635" t="s">
        <v>18</v>
      </c>
      <c r="L1635">
        <f>J1635/_xlfn.XLOOKUP(Tabla2[[#This Row],[Unidad de precio]],Tabla3[Medida],Tabla3[Equivalencia en Kg],"ELVIS",0)</f>
        <v>15.491206153243189</v>
      </c>
      <c r="M1635">
        <v>2249.6320342847998</v>
      </c>
      <c r="N1635" s="2">
        <f>(Tabla2[[#This Row],[Productividad (kg/TAS)]]*Tabla2[[#This Row],[Precio por kg]]-Tabla2[[#This Row],[Costos (En RD$/Tarea)]])</f>
        <v>-317.9269265534947</v>
      </c>
      <c r="O1635" s="6">
        <f>IF(Tabla2[[#This Row],[Costos (En RD$/Tarea)]]=0,0,Tabla2[[#This Row],[Beneficio Neto  (En RD$/Tarea)]]/Tabla2[[#This Row],[Costos (En RD$/Tarea)]])</f>
        <v>-0.14132396841271405</v>
      </c>
      <c r="P1635" s="4">
        <f>Tabla2[[#This Row],[Rentabilidad (%)]]/12</f>
        <v>-1.1776997367726172E-2</v>
      </c>
    </row>
    <row r="1636" spans="1:16" x14ac:dyDescent="0.35">
      <c r="A1636" s="1">
        <v>40664</v>
      </c>
      <c r="B1636" t="s">
        <v>21</v>
      </c>
      <c r="C1636" s="2">
        <v>8124</v>
      </c>
      <c r="D1636" s="5" t="s">
        <v>17</v>
      </c>
      <c r="E1636" s="2">
        <f>IF(Tabla2[[#This Row],[Frecuencia]]="Annual", Tabla2[[#This Row],[Cosecha/Tarea]]/12,Tabla2[[#This Row],[Cosecha/Tarea]])</f>
        <v>8124</v>
      </c>
      <c r="F1636" s="2">
        <v>93214</v>
      </c>
      <c r="G1636" t="s">
        <v>18</v>
      </c>
      <c r="H1636">
        <f>F1636/Tabla2[[#This Row],[Cosecha Mensual]]</f>
        <v>11.473904480551452</v>
      </c>
      <c r="I1636">
        <f>H1636*_xlfn.XLOOKUP(Tabla2[[#This Row],[Unidad de producción]],Tabla3[Medida],Tabla3[Equivalencia en Kg],"ELVIS",0)</f>
        <v>520.4563072378138</v>
      </c>
      <c r="J1636">
        <v>396.41915999999998</v>
      </c>
      <c r="K1636" t="s">
        <v>18</v>
      </c>
      <c r="L1636">
        <f>J1636/_xlfn.XLOOKUP(Tabla2[[#This Row],[Unidad de precio]],Tabla3[Medida],Tabla3[Equivalencia en Kg],"ELVIS",0)</f>
        <v>8.7393994708994711</v>
      </c>
      <c r="M1636">
        <v>4921.4416007500004</v>
      </c>
      <c r="N1636" s="2">
        <f>(Tabla2[[#This Row],[Productividad (kg/TAS)]]*Tabla2[[#This Row],[Precio por kg]]-Tabla2[[#This Row],[Costos (En RD$/Tarea)]])</f>
        <v>-372.96602464955777</v>
      </c>
      <c r="O1636" s="6">
        <f>IF(Tabla2[[#This Row],[Costos (En RD$/Tarea)]]=0,0,Tabla2[[#This Row],[Beneficio Neto  (En RD$/Tarea)]]/Tabla2[[#This Row],[Costos (En RD$/Tarea)]])</f>
        <v>-7.5783897261469044E-2</v>
      </c>
      <c r="P1636" s="4">
        <f>Tabla2[[#This Row],[Rentabilidad (%)]]/12</f>
        <v>-6.3153247717890873E-3</v>
      </c>
    </row>
    <row r="1637" spans="1:16" x14ac:dyDescent="0.35">
      <c r="A1637" s="1">
        <v>40664</v>
      </c>
      <c r="B1637" t="s">
        <v>22</v>
      </c>
      <c r="C1637" s="2">
        <v>6612</v>
      </c>
      <c r="D1637" s="5" t="s">
        <v>17</v>
      </c>
      <c r="E1637" s="2">
        <f>IF(Tabla2[[#This Row],[Frecuencia]]="Annual", Tabla2[[#This Row],[Cosecha/Tarea]]/12,Tabla2[[#This Row],[Cosecha/Tarea]])</f>
        <v>6612</v>
      </c>
      <c r="F1637" s="2">
        <v>65625</v>
      </c>
      <c r="G1637" t="s">
        <v>18</v>
      </c>
      <c r="H1637">
        <f>F1637/Tabla2[[#This Row],[Cosecha Mensual]]</f>
        <v>9.9251361161524496</v>
      </c>
      <c r="I1637">
        <f>H1637*_xlfn.XLOOKUP(Tabla2[[#This Row],[Unidad de producción]],Tabla3[Medida],Tabla3[Equivalencia en Kg],"ELVIS",0)</f>
        <v>450.20417422867513</v>
      </c>
      <c r="J1637">
        <v>1118.8599999999999</v>
      </c>
      <c r="K1637" t="s">
        <v>18</v>
      </c>
      <c r="L1637">
        <f>J1637/_xlfn.XLOOKUP(Tabla2[[#This Row],[Unidad de precio]],Tabla3[Medida],Tabla3[Equivalencia en Kg],"ELVIS",0)</f>
        <v>24.666225749559082</v>
      </c>
      <c r="M1637">
        <v>8263.3527360768003</v>
      </c>
      <c r="N1637" s="2">
        <f>(Tabla2[[#This Row],[Productividad (kg/TAS)]]*Tabla2[[#This Row],[Precio por kg]]-Tabla2[[#This Row],[Costos (En RD$/Tarea)]])</f>
        <v>2841.4850588415302</v>
      </c>
      <c r="O1637" s="6">
        <f>IF(Tabla2[[#This Row],[Costos (En RD$/Tarea)]]=0,0,Tabla2[[#This Row],[Beneficio Neto  (En RD$/Tarea)]]/Tabla2[[#This Row],[Costos (En RD$/Tarea)]])</f>
        <v>0.34386587981848449</v>
      </c>
      <c r="P1637" s="4">
        <f>Tabla2[[#This Row],[Rentabilidad (%)]]/12</f>
        <v>2.8655489984873706E-2</v>
      </c>
    </row>
    <row r="1638" spans="1:16" x14ac:dyDescent="0.35">
      <c r="A1638" s="1">
        <v>40664</v>
      </c>
      <c r="B1638" t="s">
        <v>23</v>
      </c>
      <c r="C1638" s="2">
        <v>3257</v>
      </c>
      <c r="D1638" s="5" t="s">
        <v>17</v>
      </c>
      <c r="E1638" s="2">
        <f>IF(Tabla2[[#This Row],[Frecuencia]]="Annual", Tabla2[[#This Row],[Cosecha/Tarea]]/12,Tabla2[[#This Row],[Cosecha/Tarea]])</f>
        <v>3257</v>
      </c>
      <c r="F1638" s="2">
        <v>92925</v>
      </c>
      <c r="G1638" t="s">
        <v>18</v>
      </c>
      <c r="H1638">
        <f>F1638/Tabla2[[#This Row],[Cosecha Mensual]]</f>
        <v>28.530856616518268</v>
      </c>
      <c r="I1638">
        <f>H1638*_xlfn.XLOOKUP(Tabla2[[#This Row],[Unidad de producción]],Tabla3[Medida],Tabla3[Equivalencia en Kg],"ELVIS",0)</f>
        <v>1294.1596561252686</v>
      </c>
      <c r="J1638">
        <v>735.3</v>
      </c>
      <c r="K1638" t="s">
        <v>18</v>
      </c>
      <c r="L1638">
        <f>J1638/_xlfn.XLOOKUP(Tabla2[[#This Row],[Unidad de precio]],Tabla3[Medida],Tabla3[Equivalencia en Kg],"ELVIS",0)</f>
        <v>16.210317460317459</v>
      </c>
      <c r="M1638">
        <v>22831.198995686002</v>
      </c>
      <c r="N1638" s="2">
        <f>(Tabla2[[#This Row],[Productividad (kg/TAS)]]*Tabla2[[#This Row],[Precio por kg]]-Tabla2[[#This Row],[Costos (En RD$/Tarea)]])</f>
        <v>-1852.4601255601228</v>
      </c>
      <c r="O1638" s="6">
        <f>IF(Tabla2[[#This Row],[Costos (En RD$/Tarea)]]=0,0,Tabla2[[#This Row],[Beneficio Neto  (En RD$/Tarea)]]/Tabla2[[#This Row],[Costos (En RD$/Tarea)]])</f>
        <v>-8.1137224808480221E-2</v>
      </c>
      <c r="P1638" s="4">
        <f>Tabla2[[#This Row],[Rentabilidad (%)]]/12</f>
        <v>-6.7614354007066854E-3</v>
      </c>
    </row>
    <row r="1639" spans="1:16" x14ac:dyDescent="0.35">
      <c r="A1639" s="1">
        <v>40664</v>
      </c>
      <c r="B1639" t="s">
        <v>24</v>
      </c>
      <c r="C1639" s="2">
        <v>6532</v>
      </c>
      <c r="D1639" s="5" t="s">
        <v>17</v>
      </c>
      <c r="E1639" s="2">
        <f>IF(Tabla2[[#This Row],[Frecuencia]]="Annual", Tabla2[[#This Row],[Cosecha/Tarea]]/12,Tabla2[[#This Row],[Cosecha/Tarea]])</f>
        <v>6532</v>
      </c>
      <c r="F1639" s="2">
        <v>107911</v>
      </c>
      <c r="G1639" t="s">
        <v>18</v>
      </c>
      <c r="H1639">
        <f>F1639/Tabla2[[#This Row],[Cosecha Mensual]]</f>
        <v>16.520361298224127</v>
      </c>
      <c r="I1639">
        <f>H1639*_xlfn.XLOOKUP(Tabla2[[#This Row],[Unidad de producción]],Tabla3[Medida],Tabla3[Equivalencia en Kg],"ELVIS",0)</f>
        <v>749.36358848744646</v>
      </c>
      <c r="J1639">
        <v>1120.3005000000001</v>
      </c>
      <c r="K1639" t="s">
        <v>18</v>
      </c>
      <c r="L1639">
        <f>J1639/_xlfn.XLOOKUP(Tabla2[[#This Row],[Unidad de precio]],Tabla3[Medida],Tabla3[Equivalencia en Kg],"ELVIS",0)</f>
        <v>24.697982804232804</v>
      </c>
      <c r="M1639">
        <v>6908.3833517736002</v>
      </c>
      <c r="N1639" s="2">
        <f>(Tabla2[[#This Row],[Productividad (kg/TAS)]]*Tabla2[[#This Row],[Precio por kg]]-Tabla2[[#This Row],[Costos (En RD$/Tarea)]])</f>
        <v>11599.385670807542</v>
      </c>
      <c r="O1639" s="6">
        <f>IF(Tabla2[[#This Row],[Costos (En RD$/Tarea)]]=0,0,Tabla2[[#This Row],[Beneficio Neto  (En RD$/Tarea)]]/Tabla2[[#This Row],[Costos (En RD$/Tarea)]])</f>
        <v>1.6790304012051696</v>
      </c>
      <c r="P1639" s="4">
        <f>Tabla2[[#This Row],[Rentabilidad (%)]]/12</f>
        <v>0.1399192001004308</v>
      </c>
    </row>
    <row r="1640" spans="1:16" x14ac:dyDescent="0.35">
      <c r="A1640" s="1">
        <v>40664</v>
      </c>
      <c r="B1640" t="s">
        <v>25</v>
      </c>
      <c r="C1640" s="2">
        <v>27488</v>
      </c>
      <c r="D1640" s="5" t="s">
        <v>17</v>
      </c>
      <c r="E1640" s="2">
        <f>IF(Tabla2[[#This Row],[Frecuencia]]="Annual", Tabla2[[#This Row],[Cosecha/Tarea]]/12,Tabla2[[#This Row],[Cosecha/Tarea]])</f>
        <v>27488</v>
      </c>
      <c r="F1640" s="2">
        <v>495222</v>
      </c>
      <c r="G1640" t="s">
        <v>18</v>
      </c>
      <c r="H1640">
        <f>F1640/Tabla2[[#This Row],[Cosecha Mensual]]</f>
        <v>18.015934225844006</v>
      </c>
      <c r="I1640">
        <f>H1640*_xlfn.XLOOKUP(Tabla2[[#This Row],[Unidad de producción]],Tabla3[Medida],Tabla3[Equivalencia en Kg],"ELVIS",0)</f>
        <v>817.20277648428407</v>
      </c>
      <c r="J1640">
        <v>793.6123</v>
      </c>
      <c r="K1640" t="s">
        <v>18</v>
      </c>
      <c r="L1640">
        <f>J1640/_xlfn.XLOOKUP(Tabla2[[#This Row],[Unidad de precio]],Tabla3[Medida],Tabla3[Equivalencia en Kg],"ELVIS",0)</f>
        <v>17.495861992945326</v>
      </c>
      <c r="M1640">
        <v>4283.9889411321201</v>
      </c>
      <c r="N1640" s="2">
        <f>(Tabla2[[#This Row],[Productividad (kg/TAS)]]*Tabla2[[#This Row],[Precio por kg]]-Tabla2[[#This Row],[Costos (En RD$/Tarea)]])</f>
        <v>10013.678056488659</v>
      </c>
      <c r="O1640" s="6">
        <f>IF(Tabla2[[#This Row],[Costos (En RD$/Tarea)]]=0,0,Tabla2[[#This Row],[Beneficio Neto  (En RD$/Tarea)]]/Tabla2[[#This Row],[Costos (En RD$/Tarea)]])</f>
        <v>2.3374658978093366</v>
      </c>
      <c r="P1640" s="4">
        <f>Tabla2[[#This Row],[Rentabilidad (%)]]/12</f>
        <v>0.19478882481744472</v>
      </c>
    </row>
    <row r="1641" spans="1:16" x14ac:dyDescent="0.35">
      <c r="A1641" s="1">
        <v>40664</v>
      </c>
      <c r="B1641" t="s">
        <v>26</v>
      </c>
      <c r="C1641" s="2">
        <v>12615</v>
      </c>
      <c r="D1641" s="5" t="s">
        <v>17</v>
      </c>
      <c r="E1641" s="2">
        <f>IF(Tabla2[[#This Row],[Frecuencia]]="Annual", Tabla2[[#This Row],[Cosecha/Tarea]]/12,Tabla2[[#This Row],[Cosecha/Tarea]])</f>
        <v>12615</v>
      </c>
      <c r="F1641" s="2">
        <v>76625</v>
      </c>
      <c r="G1641" t="s">
        <v>18</v>
      </c>
      <c r="H1641">
        <f>F1641/Tabla2[[#This Row],[Cosecha Mensual]]</f>
        <v>6.0741181133571143</v>
      </c>
      <c r="I1641">
        <f>H1641*_xlfn.XLOOKUP(Tabla2[[#This Row],[Unidad de producción]],Tabla3[Medida],Tabla3[Equivalencia en Kg],"ELVIS",0)</f>
        <v>275.52199762187871</v>
      </c>
      <c r="J1641">
        <v>760.76333333333298</v>
      </c>
      <c r="K1641" t="s">
        <v>18</v>
      </c>
      <c r="L1641">
        <f>J1641/_xlfn.XLOOKUP(Tabla2[[#This Row],[Unidad de precio]],Tabla3[Medida],Tabla3[Equivalencia en Kg],"ELVIS",0)</f>
        <v>16.771678424456194</v>
      </c>
      <c r="M1641">
        <v>2009.79</v>
      </c>
      <c r="N1641" s="2">
        <f>(Tabla2[[#This Row],[Productividad (kg/TAS)]]*Tabla2[[#This Row],[Precio por kg]]-Tabla2[[#This Row],[Costos (En RD$/Tarea)]])</f>
        <v>2611.1763429779339</v>
      </c>
      <c r="O1641" s="6">
        <f>IF(Tabla2[[#This Row],[Costos (En RD$/Tarea)]]=0,0,Tabla2[[#This Row],[Beneficio Neto  (En RD$/Tarea)]]/Tabla2[[#This Row],[Costos (En RD$/Tarea)]])</f>
        <v>1.2992284482348573</v>
      </c>
      <c r="P1641" s="4">
        <f>Tabla2[[#This Row],[Rentabilidad (%)]]/12</f>
        <v>0.10826903735290477</v>
      </c>
    </row>
    <row r="1642" spans="1:16" x14ac:dyDescent="0.35">
      <c r="A1642" s="1">
        <v>40664</v>
      </c>
      <c r="B1642" t="s">
        <v>27</v>
      </c>
      <c r="C1642" s="2">
        <v>7084</v>
      </c>
      <c r="D1642" s="5" t="s">
        <v>17</v>
      </c>
      <c r="E1642" s="2">
        <f>IF(Tabla2[[#This Row],[Frecuencia]]="Annual", Tabla2[[#This Row],[Cosecha/Tarea]]/12,Tabla2[[#This Row],[Cosecha/Tarea]])</f>
        <v>7084</v>
      </c>
      <c r="F1642" s="2">
        <v>53400</v>
      </c>
      <c r="G1642" t="s">
        <v>18</v>
      </c>
      <c r="H1642">
        <f>F1642/Tabla2[[#This Row],[Cosecha Mensual]]</f>
        <v>7.5381140598531902</v>
      </c>
      <c r="I1642">
        <f>H1642*_xlfn.XLOOKUP(Tabla2[[#This Row],[Unidad de producción]],Tabla3[Medida],Tabla3[Equivalencia en Kg],"ELVIS",0)</f>
        <v>341.92885375494069</v>
      </c>
      <c r="J1642">
        <v>434.58388888888902</v>
      </c>
      <c r="K1642" t="s">
        <v>18</v>
      </c>
      <c r="L1642">
        <f>J1642/_xlfn.XLOOKUP(Tabla2[[#This Row],[Unidad de precio]],Tabla3[Medida],Tabla3[Equivalencia en Kg],"ELVIS",0)</f>
        <v>9.5807735645698635</v>
      </c>
      <c r="M1642">
        <v>6922.0219999999999</v>
      </c>
      <c r="N1642" s="2">
        <f>(Tabla2[[#This Row],[Productividad (kg/TAS)]]*Tabla2[[#This Row],[Precio por kg]]-Tabla2[[#This Row],[Costos (En RD$/Tarea)]])</f>
        <v>-3646.0790769809892</v>
      </c>
      <c r="O1642" s="6">
        <f>IF(Tabla2[[#This Row],[Costos (En RD$/Tarea)]]=0,0,Tabla2[[#This Row],[Beneficio Neto  (En RD$/Tarea)]]/Tabla2[[#This Row],[Costos (En RD$/Tarea)]])</f>
        <v>-0.52673612955592874</v>
      </c>
      <c r="P1642" s="4">
        <f>Tabla2[[#This Row],[Rentabilidad (%)]]/12</f>
        <v>-4.389467746299406E-2</v>
      </c>
    </row>
    <row r="1643" spans="1:16" x14ac:dyDescent="0.35">
      <c r="A1643" s="1">
        <v>40664</v>
      </c>
      <c r="B1643" t="s">
        <v>28</v>
      </c>
      <c r="C1643" s="2">
        <v>625</v>
      </c>
      <c r="D1643" s="5" t="s">
        <v>17</v>
      </c>
      <c r="E1643" s="2">
        <f>IF(Tabla2[[#This Row],[Frecuencia]]="Annual", Tabla2[[#This Row],[Cosecha/Tarea]]/12,Tabla2[[#This Row],[Cosecha/Tarea]])</f>
        <v>625</v>
      </c>
      <c r="F1643" s="2">
        <v>1985</v>
      </c>
      <c r="G1643" t="s">
        <v>29</v>
      </c>
      <c r="H1643">
        <f>F1643/Tabla2[[#This Row],[Cosecha Mensual]]</f>
        <v>3.1760000000000002</v>
      </c>
      <c r="I1643">
        <f>H1643*_xlfn.XLOOKUP(Tabla2[[#This Row],[Unidad de producción]],Tabla3[Medida],Tabla3[Equivalencia en Kg],"ELVIS",0)</f>
        <v>1785.9918400000001</v>
      </c>
      <c r="J1643">
        <v>8750</v>
      </c>
      <c r="K1643" t="s">
        <v>29</v>
      </c>
      <c r="L1643">
        <f>J1643/_xlfn.XLOOKUP(Tabla2[[#This Row],[Unidad de precio]],Tabla3[Medida],Tabla3[Equivalencia en Kg],"ELVIS",0)</f>
        <v>15.559981505850551</v>
      </c>
      <c r="M1643">
        <v>6816.0513247333301</v>
      </c>
      <c r="N1643" s="2">
        <f>(Tabla2[[#This Row],[Productividad (kg/TAS)]]*Tabla2[[#This Row],[Precio por kg]]-Tabla2[[#This Row],[Costos (En RD$/Tarea)]])</f>
        <v>20973.948675266671</v>
      </c>
      <c r="O1643" s="6">
        <f>IF(Tabla2[[#This Row],[Costos (En RD$/Tarea)]]=0,0,Tabla2[[#This Row],[Beneficio Neto  (En RD$/Tarea)]]/Tabla2[[#This Row],[Costos (En RD$/Tarea)]])</f>
        <v>3.0771406604816391</v>
      </c>
      <c r="P1643" s="4">
        <f>Tabla2[[#This Row],[Rentabilidad (%)]]/12</f>
        <v>0.25642838837346993</v>
      </c>
    </row>
    <row r="1644" spans="1:16" x14ac:dyDescent="0.35">
      <c r="A1644" s="1">
        <v>40664</v>
      </c>
      <c r="B1644" t="s">
        <v>30</v>
      </c>
      <c r="C1644" s="2">
        <v>346796</v>
      </c>
      <c r="D1644" s="2" t="s">
        <v>31</v>
      </c>
      <c r="E1644" s="2">
        <f>IF(Tabla2[[#This Row],[Frecuencia]]="Annual", Tabla2[[#This Row],[Cosecha/Tarea]]/12,Tabla2[[#This Row],[Cosecha/Tarea]])</f>
        <v>28899.666666666668</v>
      </c>
      <c r="F1644" s="2">
        <v>3113862</v>
      </c>
      <c r="G1644" t="s">
        <v>32</v>
      </c>
      <c r="H1644">
        <f>F1644/Tabla2[[#This Row],[Cosecha Mensual]]</f>
        <v>107.74733272586765</v>
      </c>
      <c r="I1644">
        <f>H1644*_xlfn.XLOOKUP(Tabla2[[#This Row],[Unidad de producción]],Tabla3[Medida],Tabla3[Equivalencia en Kg],"ELVIS",0)</f>
        <v>2931.8049234708587</v>
      </c>
      <c r="J1644">
        <v>114.24</v>
      </c>
      <c r="K1644" t="s">
        <v>32</v>
      </c>
      <c r="L1644">
        <f>J1644/_xlfn.XLOOKUP(Tabla2[[#This Row],[Unidad de precio]],Tabla3[Medida],Tabla3[Equivalencia en Kg],"ELVIS",0)</f>
        <v>4.1984564498346195</v>
      </c>
      <c r="M1644" s="2">
        <v>11259.713084354</v>
      </c>
      <c r="N1644" s="2">
        <f>(Tabla2[[#This Row],[Productividad (kg/TAS)]]*Tabla2[[#This Row],[Precio por kg]]-Tabla2[[#This Row],[Costos (En RD$/Tarea)]])</f>
        <v>1049.3422062491209</v>
      </c>
      <c r="O1644" s="6">
        <f>IF(Tabla2[[#This Row],[Costos (En RD$/Tarea)]]=0,0,Tabla2[[#This Row],[Beneficio Neto  (En RD$/Tarea)]]/Tabla2[[#This Row],[Costos (En RD$/Tarea)]])</f>
        <v>9.3194400104851735E-2</v>
      </c>
      <c r="P1644" s="4">
        <f>Tabla2[[#This Row],[Rentabilidad (%)]]/12</f>
        <v>7.7662000087376443E-3</v>
      </c>
    </row>
    <row r="1645" spans="1:16" x14ac:dyDescent="0.35">
      <c r="A1645" s="1">
        <v>40664</v>
      </c>
      <c r="B1645" t="s">
        <v>33</v>
      </c>
      <c r="C1645" s="2">
        <v>698357</v>
      </c>
      <c r="D1645" s="2" t="s">
        <v>31</v>
      </c>
      <c r="E1645" s="2">
        <f>IF(Tabla2[[#This Row],[Frecuencia]]="Annual", Tabla2[[#This Row],[Cosecha/Tarea]]/12,Tabla2[[#This Row],[Cosecha/Tarea]])</f>
        <v>58196.416666666664</v>
      </c>
      <c r="F1645" s="2">
        <v>141034</v>
      </c>
      <c r="G1645" t="s">
        <v>34</v>
      </c>
      <c r="H1645">
        <f>F1645/Tabla2[[#This Row],[Cosecha Mensual]]</f>
        <v>2.4234138127061087</v>
      </c>
      <c r="I1645">
        <f>H1645*_xlfn.XLOOKUP(Tabla2[[#This Row],[Unidad de producción]],Tabla3[Medida],Tabla3[Equivalencia en Kg],"ELVIS",0)</f>
        <v>989.1163476559982</v>
      </c>
      <c r="J1645">
        <v>4242.625</v>
      </c>
      <c r="K1645" t="s">
        <v>34</v>
      </c>
      <c r="L1645">
        <f>J1645/_xlfn.XLOOKUP(Tabla2[[#This Row],[Unidad de precio]],Tabla3[Medida],Tabla3[Equivalencia en Kg],"ELVIS",0)</f>
        <v>10.3947690799951</v>
      </c>
      <c r="M1645" s="2">
        <v>10868.026372878299</v>
      </c>
      <c r="N1645" s="2">
        <f>(Tabla2[[#This Row],[Productividad (kg/TAS)]]*Tabla2[[#This Row],[Precio por kg]]-Tabla2[[#This Row],[Costos (En RD$/Tarea)]])</f>
        <v>-586.39034574604557</v>
      </c>
      <c r="O1645" s="6">
        <f>IF(Tabla2[[#This Row],[Costos (En RD$/Tarea)]]=0,0,Tabla2[[#This Row],[Beneficio Neto  (En RD$/Tarea)]]/Tabla2[[#This Row],[Costos (En RD$/Tarea)]])</f>
        <v>-5.395555049529617E-2</v>
      </c>
      <c r="P1645" s="4">
        <f>Tabla2[[#This Row],[Rentabilidad (%)]]/12</f>
        <v>-4.4962958746080145E-3</v>
      </c>
    </row>
    <row r="1646" spans="1:16" x14ac:dyDescent="0.35">
      <c r="A1646" s="1">
        <v>40695</v>
      </c>
      <c r="B1646" t="s">
        <v>16</v>
      </c>
      <c r="C1646" s="2">
        <v>341452</v>
      </c>
      <c r="D1646" s="5" t="s">
        <v>17</v>
      </c>
      <c r="E1646" s="2">
        <f>IF(Tabla2[[#This Row],[Frecuencia]]="Annual", Tabla2[[#This Row],[Cosecha/Tarea]]/12,Tabla2[[#This Row],[Cosecha/Tarea]])</f>
        <v>341452</v>
      </c>
      <c r="F1646" s="2">
        <v>1767242</v>
      </c>
      <c r="G1646" t="s">
        <v>18</v>
      </c>
      <c r="H1646">
        <f>F1646/Tabla2[[#This Row],[Cosecha Mensual]]</f>
        <v>5.1756674437402621</v>
      </c>
      <c r="I1646">
        <f>H1646*_xlfn.XLOOKUP(Tabla2[[#This Row],[Unidad de producción]],Tabla3[Medida],Tabla3[Equivalencia en Kg],"ELVIS",0)</f>
        <v>234.76827524805827</v>
      </c>
      <c r="J1646">
        <v>1851.4575</v>
      </c>
      <c r="K1646" t="s">
        <v>19</v>
      </c>
      <c r="L1646">
        <f>J1646/_xlfn.XLOOKUP(Tabla2[[#This Row],[Unidad de precio]],Tabla3[Medida],Tabla3[Equivalencia en Kg],"ELVIS",0)</f>
        <v>16.831431818181819</v>
      </c>
      <c r="M1646">
        <v>7569</v>
      </c>
      <c r="N1646" s="2">
        <f>(Tabla2[[#This Row],[Productividad (kg/TAS)]]*Tabla2[[#This Row],[Precio por kg]]-Tabla2[[#This Row],[Costos (En RD$/Tarea)]])</f>
        <v>-3617.5137820901646</v>
      </c>
      <c r="O1646" s="6">
        <f>IF(Tabla2[[#This Row],[Costos (En RD$/Tarea)]]=0,0,Tabla2[[#This Row],[Beneficio Neto  (En RD$/Tarea)]]/Tabla2[[#This Row],[Costos (En RD$/Tarea)]])</f>
        <v>-0.47793814005683244</v>
      </c>
      <c r="P1646" s="4">
        <f>Tabla2[[#This Row],[Rentabilidad (%)]]/12</f>
        <v>-3.982817833806937E-2</v>
      </c>
    </row>
    <row r="1647" spans="1:16" x14ac:dyDescent="0.35">
      <c r="A1647" s="1">
        <v>40695</v>
      </c>
      <c r="B1647" t="s">
        <v>20</v>
      </c>
      <c r="C1647" s="2">
        <v>12087</v>
      </c>
      <c r="D1647" s="5" t="s">
        <v>17</v>
      </c>
      <c r="E1647" s="2">
        <f>IF(Tabla2[[#This Row],[Frecuencia]]="Annual", Tabla2[[#This Row],[Cosecha/Tarea]]/12,Tabla2[[#This Row],[Cosecha/Tarea]])</f>
        <v>12087</v>
      </c>
      <c r="F1647" s="2">
        <v>40152</v>
      </c>
      <c r="G1647" t="s">
        <v>18</v>
      </c>
      <c r="H1647">
        <f>F1647/Tabla2[[#This Row],[Cosecha Mensual]]</f>
        <v>3.3219161082154383</v>
      </c>
      <c r="I1647">
        <f>H1647*_xlfn.XLOOKUP(Tabla2[[#This Row],[Unidad de producción]],Tabla3[Medida],Tabla3[Equivalencia en Kg],"ELVIS",0)</f>
        <v>150.68211466865228</v>
      </c>
      <c r="J1647">
        <v>640.03946666666695</v>
      </c>
      <c r="K1647" t="s">
        <v>18</v>
      </c>
      <c r="L1647">
        <f>J1647/_xlfn.XLOOKUP(Tabla2[[#This Row],[Unidad de precio]],Tabla3[Medida],Tabla3[Equivalencia en Kg],"ELVIS",0)</f>
        <v>14.110217519106415</v>
      </c>
      <c r="M1647">
        <v>2249.6320342847998</v>
      </c>
      <c r="N1647" s="2">
        <f>(Tabla2[[#This Row],[Productividad (kg/TAS)]]*Tabla2[[#This Row],[Precio por kg]]-Tabla2[[#This Row],[Costos (En RD$/Tarea)]])</f>
        <v>-123.47462007118065</v>
      </c>
      <c r="O1647" s="6">
        <f>IF(Tabla2[[#This Row],[Costos (En RD$/Tarea)]]=0,0,Tabla2[[#This Row],[Beneficio Neto  (En RD$/Tarea)]]/Tabla2[[#This Row],[Costos (En RD$/Tarea)]])</f>
        <v>-5.4886585090096987E-2</v>
      </c>
      <c r="P1647" s="4">
        <f>Tabla2[[#This Row],[Rentabilidad (%)]]/12</f>
        <v>-4.5738820908414156E-3</v>
      </c>
    </row>
    <row r="1648" spans="1:16" x14ac:dyDescent="0.35">
      <c r="A1648" s="1">
        <v>40695</v>
      </c>
      <c r="B1648" t="s">
        <v>21</v>
      </c>
      <c r="C1648" s="2">
        <v>8698</v>
      </c>
      <c r="D1648" s="5" t="s">
        <v>17</v>
      </c>
      <c r="E1648" s="2">
        <f>IF(Tabla2[[#This Row],[Frecuencia]]="Annual", Tabla2[[#This Row],[Cosecha/Tarea]]/12,Tabla2[[#This Row],[Cosecha/Tarea]])</f>
        <v>8698</v>
      </c>
      <c r="F1648" s="2">
        <v>98456</v>
      </c>
      <c r="G1648" t="s">
        <v>18</v>
      </c>
      <c r="H1648">
        <f>F1648/Tabla2[[#This Row],[Cosecha Mensual]]</f>
        <v>11.319383766383076</v>
      </c>
      <c r="I1648">
        <f>H1648*_xlfn.XLOOKUP(Tabla2[[#This Row],[Unidad de producción]],Tabla3[Medida],Tabla3[Equivalencia en Kg],"ELVIS",0)</f>
        <v>513.44724764313628</v>
      </c>
      <c r="J1648">
        <v>481.65</v>
      </c>
      <c r="K1648" t="s">
        <v>18</v>
      </c>
      <c r="L1648">
        <f>J1648/_xlfn.XLOOKUP(Tabla2[[#This Row],[Unidad de precio]],Tabla3[Medida],Tabla3[Equivalencia en Kg],"ELVIS",0)</f>
        <v>10.618386243386244</v>
      </c>
      <c r="M1648">
        <v>4921.4416007500004</v>
      </c>
      <c r="N1648" s="2">
        <f>(Tabla2[[#This Row],[Productividad (kg/TAS)]]*Tabla2[[#This Row],[Precio por kg]]-Tabla2[[#This Row],[Costos (En RD$/Tarea)]])</f>
        <v>530.53959032840794</v>
      </c>
      <c r="O1648" s="6">
        <f>IF(Tabla2[[#This Row],[Costos (En RD$/Tarea)]]=0,0,Tabla2[[#This Row],[Beneficio Neto  (En RD$/Tarea)]]/Tabla2[[#This Row],[Costos (En RD$/Tarea)]])</f>
        <v>0.10780166328653715</v>
      </c>
      <c r="P1648" s="4">
        <f>Tabla2[[#This Row],[Rentabilidad (%)]]/12</f>
        <v>8.9834719405447617E-3</v>
      </c>
    </row>
    <row r="1649" spans="1:16" x14ac:dyDescent="0.35">
      <c r="A1649" s="1">
        <v>40695</v>
      </c>
      <c r="B1649" t="s">
        <v>22</v>
      </c>
      <c r="C1649" s="2">
        <v>4698</v>
      </c>
      <c r="D1649" s="5" t="s">
        <v>17</v>
      </c>
      <c r="E1649" s="2">
        <f>IF(Tabla2[[#This Row],[Frecuencia]]="Annual", Tabla2[[#This Row],[Cosecha/Tarea]]/12,Tabla2[[#This Row],[Cosecha/Tarea]])</f>
        <v>4698</v>
      </c>
      <c r="F1649" s="2">
        <v>41025</v>
      </c>
      <c r="G1649" t="s">
        <v>18</v>
      </c>
      <c r="H1649">
        <f>F1649/Tabla2[[#This Row],[Cosecha Mensual]]</f>
        <v>8.7324393358876122</v>
      </c>
      <c r="I1649">
        <f>H1649*_xlfn.XLOOKUP(Tabla2[[#This Row],[Unidad de producción]],Tabla3[Medida],Tabla3[Equivalencia en Kg],"ELVIS",0)</f>
        <v>396.10344827586209</v>
      </c>
      <c r="J1649">
        <v>1119.875</v>
      </c>
      <c r="K1649" t="s">
        <v>18</v>
      </c>
      <c r="L1649">
        <f>J1649/_xlfn.XLOOKUP(Tabla2[[#This Row],[Unidad de precio]],Tabla3[Medida],Tabla3[Equivalencia en Kg],"ELVIS",0)</f>
        <v>24.688602292768959</v>
      </c>
      <c r="M1649">
        <v>8263.3527360768003</v>
      </c>
      <c r="N1649" s="2">
        <f>(Tabla2[[#This Row],[Productividad (kg/TAS)]]*Tabla2[[#This Row],[Precio por kg]]-Tabla2[[#This Row],[Costos (En RD$/Tarea)]])</f>
        <v>1515.8877652003393</v>
      </c>
      <c r="O1649" s="6">
        <f>IF(Tabla2[[#This Row],[Costos (En RD$/Tarea)]]=0,0,Tabla2[[#This Row],[Beneficio Neto  (En RD$/Tarea)]]/Tabla2[[#This Row],[Costos (En RD$/Tarea)]])</f>
        <v>0.1834470600029158</v>
      </c>
      <c r="P1649" s="4">
        <f>Tabla2[[#This Row],[Rentabilidad (%)]]/12</f>
        <v>1.5287255000242984E-2</v>
      </c>
    </row>
    <row r="1650" spans="1:16" x14ac:dyDescent="0.35">
      <c r="A1650" s="1">
        <v>40695</v>
      </c>
      <c r="B1650" t="s">
        <v>23</v>
      </c>
      <c r="C1650" s="2">
        <v>2878</v>
      </c>
      <c r="D1650" s="5" t="s">
        <v>17</v>
      </c>
      <c r="E1650" s="2">
        <f>IF(Tabla2[[#This Row],[Frecuencia]]="Annual", Tabla2[[#This Row],[Cosecha/Tarea]]/12,Tabla2[[#This Row],[Cosecha/Tarea]])</f>
        <v>2878</v>
      </c>
      <c r="F1650" s="2">
        <v>81025</v>
      </c>
      <c r="G1650" t="s">
        <v>18</v>
      </c>
      <c r="H1650">
        <f>F1650/Tabla2[[#This Row],[Cosecha Mensual]]</f>
        <v>28.153231410701878</v>
      </c>
      <c r="I1650">
        <f>H1650*_xlfn.XLOOKUP(Tabla2[[#This Row],[Unidad de producción]],Tabla3[Medida],Tabla3[Equivalencia en Kg],"ELVIS",0)</f>
        <v>1277.0305767894372</v>
      </c>
      <c r="J1650">
        <v>862.5</v>
      </c>
      <c r="K1650" t="s">
        <v>18</v>
      </c>
      <c r="L1650">
        <f>J1650/_xlfn.XLOOKUP(Tabla2[[#This Row],[Unidad de precio]],Tabla3[Medida],Tabla3[Equivalencia en Kg],"ELVIS",0)</f>
        <v>19.014550264550266</v>
      </c>
      <c r="M1650">
        <v>22831.198995686002</v>
      </c>
      <c r="N1650" s="2">
        <f>(Tabla2[[#This Row],[Productividad (kg/TAS)]]*Tabla2[[#This Row],[Precio por kg]]-Tabla2[[#This Row],[Costos (En RD$/Tarea)]])</f>
        <v>1450.9630960443719</v>
      </c>
      <c r="O1650" s="6">
        <f>IF(Tabla2[[#This Row],[Costos (En RD$/Tarea)]]=0,0,Tabla2[[#This Row],[Beneficio Neto  (En RD$/Tarea)]]/Tabla2[[#This Row],[Costos (En RD$/Tarea)]])</f>
        <v>6.3551769502711367E-2</v>
      </c>
      <c r="P1650" s="4">
        <f>Tabla2[[#This Row],[Rentabilidad (%)]]/12</f>
        <v>5.2959807918926136E-3</v>
      </c>
    </row>
    <row r="1651" spans="1:16" x14ac:dyDescent="0.35">
      <c r="A1651" s="1">
        <v>40695</v>
      </c>
      <c r="B1651" t="s">
        <v>24</v>
      </c>
      <c r="C1651" s="2">
        <v>7601</v>
      </c>
      <c r="D1651" s="5" t="s">
        <v>17</v>
      </c>
      <c r="E1651" s="2">
        <f>IF(Tabla2[[#This Row],[Frecuencia]]="Annual", Tabla2[[#This Row],[Cosecha/Tarea]]/12,Tabla2[[#This Row],[Cosecha/Tarea]])</f>
        <v>7601</v>
      </c>
      <c r="F1651" s="2">
        <v>61100</v>
      </c>
      <c r="G1651" t="s">
        <v>18</v>
      </c>
      <c r="H1651">
        <f>F1651/Tabla2[[#This Row],[Cosecha Mensual]]</f>
        <v>8.0384159978950134</v>
      </c>
      <c r="I1651">
        <f>H1651*_xlfn.XLOOKUP(Tabla2[[#This Row],[Unidad de producción]],Tabla3[Medida],Tabla3[Equivalencia en Kg],"ELVIS",0)</f>
        <v>364.62254966451781</v>
      </c>
      <c r="J1651">
        <v>1137.1875</v>
      </c>
      <c r="K1651" t="s">
        <v>18</v>
      </c>
      <c r="L1651">
        <f>J1651/_xlfn.XLOOKUP(Tabla2[[#This Row],[Unidad de precio]],Tabla3[Medida],Tabla3[Equivalencia en Kg],"ELVIS",0)</f>
        <v>25.070271164021165</v>
      </c>
      <c r="M1651">
        <v>6908.3833517736002</v>
      </c>
      <c r="N1651" s="2">
        <f>(Tabla2[[#This Row],[Productividad (kg/TAS)]]*Tabla2[[#This Row],[Precio por kg]]-Tabla2[[#This Row],[Costos (En RD$/Tarea)]])</f>
        <v>2232.8028408326354</v>
      </c>
      <c r="O1651" s="6">
        <f>IF(Tabla2[[#This Row],[Costos (En RD$/Tarea)]]=0,0,Tabla2[[#This Row],[Beneficio Neto  (En RD$/Tarea)]]/Tabla2[[#This Row],[Costos (En RD$/Tarea)]])</f>
        <v>0.32320193121005719</v>
      </c>
      <c r="P1651" s="4">
        <f>Tabla2[[#This Row],[Rentabilidad (%)]]/12</f>
        <v>2.6933494267504767E-2</v>
      </c>
    </row>
    <row r="1652" spans="1:16" x14ac:dyDescent="0.35">
      <c r="A1652" s="1">
        <v>40695</v>
      </c>
      <c r="B1652" t="s">
        <v>25</v>
      </c>
      <c r="C1652" s="2">
        <v>25398</v>
      </c>
      <c r="D1652" s="5" t="s">
        <v>17</v>
      </c>
      <c r="E1652" s="2">
        <f>IF(Tabla2[[#This Row],[Frecuencia]]="Annual", Tabla2[[#This Row],[Cosecha/Tarea]]/12,Tabla2[[#This Row],[Cosecha/Tarea]])</f>
        <v>25398</v>
      </c>
      <c r="F1652" s="2">
        <v>275300</v>
      </c>
      <c r="G1652" t="s">
        <v>18</v>
      </c>
      <c r="H1652">
        <f>F1652/Tabla2[[#This Row],[Cosecha Mensual]]</f>
        <v>10.839436176076857</v>
      </c>
      <c r="I1652">
        <f>H1652*_xlfn.XLOOKUP(Tabla2[[#This Row],[Unidad de producción]],Tabla3[Medida],Tabla3[Equivalencia en Kg],"ELVIS",0)</f>
        <v>491.67682494684624</v>
      </c>
      <c r="J1652">
        <v>493.96</v>
      </c>
      <c r="K1652" t="s">
        <v>18</v>
      </c>
      <c r="L1652">
        <f>J1652/_xlfn.XLOOKUP(Tabla2[[#This Row],[Unidad de precio]],Tabla3[Medida],Tabla3[Equivalencia en Kg],"ELVIS",0)</f>
        <v>10.889770723104055</v>
      </c>
      <c r="M1652">
        <v>4283.9889411321201</v>
      </c>
      <c r="N1652" s="2">
        <f>(Tabla2[[#This Row],[Productividad (kg/TAS)]]*Tabla2[[#This Row],[Precio por kg]]-Tabla2[[#This Row],[Costos (En RD$/Tarea)]])</f>
        <v>1070.2589524028035</v>
      </c>
      <c r="O1652" s="6">
        <f>IF(Tabla2[[#This Row],[Costos (En RD$/Tarea)]]=0,0,Tabla2[[#This Row],[Beneficio Neto  (En RD$/Tarea)]]/Tabla2[[#This Row],[Costos (En RD$/Tarea)]])</f>
        <v>0.24982766461576547</v>
      </c>
      <c r="P1652" s="4">
        <f>Tabla2[[#This Row],[Rentabilidad (%)]]/12</f>
        <v>2.0818972051313788E-2</v>
      </c>
    </row>
    <row r="1653" spans="1:16" x14ac:dyDescent="0.35">
      <c r="A1653" s="1">
        <v>40695</v>
      </c>
      <c r="B1653" t="s">
        <v>26</v>
      </c>
      <c r="C1653" s="2">
        <v>8950</v>
      </c>
      <c r="D1653" s="5" t="s">
        <v>17</v>
      </c>
      <c r="E1653" s="2">
        <f>IF(Tabla2[[#This Row],[Frecuencia]]="Annual", Tabla2[[#This Row],[Cosecha/Tarea]]/12,Tabla2[[#This Row],[Cosecha/Tarea]])</f>
        <v>8950</v>
      </c>
      <c r="F1653" s="2">
        <v>51200</v>
      </c>
      <c r="G1653" t="s">
        <v>18</v>
      </c>
      <c r="H1653">
        <f>F1653/Tabla2[[#This Row],[Cosecha Mensual]]</f>
        <v>5.7206703910614527</v>
      </c>
      <c r="I1653">
        <f>H1653*_xlfn.XLOOKUP(Tabla2[[#This Row],[Unidad de producción]],Tabla3[Medida],Tabla3[Equivalencia en Kg],"ELVIS",0)</f>
        <v>259.48960893854752</v>
      </c>
      <c r="J1653">
        <v>792.36166666666702</v>
      </c>
      <c r="K1653" t="s">
        <v>18</v>
      </c>
      <c r="L1653">
        <f>J1653/_xlfn.XLOOKUP(Tabla2[[#This Row],[Unidad de precio]],Tabla3[Medida],Tabla3[Equivalencia en Kg],"ELVIS",0)</f>
        <v>17.468290711346274</v>
      </c>
      <c r="M1653">
        <v>2009.79</v>
      </c>
      <c r="N1653" s="2">
        <f>(Tabla2[[#This Row],[Productividad (kg/TAS)]]*Tabla2[[#This Row],[Precio por kg]]-Tabla2[[#This Row],[Costos (En RD$/Tarea)]])</f>
        <v>2523.0499255121067</v>
      </c>
      <c r="O1653" s="6">
        <f>IF(Tabla2[[#This Row],[Costos (En RD$/Tarea)]]=0,0,Tabla2[[#This Row],[Beneficio Neto  (En RD$/Tarea)]]/Tabla2[[#This Row],[Costos (En RD$/Tarea)]])</f>
        <v>1.2553798782520098</v>
      </c>
      <c r="P1653" s="4">
        <f>Tabla2[[#This Row],[Rentabilidad (%)]]/12</f>
        <v>0.10461498985433415</v>
      </c>
    </row>
    <row r="1654" spans="1:16" x14ac:dyDescent="0.35">
      <c r="A1654" s="1">
        <v>40695</v>
      </c>
      <c r="B1654" t="s">
        <v>27</v>
      </c>
      <c r="C1654" s="2">
        <v>6239</v>
      </c>
      <c r="D1654" s="5" t="s">
        <v>17</v>
      </c>
      <c r="E1654" s="2">
        <f>IF(Tabla2[[#This Row],[Frecuencia]]="Annual", Tabla2[[#This Row],[Cosecha/Tarea]]/12,Tabla2[[#This Row],[Cosecha/Tarea]])</f>
        <v>6239</v>
      </c>
      <c r="F1654" s="2">
        <v>35200</v>
      </c>
      <c r="G1654" t="s">
        <v>18</v>
      </c>
      <c r="H1654">
        <f>F1654/Tabla2[[#This Row],[Cosecha Mensual]]</f>
        <v>5.6419297964417376</v>
      </c>
      <c r="I1654">
        <f>H1654*_xlfn.XLOOKUP(Tabla2[[#This Row],[Unidad de producción]],Tabla3[Medida],Tabla3[Equivalencia en Kg],"ELVIS",0)</f>
        <v>255.91793556659721</v>
      </c>
      <c r="J1654">
        <v>367.23194444444403</v>
      </c>
      <c r="K1654" t="s">
        <v>18</v>
      </c>
      <c r="L1654">
        <f>J1654/_xlfn.XLOOKUP(Tabla2[[#This Row],[Unidad de precio]],Tabla3[Medida],Tabla3[Equivalencia en Kg],"ELVIS",0)</f>
        <v>8.0959423378404765</v>
      </c>
      <c r="M1654">
        <v>6922.0219999999999</v>
      </c>
      <c r="N1654" s="2">
        <f>(Tabla2[[#This Row],[Productividad (kg/TAS)]]*Tabla2[[#This Row],[Precio por kg]]-Tabla2[[#This Row],[Costos (En RD$/Tarea)]])</f>
        <v>-4850.1251504336542</v>
      </c>
      <c r="O1654" s="6">
        <f>IF(Tabla2[[#This Row],[Costos (En RD$/Tarea)]]=0,0,Tabla2[[#This Row],[Beneficio Neto  (En RD$/Tarea)]]/Tabla2[[#This Row],[Costos (En RD$/Tarea)]])</f>
        <v>-0.70068040096284789</v>
      </c>
      <c r="P1654" s="4">
        <f>Tabla2[[#This Row],[Rentabilidad (%)]]/12</f>
        <v>-5.8390033413570658E-2</v>
      </c>
    </row>
    <row r="1655" spans="1:16" x14ac:dyDescent="0.35">
      <c r="A1655" s="1">
        <v>40695</v>
      </c>
      <c r="B1655" t="s">
        <v>28</v>
      </c>
      <c r="C1655" s="2">
        <v>925</v>
      </c>
      <c r="D1655" s="5" t="s">
        <v>17</v>
      </c>
      <c r="E1655" s="2">
        <f>IF(Tabla2[[#This Row],[Frecuencia]]="Annual", Tabla2[[#This Row],[Cosecha/Tarea]]/12,Tabla2[[#This Row],[Cosecha/Tarea]])</f>
        <v>925</v>
      </c>
      <c r="F1655" s="2">
        <v>1685</v>
      </c>
      <c r="G1655" t="s">
        <v>29</v>
      </c>
      <c r="H1655">
        <f>F1655/Tabla2[[#This Row],[Cosecha Mensual]]</f>
        <v>1.8216216216216217</v>
      </c>
      <c r="I1655">
        <f>H1655*_xlfn.XLOOKUP(Tabla2[[#This Row],[Unidad de producción]],Tabla3[Medida],Tabla3[Equivalencia en Kg],"ELVIS",0)</f>
        <v>1024.3707027027028</v>
      </c>
      <c r="J1655">
        <v>6750</v>
      </c>
      <c r="K1655" t="s">
        <v>29</v>
      </c>
      <c r="L1655">
        <f>J1655/_xlfn.XLOOKUP(Tabla2[[#This Row],[Unidad de precio]],Tabla3[Medida],Tabla3[Equivalencia en Kg],"ELVIS",0)</f>
        <v>12.003414304513283</v>
      </c>
      <c r="M1655">
        <v>6816.0513247333301</v>
      </c>
      <c r="N1655" s="2">
        <f>(Tabla2[[#This Row],[Productividad (kg/TAS)]]*Tabla2[[#This Row],[Precio por kg]]-Tabla2[[#This Row],[Costos (En RD$/Tarea)]])</f>
        <v>5479.8946212126166</v>
      </c>
      <c r="O1655" s="6">
        <f>IF(Tabla2[[#This Row],[Costos (En RD$/Tarea)]]=0,0,Tabla2[[#This Row],[Beneficio Neto  (En RD$/Tarea)]]/Tabla2[[#This Row],[Costos (En RD$/Tarea)]])</f>
        <v>0.80396909590862142</v>
      </c>
      <c r="P1655" s="4">
        <f>Tabla2[[#This Row],[Rentabilidad (%)]]/12</f>
        <v>6.6997424659051785E-2</v>
      </c>
    </row>
    <row r="1656" spans="1:16" x14ac:dyDescent="0.35">
      <c r="A1656" s="1">
        <v>40695</v>
      </c>
      <c r="B1656" t="s">
        <v>30</v>
      </c>
      <c r="C1656" s="2">
        <v>362489</v>
      </c>
      <c r="D1656" s="2" t="s">
        <v>31</v>
      </c>
      <c r="E1656" s="2">
        <f>IF(Tabla2[[#This Row],[Frecuencia]]="Annual", Tabla2[[#This Row],[Cosecha/Tarea]]/12,Tabla2[[#This Row],[Cosecha/Tarea]])</f>
        <v>30207.416666666668</v>
      </c>
      <c r="F1656" s="2">
        <v>3314002</v>
      </c>
      <c r="G1656" t="s">
        <v>32</v>
      </c>
      <c r="H1656">
        <f>F1656/Tabla2[[#This Row],[Cosecha Mensual]]</f>
        <v>109.70822287021123</v>
      </c>
      <c r="I1656">
        <f>H1656*_xlfn.XLOOKUP(Tabla2[[#This Row],[Unidad de producción]],Tabla3[Medida],Tabla3[Equivalencia en Kg],"ELVIS",0)</f>
        <v>2985.1607442984478</v>
      </c>
      <c r="J1656">
        <v>162.69388888888901</v>
      </c>
      <c r="K1656" t="s">
        <v>32</v>
      </c>
      <c r="L1656">
        <f>J1656/_xlfn.XLOOKUP(Tabla2[[#This Row],[Unidad de precio]],Tabla3[Medida],Tabla3[Equivalencia en Kg],"ELVIS",0)</f>
        <v>5.9791947404957373</v>
      </c>
      <c r="M1656" s="2">
        <v>11259.713084354</v>
      </c>
      <c r="N1656" s="2">
        <f>(Tabla2[[#This Row],[Productividad (kg/TAS)]]*Tabla2[[#This Row],[Precio por kg]]-Tabla2[[#This Row],[Costos (En RD$/Tarea)]])</f>
        <v>6589.1443374896189</v>
      </c>
      <c r="O1656" s="6">
        <f>IF(Tabla2[[#This Row],[Costos (En RD$/Tarea)]]=0,0,Tabla2[[#This Row],[Beneficio Neto  (En RD$/Tarea)]]/Tabla2[[#This Row],[Costos (En RD$/Tarea)]])</f>
        <v>0.58519646887322585</v>
      </c>
      <c r="P1656" s="4">
        <f>Tabla2[[#This Row],[Rentabilidad (%)]]/12</f>
        <v>4.8766372406102154E-2</v>
      </c>
    </row>
    <row r="1657" spans="1:16" x14ac:dyDescent="0.35">
      <c r="A1657" s="1">
        <v>40695</v>
      </c>
      <c r="B1657" t="s">
        <v>33</v>
      </c>
      <c r="C1657" s="2">
        <v>725877</v>
      </c>
      <c r="D1657" s="2" t="s">
        <v>31</v>
      </c>
      <c r="E1657" s="8">
        <f>IF(Tabla2[[#This Row],[Frecuencia]]="Annual", Tabla2[[#This Row],[Cosecha/Tarea]]/12,Tabla2[[#This Row],[Cosecha/Tarea]])</f>
        <v>60489.75</v>
      </c>
      <c r="F1657" s="2">
        <v>172800</v>
      </c>
      <c r="G1657" t="s">
        <v>34</v>
      </c>
      <c r="H1657">
        <f>F1657/Tabla2[[#This Row],[Cosecha Mensual]]</f>
        <v>2.8566823304774775</v>
      </c>
      <c r="I1657">
        <f>H1657*_xlfn.XLOOKUP(Tabla2[[#This Row],[Unidad de producción]],Tabla3[Medida],Tabla3[Equivalencia en Kg],"ELVIS",0)</f>
        <v>1165.9548931843824</v>
      </c>
      <c r="J1657">
        <v>4672.22166666667</v>
      </c>
      <c r="K1657" t="s">
        <v>34</v>
      </c>
      <c r="L1657">
        <f>J1657/_xlfn.XLOOKUP(Tabla2[[#This Row],[Unidad de precio]],Tabla3[Medida],Tabla3[Equivalencia en Kg],"ELVIS",0)</f>
        <v>11.447315121074777</v>
      </c>
      <c r="M1657" s="2">
        <v>10868.026372878299</v>
      </c>
      <c r="N1657" s="2">
        <f>(Tabla2[[#This Row],[Productividad (kg/TAS)]]*Tabla2[[#This Row],[Precio por kg]]-Tabla2[[#This Row],[Costos (En RD$/Tarea)]])</f>
        <v>2479.0267063624069</v>
      </c>
      <c r="O1657" s="6">
        <f>IF(Tabla2[[#This Row],[Costos (En RD$/Tarea)]]=0,0,Tabla2[[#This Row],[Beneficio Neto  (En RD$/Tarea)]]/Tabla2[[#This Row],[Costos (En RD$/Tarea)]])</f>
        <v>0.22810275033459079</v>
      </c>
      <c r="P1657" s="4">
        <f>Tabla2[[#This Row],[Rentabilidad (%)]]/12</f>
        <v>1.9008562527882567E-2</v>
      </c>
    </row>
    <row r="1658" spans="1:16" x14ac:dyDescent="0.35">
      <c r="A1658" s="1">
        <v>40725</v>
      </c>
      <c r="B1658" t="s">
        <v>16</v>
      </c>
      <c r="C1658" s="2">
        <v>231532</v>
      </c>
      <c r="D1658" s="5" t="s">
        <v>17</v>
      </c>
      <c r="E1658" s="2">
        <f>IF(Tabla2[[#This Row],[Frecuencia]]="Annual", Tabla2[[#This Row],[Cosecha/Tarea]]/12,Tabla2[[#This Row],[Cosecha/Tarea]])</f>
        <v>231532</v>
      </c>
      <c r="F1658" s="2">
        <v>1218316</v>
      </c>
      <c r="G1658" t="s">
        <v>18</v>
      </c>
      <c r="H1658">
        <f>F1658/Tabla2[[#This Row],[Cosecha Mensual]]</f>
        <v>5.2619767461949101</v>
      </c>
      <c r="I1658">
        <f>H1658*_xlfn.XLOOKUP(Tabla2[[#This Row],[Unidad de producción]],Tabla3[Medida],Tabla3[Equivalencia en Kg],"ELVIS",0)</f>
        <v>238.68326520740112</v>
      </c>
      <c r="J1658">
        <v>1592.52583333333</v>
      </c>
      <c r="K1658" t="s">
        <v>19</v>
      </c>
      <c r="L1658">
        <f>J1658/_xlfn.XLOOKUP(Tabla2[[#This Row],[Unidad de precio]],Tabla3[Medida],Tabla3[Equivalencia en Kg],"ELVIS",0)</f>
        <v>14.477507575757546</v>
      </c>
      <c r="M1658">
        <v>7569</v>
      </c>
      <c r="N1658" s="2">
        <f>(Tabla2[[#This Row],[Productividad (kg/TAS)]]*Tabla2[[#This Row],[Precio por kg]]-Tabla2[[#This Row],[Costos (En RD$/Tarea)]])</f>
        <v>-4113.4612197533024</v>
      </c>
      <c r="O1658" s="6">
        <f>IF(Tabla2[[#This Row],[Costos (En RD$/Tarea)]]=0,0,Tabla2[[#This Row],[Beneficio Neto  (En RD$/Tarea)]]/Tabla2[[#This Row],[Costos (En RD$/Tarea)]])</f>
        <v>-0.54346164879816383</v>
      </c>
      <c r="P1658" s="4">
        <f>Tabla2[[#This Row],[Rentabilidad (%)]]/12</f>
        <v>-4.5288470733180319E-2</v>
      </c>
    </row>
    <row r="1659" spans="1:16" x14ac:dyDescent="0.35">
      <c r="A1659" s="1">
        <v>40725</v>
      </c>
      <c r="B1659" t="s">
        <v>20</v>
      </c>
      <c r="C1659" s="2">
        <v>20944</v>
      </c>
      <c r="D1659" s="5" t="s">
        <v>17</v>
      </c>
      <c r="E1659" s="2">
        <f>IF(Tabla2[[#This Row],[Frecuencia]]="Annual", Tabla2[[#This Row],[Cosecha/Tarea]]/12,Tabla2[[#This Row],[Cosecha/Tarea]])</f>
        <v>20944</v>
      </c>
      <c r="F1659" s="2">
        <v>49628</v>
      </c>
      <c r="G1659" t="s">
        <v>18</v>
      </c>
      <c r="H1659">
        <f>F1659/Tabla2[[#This Row],[Cosecha Mensual]]</f>
        <v>2.3695569136745607</v>
      </c>
      <c r="I1659">
        <f>H1659*_xlfn.XLOOKUP(Tabla2[[#This Row],[Unidad de producción]],Tabla3[Medida],Tabla3[Equivalencia en Kg],"ELVIS",0)</f>
        <v>107.48310160427808</v>
      </c>
      <c r="J1659">
        <v>739.6</v>
      </c>
      <c r="K1659" t="s">
        <v>18</v>
      </c>
      <c r="L1659">
        <f>J1659/_xlfn.XLOOKUP(Tabla2[[#This Row],[Unidad de precio]],Tabla3[Medida],Tabla3[Equivalencia en Kg],"ELVIS",0)</f>
        <v>16.305114638447971</v>
      </c>
      <c r="M1659">
        <v>2249.6320342847998</v>
      </c>
      <c r="N1659" s="2">
        <f>(Tabla2[[#This Row],[Productividad (kg/TAS)]]*Tabla2[[#This Row],[Precio por kg]]-Tabla2[[#This Row],[Costos (En RD$/Tarea)]])</f>
        <v>-497.10774093109467</v>
      </c>
      <c r="O1659" s="6">
        <f>IF(Tabla2[[#This Row],[Costos (En RD$/Tarea)]]=0,0,Tabla2[[#This Row],[Beneficio Neto  (En RD$/Tarea)]]/Tabla2[[#This Row],[Costos (En RD$/Tarea)]])</f>
        <v>-0.22097291172737701</v>
      </c>
      <c r="P1659" s="4">
        <f>Tabla2[[#This Row],[Rentabilidad (%)]]/12</f>
        <v>-1.8414409310614752E-2</v>
      </c>
    </row>
    <row r="1660" spans="1:16" x14ac:dyDescent="0.35">
      <c r="A1660" s="1">
        <v>40725</v>
      </c>
      <c r="B1660" t="s">
        <v>21</v>
      </c>
      <c r="C1660" s="2">
        <v>4917</v>
      </c>
      <c r="D1660" s="5" t="s">
        <v>17</v>
      </c>
      <c r="E1660" s="2">
        <f>IF(Tabla2[[#This Row],[Frecuencia]]="Annual", Tabla2[[#This Row],[Cosecha/Tarea]]/12,Tabla2[[#This Row],[Cosecha/Tarea]])</f>
        <v>4917</v>
      </c>
      <c r="F1660" s="2">
        <v>51738</v>
      </c>
      <c r="G1660" t="s">
        <v>18</v>
      </c>
      <c r="H1660">
        <f>F1660/Tabla2[[#This Row],[Cosecha Mensual]]</f>
        <v>10.522269676632092</v>
      </c>
      <c r="I1660">
        <f>H1660*_xlfn.XLOOKUP(Tabla2[[#This Row],[Unidad de producción]],Tabla3[Medida],Tabla3[Equivalencia en Kg],"ELVIS",0)</f>
        <v>477.2901525320317</v>
      </c>
      <c r="J1660">
        <v>661.45749999999998</v>
      </c>
      <c r="K1660" t="s">
        <v>18</v>
      </c>
      <c r="L1660">
        <f>J1660/_xlfn.XLOOKUP(Tabla2[[#This Row],[Unidad de precio]],Tabla3[Medida],Tabla3[Equivalencia en Kg],"ELVIS",0)</f>
        <v>14.582396384479718</v>
      </c>
      <c r="M1660">
        <v>4921.4416007500004</v>
      </c>
      <c r="N1660" s="2">
        <f>(Tabla2[[#This Row],[Productividad (kg/TAS)]]*Tabla2[[#This Row],[Precio por kg]]-Tabla2[[#This Row],[Costos (En RD$/Tarea)]])</f>
        <v>2038.5925938808723</v>
      </c>
      <c r="O1660" s="6">
        <f>IF(Tabla2[[#This Row],[Costos (En RD$/Tarea)]]=0,0,Tabla2[[#This Row],[Beneficio Neto  (En RD$/Tarea)]]/Tabla2[[#This Row],[Costos (En RD$/Tarea)]])</f>
        <v>0.41422671632844371</v>
      </c>
      <c r="P1660" s="4">
        <f>Tabla2[[#This Row],[Rentabilidad (%)]]/12</f>
        <v>3.4518893027370309E-2</v>
      </c>
    </row>
    <row r="1661" spans="1:16" x14ac:dyDescent="0.35">
      <c r="A1661" s="1">
        <v>40725</v>
      </c>
      <c r="B1661" t="s">
        <v>22</v>
      </c>
      <c r="C1661" s="2">
        <v>2939</v>
      </c>
      <c r="D1661" s="5" t="s">
        <v>17</v>
      </c>
      <c r="E1661" s="2">
        <f>IF(Tabla2[[#This Row],[Frecuencia]]="Annual", Tabla2[[#This Row],[Cosecha/Tarea]]/12,Tabla2[[#This Row],[Cosecha/Tarea]])</f>
        <v>2939</v>
      </c>
      <c r="F1661" s="2">
        <v>25783</v>
      </c>
      <c r="G1661" t="s">
        <v>18</v>
      </c>
      <c r="H1661">
        <f>F1661/Tabla2[[#This Row],[Cosecha Mensual]]</f>
        <v>8.7727118067369858</v>
      </c>
      <c r="I1661">
        <f>H1661*_xlfn.XLOOKUP(Tabla2[[#This Row],[Unidad de producción]],Tabla3[Medida],Tabla3[Equivalencia en Kg],"ELVIS",0)</f>
        <v>397.9302075535897</v>
      </c>
      <c r="J1661">
        <v>1297.6666666666699</v>
      </c>
      <c r="K1661" t="s">
        <v>18</v>
      </c>
      <c r="L1661">
        <f>J1661/_xlfn.XLOOKUP(Tabla2[[#This Row],[Unidad de precio]],Tabla3[Medida],Tabla3[Equivalencia en Kg],"ELVIS",0)</f>
        <v>28.60817166372729</v>
      </c>
      <c r="M1661">
        <v>8263.3527360768003</v>
      </c>
      <c r="N1661" s="2">
        <f>(Tabla2[[#This Row],[Productividad (kg/TAS)]]*Tabla2[[#This Row],[Precio por kg]]-Tabla2[[#This Row],[Costos (En RD$/Tarea)]])</f>
        <v>3120.7029517989231</v>
      </c>
      <c r="O1661" s="6">
        <f>IF(Tabla2[[#This Row],[Costos (En RD$/Tarea)]]=0,0,Tabla2[[#This Row],[Beneficio Neto  (En RD$/Tarea)]]/Tabla2[[#This Row],[Costos (En RD$/Tarea)]])</f>
        <v>0.37765578349019407</v>
      </c>
      <c r="P1661" s="4">
        <f>Tabla2[[#This Row],[Rentabilidad (%)]]/12</f>
        <v>3.1471315290849504E-2</v>
      </c>
    </row>
    <row r="1662" spans="1:16" x14ac:dyDescent="0.35">
      <c r="A1662" s="1">
        <v>40725</v>
      </c>
      <c r="B1662" t="s">
        <v>23</v>
      </c>
      <c r="C1662" s="2">
        <v>2219</v>
      </c>
      <c r="D1662" s="5" t="s">
        <v>17</v>
      </c>
      <c r="E1662" s="2">
        <f>IF(Tabla2[[#This Row],[Frecuencia]]="Annual", Tabla2[[#This Row],[Cosecha/Tarea]]/12,Tabla2[[#This Row],[Cosecha/Tarea]])</f>
        <v>2219</v>
      </c>
      <c r="F1662" s="2">
        <v>74170</v>
      </c>
      <c r="G1662" t="s">
        <v>18</v>
      </c>
      <c r="H1662">
        <f>F1662/Tabla2[[#This Row],[Cosecha Mensual]]</f>
        <v>33.424966200991435</v>
      </c>
      <c r="I1662">
        <f>H1662*_xlfn.XLOOKUP(Tabla2[[#This Row],[Unidad de producción]],Tabla3[Medida],Tabla3[Equivalencia en Kg],"ELVIS",0)</f>
        <v>1516.1564668769715</v>
      </c>
      <c r="J1662">
        <v>850</v>
      </c>
      <c r="K1662" t="s">
        <v>18</v>
      </c>
      <c r="L1662">
        <f>J1662/_xlfn.XLOOKUP(Tabla2[[#This Row],[Unidad de precio]],Tabla3[Medida],Tabla3[Equivalencia en Kg],"ELVIS",0)</f>
        <v>18.738977072310405</v>
      </c>
      <c r="M1662">
        <v>22831.198995686002</v>
      </c>
      <c r="N1662" s="2">
        <f>(Tabla2[[#This Row],[Productividad (kg/TAS)]]*Tabla2[[#This Row],[Precio por kg]]-Tabla2[[#This Row],[Costos (En RD$/Tarea)]])</f>
        <v>5580.0222751567162</v>
      </c>
      <c r="O1662" s="6">
        <f>IF(Tabla2[[#This Row],[Costos (En RD$/Tarea)]]=0,0,Tabla2[[#This Row],[Beneficio Neto  (En RD$/Tarea)]]/Tabla2[[#This Row],[Costos (En RD$/Tarea)]])</f>
        <v>0.24440338311671989</v>
      </c>
      <c r="P1662" s="4">
        <f>Tabla2[[#This Row],[Rentabilidad (%)]]/12</f>
        <v>2.0366948593059989E-2</v>
      </c>
    </row>
    <row r="1663" spans="1:16" x14ac:dyDescent="0.35">
      <c r="A1663" s="1">
        <v>40725</v>
      </c>
      <c r="B1663" t="s">
        <v>24</v>
      </c>
      <c r="C1663" s="2">
        <v>4870</v>
      </c>
      <c r="D1663" s="5" t="s">
        <v>17</v>
      </c>
      <c r="E1663" s="2">
        <f>IF(Tabla2[[#This Row],[Frecuencia]]="Annual", Tabla2[[#This Row],[Cosecha/Tarea]]/12,Tabla2[[#This Row],[Cosecha/Tarea]])</f>
        <v>4870</v>
      </c>
      <c r="F1663" s="2">
        <v>44112</v>
      </c>
      <c r="G1663" t="s">
        <v>18</v>
      </c>
      <c r="H1663">
        <f>F1663/Tabla2[[#This Row],[Cosecha Mensual]]</f>
        <v>9.0579055441478431</v>
      </c>
      <c r="I1663">
        <f>H1663*_xlfn.XLOOKUP(Tabla2[[#This Row],[Unidad de producción]],Tabla3[Medida],Tabla3[Equivalencia en Kg],"ELVIS",0)</f>
        <v>410.86659548254613</v>
      </c>
      <c r="J1663">
        <v>1203.5250000000001</v>
      </c>
      <c r="K1663" t="s">
        <v>18</v>
      </c>
      <c r="L1663">
        <f>J1663/_xlfn.XLOOKUP(Tabla2[[#This Row],[Unidad de precio]],Tabla3[Medida],Tabla3[Equivalencia en Kg],"ELVIS",0)</f>
        <v>26.532738095238098</v>
      </c>
      <c r="M1663">
        <v>6908.3833517736002</v>
      </c>
      <c r="N1663" s="2">
        <f>(Tabla2[[#This Row],[Productividad (kg/TAS)]]*Tabla2[[#This Row],[Precio por kg]]-Tabla2[[#This Row],[Costos (En RD$/Tarea)]])</f>
        <v>3993.032418246934</v>
      </c>
      <c r="O1663" s="6">
        <f>IF(Tabla2[[#This Row],[Costos (En RD$/Tarea)]]=0,0,Tabla2[[#This Row],[Beneficio Neto  (En RD$/Tarea)]]/Tabla2[[#This Row],[Costos (En RD$/Tarea)]])</f>
        <v>0.57799809520150558</v>
      </c>
      <c r="P1663" s="4">
        <f>Tabla2[[#This Row],[Rentabilidad (%)]]/12</f>
        <v>4.8166507933458801E-2</v>
      </c>
    </row>
    <row r="1664" spans="1:16" x14ac:dyDescent="0.35">
      <c r="A1664" s="1">
        <v>40725</v>
      </c>
      <c r="B1664" t="s">
        <v>25</v>
      </c>
      <c r="C1664" s="2">
        <v>23689</v>
      </c>
      <c r="D1664" s="5" t="s">
        <v>17</v>
      </c>
      <c r="E1664" s="2">
        <f>IF(Tabla2[[#This Row],[Frecuencia]]="Annual", Tabla2[[#This Row],[Cosecha/Tarea]]/12,Tabla2[[#This Row],[Cosecha/Tarea]])</f>
        <v>23689</v>
      </c>
      <c r="F1664" s="2">
        <v>259654</v>
      </c>
      <c r="G1664" t="s">
        <v>18</v>
      </c>
      <c r="H1664">
        <f>F1664/Tabla2[[#This Row],[Cosecha Mensual]]</f>
        <v>10.960952340748872</v>
      </c>
      <c r="I1664">
        <f>H1664*_xlfn.XLOOKUP(Tabla2[[#This Row],[Unidad de producción]],Tabla3[Medida],Tabla3[Equivalencia en Kg],"ELVIS",0)</f>
        <v>497.18879817636883</v>
      </c>
      <c r="J1664">
        <v>802.4</v>
      </c>
      <c r="K1664" t="s">
        <v>18</v>
      </c>
      <c r="L1664">
        <f>J1664/_xlfn.XLOOKUP(Tabla2[[#This Row],[Unidad de precio]],Tabla3[Medida],Tabla3[Equivalencia en Kg],"ELVIS",0)</f>
        <v>17.689594356261022</v>
      </c>
      <c r="M1664">
        <v>4283.9889411321201</v>
      </c>
      <c r="N1664" s="2">
        <f>(Tabla2[[#This Row],[Productividad (kg/TAS)]]*Tabla2[[#This Row],[Precio por kg]]-Tabla2[[#This Row],[Costos (En RD$/Tarea)]])</f>
        <v>4511.0792170847744</v>
      </c>
      <c r="O1664" s="6">
        <f>IF(Tabla2[[#This Row],[Costos (En RD$/Tarea)]]=0,0,Tabla2[[#This Row],[Beneficio Neto  (En RD$/Tarea)]]/Tabla2[[#This Row],[Costos (En RD$/Tarea)]])</f>
        <v>1.0530090714689477</v>
      </c>
      <c r="P1664" s="4">
        <f>Tabla2[[#This Row],[Rentabilidad (%)]]/12</f>
        <v>8.7750755955745649E-2</v>
      </c>
    </row>
    <row r="1665" spans="1:16" x14ac:dyDescent="0.35">
      <c r="A1665" s="1">
        <v>40725</v>
      </c>
      <c r="B1665" t="s">
        <v>26</v>
      </c>
      <c r="C1665" s="2">
        <v>10206</v>
      </c>
      <c r="D1665" s="5" t="s">
        <v>17</v>
      </c>
      <c r="E1665" s="2">
        <f>IF(Tabla2[[#This Row],[Frecuencia]]="Annual", Tabla2[[#This Row],[Cosecha/Tarea]]/12,Tabla2[[#This Row],[Cosecha/Tarea]])</f>
        <v>10206</v>
      </c>
      <c r="F1665" s="2">
        <v>78251</v>
      </c>
      <c r="G1665" t="s">
        <v>18</v>
      </c>
      <c r="H1665">
        <f>F1665/Tabla2[[#This Row],[Cosecha Mensual]]</f>
        <v>7.6671565745639816</v>
      </c>
      <c r="I1665">
        <f>H1665*_xlfn.XLOOKUP(Tabla2[[#This Row],[Unidad de producción]],Tabla3[Medida],Tabla3[Equivalencia en Kg],"ELVIS",0)</f>
        <v>347.78222222222217</v>
      </c>
      <c r="J1665">
        <v>761.91600000000005</v>
      </c>
      <c r="K1665" t="s">
        <v>18</v>
      </c>
      <c r="L1665">
        <f>J1665/_xlfn.XLOOKUP(Tabla2[[#This Row],[Unidad de precio]],Tabla3[Medida],Tabla3[Equivalencia en Kg],"ELVIS",0)</f>
        <v>16.797089947089948</v>
      </c>
      <c r="M1665">
        <v>2009.79</v>
      </c>
      <c r="N1665" s="2">
        <f>(Tabla2[[#This Row],[Productividad (kg/TAS)]]*Tabla2[[#This Row],[Precio por kg]]-Tabla2[[#This Row],[Costos (En RD$/Tarea)]])</f>
        <v>3831.9392686654901</v>
      </c>
      <c r="O1665" s="6">
        <f>IF(Tabla2[[#This Row],[Costos (En RD$/Tarea)]]=0,0,Tabla2[[#This Row],[Beneficio Neto  (En RD$/Tarea)]]/Tabla2[[#This Row],[Costos (En RD$/Tarea)]])</f>
        <v>1.9066366479410735</v>
      </c>
      <c r="P1665" s="4">
        <f>Tabla2[[#This Row],[Rentabilidad (%)]]/12</f>
        <v>0.15888638732842278</v>
      </c>
    </row>
    <row r="1666" spans="1:16" x14ac:dyDescent="0.35">
      <c r="A1666" s="1">
        <v>40725</v>
      </c>
      <c r="B1666" t="s">
        <v>27</v>
      </c>
      <c r="C1666" s="2">
        <v>5429</v>
      </c>
      <c r="D1666" s="5" t="s">
        <v>17</v>
      </c>
      <c r="E1666" s="2">
        <f>IF(Tabla2[[#This Row],[Frecuencia]]="Annual", Tabla2[[#This Row],[Cosecha/Tarea]]/12,Tabla2[[#This Row],[Cosecha/Tarea]])</f>
        <v>5429</v>
      </c>
      <c r="F1666" s="2">
        <v>46256</v>
      </c>
      <c r="G1666" t="s">
        <v>18</v>
      </c>
      <c r="H1666">
        <f>F1666/Tabla2[[#This Row],[Cosecha Mensual]]</f>
        <v>8.5201694603057661</v>
      </c>
      <c r="I1666">
        <f>H1666*_xlfn.XLOOKUP(Tabla2[[#This Row],[Unidad de producción]],Tabla3[Medida],Tabla3[Equivalencia en Kg],"ELVIS",0)</f>
        <v>386.47488671946957</v>
      </c>
      <c r="J1666">
        <v>472.48399999999998</v>
      </c>
      <c r="K1666" t="s">
        <v>18</v>
      </c>
      <c r="L1666">
        <f>J1666/_xlfn.XLOOKUP(Tabla2[[#This Row],[Unidad de precio]],Tabla3[Medida],Tabla3[Equivalencia en Kg],"ELVIS",0)</f>
        <v>10.4163139329806</v>
      </c>
      <c r="M1666">
        <v>6922.0219999999999</v>
      </c>
      <c r="N1666" s="2">
        <f>(Tabla2[[#This Row],[Productividad (kg/TAS)]]*Tabla2[[#This Row],[Precio por kg]]-Tabla2[[#This Row],[Costos (En RD$/Tarea)]])</f>
        <v>-2896.3782527168901</v>
      </c>
      <c r="O1666" s="6">
        <f>IF(Tabla2[[#This Row],[Costos (En RD$/Tarea)]]=0,0,Tabla2[[#This Row],[Beneficio Neto  (En RD$/Tarea)]]/Tabla2[[#This Row],[Costos (En RD$/Tarea)]])</f>
        <v>-0.41842950697309111</v>
      </c>
      <c r="P1666" s="4">
        <f>Tabla2[[#This Row],[Rentabilidad (%)]]/12</f>
        <v>-3.4869125581090926E-2</v>
      </c>
    </row>
    <row r="1667" spans="1:16" x14ac:dyDescent="0.35">
      <c r="A1667" s="1">
        <v>40725</v>
      </c>
      <c r="B1667" t="s">
        <v>28</v>
      </c>
      <c r="C1667" s="2">
        <v>42598</v>
      </c>
      <c r="D1667" s="5" t="s">
        <v>17</v>
      </c>
      <c r="E1667" s="2">
        <f>IF(Tabla2[[#This Row],[Frecuencia]]="Annual", Tabla2[[#This Row],[Cosecha/Tarea]]/12,Tabla2[[#This Row],[Cosecha/Tarea]])</f>
        <v>42598</v>
      </c>
      <c r="F1667" s="2">
        <v>49120</v>
      </c>
      <c r="G1667" t="s">
        <v>29</v>
      </c>
      <c r="H1667">
        <f>F1667/Tabla2[[#This Row],[Cosecha Mensual]]</f>
        <v>1.1531057796140665</v>
      </c>
      <c r="I1667">
        <f>H1667*_xlfn.XLOOKUP(Tabla2[[#This Row],[Unidad de producción]],Tabla3[Medida],Tabla3[Equivalencia en Kg],"ELVIS",0)</f>
        <v>648.43750410817415</v>
      </c>
      <c r="J1667">
        <v>6016.665</v>
      </c>
      <c r="K1667" t="s">
        <v>29</v>
      </c>
      <c r="L1667">
        <f>J1667/_xlfn.XLOOKUP(Tabla2[[#This Row],[Unidad de precio]],Tabla3[Medida],Tabla3[Equivalencia en Kg],"ELVIS",0)</f>
        <v>10.69933670021695</v>
      </c>
      <c r="M1667">
        <v>6816.0513247333301</v>
      </c>
      <c r="N1667" s="2">
        <f>(Tabla2[[#This Row],[Productividad (kg/TAS)]]*Tabla2[[#This Row],[Precio por kg]]-Tabla2[[#This Row],[Costos (En RD$/Tarea)]])</f>
        <v>121.79986076833666</v>
      </c>
      <c r="O1667" s="6">
        <f>IF(Tabla2[[#This Row],[Costos (En RD$/Tarea)]]=0,0,Tabla2[[#This Row],[Beneficio Neto  (En RD$/Tarea)]]/Tabla2[[#This Row],[Costos (En RD$/Tarea)]])</f>
        <v>1.786956332420251E-2</v>
      </c>
      <c r="P1667" s="4">
        <f>Tabla2[[#This Row],[Rentabilidad (%)]]/12</f>
        <v>1.4891302770168758E-3</v>
      </c>
    </row>
    <row r="1668" spans="1:16" x14ac:dyDescent="0.35">
      <c r="A1668" s="1">
        <v>40725</v>
      </c>
      <c r="B1668" t="s">
        <v>30</v>
      </c>
      <c r="C1668" s="2">
        <v>363473</v>
      </c>
      <c r="D1668" s="2" t="s">
        <v>31</v>
      </c>
      <c r="E1668" s="2">
        <f>IF(Tabla2[[#This Row],[Frecuencia]]="Annual", Tabla2[[#This Row],[Cosecha/Tarea]]/12,Tabla2[[#This Row],[Cosecha/Tarea]])</f>
        <v>30289.416666666668</v>
      </c>
      <c r="F1668" s="2">
        <v>3275719</v>
      </c>
      <c r="G1668" t="s">
        <v>32</v>
      </c>
      <c r="H1668">
        <f>F1668/Tabla2[[#This Row],[Cosecha Mensual]]</f>
        <v>108.14731217999686</v>
      </c>
      <c r="I1668">
        <f>H1668*_xlfn.XLOOKUP(Tabla2[[#This Row],[Unidad de producción]],Tabla3[Medida],Tabla3[Equivalencia en Kg],"ELVIS",0)</f>
        <v>2942.6883644177146</v>
      </c>
      <c r="J1668">
        <v>163.25</v>
      </c>
      <c r="K1668" t="s">
        <v>32</v>
      </c>
      <c r="L1668">
        <f>J1668/_xlfn.XLOOKUP(Tabla2[[#This Row],[Unidad de precio]],Tabla3[Medida],Tabla3[Equivalencia en Kg],"ELVIS",0)</f>
        <v>5.9996324880558616</v>
      </c>
      <c r="M1668" s="2">
        <v>11259.713084354</v>
      </c>
      <c r="N1668" s="2">
        <f>(Tabla2[[#This Row],[Productividad (kg/TAS)]]*Tabla2[[#This Row],[Precio por kg]]-Tabla2[[#This Row],[Costos (En RD$/Tarea)]])</f>
        <v>6395.3356290304873</v>
      </c>
      <c r="O1668" s="6">
        <f>IF(Tabla2[[#This Row],[Costos (En RD$/Tarea)]]=0,0,Tabla2[[#This Row],[Beneficio Neto  (En RD$/Tarea)]]/Tabla2[[#This Row],[Costos (En RD$/Tarea)]])</f>
        <v>0.56798388920914544</v>
      </c>
      <c r="P1668" s="4">
        <f>Tabla2[[#This Row],[Rentabilidad (%)]]/12</f>
        <v>4.7331990767428785E-2</v>
      </c>
    </row>
    <row r="1669" spans="1:16" x14ac:dyDescent="0.35">
      <c r="A1669" s="1">
        <v>40725</v>
      </c>
      <c r="B1669" t="s">
        <v>33</v>
      </c>
      <c r="C1669" s="2">
        <v>730121</v>
      </c>
      <c r="D1669" s="2" t="s">
        <v>31</v>
      </c>
      <c r="E1669" s="8">
        <f>IF(Tabla2[[#This Row],[Frecuencia]]="Annual", Tabla2[[#This Row],[Cosecha/Tarea]]/12,Tabla2[[#This Row],[Cosecha/Tarea]])</f>
        <v>60843.416666666664</v>
      </c>
      <c r="F1669" s="2">
        <v>177158</v>
      </c>
      <c r="G1669" t="s">
        <v>34</v>
      </c>
      <c r="H1669">
        <f>F1669/Tabla2[[#This Row],[Cosecha Mensual]]</f>
        <v>2.9117036765138931</v>
      </c>
      <c r="I1669">
        <f>H1669*_xlfn.XLOOKUP(Tabla2[[#This Row],[Unidad de producción]],Tabla3[Medida],Tabla3[Equivalencia en Kg],"ELVIS",0)</f>
        <v>1188.4118555691455</v>
      </c>
      <c r="J1669">
        <v>4379</v>
      </c>
      <c r="K1669" t="s">
        <v>34</v>
      </c>
      <c r="L1669">
        <f>J1669/_xlfn.XLOOKUP(Tabla2[[#This Row],[Unidad de precio]],Tabla3[Medida],Tabla3[Equivalencia en Kg],"ELVIS",0)</f>
        <v>10.7288986892074</v>
      </c>
      <c r="M1669" s="2">
        <v>10868.026372878299</v>
      </c>
      <c r="N1669" s="2">
        <f>(Tabla2[[#This Row],[Productividad (kg/TAS)]]*Tabla2[[#This Row],[Precio por kg]]-Tabla2[[#This Row],[Costos (En RD$/Tarea)]])</f>
        <v>1882.3240265760396</v>
      </c>
      <c r="O1669" s="6">
        <f>IF(Tabla2[[#This Row],[Costos (En RD$/Tarea)]]=0,0,Tabla2[[#This Row],[Beneficio Neto  (En RD$/Tarea)]]/Tabla2[[#This Row],[Costos (En RD$/Tarea)]])</f>
        <v>0.17319833077268498</v>
      </c>
      <c r="P1669" s="4">
        <f>Tabla2[[#This Row],[Rentabilidad (%)]]/12</f>
        <v>1.4433194231057081E-2</v>
      </c>
    </row>
    <row r="1670" spans="1:16" x14ac:dyDescent="0.35">
      <c r="A1670" s="1">
        <v>40756</v>
      </c>
      <c r="B1670" t="s">
        <v>16</v>
      </c>
      <c r="C1670" s="2">
        <v>65234</v>
      </c>
      <c r="D1670" s="5" t="s">
        <v>17</v>
      </c>
      <c r="E1670" s="2">
        <f>IF(Tabla2[[#This Row],[Frecuencia]]="Annual", Tabla2[[#This Row],[Cosecha/Tarea]]/12,Tabla2[[#This Row],[Cosecha/Tarea]])</f>
        <v>65234</v>
      </c>
      <c r="F1670" s="2">
        <v>282592</v>
      </c>
      <c r="G1670" t="s">
        <v>18</v>
      </c>
      <c r="H1670">
        <f>F1670/Tabla2[[#This Row],[Cosecha Mensual]]</f>
        <v>4.331974123923108</v>
      </c>
      <c r="I1670">
        <f>H1670*_xlfn.XLOOKUP(Tabla2[[#This Row],[Unidad de producción]],Tabla3[Medida],Tabla3[Equivalencia en Kg],"ELVIS",0)</f>
        <v>196.49834626115216</v>
      </c>
      <c r="J1670">
        <v>1632.6348333333301</v>
      </c>
      <c r="K1670" t="s">
        <v>19</v>
      </c>
      <c r="L1670">
        <f>J1670/_xlfn.XLOOKUP(Tabla2[[#This Row],[Unidad de precio]],Tabla3[Medida],Tabla3[Equivalencia en Kg],"ELVIS",0)</f>
        <v>14.84213484848482</v>
      </c>
      <c r="M1670">
        <v>7569</v>
      </c>
      <c r="N1670" s="2">
        <f>(Tabla2[[#This Row],[Productividad (kg/TAS)]]*Tabla2[[#This Row],[Precio por kg]]-Tabla2[[#This Row],[Costos (En RD$/Tarea)]])</f>
        <v>-4652.5450472877164</v>
      </c>
      <c r="O1670" s="6">
        <f>IF(Tabla2[[#This Row],[Costos (En RD$/Tarea)]]=0,0,Tabla2[[#This Row],[Beneficio Neto  (En RD$/Tarea)]]/Tabla2[[#This Row],[Costos (En RD$/Tarea)]])</f>
        <v>-0.61468424458815119</v>
      </c>
      <c r="P1670" s="4">
        <f>Tabla2[[#This Row],[Rentabilidad (%)]]/12</f>
        <v>-5.1223687049012596E-2</v>
      </c>
    </row>
    <row r="1671" spans="1:16" x14ac:dyDescent="0.35">
      <c r="A1671" s="1">
        <v>40756</v>
      </c>
      <c r="B1671" t="s">
        <v>20</v>
      </c>
      <c r="C1671" s="2">
        <v>37685</v>
      </c>
      <c r="D1671" s="5" t="s">
        <v>17</v>
      </c>
      <c r="E1671" s="2">
        <f>IF(Tabla2[[#This Row],[Frecuencia]]="Annual", Tabla2[[#This Row],[Cosecha/Tarea]]/12,Tabla2[[#This Row],[Cosecha/Tarea]])</f>
        <v>37685</v>
      </c>
      <c r="F1671" s="2">
        <v>94659</v>
      </c>
      <c r="G1671" t="s">
        <v>18</v>
      </c>
      <c r="H1671">
        <f>F1671/Tabla2[[#This Row],[Cosecha Mensual]]</f>
        <v>2.5118482154703461</v>
      </c>
      <c r="I1671">
        <f>H1671*_xlfn.XLOOKUP(Tabla2[[#This Row],[Unidad de producción]],Tabla3[Medida],Tabla3[Equivalencia en Kg],"ELVIS",0)</f>
        <v>113.9374350537349</v>
      </c>
      <c r="J1671">
        <v>604.21866666666699</v>
      </c>
      <c r="K1671" t="s">
        <v>18</v>
      </c>
      <c r="L1671">
        <f>J1671/_xlfn.XLOOKUP(Tabla2[[#This Row],[Unidad de precio]],Tabla3[Medida],Tabla3[Equivalencia en Kg],"ELVIS",0)</f>
        <v>13.320517342739572</v>
      </c>
      <c r="M1671">
        <v>2249.6320342847998</v>
      </c>
      <c r="N1671" s="2">
        <f>(Tabla2[[#This Row],[Productividad (kg/TAS)]]*Tabla2[[#This Row],[Precio por kg]]-Tabla2[[#This Row],[Costos (En RD$/Tarea)]])</f>
        <v>-731.92645466426029</v>
      </c>
      <c r="O1671" s="6">
        <f>IF(Tabla2[[#This Row],[Costos (En RD$/Tarea)]]=0,0,Tabla2[[#This Row],[Beneficio Neto  (En RD$/Tarea)]]/Tabla2[[#This Row],[Costos (En RD$/Tarea)]])</f>
        <v>-0.32535385499031333</v>
      </c>
      <c r="P1671" s="4">
        <f>Tabla2[[#This Row],[Rentabilidad (%)]]/12</f>
        <v>-2.7112821249192776E-2</v>
      </c>
    </row>
    <row r="1672" spans="1:16" x14ac:dyDescent="0.35">
      <c r="A1672" s="1">
        <v>40756</v>
      </c>
      <c r="B1672" t="s">
        <v>21</v>
      </c>
      <c r="C1672" s="2">
        <v>6592</v>
      </c>
      <c r="D1672" s="5" t="s">
        <v>17</v>
      </c>
      <c r="E1672" s="2">
        <f>IF(Tabla2[[#This Row],[Frecuencia]]="Annual", Tabla2[[#This Row],[Cosecha/Tarea]]/12,Tabla2[[#This Row],[Cosecha/Tarea]])</f>
        <v>6592</v>
      </c>
      <c r="F1672" s="2">
        <v>84069</v>
      </c>
      <c r="G1672" t="s">
        <v>18</v>
      </c>
      <c r="H1672">
        <f>F1672/Tabla2[[#This Row],[Cosecha Mensual]]</f>
        <v>12.753185679611651</v>
      </c>
      <c r="I1672">
        <f>H1672*_xlfn.XLOOKUP(Tabla2[[#This Row],[Unidad de producción]],Tabla3[Medida],Tabla3[Equivalencia en Kg],"ELVIS",0)</f>
        <v>578.48450242718445</v>
      </c>
      <c r="J1672">
        <v>360.095775</v>
      </c>
      <c r="K1672" t="s">
        <v>18</v>
      </c>
      <c r="L1672">
        <f>J1672/_xlfn.XLOOKUP(Tabla2[[#This Row],[Unidad de precio]],Tabla3[Medida],Tabla3[Equivalencia en Kg],"ELVIS",0)</f>
        <v>7.9386193783068784</v>
      </c>
      <c r="M1672">
        <v>4921.4416007500004</v>
      </c>
      <c r="N1672" s="2">
        <f>(Tabla2[[#This Row],[Productividad (kg/TAS)]]*Tabla2[[#This Row],[Precio por kg]]-Tabla2[[#This Row],[Costos (En RD$/Tarea)]])</f>
        <v>-329.07331973134114</v>
      </c>
      <c r="O1672" s="6">
        <f>IF(Tabla2[[#This Row],[Costos (En RD$/Tarea)]]=0,0,Tabla2[[#This Row],[Beneficio Neto  (En RD$/Tarea)]]/Tabla2[[#This Row],[Costos (En RD$/Tarea)]])</f>
        <v>-6.6865229017691111E-2</v>
      </c>
      <c r="P1672" s="4">
        <f>Tabla2[[#This Row],[Rentabilidad (%)]]/12</f>
        <v>-5.5721024181409262E-3</v>
      </c>
    </row>
    <row r="1673" spans="1:16" x14ac:dyDescent="0.35">
      <c r="A1673" s="1">
        <v>40756</v>
      </c>
      <c r="B1673" t="s">
        <v>22</v>
      </c>
      <c r="C1673" s="2">
        <v>2268</v>
      </c>
      <c r="D1673" s="5" t="s">
        <v>17</v>
      </c>
      <c r="E1673" s="2">
        <f>IF(Tabla2[[#This Row],[Frecuencia]]="Annual", Tabla2[[#This Row],[Cosecha/Tarea]]/12,Tabla2[[#This Row],[Cosecha/Tarea]])</f>
        <v>2268</v>
      </c>
      <c r="F1673" s="2">
        <v>23115</v>
      </c>
      <c r="G1673" t="s">
        <v>18</v>
      </c>
      <c r="H1673">
        <f>F1673/Tabla2[[#This Row],[Cosecha Mensual]]</f>
        <v>10.191798941798941</v>
      </c>
      <c r="I1673">
        <f>H1673*_xlfn.XLOOKUP(Tabla2[[#This Row],[Unidad de producción]],Tabla3[Medida],Tabla3[Equivalencia en Kg],"ELVIS",0)</f>
        <v>462.29999999999995</v>
      </c>
      <c r="J1673">
        <v>1144.6099999999999</v>
      </c>
      <c r="K1673" t="s">
        <v>18</v>
      </c>
      <c r="L1673">
        <f>J1673/_xlfn.XLOOKUP(Tabla2[[#This Row],[Unidad de precio]],Tabla3[Medida],Tabla3[Equivalencia en Kg],"ELVIS",0)</f>
        <v>25.23390652557319</v>
      </c>
      <c r="M1673">
        <v>8263.3527360768003</v>
      </c>
      <c r="N1673" s="2">
        <f>(Tabla2[[#This Row],[Productividad (kg/TAS)]]*Tabla2[[#This Row],[Precio por kg]]-Tabla2[[#This Row],[Costos (En RD$/Tarea)]])</f>
        <v>3402.2822506956836</v>
      </c>
      <c r="O1673" s="6">
        <f>IF(Tabla2[[#This Row],[Costos (En RD$/Tarea)]]=0,0,Tabla2[[#This Row],[Beneficio Neto  (En RD$/Tarea)]]/Tabla2[[#This Row],[Costos (En RD$/Tarea)]])</f>
        <v>0.41173145566468805</v>
      </c>
      <c r="P1673" s="4">
        <f>Tabla2[[#This Row],[Rentabilidad (%)]]/12</f>
        <v>3.4310954638724002E-2</v>
      </c>
    </row>
    <row r="1674" spans="1:16" x14ac:dyDescent="0.35">
      <c r="A1674" s="1">
        <v>40756</v>
      </c>
      <c r="B1674" t="s">
        <v>23</v>
      </c>
      <c r="C1674" s="2">
        <v>2543</v>
      </c>
      <c r="D1674" s="5" t="s">
        <v>17</v>
      </c>
      <c r="E1674" s="2">
        <f>IF(Tabla2[[#This Row],[Frecuencia]]="Annual", Tabla2[[#This Row],[Cosecha/Tarea]]/12,Tabla2[[#This Row],[Cosecha/Tarea]])</f>
        <v>2543</v>
      </c>
      <c r="F1674" s="2">
        <v>94845</v>
      </c>
      <c r="G1674" t="s">
        <v>18</v>
      </c>
      <c r="H1674">
        <f>F1674/Tabla2[[#This Row],[Cosecha Mensual]]</f>
        <v>37.296500196618169</v>
      </c>
      <c r="I1674">
        <f>H1674*_xlfn.XLOOKUP(Tabla2[[#This Row],[Unidad de producción]],Tabla3[Medida],Tabla3[Equivalencia en Kg],"ELVIS",0)</f>
        <v>1691.7692489186002</v>
      </c>
      <c r="J1674">
        <v>720</v>
      </c>
      <c r="K1674" t="s">
        <v>18</v>
      </c>
      <c r="L1674">
        <f>J1674/_xlfn.XLOOKUP(Tabla2[[#This Row],[Unidad de precio]],Tabla3[Medida],Tabla3[Equivalencia en Kg],"ELVIS",0)</f>
        <v>15.873015873015873</v>
      </c>
      <c r="M1674">
        <v>22831.198995686002</v>
      </c>
      <c r="N1674" s="2">
        <f>(Tabla2[[#This Row],[Productividad (kg/TAS)]]*Tabla2[[#This Row],[Precio por kg]]-Tabla2[[#This Row],[Costos (En RD$/Tarea)]])</f>
        <v>4022.281145879082</v>
      </c>
      <c r="O1674" s="6">
        <f>IF(Tabla2[[#This Row],[Costos (En RD$/Tarea)]]=0,0,Tabla2[[#This Row],[Beneficio Neto  (En RD$/Tarea)]]/Tabla2[[#This Row],[Costos (En RD$/Tarea)]])</f>
        <v>0.17617476623278083</v>
      </c>
      <c r="P1674" s="4">
        <f>Tabla2[[#This Row],[Rentabilidad (%)]]/12</f>
        <v>1.4681230519398403E-2</v>
      </c>
    </row>
    <row r="1675" spans="1:16" x14ac:dyDescent="0.35">
      <c r="A1675" s="1">
        <v>40756</v>
      </c>
      <c r="B1675" t="s">
        <v>24</v>
      </c>
      <c r="C1675" s="2">
        <v>4235</v>
      </c>
      <c r="D1675" s="5" t="s">
        <v>17</v>
      </c>
      <c r="E1675" s="2">
        <f>IF(Tabla2[[#This Row],[Frecuencia]]="Annual", Tabla2[[#This Row],[Cosecha/Tarea]]/12,Tabla2[[#This Row],[Cosecha/Tarea]])</f>
        <v>4235</v>
      </c>
      <c r="F1675" s="2">
        <v>39020</v>
      </c>
      <c r="G1675" t="s">
        <v>18</v>
      </c>
      <c r="H1675">
        <f>F1675/Tabla2[[#This Row],[Cosecha Mensual]]</f>
        <v>9.213695395513577</v>
      </c>
      <c r="I1675">
        <f>H1675*_xlfn.XLOOKUP(Tabla2[[#This Row],[Unidad de producción]],Tabla3[Medida],Tabla3[Equivalencia en Kg],"ELVIS",0)</f>
        <v>417.93322314049584</v>
      </c>
      <c r="J1675">
        <v>1263.5</v>
      </c>
      <c r="K1675" t="s">
        <v>18</v>
      </c>
      <c r="L1675">
        <f>J1675/_xlfn.XLOOKUP(Tabla2[[#This Row],[Unidad de precio]],Tabla3[Medida],Tabla3[Equivalencia en Kg],"ELVIS",0)</f>
        <v>27.85493827160494</v>
      </c>
      <c r="M1675">
        <v>6908.3833517736002</v>
      </c>
      <c r="N1675" s="2">
        <f>(Tabla2[[#This Row],[Productividad (kg/TAS)]]*Tabla2[[#This Row],[Precio por kg]]-Tabla2[[#This Row],[Costos (En RD$/Tarea)]])</f>
        <v>4733.1207804578044</v>
      </c>
      <c r="O1675" s="6">
        <f>IF(Tabla2[[#This Row],[Costos (En RD$/Tarea)]]=0,0,Tabla2[[#This Row],[Beneficio Neto  (En RD$/Tarea)]]/Tabla2[[#This Row],[Costos (En RD$/Tarea)]])</f>
        <v>0.68512711866845988</v>
      </c>
      <c r="P1675" s="4">
        <f>Tabla2[[#This Row],[Rentabilidad (%)]]/12</f>
        <v>5.7093926555704992E-2</v>
      </c>
    </row>
    <row r="1676" spans="1:16" x14ac:dyDescent="0.35">
      <c r="A1676" s="1">
        <v>40756</v>
      </c>
      <c r="B1676" t="s">
        <v>25</v>
      </c>
      <c r="C1676" s="2">
        <v>21735</v>
      </c>
      <c r="D1676" s="5" t="s">
        <v>17</v>
      </c>
      <c r="E1676" s="2">
        <f>IF(Tabla2[[#This Row],[Frecuencia]]="Annual", Tabla2[[#This Row],[Cosecha/Tarea]]/12,Tabla2[[#This Row],[Cosecha/Tarea]])</f>
        <v>21735</v>
      </c>
      <c r="F1676" s="2">
        <v>265321</v>
      </c>
      <c r="G1676" t="s">
        <v>18</v>
      </c>
      <c r="H1676">
        <f>F1676/Tabla2[[#This Row],[Cosecha Mensual]]</f>
        <v>12.207085346215781</v>
      </c>
      <c r="I1676">
        <f>H1676*_xlfn.XLOOKUP(Tabla2[[#This Row],[Unidad de producción]],Tabla3[Medida],Tabla3[Equivalencia en Kg],"ELVIS",0)</f>
        <v>553.71339130434785</v>
      </c>
      <c r="J1676">
        <v>718.08879999999999</v>
      </c>
      <c r="K1676" t="s">
        <v>18</v>
      </c>
      <c r="L1676">
        <f>J1676/_xlfn.XLOOKUP(Tabla2[[#This Row],[Unidad de precio]],Tabla3[Medida],Tabla3[Equivalencia en Kg],"ELVIS",0)</f>
        <v>15.830881834215168</v>
      </c>
      <c r="M1676">
        <v>4283.9889411321201</v>
      </c>
      <c r="N1676" s="2">
        <f>(Tabla2[[#This Row],[Productividad (kg/TAS)]]*Tabla2[[#This Row],[Precio por kg]]-Tabla2[[#This Row],[Costos (En RD$/Tarea)]])</f>
        <v>4481.7823266295545</v>
      </c>
      <c r="O1676" s="6">
        <f>IF(Tabla2[[#This Row],[Costos (En RD$/Tarea)]]=0,0,Tabla2[[#This Row],[Beneficio Neto  (En RD$/Tarea)]]/Tabla2[[#This Row],[Costos (En RD$/Tarea)]])</f>
        <v>1.0461703772384539</v>
      </c>
      <c r="P1676" s="4">
        <f>Tabla2[[#This Row],[Rentabilidad (%)]]/12</f>
        <v>8.718086476987115E-2</v>
      </c>
    </row>
    <row r="1677" spans="1:16" x14ac:dyDescent="0.35">
      <c r="A1677" s="1">
        <v>40756</v>
      </c>
      <c r="B1677" t="s">
        <v>26</v>
      </c>
      <c r="C1677" s="2">
        <v>9145</v>
      </c>
      <c r="D1677" s="5" t="s">
        <v>17</v>
      </c>
      <c r="E1677" s="2">
        <f>IF(Tabla2[[#This Row],[Frecuencia]]="Annual", Tabla2[[#This Row],[Cosecha/Tarea]]/12,Tabla2[[#This Row],[Cosecha/Tarea]])</f>
        <v>9145</v>
      </c>
      <c r="F1677" s="2">
        <v>45468</v>
      </c>
      <c r="G1677" t="s">
        <v>18</v>
      </c>
      <c r="H1677">
        <f>F1677/Tabla2[[#This Row],[Cosecha Mensual]]</f>
        <v>4.9718972115910329</v>
      </c>
      <c r="I1677">
        <f>H1677*_xlfn.XLOOKUP(Tabla2[[#This Row],[Unidad de producción]],Tabla3[Medida],Tabla3[Equivalencia en Kg],"ELVIS",0)</f>
        <v>225.52525751776926</v>
      </c>
      <c r="J1677">
        <v>553.62120000000004</v>
      </c>
      <c r="K1677" t="s">
        <v>18</v>
      </c>
      <c r="L1677">
        <f>J1677/_xlfn.XLOOKUP(Tabla2[[#This Row],[Unidad de precio]],Tabla3[Medida],Tabla3[Equivalencia en Kg],"ELVIS",0)</f>
        <v>12.205052910052911</v>
      </c>
      <c r="M1677">
        <v>2009.79</v>
      </c>
      <c r="N1677" s="2">
        <f>(Tabla2[[#This Row],[Productividad (kg/TAS)]]*Tabla2[[#This Row],[Precio por kg]]-Tabla2[[#This Row],[Costos (En RD$/Tarea)]])</f>
        <v>742.7577005576818</v>
      </c>
      <c r="O1677" s="6">
        <f>IF(Tabla2[[#This Row],[Costos (En RD$/Tarea)]]=0,0,Tabla2[[#This Row],[Beneficio Neto  (En RD$/Tarea)]]/Tabla2[[#This Row],[Costos (En RD$/Tarea)]])</f>
        <v>0.36956980607808865</v>
      </c>
      <c r="P1677" s="4">
        <f>Tabla2[[#This Row],[Rentabilidad (%)]]/12</f>
        <v>3.0797483839840722E-2</v>
      </c>
    </row>
    <row r="1678" spans="1:16" x14ac:dyDescent="0.35">
      <c r="A1678" s="1">
        <v>40756</v>
      </c>
      <c r="B1678" t="s">
        <v>27</v>
      </c>
      <c r="C1678" s="2">
        <v>4704</v>
      </c>
      <c r="D1678" s="5" t="s">
        <v>17</v>
      </c>
      <c r="E1678" s="2">
        <f>IF(Tabla2[[#This Row],[Frecuencia]]="Annual", Tabla2[[#This Row],[Cosecha/Tarea]]/12,Tabla2[[#This Row],[Cosecha/Tarea]])</f>
        <v>4704</v>
      </c>
      <c r="F1678" s="2">
        <v>30174</v>
      </c>
      <c r="G1678" t="s">
        <v>18</v>
      </c>
      <c r="H1678">
        <f>F1678/Tabla2[[#This Row],[Cosecha Mensual]]</f>
        <v>6.4145408163265305</v>
      </c>
      <c r="I1678">
        <f>H1678*_xlfn.XLOOKUP(Tabla2[[#This Row],[Unidad de producción]],Tabla3[Medida],Tabla3[Equivalencia en Kg],"ELVIS",0)</f>
        <v>290.96357142857141</v>
      </c>
      <c r="J1678">
        <v>409.63771428571403</v>
      </c>
      <c r="K1678" t="s">
        <v>18</v>
      </c>
      <c r="L1678">
        <f>J1678/_xlfn.XLOOKUP(Tabla2[[#This Row],[Unidad de precio]],Tabla3[Medida],Tabla3[Equivalencia en Kg],"ELVIS",0)</f>
        <v>9.0308138070042769</v>
      </c>
      <c r="M1678">
        <v>6922.0219999999999</v>
      </c>
      <c r="N1678" s="2">
        <f>(Tabla2[[#This Row],[Productividad (kg/TAS)]]*Tabla2[[#This Row],[Precio por kg]]-Tabla2[[#This Row],[Costos (En RD$/Tarea)]])</f>
        <v>-4294.3841618075821</v>
      </c>
      <c r="O1678" s="6">
        <f>IF(Tabla2[[#This Row],[Costos (En RD$/Tarea)]]=0,0,Tabla2[[#This Row],[Beneficio Neto  (En RD$/Tarea)]]/Tabla2[[#This Row],[Costos (En RD$/Tarea)]])</f>
        <v>-0.62039446881382088</v>
      </c>
      <c r="P1678" s="4">
        <f>Tabla2[[#This Row],[Rentabilidad (%)]]/12</f>
        <v>-5.1699539067818406E-2</v>
      </c>
    </row>
    <row r="1679" spans="1:16" x14ac:dyDescent="0.35">
      <c r="A1679" s="1">
        <v>40756</v>
      </c>
      <c r="B1679" t="s">
        <v>28</v>
      </c>
      <c r="C1679" s="2">
        <v>67384</v>
      </c>
      <c r="D1679" s="5" t="s">
        <v>17</v>
      </c>
      <c r="E1679" s="2">
        <f>IF(Tabla2[[#This Row],[Frecuencia]]="Annual", Tabla2[[#This Row],[Cosecha/Tarea]]/12,Tabla2[[#This Row],[Cosecha/Tarea]])</f>
        <v>67384</v>
      </c>
      <c r="F1679" s="2">
        <v>178391</v>
      </c>
      <c r="G1679" t="s">
        <v>29</v>
      </c>
      <c r="H1679">
        <f>F1679/Tabla2[[#This Row],[Cosecha Mensual]]</f>
        <v>2.647379199810044</v>
      </c>
      <c r="I1679">
        <f>H1679*_xlfn.XLOOKUP(Tabla2[[#This Row],[Unidad de producción]],Tabla3[Medida],Tabla3[Equivalencia en Kg],"ELVIS",0)</f>
        <v>1488.7272192211801</v>
      </c>
      <c r="J1679">
        <v>6033.2708333333303</v>
      </c>
      <c r="K1679" t="s">
        <v>29</v>
      </c>
      <c r="L1679">
        <f>J1679/_xlfn.XLOOKUP(Tabla2[[#This Row],[Unidad de precio]],Tabla3[Medida],Tabla3[Equivalencia en Kg],"ELVIS",0)</f>
        <v>10.728866581309047</v>
      </c>
      <c r="M1679">
        <v>6816.0513247333301</v>
      </c>
      <c r="N1679" s="2">
        <f>(Tabla2[[#This Row],[Productividad (kg/TAS)]]*Tabla2[[#This Row],[Precio por kg]]-Tabla2[[#This Row],[Costos (En RD$/Tarea)]])</f>
        <v>9156.304386253938</v>
      </c>
      <c r="O1679" s="6">
        <f>IF(Tabla2[[#This Row],[Costos (En RD$/Tarea)]]=0,0,Tabla2[[#This Row],[Beneficio Neto  (En RD$/Tarea)]]/Tabla2[[#This Row],[Costos (En RD$/Tarea)]])</f>
        <v>1.3433444013293383</v>
      </c>
      <c r="P1679" s="4">
        <f>Tabla2[[#This Row],[Rentabilidad (%)]]/12</f>
        <v>0.11194536677744486</v>
      </c>
    </row>
    <row r="1680" spans="1:16" x14ac:dyDescent="0.35">
      <c r="A1680" s="1">
        <v>40756</v>
      </c>
      <c r="B1680" t="s">
        <v>30</v>
      </c>
      <c r="C1680" s="2">
        <v>361447</v>
      </c>
      <c r="D1680" s="2" t="s">
        <v>31</v>
      </c>
      <c r="E1680" s="2">
        <f>IF(Tabla2[[#This Row],[Frecuencia]]="Annual", Tabla2[[#This Row],[Cosecha/Tarea]]/12,Tabla2[[#This Row],[Cosecha/Tarea]])</f>
        <v>30120.583333333332</v>
      </c>
      <c r="F1680" s="2">
        <v>3204723</v>
      </c>
      <c r="G1680" t="s">
        <v>32</v>
      </c>
      <c r="H1680">
        <f>F1680/Tabla2[[#This Row],[Cosecha Mensual]]</f>
        <v>106.39644539863383</v>
      </c>
      <c r="I1680">
        <f>H1680*_xlfn.XLOOKUP(Tabla2[[#This Row],[Unidad de producción]],Tabla3[Medida],Tabla3[Equivalencia en Kg],"ELVIS",0)</f>
        <v>2895.0472792968267</v>
      </c>
      <c r="J1680">
        <v>124.405714285714</v>
      </c>
      <c r="K1680" t="s">
        <v>32</v>
      </c>
      <c r="L1680">
        <f>J1680/_xlfn.XLOOKUP(Tabla2[[#This Row],[Unidad de precio]],Tabla3[Medida],Tabla3[Equivalencia en Kg],"ELVIS",0)</f>
        <v>4.5720585919042263</v>
      </c>
      <c r="M1680" s="2">
        <v>11259.713084354</v>
      </c>
      <c r="N1680" s="2">
        <f>(Tabla2[[#This Row],[Productividad (kg/TAS)]]*Tabla2[[#This Row],[Precio por kg]]-Tabla2[[#This Row],[Costos (En RD$/Tarea)]])</f>
        <v>1976.6127029240106</v>
      </c>
      <c r="O1680" s="6">
        <f>IF(Tabla2[[#This Row],[Costos (En RD$/Tarea)]]=0,0,Tabla2[[#This Row],[Beneficio Neto  (En RD$/Tarea)]]/Tabla2[[#This Row],[Costos (En RD$/Tarea)]])</f>
        <v>0.17554734193632557</v>
      </c>
      <c r="P1680" s="4">
        <f>Tabla2[[#This Row],[Rentabilidad (%)]]/12</f>
        <v>1.4628945161360464E-2</v>
      </c>
    </row>
    <row r="1681" spans="1:16" x14ac:dyDescent="0.35">
      <c r="A1681" s="1">
        <v>40756</v>
      </c>
      <c r="B1681" t="s">
        <v>33</v>
      </c>
      <c r="C1681" s="2">
        <v>742675</v>
      </c>
      <c r="D1681" s="2" t="s">
        <v>31</v>
      </c>
      <c r="E1681" s="8">
        <f>IF(Tabla2[[#This Row],[Frecuencia]]="Annual", Tabla2[[#This Row],[Cosecha/Tarea]]/12,Tabla2[[#This Row],[Cosecha/Tarea]])</f>
        <v>61889.583333333336</v>
      </c>
      <c r="F1681" s="2">
        <v>190457</v>
      </c>
      <c r="G1681" t="s">
        <v>34</v>
      </c>
      <c r="H1681">
        <f>F1681/Tabla2[[#This Row],[Cosecha Mensual]]</f>
        <v>3.0773676237923722</v>
      </c>
      <c r="I1681">
        <f>H1681*_xlfn.XLOOKUP(Tabla2[[#This Row],[Unidad de producción]],Tabla3[Medida],Tabla3[Equivalencia en Kg],"ELVIS",0)</f>
        <v>1256.0275956508567</v>
      </c>
      <c r="J1681">
        <v>4430.8100000000004</v>
      </c>
      <c r="K1681" t="s">
        <v>34</v>
      </c>
      <c r="L1681">
        <f>J1681/_xlfn.XLOOKUP(Tabla2[[#This Row],[Unidad de precio]],Tabla3[Medida],Tabla3[Equivalencia en Kg],"ELVIS",0)</f>
        <v>10.85583731471273</v>
      </c>
      <c r="M1681" s="2">
        <v>10868.026372878299</v>
      </c>
      <c r="N1681" s="2">
        <f>(Tabla2[[#This Row],[Productividad (kg/TAS)]]*Tabla2[[#This Row],[Precio por kg]]-Tabla2[[#This Row],[Costos (En RD$/Tarea)]])</f>
        <v>2767.2048682971836</v>
      </c>
      <c r="O1681" s="6">
        <f>IF(Tabla2[[#This Row],[Costos (En RD$/Tarea)]]=0,0,Tabla2[[#This Row],[Beneficio Neto  (En RD$/Tarea)]]/Tabla2[[#This Row],[Costos (En RD$/Tarea)]])</f>
        <v>0.25461889522120418</v>
      </c>
      <c r="P1681" s="4">
        <f>Tabla2[[#This Row],[Rentabilidad (%)]]/12</f>
        <v>2.121824126843368E-2</v>
      </c>
    </row>
    <row r="1682" spans="1:16" x14ac:dyDescent="0.35">
      <c r="A1682" s="1">
        <v>40787</v>
      </c>
      <c r="B1682" t="s">
        <v>16</v>
      </c>
      <c r="C1682" s="2">
        <v>188255</v>
      </c>
      <c r="D1682" s="5" t="s">
        <v>17</v>
      </c>
      <c r="E1682" s="2">
        <f>IF(Tabla2[[#This Row],[Frecuencia]]="Annual", Tabla2[[#This Row],[Cosecha/Tarea]]/12,Tabla2[[#This Row],[Cosecha/Tarea]])</f>
        <v>188255</v>
      </c>
      <c r="F1682" s="2">
        <v>847292</v>
      </c>
      <c r="G1682" t="s">
        <v>18</v>
      </c>
      <c r="H1682">
        <f>F1682/Tabla2[[#This Row],[Cosecha Mensual]]</f>
        <v>4.5007675758943986</v>
      </c>
      <c r="I1682">
        <f>H1682*_xlfn.XLOOKUP(Tabla2[[#This Row],[Unidad de producción]],Tabla3[Medida],Tabla3[Equivalencia en Kg],"ELVIS",0)</f>
        <v>204.15481724256992</v>
      </c>
      <c r="J1682">
        <v>1772.65625</v>
      </c>
      <c r="K1682" t="s">
        <v>19</v>
      </c>
      <c r="L1682">
        <f>J1682/_xlfn.XLOOKUP(Tabla2[[#This Row],[Unidad de precio]],Tabla3[Medida],Tabla3[Equivalencia en Kg],"ELVIS",0)</f>
        <v>16.115056818181817</v>
      </c>
      <c r="M1682">
        <v>7569</v>
      </c>
      <c r="N1682" s="2">
        <f>(Tabla2[[#This Row],[Productividad (kg/TAS)]]*Tabla2[[#This Row],[Precio por kg]]-Tabla2[[#This Row],[Costos (En RD$/Tarea)]])</f>
        <v>-4279.0335204304611</v>
      </c>
      <c r="O1682" s="6">
        <f>IF(Tabla2[[#This Row],[Costos (En RD$/Tarea)]]=0,0,Tabla2[[#This Row],[Beneficio Neto  (En RD$/Tarea)]]/Tabla2[[#This Row],[Costos (En RD$/Tarea)]])</f>
        <v>-0.56533670503771449</v>
      </c>
      <c r="P1682" s="4">
        <f>Tabla2[[#This Row],[Rentabilidad (%)]]/12</f>
        <v>-4.711139208647621E-2</v>
      </c>
    </row>
    <row r="1683" spans="1:16" x14ac:dyDescent="0.35">
      <c r="A1683" s="1">
        <v>40787</v>
      </c>
      <c r="B1683" t="s">
        <v>20</v>
      </c>
      <c r="C1683" s="2">
        <v>54321</v>
      </c>
      <c r="D1683" s="5" t="s">
        <v>17</v>
      </c>
      <c r="E1683" s="2">
        <f>IF(Tabla2[[#This Row],[Frecuencia]]="Annual", Tabla2[[#This Row],[Cosecha/Tarea]]/12,Tabla2[[#This Row],[Cosecha/Tarea]])</f>
        <v>54321</v>
      </c>
      <c r="F1683" s="2">
        <v>105321</v>
      </c>
      <c r="G1683" t="s">
        <v>18</v>
      </c>
      <c r="H1683">
        <f>F1683/Tabla2[[#This Row],[Cosecha Mensual]]</f>
        <v>1.9388634229855857</v>
      </c>
      <c r="I1683">
        <f>H1683*_xlfn.XLOOKUP(Tabla2[[#This Row],[Unidad de producción]],Tabla3[Medida],Tabla3[Equivalencia en Kg],"ELVIS",0)</f>
        <v>87.946844866626165</v>
      </c>
      <c r="J1683">
        <v>552.94598333333295</v>
      </c>
      <c r="K1683" t="s">
        <v>18</v>
      </c>
      <c r="L1683">
        <f>J1683/_xlfn.XLOOKUP(Tabla2[[#This Row],[Unidad de precio]],Tabla3[Medida],Tabla3[Equivalencia en Kg],"ELVIS",0)</f>
        <v>12.190167181069951</v>
      </c>
      <c r="M1683">
        <v>2249.6320342847998</v>
      </c>
      <c r="N1683" s="2">
        <f>(Tabla2[[#This Row],[Productividad (kg/TAS)]]*Tabla2[[#This Row],[Precio por kg]]-Tabla2[[#This Row],[Costos (En RD$/Tarea)]])</f>
        <v>-1177.5452923130033</v>
      </c>
      <c r="O1683" s="6">
        <f>IF(Tabla2[[#This Row],[Costos (En RD$/Tarea)]]=0,0,Tabla2[[#This Row],[Beneficio Neto  (En RD$/Tarea)]]/Tabla2[[#This Row],[Costos (En RD$/Tarea)]])</f>
        <v>-0.52343906664156614</v>
      </c>
      <c r="P1683" s="4">
        <f>Tabla2[[#This Row],[Rentabilidad (%)]]/12</f>
        <v>-4.361992222013051E-2</v>
      </c>
    </row>
    <row r="1684" spans="1:16" x14ac:dyDescent="0.35">
      <c r="A1684" s="1">
        <v>40787</v>
      </c>
      <c r="B1684" t="s">
        <v>21</v>
      </c>
      <c r="C1684" s="2">
        <v>6147</v>
      </c>
      <c r="D1684" s="5" t="s">
        <v>17</v>
      </c>
      <c r="E1684" s="2">
        <f>IF(Tabla2[[#This Row],[Frecuencia]]="Annual", Tabla2[[#This Row],[Cosecha/Tarea]]/12,Tabla2[[#This Row],[Cosecha/Tarea]])</f>
        <v>6147</v>
      </c>
      <c r="F1684" s="2">
        <v>74328</v>
      </c>
      <c r="G1684" t="s">
        <v>18</v>
      </c>
      <c r="H1684">
        <f>F1684/Tabla2[[#This Row],[Cosecha Mensual]]</f>
        <v>12.091752074182528</v>
      </c>
      <c r="I1684">
        <f>H1684*_xlfn.XLOOKUP(Tabla2[[#This Row],[Unidad de producción]],Tabla3[Medida],Tabla3[Equivalencia en Kg],"ELVIS",0)</f>
        <v>548.48187408491947</v>
      </c>
      <c r="J1684">
        <v>413.65625</v>
      </c>
      <c r="K1684" t="s">
        <v>18</v>
      </c>
      <c r="L1684">
        <f>J1684/_xlfn.XLOOKUP(Tabla2[[#This Row],[Unidad de precio]],Tabla3[Medida],Tabla3[Equivalencia en Kg],"ELVIS",0)</f>
        <v>9.1194058641975317</v>
      </c>
      <c r="M1684">
        <v>4921.4416007500004</v>
      </c>
      <c r="N1684" s="2">
        <f>(Tabla2[[#This Row],[Productividad (kg/TAS)]]*Tabla2[[#This Row],[Precio por kg]]-Tabla2[[#This Row],[Costos (En RD$/Tarea)]])</f>
        <v>80.387218186066093</v>
      </c>
      <c r="O1684" s="6">
        <f>IF(Tabla2[[#This Row],[Costos (En RD$/Tarea)]]=0,0,Tabla2[[#This Row],[Beneficio Neto  (En RD$/Tarea)]]/Tabla2[[#This Row],[Costos (En RD$/Tarea)]])</f>
        <v>1.6334079464402369E-2</v>
      </c>
      <c r="P1684" s="4">
        <f>Tabla2[[#This Row],[Rentabilidad (%)]]/12</f>
        <v>1.3611732887001975E-3</v>
      </c>
    </row>
    <row r="1685" spans="1:16" x14ac:dyDescent="0.35">
      <c r="A1685" s="1">
        <v>40787</v>
      </c>
      <c r="B1685" t="s">
        <v>22</v>
      </c>
      <c r="C1685" s="2">
        <v>3088</v>
      </c>
      <c r="D1685" s="5" t="s">
        <v>17</v>
      </c>
      <c r="E1685" s="2">
        <f>IF(Tabla2[[#This Row],[Frecuencia]]="Annual", Tabla2[[#This Row],[Cosecha/Tarea]]/12,Tabla2[[#This Row],[Cosecha/Tarea]])</f>
        <v>3088</v>
      </c>
      <c r="F1685" s="2">
        <v>27175</v>
      </c>
      <c r="G1685" t="s">
        <v>18</v>
      </c>
      <c r="H1685">
        <f>F1685/Tabla2[[#This Row],[Cosecha Mensual]]</f>
        <v>8.8001943005181342</v>
      </c>
      <c r="I1685">
        <f>H1685*_xlfn.XLOOKUP(Tabla2[[#This Row],[Unidad de producción]],Tabla3[Medida],Tabla3[Equivalencia en Kg],"ELVIS",0)</f>
        <v>399.17681347150256</v>
      </c>
      <c r="J1685">
        <v>1053.734375</v>
      </c>
      <c r="K1685" t="s">
        <v>18</v>
      </c>
      <c r="L1685">
        <f>J1685/_xlfn.XLOOKUP(Tabla2[[#This Row],[Unidad de precio]],Tabla3[Medida],Tabla3[Equivalencia en Kg],"ELVIS",0)</f>
        <v>23.230475639329807</v>
      </c>
      <c r="M1685">
        <v>8263.3527360768003</v>
      </c>
      <c r="N1685" s="2">
        <f>(Tabla2[[#This Row],[Productividad (kg/TAS)]]*Tabla2[[#This Row],[Precio por kg]]-Tabla2[[#This Row],[Costos (En RD$/Tarea)]])</f>
        <v>1009.7145050582385</v>
      </c>
      <c r="O1685" s="6">
        <f>IF(Tabla2[[#This Row],[Costos (En RD$/Tarea)]]=0,0,Tabla2[[#This Row],[Beneficio Neto  (En RD$/Tarea)]]/Tabla2[[#This Row],[Costos (En RD$/Tarea)]])</f>
        <v>0.12219186779355877</v>
      </c>
      <c r="P1685" s="4">
        <f>Tabla2[[#This Row],[Rentabilidad (%)]]/12</f>
        <v>1.018265564946323E-2</v>
      </c>
    </row>
    <row r="1686" spans="1:16" x14ac:dyDescent="0.35">
      <c r="A1686" s="1">
        <v>40787</v>
      </c>
      <c r="B1686" t="s">
        <v>23</v>
      </c>
      <c r="C1686" s="2">
        <v>2269</v>
      </c>
      <c r="D1686" s="5" t="s">
        <v>17</v>
      </c>
      <c r="E1686" s="2">
        <f>IF(Tabla2[[#This Row],[Frecuencia]]="Annual", Tabla2[[#This Row],[Cosecha/Tarea]]/12,Tabla2[[#This Row],[Cosecha/Tarea]])</f>
        <v>2269</v>
      </c>
      <c r="F1686" s="2">
        <v>81491</v>
      </c>
      <c r="G1686" t="s">
        <v>18</v>
      </c>
      <c r="H1686">
        <f>F1686/Tabla2[[#This Row],[Cosecha Mensual]]</f>
        <v>35.914940502423974</v>
      </c>
      <c r="I1686">
        <f>H1686*_xlfn.XLOOKUP(Tabla2[[#This Row],[Unidad de producción]],Tabla3[Medida],Tabla3[Equivalencia en Kg],"ELVIS",0)</f>
        <v>1629.1017011899514</v>
      </c>
      <c r="J1686">
        <v>787.5</v>
      </c>
      <c r="K1686" t="s">
        <v>18</v>
      </c>
      <c r="L1686">
        <f>J1686/_xlfn.XLOOKUP(Tabla2[[#This Row],[Unidad de precio]],Tabla3[Medida],Tabla3[Equivalencia en Kg],"ELVIS",0)</f>
        <v>17.361111111111111</v>
      </c>
      <c r="M1686">
        <v>22831.198995686002</v>
      </c>
      <c r="N1686" s="2">
        <f>(Tabla2[[#This Row],[Productividad (kg/TAS)]]*Tabla2[[#This Row],[Precio por kg]]-Tabla2[[#This Row],[Costos (En RD$/Tarea)]])</f>
        <v>5451.8166499728759</v>
      </c>
      <c r="O1686" s="6">
        <f>IF(Tabla2[[#This Row],[Costos (En RD$/Tarea)]]=0,0,Tabla2[[#This Row],[Beneficio Neto  (En RD$/Tarea)]]/Tabla2[[#This Row],[Costos (En RD$/Tarea)]])</f>
        <v>0.23878801332347929</v>
      </c>
      <c r="P1686" s="4">
        <f>Tabla2[[#This Row],[Rentabilidad (%)]]/12</f>
        <v>1.989900111028994E-2</v>
      </c>
    </row>
    <row r="1687" spans="1:16" x14ac:dyDescent="0.35">
      <c r="A1687" s="1">
        <v>40787</v>
      </c>
      <c r="B1687" t="s">
        <v>24</v>
      </c>
      <c r="C1687" s="2">
        <v>4381</v>
      </c>
      <c r="D1687" s="5" t="s">
        <v>17</v>
      </c>
      <c r="E1687" s="2">
        <f>IF(Tabla2[[#This Row],[Frecuencia]]="Annual", Tabla2[[#This Row],[Cosecha/Tarea]]/12,Tabla2[[#This Row],[Cosecha/Tarea]])</f>
        <v>4381</v>
      </c>
      <c r="F1687" s="2">
        <v>40166</v>
      </c>
      <c r="G1687" t="s">
        <v>18</v>
      </c>
      <c r="H1687">
        <f>F1687/Tabla2[[#This Row],[Cosecha Mensual]]</f>
        <v>9.1682264323213882</v>
      </c>
      <c r="I1687">
        <f>H1687*_xlfn.XLOOKUP(Tabla2[[#This Row],[Unidad de producción]],Tabla3[Medida],Tabla3[Equivalencia en Kg],"ELVIS",0)</f>
        <v>415.87075097009819</v>
      </c>
      <c r="J1687">
        <v>1281.5</v>
      </c>
      <c r="K1687" t="s">
        <v>18</v>
      </c>
      <c r="L1687">
        <f>J1687/_xlfn.XLOOKUP(Tabla2[[#This Row],[Unidad de precio]],Tabla3[Medida],Tabla3[Equivalencia en Kg],"ELVIS",0)</f>
        <v>28.251763668430335</v>
      </c>
      <c r="M1687">
        <v>6908.3833517736002</v>
      </c>
      <c r="N1687" s="2">
        <f>(Tabla2[[#This Row],[Productividad (kg/TAS)]]*Tabla2[[#This Row],[Precio por kg]]-Tabla2[[#This Row],[Costos (En RD$/Tarea)]])</f>
        <v>4840.6988212462602</v>
      </c>
      <c r="O1687" s="6">
        <f>IF(Tabla2[[#This Row],[Costos (En RD$/Tarea)]]=0,0,Tabla2[[#This Row],[Beneficio Neto  (En RD$/Tarea)]]/Tabla2[[#This Row],[Costos (En RD$/Tarea)]])</f>
        <v>0.70069921930483203</v>
      </c>
      <c r="P1687" s="4">
        <f>Tabla2[[#This Row],[Rentabilidad (%)]]/12</f>
        <v>5.8391601608736E-2</v>
      </c>
    </row>
    <row r="1688" spans="1:16" x14ac:dyDescent="0.35">
      <c r="A1688" s="1">
        <v>40787</v>
      </c>
      <c r="B1688" t="s">
        <v>25</v>
      </c>
      <c r="C1688" s="2">
        <v>21918</v>
      </c>
      <c r="D1688" s="5" t="s">
        <v>17</v>
      </c>
      <c r="E1688" s="2">
        <f>IF(Tabla2[[#This Row],[Frecuencia]]="Annual", Tabla2[[#This Row],[Cosecha/Tarea]]/12,Tabla2[[#This Row],[Cosecha/Tarea]])</f>
        <v>21918</v>
      </c>
      <c r="F1688" s="2">
        <v>286627</v>
      </c>
      <c r="G1688" t="s">
        <v>18</v>
      </c>
      <c r="H1688">
        <f>F1688/Tabla2[[#This Row],[Cosecha Mensual]]</f>
        <v>13.077242449128571</v>
      </c>
      <c r="I1688">
        <f>H1688*_xlfn.XLOOKUP(Tabla2[[#This Row],[Unidad de producción]],Tabla3[Medida],Tabla3[Equivalencia en Kg],"ELVIS",0)</f>
        <v>593.18371749247194</v>
      </c>
      <c r="J1688">
        <v>669.73454444444405</v>
      </c>
      <c r="K1688" t="s">
        <v>18</v>
      </c>
      <c r="L1688">
        <f>J1688/_xlfn.XLOOKUP(Tabla2[[#This Row],[Unidad de precio]],Tabla3[Medida],Tabla3[Equivalencia en Kg],"ELVIS",0)</f>
        <v>14.76487090926905</v>
      </c>
      <c r="M1688">
        <v>4283.9889411321201</v>
      </c>
      <c r="N1688" s="2">
        <f>(Tabla2[[#This Row],[Productividad (kg/TAS)]]*Tabla2[[#This Row],[Precio por kg]]-Tabla2[[#This Row],[Costos (En RD$/Tarea)]])</f>
        <v>4474.2920731245486</v>
      </c>
      <c r="O1688" s="6">
        <f>IF(Tabla2[[#This Row],[Costos (En RD$/Tarea)]]=0,0,Tabla2[[#This Row],[Beneficio Neto  (En RD$/Tarea)]]/Tabla2[[#This Row],[Costos (En RD$/Tarea)]])</f>
        <v>1.0444219475370862</v>
      </c>
      <c r="P1688" s="4">
        <f>Tabla2[[#This Row],[Rentabilidad (%)]]/12</f>
        <v>8.7035162294757176E-2</v>
      </c>
    </row>
    <row r="1689" spans="1:16" x14ac:dyDescent="0.35">
      <c r="A1689" s="1">
        <v>40787</v>
      </c>
      <c r="B1689" t="s">
        <v>26</v>
      </c>
      <c r="C1689" s="2">
        <v>11500</v>
      </c>
      <c r="D1689" s="5" t="s">
        <v>17</v>
      </c>
      <c r="E1689" s="2">
        <f>IF(Tabla2[[#This Row],[Frecuencia]]="Annual", Tabla2[[#This Row],[Cosecha/Tarea]]/12,Tabla2[[#This Row],[Cosecha/Tarea]])</f>
        <v>11500</v>
      </c>
      <c r="F1689" s="2">
        <v>84083</v>
      </c>
      <c r="G1689" t="s">
        <v>18</v>
      </c>
      <c r="H1689">
        <f>F1689/Tabla2[[#This Row],[Cosecha Mensual]]</f>
        <v>7.3115652173913039</v>
      </c>
      <c r="I1689">
        <f>H1689*_xlfn.XLOOKUP(Tabla2[[#This Row],[Unidad de producción]],Tabla3[Medida],Tabla3[Equivalencia en Kg],"ELVIS",0)</f>
        <v>331.65259826086952</v>
      </c>
      <c r="J1689">
        <v>538.368333333333</v>
      </c>
      <c r="K1689" t="s">
        <v>18</v>
      </c>
      <c r="L1689">
        <f>J1689/_xlfn.XLOOKUP(Tabla2[[#This Row],[Unidad de precio]],Tabla3[Medida],Tabla3[Equivalencia en Kg],"ELVIS",0)</f>
        <v>11.868790417401522</v>
      </c>
      <c r="M1689">
        <v>2009.79</v>
      </c>
      <c r="N1689" s="2">
        <f>(Tabla2[[#This Row],[Productividad (kg/TAS)]]*Tabla2[[#This Row],[Precio por kg]]-Tabla2[[#This Row],[Costos (En RD$/Tarea)]])</f>
        <v>1926.5251801449249</v>
      </c>
      <c r="O1689" s="6">
        <f>IF(Tabla2[[#This Row],[Costos (En RD$/Tarea)]]=0,0,Tabla2[[#This Row],[Beneficio Neto  (En RD$/Tarea)]]/Tabla2[[#This Row],[Costos (En RD$/Tarea)]])</f>
        <v>0.95857038802308947</v>
      </c>
      <c r="P1689" s="4">
        <f>Tabla2[[#This Row],[Rentabilidad (%)]]/12</f>
        <v>7.9880865668590789E-2</v>
      </c>
    </row>
    <row r="1690" spans="1:16" x14ac:dyDescent="0.35">
      <c r="A1690" s="1">
        <v>40787</v>
      </c>
      <c r="B1690" t="s">
        <v>27</v>
      </c>
      <c r="C1690" s="2">
        <v>4851</v>
      </c>
      <c r="D1690" s="5" t="s">
        <v>17</v>
      </c>
      <c r="E1690" s="2">
        <f>IF(Tabla2[[#This Row],[Frecuencia]]="Annual", Tabla2[[#This Row],[Cosecha/Tarea]]/12,Tabla2[[#This Row],[Cosecha/Tarea]])</f>
        <v>4851</v>
      </c>
      <c r="F1690" s="2">
        <v>43897</v>
      </c>
      <c r="G1690" t="s">
        <v>18</v>
      </c>
      <c r="H1690">
        <f>F1690/Tabla2[[#This Row],[Cosecha Mensual]]</f>
        <v>9.0490620490620497</v>
      </c>
      <c r="I1690">
        <f>H1690*_xlfn.XLOOKUP(Tabla2[[#This Row],[Unidad de producción]],Tabla3[Medida],Tabla3[Equivalencia en Kg],"ELVIS",0)</f>
        <v>410.46545454545458</v>
      </c>
      <c r="J1690">
        <v>463.37926666666698</v>
      </c>
      <c r="K1690" t="s">
        <v>18</v>
      </c>
      <c r="L1690">
        <f>J1690/_xlfn.XLOOKUP(Tabla2[[#This Row],[Unidad de precio]],Tabla3[Medida],Tabla3[Equivalencia en Kg],"ELVIS",0)</f>
        <v>10.215592298647861</v>
      </c>
      <c r="M1690">
        <v>6922.0219999999999</v>
      </c>
      <c r="N1690" s="2">
        <f>(Tabla2[[#This Row],[Productividad (kg/TAS)]]*Tabla2[[#This Row],[Precio por kg]]-Tabla2[[#This Row],[Costos (En RD$/Tarea)]])</f>
        <v>-2728.8742636844609</v>
      </c>
      <c r="O1690" s="6">
        <f>IF(Tabla2[[#This Row],[Costos (En RD$/Tarea)]]=0,0,Tabla2[[#This Row],[Beneficio Neto  (En RD$/Tarea)]]/Tabla2[[#This Row],[Costos (En RD$/Tarea)]])</f>
        <v>-0.39423079898972596</v>
      </c>
      <c r="P1690" s="4">
        <f>Tabla2[[#This Row],[Rentabilidad (%)]]/12</f>
        <v>-3.2852566582477163E-2</v>
      </c>
    </row>
    <row r="1691" spans="1:16" x14ac:dyDescent="0.35">
      <c r="A1691" s="1">
        <v>40787</v>
      </c>
      <c r="B1691" t="s">
        <v>28</v>
      </c>
      <c r="C1691" s="2">
        <v>45981</v>
      </c>
      <c r="D1691" s="5" t="s">
        <v>17</v>
      </c>
      <c r="E1691" s="2">
        <f>IF(Tabla2[[#This Row],[Frecuencia]]="Annual", Tabla2[[#This Row],[Cosecha/Tarea]]/12,Tabla2[[#This Row],[Cosecha/Tarea]])</f>
        <v>45981</v>
      </c>
      <c r="F1691" s="2">
        <v>77308</v>
      </c>
      <c r="G1691" t="s">
        <v>29</v>
      </c>
      <c r="H1691">
        <f>F1691/Tabla2[[#This Row],[Cosecha Mensual]]</f>
        <v>1.6813031469520019</v>
      </c>
      <c r="I1691">
        <f>H1691*_xlfn.XLOOKUP(Tabla2[[#This Row],[Unidad de producción]],Tabla3[Medida],Tabla3[Equivalencia en Kg],"ELVIS",0)</f>
        <v>945.46401165698876</v>
      </c>
      <c r="J1691">
        <v>4229.1666666666697</v>
      </c>
      <c r="K1691" t="s">
        <v>29</v>
      </c>
      <c r="L1691">
        <f>J1691/_xlfn.XLOOKUP(Tabla2[[#This Row],[Unidad de precio]],Tabla3[Medida],Tabla3[Equivalencia en Kg],"ELVIS",0)</f>
        <v>7.5206577278277722</v>
      </c>
      <c r="M1691">
        <v>6816.0513247333301</v>
      </c>
      <c r="N1691" s="2">
        <f>(Tabla2[[#This Row],[Productividad (kg/TAS)]]*Tabla2[[#This Row],[Precio por kg]]-Tabla2[[#This Row],[Costos (En RD$/Tarea)]])</f>
        <v>294.45990091784915</v>
      </c>
      <c r="O1691" s="6">
        <f>IF(Tabla2[[#This Row],[Costos (En RD$/Tarea)]]=0,0,Tabla2[[#This Row],[Beneficio Neto  (En RD$/Tarea)]]/Tabla2[[#This Row],[Costos (En RD$/Tarea)]])</f>
        <v>4.3200951238343201E-2</v>
      </c>
      <c r="P1691" s="4">
        <f>Tabla2[[#This Row],[Rentabilidad (%)]]/12</f>
        <v>3.6000792698619335E-3</v>
      </c>
    </row>
    <row r="1692" spans="1:16" x14ac:dyDescent="0.35">
      <c r="A1692" s="1">
        <v>40787</v>
      </c>
      <c r="B1692" t="s">
        <v>30</v>
      </c>
      <c r="C1692" s="2">
        <v>353314</v>
      </c>
      <c r="D1692" s="2" t="s">
        <v>31</v>
      </c>
      <c r="E1692" s="2">
        <f>IF(Tabla2[[#This Row],[Frecuencia]]="Annual", Tabla2[[#This Row],[Cosecha/Tarea]]/12,Tabla2[[#This Row],[Cosecha/Tarea]])</f>
        <v>29442.833333333332</v>
      </c>
      <c r="F1692" s="2">
        <v>3104726</v>
      </c>
      <c r="G1692" t="s">
        <v>32</v>
      </c>
      <c r="H1692">
        <f>F1692/Tabla2[[#This Row],[Cosecha Mensual]]</f>
        <v>105.44929439535372</v>
      </c>
      <c r="I1692">
        <f>H1692*_xlfn.XLOOKUP(Tabla2[[#This Row],[Unidad de producción]],Tabla3[Medida],Tabla3[Equivalencia en Kg],"ELVIS",0)</f>
        <v>2869.2753004975748</v>
      </c>
      <c r="J1692">
        <v>110.92749999999999</v>
      </c>
      <c r="K1692" t="s">
        <v>32</v>
      </c>
      <c r="L1692">
        <f>J1692/_xlfn.XLOOKUP(Tabla2[[#This Row],[Unidad de precio]],Tabla3[Medida],Tabla3[Equivalencia en Kg],"ELVIS",0)</f>
        <v>4.0767181183388459</v>
      </c>
      <c r="M1692" s="2">
        <v>11259.713084354</v>
      </c>
      <c r="N1692" s="2">
        <f>(Tabla2[[#This Row],[Productividad (kg/TAS)]]*Tabla2[[#This Row],[Precio por kg]]-Tabla2[[#This Row],[Costos (En RD$/Tarea)]])</f>
        <v>437.51351968659947</v>
      </c>
      <c r="O1692" s="6">
        <f>IF(Tabla2[[#This Row],[Costos (En RD$/Tarea)]]=0,0,Tabla2[[#This Row],[Beneficio Neto  (En RD$/Tarea)]]/Tabla2[[#This Row],[Costos (En RD$/Tarea)]])</f>
        <v>3.8856542472165558E-2</v>
      </c>
      <c r="P1692" s="4">
        <f>Tabla2[[#This Row],[Rentabilidad (%)]]/12</f>
        <v>3.2380452060137965E-3</v>
      </c>
    </row>
    <row r="1693" spans="1:16" x14ac:dyDescent="0.35">
      <c r="A1693" s="1">
        <v>40787</v>
      </c>
      <c r="B1693" t="s">
        <v>33</v>
      </c>
      <c r="C1693" s="2">
        <v>723181</v>
      </c>
      <c r="D1693" s="2" t="s">
        <v>31</v>
      </c>
      <c r="E1693" s="8">
        <f>IF(Tabla2[[#This Row],[Frecuencia]]="Annual", Tabla2[[#This Row],[Cosecha/Tarea]]/12,Tabla2[[#This Row],[Cosecha/Tarea]])</f>
        <v>60265.083333333336</v>
      </c>
      <c r="F1693" s="2">
        <v>167571</v>
      </c>
      <c r="G1693" t="s">
        <v>34</v>
      </c>
      <c r="H1693">
        <f>F1693/Tabla2[[#This Row],[Cosecha Mensual]]</f>
        <v>2.7805653079934345</v>
      </c>
      <c r="I1693">
        <f>H1693*_xlfn.XLOOKUP(Tabla2[[#This Row],[Unidad de producción]],Tabla3[Medida],Tabla3[Equivalencia en Kg],"ELVIS",0)</f>
        <v>1134.8877304575203</v>
      </c>
      <c r="J1693">
        <v>4184.7227777777798</v>
      </c>
      <c r="K1693" t="s">
        <v>34</v>
      </c>
      <c r="L1693">
        <f>J1693/_xlfn.XLOOKUP(Tabla2[[#This Row],[Unidad de precio]],Tabla3[Medida],Tabla3[Equivalencia en Kg],"ELVIS",0)</f>
        <v>10.252904024936372</v>
      </c>
      <c r="M1693" s="2">
        <v>10868.026372878299</v>
      </c>
      <c r="N1693" s="2">
        <f>(Tabla2[[#This Row],[Productividad (kg/TAS)]]*Tabla2[[#This Row],[Precio por kg]]-Tabla2[[#This Row],[Costos (En RD$/Tarea)]])</f>
        <v>767.86860658051592</v>
      </c>
      <c r="O1693" s="6">
        <f>IF(Tabla2[[#This Row],[Costos (En RD$/Tarea)]]=0,0,Tabla2[[#This Row],[Beneficio Neto  (En RD$/Tarea)]]/Tabla2[[#This Row],[Costos (En RD$/Tarea)]])</f>
        <v>7.0653914541169149E-2</v>
      </c>
      <c r="P1693" s="4">
        <f>Tabla2[[#This Row],[Rentabilidad (%)]]/12</f>
        <v>5.8878262117640955E-3</v>
      </c>
    </row>
    <row r="1694" spans="1:16" x14ac:dyDescent="0.35">
      <c r="A1694" s="1">
        <v>40817</v>
      </c>
      <c r="B1694" t="s">
        <v>16</v>
      </c>
      <c r="C1694" s="2">
        <v>448124</v>
      </c>
      <c r="D1694" s="5" t="s">
        <v>17</v>
      </c>
      <c r="E1694" s="2">
        <f>IF(Tabla2[[#This Row],[Frecuencia]]="Annual", Tabla2[[#This Row],[Cosecha/Tarea]]/12,Tabla2[[#This Row],[Cosecha/Tarea]])</f>
        <v>448124</v>
      </c>
      <c r="F1694" s="2">
        <v>1988009</v>
      </c>
      <c r="G1694" t="s">
        <v>18</v>
      </c>
      <c r="H1694">
        <f>F1694/Tabla2[[#This Row],[Cosecha Mensual]]</f>
        <v>4.4362921869839598</v>
      </c>
      <c r="I1694">
        <f>H1694*_xlfn.XLOOKUP(Tabla2[[#This Row],[Unidad de producción]],Tabla3[Medida],Tabla3[Equivalencia en Kg],"ELVIS",0)</f>
        <v>201.23021360159242</v>
      </c>
      <c r="J1694">
        <v>1585.23</v>
      </c>
      <c r="K1694" t="s">
        <v>19</v>
      </c>
      <c r="L1694">
        <f>J1694/_xlfn.XLOOKUP(Tabla2[[#This Row],[Unidad de precio]],Tabla3[Medida],Tabla3[Equivalencia en Kg],"ELVIS",0)</f>
        <v>14.411181818181818</v>
      </c>
      <c r="M1694">
        <v>7569</v>
      </c>
      <c r="N1694" s="2">
        <f>(Tabla2[[#This Row],[Productividad (kg/TAS)]]*Tabla2[[#This Row],[Precio por kg]]-Tabla2[[#This Row],[Costos (En RD$/Tarea)]])</f>
        <v>-4669.0348044758875</v>
      </c>
      <c r="O1694" s="6">
        <f>IF(Tabla2[[#This Row],[Costos (En RD$/Tarea)]]=0,0,Tabla2[[#This Row],[Beneficio Neto  (En RD$/Tarea)]]/Tabla2[[#This Row],[Costos (En RD$/Tarea)]])</f>
        <v>-0.61686283584038681</v>
      </c>
      <c r="P1694" s="4">
        <f>Tabla2[[#This Row],[Rentabilidad (%)]]/12</f>
        <v>-5.1405236320032237E-2</v>
      </c>
    </row>
    <row r="1695" spans="1:16" x14ac:dyDescent="0.35">
      <c r="A1695" s="1">
        <v>40817</v>
      </c>
      <c r="B1695" t="s">
        <v>20</v>
      </c>
      <c r="C1695" s="2">
        <v>33960.333333333299</v>
      </c>
      <c r="D1695" s="5" t="s">
        <v>17</v>
      </c>
      <c r="E1695" s="2">
        <f>IF(Tabla2[[#This Row],[Frecuencia]]="Annual", Tabla2[[#This Row],[Cosecha/Tarea]]/12,Tabla2[[#This Row],[Cosecha/Tarea]])</f>
        <v>33960.333333333299</v>
      </c>
      <c r="F1695" s="2">
        <v>71306</v>
      </c>
      <c r="G1695" t="s">
        <v>18</v>
      </c>
      <c r="H1695">
        <f>F1695/Tabla2[[#This Row],[Cosecha Mensual]]</f>
        <v>2.0996849265319364</v>
      </c>
      <c r="I1695">
        <f>H1695*_xlfn.XLOOKUP(Tabla2[[#This Row],[Unidad de producción]],Tabla3[Medida],Tabla3[Equivalencia en Kg],"ELVIS",0)</f>
        <v>95.241708267488633</v>
      </c>
      <c r="J1695">
        <v>610.27890000000002</v>
      </c>
      <c r="K1695" t="s">
        <v>18</v>
      </c>
      <c r="L1695">
        <f>J1695/_xlfn.XLOOKUP(Tabla2[[#This Row],[Unidad de precio]],Tabla3[Medida],Tabla3[Equivalencia en Kg],"ELVIS",0)</f>
        <v>13.45412037037037</v>
      </c>
      <c r="M1695">
        <v>2249.6320342847998</v>
      </c>
      <c r="N1695" s="2">
        <f>(Tabla2[[#This Row],[Productividad (kg/TAS)]]*Tabla2[[#This Row],[Precio por kg]]-Tabla2[[#This Row],[Costos (En RD$/Tarea)]])</f>
        <v>-968.238626974309</v>
      </c>
      <c r="O1695" s="6">
        <f>IF(Tabla2[[#This Row],[Costos (En RD$/Tarea)]]=0,0,Tabla2[[#This Row],[Beneficio Neto  (En RD$/Tarea)]]/Tabla2[[#This Row],[Costos (En RD$/Tarea)]])</f>
        <v>-0.43039866618992656</v>
      </c>
      <c r="P1695" s="4">
        <f>Tabla2[[#This Row],[Rentabilidad (%)]]/12</f>
        <v>-3.5866555515827216E-2</v>
      </c>
    </row>
    <row r="1696" spans="1:16" x14ac:dyDescent="0.35">
      <c r="A1696" s="1">
        <v>40817</v>
      </c>
      <c r="B1696" t="s">
        <v>21</v>
      </c>
      <c r="C1696" s="2">
        <v>8088.3333333333303</v>
      </c>
      <c r="D1696" s="5" t="s">
        <v>17</v>
      </c>
      <c r="E1696" s="2">
        <f>IF(Tabla2[[#This Row],[Frecuencia]]="Annual", Tabla2[[#This Row],[Cosecha/Tarea]]/12,Tabla2[[#This Row],[Cosecha/Tarea]])</f>
        <v>8088.3333333333303</v>
      </c>
      <c r="F1696" s="2">
        <v>91913</v>
      </c>
      <c r="G1696" t="s">
        <v>18</v>
      </c>
      <c r="H1696">
        <f>F1696/Tabla2[[#This Row],[Cosecha Mensual]]</f>
        <v>11.363651349680614</v>
      </c>
      <c r="I1696">
        <f>H1696*_xlfn.XLOOKUP(Tabla2[[#This Row],[Unidad de producción]],Tabla3[Medida],Tabla3[Equivalencia en Kg],"ELVIS",0)</f>
        <v>515.45522522151271</v>
      </c>
      <c r="J1696">
        <v>352.5</v>
      </c>
      <c r="K1696" t="s">
        <v>18</v>
      </c>
      <c r="L1696">
        <f>J1696/_xlfn.XLOOKUP(Tabla2[[#This Row],[Unidad de precio]],Tabla3[Medida],Tabla3[Equivalencia en Kg],"ELVIS",0)</f>
        <v>7.7711640211640214</v>
      </c>
      <c r="M1696">
        <v>4921.4416007500004</v>
      </c>
      <c r="N1696" s="2">
        <f>(Tabla2[[#This Row],[Productividad (kg/TAS)]]*Tabla2[[#This Row],[Precio por kg]]-Tabla2[[#This Row],[Costos (En RD$/Tarea)]])</f>
        <v>-915.75449998758359</v>
      </c>
      <c r="O1696" s="6">
        <f>IF(Tabla2[[#This Row],[Costos (En RD$/Tarea)]]=0,0,Tabla2[[#This Row],[Beneficio Neto  (En RD$/Tarea)]]/Tabla2[[#This Row],[Costos (En RD$/Tarea)]])</f>
        <v>-0.18607444205942172</v>
      </c>
      <c r="P1696" s="4">
        <f>Tabla2[[#This Row],[Rentabilidad (%)]]/12</f>
        <v>-1.5506203504951811E-2</v>
      </c>
    </row>
    <row r="1697" spans="1:16" x14ac:dyDescent="0.35">
      <c r="A1697" s="1">
        <v>40817</v>
      </c>
      <c r="B1697" t="s">
        <v>22</v>
      </c>
      <c r="C1697" s="2">
        <v>5533</v>
      </c>
      <c r="D1697" s="5" t="s">
        <v>17</v>
      </c>
      <c r="E1697" s="2">
        <f>IF(Tabla2[[#This Row],[Frecuencia]]="Annual", Tabla2[[#This Row],[Cosecha/Tarea]]/12,Tabla2[[#This Row],[Cosecha/Tarea]])</f>
        <v>5533</v>
      </c>
      <c r="F1697" s="2">
        <v>54464</v>
      </c>
      <c r="G1697" t="s">
        <v>18</v>
      </c>
      <c r="H1697">
        <f>F1697/Tabla2[[#This Row],[Cosecha Mensual]]</f>
        <v>9.8434845472618839</v>
      </c>
      <c r="I1697">
        <f>H1697*_xlfn.XLOOKUP(Tabla2[[#This Row],[Unidad de producción]],Tabla3[Medida],Tabla3[Equivalencia en Kg],"ELVIS",0)</f>
        <v>446.50045906379904</v>
      </c>
      <c r="J1697">
        <v>1005</v>
      </c>
      <c r="K1697" t="s">
        <v>18</v>
      </c>
      <c r="L1697">
        <f>J1697/_xlfn.XLOOKUP(Tabla2[[#This Row],[Unidad de precio]],Tabla3[Medida],Tabla3[Equivalencia en Kg],"ELVIS",0)</f>
        <v>22.156084656084655</v>
      </c>
      <c r="M1697">
        <v>8263.3527360768003</v>
      </c>
      <c r="N1697" s="2">
        <f>(Tabla2[[#This Row],[Productividad (kg/TAS)]]*Tabla2[[#This Row],[Precio por kg]]-Tabla2[[#This Row],[Costos (En RD$/Tarea)]])</f>
        <v>1629.3492339213917</v>
      </c>
      <c r="O1697" s="6">
        <f>IF(Tabla2[[#This Row],[Costos (En RD$/Tarea)]]=0,0,Tabla2[[#This Row],[Beneficio Neto  (En RD$/Tarea)]]/Tabla2[[#This Row],[Costos (En RD$/Tarea)]])</f>
        <v>0.19717774200874297</v>
      </c>
      <c r="P1697" s="4">
        <f>Tabla2[[#This Row],[Rentabilidad (%)]]/12</f>
        <v>1.6431478500728579E-2</v>
      </c>
    </row>
    <row r="1698" spans="1:16" x14ac:dyDescent="0.35">
      <c r="A1698" s="1">
        <v>40817</v>
      </c>
      <c r="B1698" t="s">
        <v>23</v>
      </c>
      <c r="C1698" s="2">
        <v>2682.3333333333298</v>
      </c>
      <c r="D1698" s="5" t="s">
        <v>17</v>
      </c>
      <c r="E1698" s="2">
        <f>IF(Tabla2[[#This Row],[Frecuencia]]="Annual", Tabla2[[#This Row],[Cosecha/Tarea]]/12,Tabla2[[#This Row],[Cosecha/Tarea]])</f>
        <v>2682.3333333333298</v>
      </c>
      <c r="F1698" s="2">
        <v>91172</v>
      </c>
      <c r="G1698" t="s">
        <v>18</v>
      </c>
      <c r="H1698">
        <f>F1698/Tabla2[[#This Row],[Cosecha Mensual]]</f>
        <v>33.989809867031234</v>
      </c>
      <c r="I1698">
        <f>H1698*_xlfn.XLOOKUP(Tabla2[[#This Row],[Unidad de producción]],Tabla3[Medida],Tabla3[Equivalencia en Kg],"ELVIS",0)</f>
        <v>1541.7777755685368</v>
      </c>
      <c r="J1698">
        <v>694.16525000000001</v>
      </c>
      <c r="K1698" t="s">
        <v>18</v>
      </c>
      <c r="L1698">
        <f>J1698/_xlfn.XLOOKUP(Tabla2[[#This Row],[Unidad de precio]],Tabla3[Medida],Tabla3[Equivalencia en Kg],"ELVIS",0)</f>
        <v>15.303466710758379</v>
      </c>
      <c r="M1698">
        <v>22831.198995686002</v>
      </c>
      <c r="N1698" s="2">
        <f>(Tabla2[[#This Row],[Productividad (kg/TAS)]]*Tabla2[[#This Row],[Precio por kg]]-Tabla2[[#This Row],[Costos (En RD$/Tarea)]])</f>
        <v>763.34586811420377</v>
      </c>
      <c r="O1698" s="6">
        <f>IF(Tabla2[[#This Row],[Costos (En RD$/Tarea)]]=0,0,Tabla2[[#This Row],[Beneficio Neto  (En RD$/Tarea)]]/Tabla2[[#This Row],[Costos (En RD$/Tarea)]])</f>
        <v>3.3434331164930907E-2</v>
      </c>
      <c r="P1698" s="4">
        <f>Tabla2[[#This Row],[Rentabilidad (%)]]/12</f>
        <v>2.7861942637442422E-3</v>
      </c>
    </row>
    <row r="1699" spans="1:16" x14ac:dyDescent="0.35">
      <c r="A1699" s="1">
        <v>40817</v>
      </c>
      <c r="B1699" t="s">
        <v>24</v>
      </c>
      <c r="C1699" s="2">
        <v>4986.6666666666697</v>
      </c>
      <c r="D1699" s="5" t="s">
        <v>17</v>
      </c>
      <c r="E1699" s="2">
        <f>IF(Tabla2[[#This Row],[Frecuencia]]="Annual", Tabla2[[#This Row],[Cosecha/Tarea]]/12,Tabla2[[#This Row],[Cosecha/Tarea]])</f>
        <v>4986.6666666666697</v>
      </c>
      <c r="F1699" s="2">
        <v>58056</v>
      </c>
      <c r="G1699" t="s">
        <v>18</v>
      </c>
      <c r="H1699">
        <f>F1699/Tabla2[[#This Row],[Cosecha Mensual]]</f>
        <v>11.642245989304806</v>
      </c>
      <c r="I1699">
        <f>H1699*_xlfn.XLOOKUP(Tabla2[[#This Row],[Unidad de producción]],Tabla3[Medida],Tabla3[Equivalencia en Kg],"ELVIS",0)</f>
        <v>528.09227807486604</v>
      </c>
      <c r="J1699">
        <v>1218.22166666667</v>
      </c>
      <c r="K1699" t="s">
        <v>18</v>
      </c>
      <c r="L1699">
        <f>J1699/_xlfn.XLOOKUP(Tabla2[[#This Row],[Unidad de precio]],Tabla3[Medida],Tabla3[Equivalencia en Kg],"ELVIS",0)</f>
        <v>26.856738683127645</v>
      </c>
      <c r="M1699">
        <v>6908.3833517736002</v>
      </c>
      <c r="N1699" s="2">
        <f>(Tabla2[[#This Row],[Productividad (kg/TAS)]]*Tabla2[[#This Row],[Precio por kg]]-Tabla2[[#This Row],[Costos (En RD$/Tarea)]])</f>
        <v>7274.4529610606551</v>
      </c>
      <c r="O1699" s="6">
        <f>IF(Tabla2[[#This Row],[Costos (En RD$/Tarea)]]=0,0,Tabla2[[#This Row],[Beneficio Neto  (En RD$/Tarea)]]/Tabla2[[#This Row],[Costos (En RD$/Tarea)]])</f>
        <v>1.0529891858408629</v>
      </c>
      <c r="P1699" s="4">
        <f>Tabla2[[#This Row],[Rentabilidad (%)]]/12</f>
        <v>8.7749098820071911E-2</v>
      </c>
    </row>
    <row r="1700" spans="1:16" x14ac:dyDescent="0.35">
      <c r="A1700" s="1">
        <v>40817</v>
      </c>
      <c r="B1700" t="s">
        <v>25</v>
      </c>
      <c r="C1700" s="2">
        <v>26784.333333333299</v>
      </c>
      <c r="D1700" s="5" t="s">
        <v>17</v>
      </c>
      <c r="E1700" s="2">
        <f>IF(Tabla2[[#This Row],[Frecuencia]]="Annual", Tabla2[[#This Row],[Cosecha/Tarea]]/12,Tabla2[[#This Row],[Cosecha/Tarea]])</f>
        <v>26784.333333333299</v>
      </c>
      <c r="F1700" s="2">
        <v>293305</v>
      </c>
      <c r="G1700" t="s">
        <v>18</v>
      </c>
      <c r="H1700">
        <f>F1700/Tabla2[[#This Row],[Cosecha Mensual]]</f>
        <v>10.950617898522783</v>
      </c>
      <c r="I1700">
        <f>H1700*_xlfn.XLOOKUP(Tabla2[[#This Row],[Unidad de producción]],Tabla3[Medida],Tabla3[Equivalencia en Kg],"ELVIS",0)</f>
        <v>496.72002787699341</v>
      </c>
      <c r="J1700">
        <v>589.8424</v>
      </c>
      <c r="K1700" t="s">
        <v>18</v>
      </c>
      <c r="L1700">
        <f>J1700/_xlfn.XLOOKUP(Tabla2[[#This Row],[Unidad de precio]],Tabla3[Medida],Tabla3[Equivalencia en Kg],"ELVIS",0)</f>
        <v>13.003580246913581</v>
      </c>
      <c r="M1700">
        <v>4283.9889411321201</v>
      </c>
      <c r="N1700" s="2">
        <f>(Tabla2[[#This Row],[Productividad (kg/TAS)]]*Tabla2[[#This Row],[Precio por kg]]-Tabla2[[#This Row],[Costos (En RD$/Tarea)]])</f>
        <v>2175.1498016155147</v>
      </c>
      <c r="O1700" s="6">
        <f>IF(Tabla2[[#This Row],[Costos (En RD$/Tarea)]]=0,0,Tabla2[[#This Row],[Beneficio Neto  (En RD$/Tarea)]]/Tabla2[[#This Row],[Costos (En RD$/Tarea)]])</f>
        <v>0.50773935962605277</v>
      </c>
      <c r="P1700" s="4">
        <f>Tabla2[[#This Row],[Rentabilidad (%)]]/12</f>
        <v>4.2311613302171064E-2</v>
      </c>
    </row>
    <row r="1701" spans="1:16" x14ac:dyDescent="0.35">
      <c r="A1701" s="1">
        <v>40817</v>
      </c>
      <c r="B1701" t="s">
        <v>26</v>
      </c>
      <c r="C1701" s="2">
        <v>11635</v>
      </c>
      <c r="D1701" s="5" t="s">
        <v>17</v>
      </c>
      <c r="E1701" s="2">
        <f>IF(Tabla2[[#This Row],[Frecuencia]]="Annual", Tabla2[[#This Row],[Cosecha/Tarea]]/12,Tabla2[[#This Row],[Cosecha/Tarea]])</f>
        <v>11635</v>
      </c>
      <c r="F1701" s="2">
        <v>67075</v>
      </c>
      <c r="G1701" t="s">
        <v>18</v>
      </c>
      <c r="H1701">
        <f>F1701/Tabla2[[#This Row],[Cosecha Mensual]]</f>
        <v>5.7649333906317146</v>
      </c>
      <c r="I1701">
        <f>H1701*_xlfn.XLOOKUP(Tabla2[[#This Row],[Unidad de producción]],Tabla3[Medida],Tabla3[Equivalencia en Kg],"ELVIS",0)</f>
        <v>261.49737859905457</v>
      </c>
      <c r="J1701">
        <v>539.58399999999995</v>
      </c>
      <c r="K1701" t="s">
        <v>18</v>
      </c>
      <c r="L1701">
        <f>J1701/_xlfn.XLOOKUP(Tabla2[[#This Row],[Unidad de precio]],Tabla3[Medida],Tabla3[Equivalencia en Kg],"ELVIS",0)</f>
        <v>11.895590828924162</v>
      </c>
      <c r="M1701">
        <v>2009.79</v>
      </c>
      <c r="N1701" s="2">
        <f>(Tabla2[[#This Row],[Productividad (kg/TAS)]]*Tabla2[[#This Row],[Precio por kg]]-Tabla2[[#This Row],[Costos (En RD$/Tarea)]])</f>
        <v>1100.8758186506229</v>
      </c>
      <c r="O1701" s="6">
        <f>IF(Tabla2[[#This Row],[Costos (En RD$/Tarea)]]=0,0,Tabla2[[#This Row],[Beneficio Neto  (En RD$/Tarea)]]/Tabla2[[#This Row],[Costos (En RD$/Tarea)]])</f>
        <v>0.54775664056972273</v>
      </c>
      <c r="P1701" s="4">
        <f>Tabla2[[#This Row],[Rentabilidad (%)]]/12</f>
        <v>4.5646386714143561E-2</v>
      </c>
    </row>
    <row r="1702" spans="1:16" x14ac:dyDescent="0.35">
      <c r="A1702" s="1">
        <v>40817</v>
      </c>
      <c r="B1702" t="s">
        <v>27</v>
      </c>
      <c r="C1702" s="2">
        <v>8100</v>
      </c>
      <c r="D1702" s="5" t="s">
        <v>17</v>
      </c>
      <c r="E1702" s="2">
        <f>IF(Tabla2[[#This Row],[Frecuencia]]="Annual", Tabla2[[#This Row],[Cosecha/Tarea]]/12,Tabla2[[#This Row],[Cosecha/Tarea]])</f>
        <v>8100</v>
      </c>
      <c r="F1702" s="2">
        <v>42423</v>
      </c>
      <c r="G1702" t="s">
        <v>18</v>
      </c>
      <c r="H1702">
        <f>F1702/Tabla2[[#This Row],[Cosecha Mensual]]</f>
        <v>5.2374074074074075</v>
      </c>
      <c r="I1702">
        <f>H1702*_xlfn.XLOOKUP(Tabla2[[#This Row],[Unidad de producción]],Tabla3[Medida],Tabla3[Equivalencia en Kg],"ELVIS",0)</f>
        <v>237.56880000000001</v>
      </c>
      <c r="J1702">
        <v>483.74200000000002</v>
      </c>
      <c r="K1702" t="s">
        <v>18</v>
      </c>
      <c r="L1702">
        <f>J1702/_xlfn.XLOOKUP(Tabla2[[#This Row],[Unidad de precio]],Tabla3[Medida],Tabla3[Equivalencia en Kg],"ELVIS",0)</f>
        <v>10.664506172839507</v>
      </c>
      <c r="M1702">
        <v>6922.0219999999999</v>
      </c>
      <c r="N1702" s="2">
        <f>(Tabla2[[#This Row],[Productividad (kg/TAS)]]*Tabla2[[#This Row],[Precio por kg]]-Tabla2[[#This Row],[Costos (En RD$/Tarea)]])</f>
        <v>-4388.4680659259257</v>
      </c>
      <c r="O1702" s="6">
        <f>IF(Tabla2[[#This Row],[Costos (En RD$/Tarea)]]=0,0,Tabla2[[#This Row],[Beneficio Neto  (En RD$/Tarea)]]/Tabla2[[#This Row],[Costos (En RD$/Tarea)]])</f>
        <v>-0.63398643718929604</v>
      </c>
      <c r="P1702" s="4">
        <f>Tabla2[[#This Row],[Rentabilidad (%)]]/12</f>
        <v>-5.2832203099108001E-2</v>
      </c>
    </row>
    <row r="1703" spans="1:16" x14ac:dyDescent="0.35">
      <c r="A1703" s="1">
        <v>40817</v>
      </c>
      <c r="B1703" t="s">
        <v>28</v>
      </c>
      <c r="C1703" s="2">
        <v>68973.666666666701</v>
      </c>
      <c r="D1703" s="5" t="s">
        <v>17</v>
      </c>
      <c r="E1703" s="2">
        <f>IF(Tabla2[[#This Row],[Frecuencia]]="Annual", Tabla2[[#This Row],[Cosecha/Tarea]]/12,Tabla2[[#This Row],[Cosecha/Tarea]])</f>
        <v>68973.666666666701</v>
      </c>
      <c r="F1703" s="2">
        <v>93183</v>
      </c>
      <c r="G1703" t="s">
        <v>29</v>
      </c>
      <c r="H1703">
        <f>F1703/Tabla2[[#This Row],[Cosecha Mensual]]</f>
        <v>1.3509938575591645</v>
      </c>
      <c r="I1703">
        <f>H1703*_xlfn.XLOOKUP(Tabla2[[#This Row],[Unidad de producción]],Tabla3[Medida],Tabla3[Equivalencia en Kg],"ELVIS",0)</f>
        <v>759.71788585982063</v>
      </c>
      <c r="J1703">
        <v>4320</v>
      </c>
      <c r="K1703" t="s">
        <v>29</v>
      </c>
      <c r="L1703">
        <f>J1703/_xlfn.XLOOKUP(Tabla2[[#This Row],[Unidad de precio]],Tabla3[Medida],Tabla3[Equivalencia en Kg],"ELVIS",0)</f>
        <v>7.6821851548885016</v>
      </c>
      <c r="M1703">
        <v>6816.0513247333301</v>
      </c>
      <c r="N1703" s="2">
        <f>(Tabla2[[#This Row],[Productividad (kg/TAS)]]*Tabla2[[#This Row],[Precio por kg]]-Tabla2[[#This Row],[Costos (En RD$/Tarea)]])</f>
        <v>-979.75786007773877</v>
      </c>
      <c r="O1703" s="6">
        <f>IF(Tabla2[[#This Row],[Costos (En RD$/Tarea)]]=0,0,Tabla2[[#This Row],[Beneficio Neto  (En RD$/Tarea)]]/Tabla2[[#This Row],[Costos (En RD$/Tarea)]])</f>
        <v>-0.14374273511153038</v>
      </c>
      <c r="P1703" s="4">
        <f>Tabla2[[#This Row],[Rentabilidad (%)]]/12</f>
        <v>-1.1978561259294198E-2</v>
      </c>
    </row>
    <row r="1704" spans="1:16" x14ac:dyDescent="0.35">
      <c r="A1704" s="1">
        <v>40817</v>
      </c>
      <c r="B1704" t="s">
        <v>30</v>
      </c>
      <c r="C1704" s="2">
        <v>312401.66666666698</v>
      </c>
      <c r="D1704" s="2" t="s">
        <v>31</v>
      </c>
      <c r="E1704" s="2">
        <f>IF(Tabla2[[#This Row],[Frecuencia]]="Annual", Tabla2[[#This Row],[Cosecha/Tarea]]/12,Tabla2[[#This Row],[Cosecha/Tarea]])</f>
        <v>26033.472222222248</v>
      </c>
      <c r="F1704" s="2">
        <v>2585781</v>
      </c>
      <c r="G1704" t="s">
        <v>32</v>
      </c>
      <c r="H1704">
        <f>F1704/Tabla2[[#This Row],[Cosecha Mensual]]</f>
        <v>99.325244743679249</v>
      </c>
      <c r="I1704">
        <f>H1704*_xlfn.XLOOKUP(Tabla2[[#This Row],[Unidad de producción]],Tabla3[Medida],Tabla3[Equivalencia en Kg],"ELVIS",0)</f>
        <v>2702.6399094755125</v>
      </c>
      <c r="J1704">
        <v>116.208333333333</v>
      </c>
      <c r="K1704" t="s">
        <v>32</v>
      </c>
      <c r="L1704">
        <f>J1704/_xlfn.XLOOKUP(Tabla2[[#This Row],[Unidad de precio]],Tabla3[Medida],Tabla3[Equivalencia en Kg],"ELVIS",0)</f>
        <v>4.2707950508391397</v>
      </c>
      <c r="M1704" s="2">
        <v>11259.713084354</v>
      </c>
      <c r="N1704" s="2">
        <f>(Tabla2[[#This Row],[Productividad (kg/TAS)]]*Tabla2[[#This Row],[Precio por kg]]-Tabla2[[#This Row],[Costos (En RD$/Tarea)]])</f>
        <v>282.70806523435931</v>
      </c>
      <c r="O1704" s="6">
        <f>IF(Tabla2[[#This Row],[Costos (En RD$/Tarea)]]=0,0,Tabla2[[#This Row],[Beneficio Neto  (En RD$/Tarea)]]/Tabla2[[#This Row],[Costos (En RD$/Tarea)]])</f>
        <v>2.5107927983280317E-2</v>
      </c>
      <c r="P1704" s="4">
        <f>Tabla2[[#This Row],[Rentabilidad (%)]]/12</f>
        <v>2.0923273319400264E-3</v>
      </c>
    </row>
    <row r="1705" spans="1:16" x14ac:dyDescent="0.35">
      <c r="A1705" s="1">
        <v>40817</v>
      </c>
      <c r="B1705" t="s">
        <v>33</v>
      </c>
      <c r="C1705" s="2">
        <v>701047</v>
      </c>
      <c r="D1705" s="2" t="s">
        <v>31</v>
      </c>
      <c r="E1705" s="2">
        <f>IF(Tabla2[[#This Row],[Frecuencia]]="Annual", Tabla2[[#This Row],[Cosecha/Tarea]]/12,Tabla2[[#This Row],[Cosecha/Tarea]])</f>
        <v>58420.583333333336</v>
      </c>
      <c r="F1705" s="2">
        <v>132043</v>
      </c>
      <c r="G1705" t="s">
        <v>34</v>
      </c>
      <c r="H1705">
        <f>F1705/Tabla2[[#This Row],[Cosecha Mensual]]</f>
        <v>2.2602136518664224</v>
      </c>
      <c r="I1705">
        <f>H1705*_xlfn.XLOOKUP(Tabla2[[#This Row],[Unidad de producción]],Tabla3[Medida],Tabla3[Equivalencia en Kg],"ELVIS",0)</f>
        <v>922.50620200928029</v>
      </c>
      <c r="J1705">
        <v>3318.0549999999998</v>
      </c>
      <c r="K1705" t="s">
        <v>34</v>
      </c>
      <c r="L1705">
        <f>J1705/_xlfn.XLOOKUP(Tabla2[[#This Row],[Unidad de precio]],Tabla3[Medida],Tabla3[Equivalencia en Kg],"ELVIS",0)</f>
        <v>8.1294989587161588</v>
      </c>
      <c r="M1705" s="2">
        <v>10868.026372878299</v>
      </c>
      <c r="N1705" s="2">
        <f>(Tabla2[[#This Row],[Productividad (kg/TAS)]]*Tabla2[[#This Row],[Precio por kg]]-Tabla2[[#This Row],[Costos (En RD$/Tarea)]])</f>
        <v>-3368.5131642346569</v>
      </c>
      <c r="O1705" s="6">
        <f>IF(Tabla2[[#This Row],[Costos (En RD$/Tarea)]]=0,0,Tabla2[[#This Row],[Beneficio Neto  (En RD$/Tarea)]]/Tabla2[[#This Row],[Costos (En RD$/Tarea)]])</f>
        <v>-0.3099470914646425</v>
      </c>
      <c r="P1705" s="4">
        <f>Tabla2[[#This Row],[Rentabilidad (%)]]/12</f>
        <v>-2.5828924288720207E-2</v>
      </c>
    </row>
    <row r="1706" spans="1:16" x14ac:dyDescent="0.35">
      <c r="A1706" s="1">
        <v>40848</v>
      </c>
      <c r="B1706" t="s">
        <v>16</v>
      </c>
      <c r="C1706" s="2">
        <v>513017</v>
      </c>
      <c r="D1706" s="5" t="s">
        <v>17</v>
      </c>
      <c r="E1706" s="2">
        <f>IF(Tabla2[[#This Row],[Frecuencia]]="Annual", Tabla2[[#This Row],[Cosecha/Tarea]]/12,Tabla2[[#This Row],[Cosecha/Tarea]])</f>
        <v>513017</v>
      </c>
      <c r="F1706" s="2">
        <v>1868598</v>
      </c>
      <c r="G1706" t="s">
        <v>18</v>
      </c>
      <c r="H1706">
        <f>F1706/Tabla2[[#This Row],[Cosecha Mensual]]</f>
        <v>3.6423705257330652</v>
      </c>
      <c r="I1706">
        <f>H1706*_xlfn.XLOOKUP(Tabla2[[#This Row],[Unidad de producción]],Tabla3[Medida],Tabla3[Equivalencia en Kg],"ELVIS",0)</f>
        <v>165.21792704725183</v>
      </c>
      <c r="J1706">
        <v>1639.585</v>
      </c>
      <c r="K1706" t="s">
        <v>19</v>
      </c>
      <c r="L1706">
        <f>J1706/_xlfn.XLOOKUP(Tabla2[[#This Row],[Unidad de precio]],Tabla3[Medida],Tabla3[Equivalencia en Kg],"ELVIS",0)</f>
        <v>14.905318181818183</v>
      </c>
      <c r="M1706">
        <v>7569</v>
      </c>
      <c r="N1706" s="2">
        <f>(Tabla2[[#This Row],[Productividad (kg/TAS)]]*Tabla2[[#This Row],[Precio por kg]]-Tabla2[[#This Row],[Costos (En RD$/Tarea)]])</f>
        <v>-5106.3742280202869</v>
      </c>
      <c r="O1706" s="6">
        <f>IF(Tabla2[[#This Row],[Costos (En RD$/Tarea)]]=0,0,Tabla2[[#This Row],[Beneficio Neto  (En RD$/Tarea)]]/Tabla2[[#This Row],[Costos (En RD$/Tarea)]])</f>
        <v>-0.67464317981507294</v>
      </c>
      <c r="P1706" s="4">
        <f>Tabla2[[#This Row],[Rentabilidad (%)]]/12</f>
        <v>-5.6220264984589409E-2</v>
      </c>
    </row>
    <row r="1707" spans="1:16" x14ac:dyDescent="0.35">
      <c r="A1707" s="1">
        <v>40848</v>
      </c>
      <c r="B1707" t="s">
        <v>20</v>
      </c>
      <c r="C1707" s="2">
        <v>30754</v>
      </c>
      <c r="D1707" s="5" t="s">
        <v>17</v>
      </c>
      <c r="E1707" s="2">
        <f>IF(Tabla2[[#This Row],[Frecuencia]]="Annual", Tabla2[[#This Row],[Cosecha/Tarea]]/12,Tabla2[[#This Row],[Cosecha/Tarea]])</f>
        <v>30754</v>
      </c>
      <c r="F1707" s="2">
        <v>64413</v>
      </c>
      <c r="G1707" t="s">
        <v>18</v>
      </c>
      <c r="H1707">
        <f>F1707/Tabla2[[#This Row],[Cosecha Mensual]]</f>
        <v>2.0944592573323795</v>
      </c>
      <c r="I1707">
        <f>H1707*_xlfn.XLOOKUP(Tabla2[[#This Row],[Unidad de producción]],Tabla3[Medida],Tabla3[Equivalencia en Kg],"ELVIS",0)</f>
        <v>95.004671912596734</v>
      </c>
      <c r="J1707">
        <v>655.41600000000005</v>
      </c>
      <c r="K1707" t="s">
        <v>18</v>
      </c>
      <c r="L1707">
        <f>J1707/_xlfn.XLOOKUP(Tabla2[[#This Row],[Unidad de precio]],Tabla3[Medida],Tabla3[Equivalencia en Kg],"ELVIS",0)</f>
        <v>14.449206349206351</v>
      </c>
      <c r="M1707">
        <v>2249.6320342847998</v>
      </c>
      <c r="N1707" s="2">
        <f>(Tabla2[[#This Row],[Productividad (kg/TAS)]]*Tabla2[[#This Row],[Precio por kg]]-Tabla2[[#This Row],[Costos (En RD$/Tarea)]])</f>
        <v>-876.88992568104072</v>
      </c>
      <c r="O1707" s="6">
        <f>IF(Tabla2[[#This Row],[Costos (En RD$/Tarea)]]=0,0,Tabla2[[#This Row],[Beneficio Neto  (En RD$/Tarea)]]/Tabla2[[#This Row],[Costos (En RD$/Tarea)]])</f>
        <v>-0.38979260266438215</v>
      </c>
      <c r="P1707" s="4">
        <f>Tabla2[[#This Row],[Rentabilidad (%)]]/12</f>
        <v>-3.2482716888698512E-2</v>
      </c>
    </row>
    <row r="1708" spans="1:16" x14ac:dyDescent="0.35">
      <c r="A1708" s="1">
        <v>40848</v>
      </c>
      <c r="B1708" t="s">
        <v>21</v>
      </c>
      <c r="C1708" s="2">
        <v>8089</v>
      </c>
      <c r="D1708" s="5" t="s">
        <v>17</v>
      </c>
      <c r="E1708" s="2">
        <f>IF(Tabla2[[#This Row],[Frecuencia]]="Annual", Tabla2[[#This Row],[Cosecha/Tarea]]/12,Tabla2[[#This Row],[Cosecha/Tarea]])</f>
        <v>8089</v>
      </c>
      <c r="F1708" s="2">
        <v>95641</v>
      </c>
      <c r="G1708" t="s">
        <v>18</v>
      </c>
      <c r="H1708">
        <f>F1708/Tabla2[[#This Row],[Cosecha Mensual]]</f>
        <v>11.823587588082582</v>
      </c>
      <c r="I1708">
        <f>H1708*_xlfn.XLOOKUP(Tabla2[[#This Row],[Unidad de producción]],Tabla3[Medida],Tabla3[Equivalencia en Kg],"ELVIS",0)</f>
        <v>536.31793299542585</v>
      </c>
      <c r="J1708">
        <v>201.82499999999999</v>
      </c>
      <c r="K1708" t="s">
        <v>18</v>
      </c>
      <c r="L1708">
        <f>J1708/_xlfn.XLOOKUP(Tabla2[[#This Row],[Unidad de precio]],Tabla3[Medida],Tabla3[Equivalencia en Kg],"ELVIS",0)</f>
        <v>4.4494047619047619</v>
      </c>
      <c r="M1708">
        <v>4921.4416007500004</v>
      </c>
      <c r="N1708" s="2">
        <f>(Tabla2[[#This Row],[Productividad (kg/TAS)]]*Tabla2[[#This Row],[Precio por kg]]-Tabla2[[#This Row],[Costos (En RD$/Tarea)]])</f>
        <v>-2535.1460357852334</v>
      </c>
      <c r="O1708" s="6">
        <f>IF(Tabla2[[#This Row],[Costos (En RD$/Tarea)]]=0,0,Tabla2[[#This Row],[Beneficio Neto  (En RD$/Tarea)]]/Tabla2[[#This Row],[Costos (En RD$/Tarea)]])</f>
        <v>-0.51512264930643314</v>
      </c>
      <c r="P1708" s="4">
        <f>Tabla2[[#This Row],[Rentabilidad (%)]]/12</f>
        <v>-4.2926887442202764E-2</v>
      </c>
    </row>
    <row r="1709" spans="1:16" x14ac:dyDescent="0.35">
      <c r="A1709" s="1">
        <v>40848</v>
      </c>
      <c r="B1709" t="s">
        <v>22</v>
      </c>
      <c r="C1709" s="2">
        <v>6001</v>
      </c>
      <c r="D1709" s="5" t="s">
        <v>17</v>
      </c>
      <c r="E1709" s="2">
        <f>IF(Tabla2[[#This Row],[Frecuencia]]="Annual", Tabla2[[#This Row],[Cosecha/Tarea]]/12,Tabla2[[#This Row],[Cosecha/Tarea]])</f>
        <v>6001</v>
      </c>
      <c r="F1709" s="2">
        <v>45100</v>
      </c>
      <c r="G1709" t="s">
        <v>18</v>
      </c>
      <c r="H1709">
        <f>F1709/Tabla2[[#This Row],[Cosecha Mensual]]</f>
        <v>7.5154140976503916</v>
      </c>
      <c r="I1709">
        <f>H1709*_xlfn.XLOOKUP(Tabla2[[#This Row],[Unidad de producción]],Tabla3[Medida],Tabla3[Equivalencia en Kg],"ELVIS",0)</f>
        <v>340.89918346942176</v>
      </c>
      <c r="J1709">
        <v>1113.75</v>
      </c>
      <c r="K1709" t="s">
        <v>18</v>
      </c>
      <c r="L1709">
        <f>J1709/_xlfn.XLOOKUP(Tabla2[[#This Row],[Unidad de precio]],Tabla3[Medida],Tabla3[Equivalencia en Kg],"ELVIS",0)</f>
        <v>24.553571428571431</v>
      </c>
      <c r="M1709">
        <v>8263.3527360768003</v>
      </c>
      <c r="N1709" s="2">
        <f>(Tabla2[[#This Row],[Productividad (kg/TAS)]]*Tabla2[[#This Row],[Precio por kg]]-Tabla2[[#This Row],[Costos (En RD$/Tarea)]])</f>
        <v>106.93971518132457</v>
      </c>
      <c r="O1709" s="6">
        <f>IF(Tabla2[[#This Row],[Costos (En RD$/Tarea)]]=0,0,Tabla2[[#This Row],[Beneficio Neto  (En RD$/Tarea)]]/Tabla2[[#This Row],[Costos (En RD$/Tarea)]])</f>
        <v>1.2941443817887465E-2</v>
      </c>
      <c r="P1709" s="4">
        <f>Tabla2[[#This Row],[Rentabilidad (%)]]/12</f>
        <v>1.0784536514906221E-3</v>
      </c>
    </row>
    <row r="1710" spans="1:16" x14ac:dyDescent="0.35">
      <c r="A1710" s="1">
        <v>40848</v>
      </c>
      <c r="B1710" t="s">
        <v>23</v>
      </c>
      <c r="C1710" s="2">
        <v>3615</v>
      </c>
      <c r="D1710" s="5" t="s">
        <v>17</v>
      </c>
      <c r="E1710" s="2">
        <f>IF(Tabla2[[#This Row],[Frecuencia]]="Annual", Tabla2[[#This Row],[Cosecha/Tarea]]/12,Tabla2[[#This Row],[Cosecha/Tarea]])</f>
        <v>3615</v>
      </c>
      <c r="F1710" s="2">
        <v>117950</v>
      </c>
      <c r="G1710" t="s">
        <v>18</v>
      </c>
      <c r="H1710">
        <f>F1710/Tabla2[[#This Row],[Cosecha Mensual]]</f>
        <v>32.627939142461962</v>
      </c>
      <c r="I1710">
        <f>H1710*_xlfn.XLOOKUP(Tabla2[[#This Row],[Unidad de producción]],Tabla3[Medida],Tabla3[Equivalencia en Kg],"ELVIS",0)</f>
        <v>1480.0033195020746</v>
      </c>
      <c r="J1710">
        <v>814.58500000000004</v>
      </c>
      <c r="K1710" t="s">
        <v>18</v>
      </c>
      <c r="L1710">
        <f>J1710/_xlfn.XLOOKUP(Tabla2[[#This Row],[Unidad de precio]],Tabla3[Medida],Tabla3[Equivalencia en Kg],"ELVIS",0)</f>
        <v>17.95822310405644</v>
      </c>
      <c r="M1710">
        <v>22831.198995686002</v>
      </c>
      <c r="N1710" s="2">
        <f>(Tabla2[[#This Row],[Productividad (kg/TAS)]]*Tabla2[[#This Row],[Precio por kg]]-Tabla2[[#This Row],[Costos (En RD$/Tarea)]])</f>
        <v>3747.0308106763805</v>
      </c>
      <c r="O1710" s="6">
        <f>IF(Tabla2[[#This Row],[Costos (En RD$/Tarea)]]=0,0,Tabla2[[#This Row],[Beneficio Neto  (En RD$/Tarea)]]/Tabla2[[#This Row],[Costos (En RD$/Tarea)]])</f>
        <v>0.1641188801071897</v>
      </c>
      <c r="P1710" s="4">
        <f>Tabla2[[#This Row],[Rentabilidad (%)]]/12</f>
        <v>1.3676573342265809E-2</v>
      </c>
    </row>
    <row r="1711" spans="1:16" x14ac:dyDescent="0.35">
      <c r="A1711" s="1">
        <v>40848</v>
      </c>
      <c r="B1711" t="s">
        <v>24</v>
      </c>
      <c r="C1711" s="2">
        <v>6100</v>
      </c>
      <c r="D1711" s="5" t="s">
        <v>17</v>
      </c>
      <c r="E1711" s="2">
        <f>IF(Tabla2[[#This Row],[Frecuencia]]="Annual", Tabla2[[#This Row],[Cosecha/Tarea]]/12,Tabla2[[#This Row],[Cosecha/Tarea]])</f>
        <v>6100</v>
      </c>
      <c r="F1711" s="2">
        <v>58210</v>
      </c>
      <c r="G1711" t="s">
        <v>18</v>
      </c>
      <c r="H1711">
        <f>F1711/Tabla2[[#This Row],[Cosecha Mensual]]</f>
        <v>9.5426229508196716</v>
      </c>
      <c r="I1711">
        <f>H1711*_xlfn.XLOOKUP(Tabla2[[#This Row],[Unidad de producción]],Tabla3[Medida],Tabla3[Equivalencia en Kg],"ELVIS",0)</f>
        <v>432.85337704918032</v>
      </c>
      <c r="J1711">
        <v>1268.25</v>
      </c>
      <c r="K1711" t="s">
        <v>18</v>
      </c>
      <c r="L1711">
        <f>J1711/_xlfn.XLOOKUP(Tabla2[[#This Row],[Unidad de precio]],Tabla3[Medida],Tabla3[Equivalencia en Kg],"ELVIS",0)</f>
        <v>27.959656084656086</v>
      </c>
      <c r="M1711">
        <v>6908.3833517736002</v>
      </c>
      <c r="N1711" s="2">
        <f>(Tabla2[[#This Row],[Productividad (kg/TAS)]]*Tabla2[[#This Row],[Precio por kg]]-Tabla2[[#This Row],[Costos (En RD$/Tarea)]])</f>
        <v>5194.0482056034489</v>
      </c>
      <c r="O1711" s="6">
        <f>IF(Tabla2[[#This Row],[Costos (En RD$/Tarea)]]=0,0,Tabla2[[#This Row],[Beneficio Neto  (En RD$/Tarea)]]/Tabla2[[#This Row],[Costos (En RD$/Tarea)]])</f>
        <v>0.75184713139434756</v>
      </c>
      <c r="P1711" s="4">
        <f>Tabla2[[#This Row],[Rentabilidad (%)]]/12</f>
        <v>6.2653927616195634E-2</v>
      </c>
    </row>
    <row r="1712" spans="1:16" x14ac:dyDescent="0.35">
      <c r="A1712" s="1">
        <v>40848</v>
      </c>
      <c r="B1712" t="s">
        <v>25</v>
      </c>
      <c r="C1712" s="2">
        <v>43598</v>
      </c>
      <c r="D1712" s="5" t="s">
        <v>17</v>
      </c>
      <c r="E1712" s="2">
        <f>IF(Tabla2[[#This Row],[Frecuencia]]="Annual", Tabla2[[#This Row],[Cosecha/Tarea]]/12,Tabla2[[#This Row],[Cosecha/Tarea]])</f>
        <v>43598</v>
      </c>
      <c r="F1712" s="2">
        <v>416415</v>
      </c>
      <c r="G1712" t="s">
        <v>18</v>
      </c>
      <c r="H1712">
        <f>F1712/Tabla2[[#This Row],[Cosecha Mensual]]</f>
        <v>9.551240882609294</v>
      </c>
      <c r="I1712">
        <f>H1712*_xlfn.XLOOKUP(Tabla2[[#This Row],[Unidad de producción]],Tabla3[Medida],Tabla3[Equivalencia en Kg],"ELVIS",0)</f>
        <v>433.24428643515756</v>
      </c>
      <c r="J1712">
        <v>290.15971200000001</v>
      </c>
      <c r="K1712" t="s">
        <v>18</v>
      </c>
      <c r="L1712">
        <f>J1712/_xlfn.XLOOKUP(Tabla2[[#This Row],[Unidad de precio]],Tabla3[Medida],Tabla3[Equivalencia en Kg],"ELVIS",0)</f>
        <v>6.3968190476190481</v>
      </c>
      <c r="M1712">
        <v>4283.9889411321201</v>
      </c>
      <c r="N1712" s="2">
        <f>(Tabla2[[#This Row],[Productividad (kg/TAS)]]*Tabla2[[#This Row],[Precio por kg]]-Tabla2[[#This Row],[Costos (En RD$/Tarea)]])</f>
        <v>-1512.6036373915813</v>
      </c>
      <c r="O1712" s="6">
        <f>IF(Tabla2[[#This Row],[Costos (En RD$/Tarea)]]=0,0,Tabla2[[#This Row],[Beneficio Neto  (En RD$/Tarea)]]/Tabla2[[#This Row],[Costos (En RD$/Tarea)]])</f>
        <v>-0.35308299301814933</v>
      </c>
      <c r="P1712" s="4">
        <f>Tabla2[[#This Row],[Rentabilidad (%)]]/12</f>
        <v>-2.9423582751512443E-2</v>
      </c>
    </row>
    <row r="1713" spans="1:16" x14ac:dyDescent="0.35">
      <c r="A1713" s="1">
        <v>40848</v>
      </c>
      <c r="B1713" t="s">
        <v>26</v>
      </c>
      <c r="C1713" s="2">
        <v>10959</v>
      </c>
      <c r="D1713" s="5" t="s">
        <v>17</v>
      </c>
      <c r="E1713" s="2">
        <f>IF(Tabla2[[#This Row],[Frecuencia]]="Annual", Tabla2[[#This Row],[Cosecha/Tarea]]/12,Tabla2[[#This Row],[Cosecha/Tarea]])</f>
        <v>10959</v>
      </c>
      <c r="F1713" s="2">
        <v>61171</v>
      </c>
      <c r="G1713" t="s">
        <v>18</v>
      </c>
      <c r="H1713">
        <f>F1713/Tabla2[[#This Row],[Cosecha Mensual]]</f>
        <v>5.5818049092070448</v>
      </c>
      <c r="I1713">
        <f>H1713*_xlfn.XLOOKUP(Tabla2[[#This Row],[Unidad de producción]],Tabla3[Medida],Tabla3[Equivalencia en Kg],"ELVIS",0)</f>
        <v>253.19067068163156</v>
      </c>
      <c r="J1713">
        <v>542.91600000000005</v>
      </c>
      <c r="K1713" t="s">
        <v>18</v>
      </c>
      <c r="L1713">
        <f>J1713/_xlfn.XLOOKUP(Tabla2[[#This Row],[Unidad de precio]],Tabla3[Medida],Tabla3[Equivalencia en Kg],"ELVIS",0)</f>
        <v>11.96904761904762</v>
      </c>
      <c r="M1713">
        <v>2009.79</v>
      </c>
      <c r="N1713" s="2">
        <f>(Tabla2[[#This Row],[Productividad (kg/TAS)]]*Tabla2[[#This Row],[Precio por kg]]-Tabla2[[#This Row],[Costos (En RD$/Tarea)]])</f>
        <v>1020.6611940870521</v>
      </c>
      <c r="O1713" s="6">
        <f>IF(Tabla2[[#This Row],[Costos (En RD$/Tarea)]]=0,0,Tabla2[[#This Row],[Beneficio Neto  (En RD$/Tarea)]]/Tabla2[[#This Row],[Costos (En RD$/Tarea)]])</f>
        <v>0.50784469725048498</v>
      </c>
      <c r="P1713" s="4">
        <f>Tabla2[[#This Row],[Rentabilidad (%)]]/12</f>
        <v>4.2320391437540412E-2</v>
      </c>
    </row>
    <row r="1714" spans="1:16" x14ac:dyDescent="0.35">
      <c r="A1714" s="1">
        <v>40848</v>
      </c>
      <c r="B1714" t="s">
        <v>27</v>
      </c>
      <c r="C1714" s="2">
        <v>7910</v>
      </c>
      <c r="D1714" s="5" t="s">
        <v>17</v>
      </c>
      <c r="E1714" s="2">
        <f>IF(Tabla2[[#This Row],[Frecuencia]]="Annual", Tabla2[[#This Row],[Cosecha/Tarea]]/12,Tabla2[[#This Row],[Cosecha/Tarea]])</f>
        <v>7910</v>
      </c>
      <c r="F1714" s="2">
        <v>43411</v>
      </c>
      <c r="G1714" t="s">
        <v>18</v>
      </c>
      <c r="H1714">
        <f>F1714/Tabla2[[#This Row],[Cosecha Mensual]]</f>
        <v>5.4881163084702909</v>
      </c>
      <c r="I1714">
        <f>H1714*_xlfn.XLOOKUP(Tabla2[[#This Row],[Unidad de producción]],Tabla3[Medida],Tabla3[Equivalencia en Kg],"ELVIS",0)</f>
        <v>248.9409557522124</v>
      </c>
      <c r="J1714">
        <v>643.66999999999996</v>
      </c>
      <c r="K1714" t="s">
        <v>18</v>
      </c>
      <c r="L1714">
        <f>J1714/_xlfn.XLOOKUP(Tabla2[[#This Row],[Unidad de precio]],Tabla3[Medida],Tabla3[Equivalencia en Kg],"ELVIS",0)</f>
        <v>14.190255731922399</v>
      </c>
      <c r="M1714">
        <v>6922.0219999999999</v>
      </c>
      <c r="N1714" s="2">
        <f>(Tabla2[[#This Row],[Productividad (kg/TAS)]]*Tabla2[[#This Row],[Precio por kg]]-Tabla2[[#This Row],[Costos (En RD$/Tarea)]])</f>
        <v>-3389.4861757269277</v>
      </c>
      <c r="O1714" s="6">
        <f>IF(Tabla2[[#This Row],[Costos (En RD$/Tarea)]]=0,0,Tabla2[[#This Row],[Beneficio Neto  (En RD$/Tarea)]]/Tabla2[[#This Row],[Costos (En RD$/Tarea)]])</f>
        <v>-0.48966706198375676</v>
      </c>
      <c r="P1714" s="4">
        <f>Tabla2[[#This Row],[Rentabilidad (%)]]/12</f>
        <v>-4.0805588498646399E-2</v>
      </c>
    </row>
    <row r="1715" spans="1:16" x14ac:dyDescent="0.35">
      <c r="A1715" s="1">
        <v>40848</v>
      </c>
      <c r="B1715" t="s">
        <v>28</v>
      </c>
      <c r="C1715" s="2">
        <v>30410</v>
      </c>
      <c r="D1715" s="5" t="s">
        <v>17</v>
      </c>
      <c r="E1715" s="2">
        <f>IF(Tabla2[[#This Row],[Frecuencia]]="Annual", Tabla2[[#This Row],[Cosecha/Tarea]]/12,Tabla2[[#This Row],[Cosecha/Tarea]])</f>
        <v>30410</v>
      </c>
      <c r="F1715" s="2">
        <v>55214</v>
      </c>
      <c r="G1715" t="s">
        <v>29</v>
      </c>
      <c r="H1715">
        <f>F1715/Tabla2[[#This Row],[Cosecha Mensual]]</f>
        <v>1.8156527458073002</v>
      </c>
      <c r="I1715">
        <f>H1715*_xlfn.XLOOKUP(Tabla2[[#This Row],[Unidad de producción]],Tabla3[Medida],Tabla3[Equivalencia en Kg],"ELVIS",0)</f>
        <v>1021.0141650772772</v>
      </c>
      <c r="J1715">
        <v>6115.625</v>
      </c>
      <c r="K1715" t="s">
        <v>29</v>
      </c>
      <c r="L1715">
        <f>J1715/_xlfn.XLOOKUP(Tabla2[[#This Row],[Unidad de precio]],Tabla3[Medida],Tabla3[Equivalencia en Kg],"ELVIS",0)</f>
        <v>10.875315645339118</v>
      </c>
      <c r="M1715">
        <v>6816.0513247333301</v>
      </c>
      <c r="N1715" s="2">
        <f>(Tabla2[[#This Row],[Productividad (kg/TAS)]]*Tabla2[[#This Row],[Precio por kg]]-Tabla2[[#This Row],[Costos (En RD$/Tarea)]])</f>
        <v>4287.7999988444399</v>
      </c>
      <c r="O1715" s="6">
        <f>IF(Tabla2[[#This Row],[Costos (En RD$/Tarea)]]=0,0,Tabla2[[#This Row],[Beneficio Neto  (En RD$/Tarea)]]/Tabla2[[#This Row],[Costos (En RD$/Tarea)]])</f>
        <v>0.62907390137825803</v>
      </c>
      <c r="P1715" s="4">
        <f>Tabla2[[#This Row],[Rentabilidad (%)]]/12</f>
        <v>5.2422825114854833E-2</v>
      </c>
    </row>
    <row r="1716" spans="1:16" x14ac:dyDescent="0.35">
      <c r="A1716" s="1">
        <v>40848</v>
      </c>
      <c r="B1716" t="s">
        <v>30</v>
      </c>
      <c r="C1716" s="2">
        <v>342100</v>
      </c>
      <c r="D1716" s="2" t="s">
        <v>31</v>
      </c>
      <c r="E1716" s="2">
        <f>IF(Tabla2[[#This Row],[Frecuencia]]="Annual", Tabla2[[#This Row],[Cosecha/Tarea]]/12,Tabla2[[#This Row],[Cosecha/Tarea]])</f>
        <v>28508.333333333332</v>
      </c>
      <c r="F1716" s="2">
        <v>2874111</v>
      </c>
      <c r="G1716" t="s">
        <v>32</v>
      </c>
      <c r="H1716">
        <f>F1716/Tabla2[[#This Row],[Cosecha Mensual]]</f>
        <v>100.81652148494592</v>
      </c>
      <c r="I1716">
        <f>H1716*_xlfn.XLOOKUP(Tabla2[[#This Row],[Unidad de producción]],Tabla3[Medida],Tabla3[Equivalencia en Kg],"ELVIS",0)</f>
        <v>2743.2175496053787</v>
      </c>
      <c r="J1716">
        <v>77.849639999999994</v>
      </c>
      <c r="K1716" t="s">
        <v>32</v>
      </c>
      <c r="L1716">
        <f>J1716/_xlfn.XLOOKUP(Tabla2[[#This Row],[Unidad de precio]],Tabla3[Medida],Tabla3[Equivalencia en Kg],"ELVIS",0)</f>
        <v>2.8610672546857772</v>
      </c>
      <c r="M1716" s="2">
        <v>11259.713084354</v>
      </c>
      <c r="N1716" s="2">
        <f>(Tabla2[[#This Row],[Productividad (kg/TAS)]]*Tabla2[[#This Row],[Precio por kg]]-Tabla2[[#This Row],[Costos (En RD$/Tarea)]])</f>
        <v>-3411.1831806986938</v>
      </c>
      <c r="O1716" s="6">
        <f>IF(Tabla2[[#This Row],[Costos (En RD$/Tarea)]]=0,0,Tabla2[[#This Row],[Beneficio Neto  (En RD$/Tarea)]]/Tabla2[[#This Row],[Costos (En RD$/Tarea)]])</f>
        <v>-0.30295471608763491</v>
      </c>
      <c r="P1716" s="4">
        <f>Tabla2[[#This Row],[Rentabilidad (%)]]/12</f>
        <v>-2.5246226340636242E-2</v>
      </c>
    </row>
    <row r="1717" spans="1:16" x14ac:dyDescent="0.35">
      <c r="A1717" s="1">
        <v>40848</v>
      </c>
      <c r="B1717" t="s">
        <v>33</v>
      </c>
      <c r="C1717" s="2">
        <v>718248</v>
      </c>
      <c r="D1717" s="2" t="s">
        <v>31</v>
      </c>
      <c r="E1717" s="2">
        <f>IF(Tabla2[[#This Row],[Frecuencia]]="Annual", Tabla2[[#This Row],[Cosecha/Tarea]]/12,Tabla2[[#This Row],[Cosecha/Tarea]])</f>
        <v>59854</v>
      </c>
      <c r="F1717" s="2">
        <v>125470</v>
      </c>
      <c r="G1717" t="s">
        <v>34</v>
      </c>
      <c r="H1717">
        <f>F1717/Tabla2[[#This Row],[Cosecha Mensual]]</f>
        <v>2.0962675844555085</v>
      </c>
      <c r="I1717">
        <f>H1717*_xlfn.XLOOKUP(Tabla2[[#This Row],[Unidad de producción]],Tabla3[Medida],Tabla3[Equivalencia en Kg],"ELVIS",0)</f>
        <v>855.59161459551581</v>
      </c>
      <c r="J1717">
        <v>3317.5</v>
      </c>
      <c r="K1717" t="s">
        <v>34</v>
      </c>
      <c r="L1717">
        <f>J1717/_xlfn.XLOOKUP(Tabla2[[#This Row],[Unidad de precio]],Tabla3[Medida],Tabla3[Equivalencia en Kg],"ELVIS",0)</f>
        <v>8.1281391645228478</v>
      </c>
      <c r="M1717" s="2">
        <v>10868.026372878299</v>
      </c>
      <c r="N1717" s="2">
        <f>(Tabla2[[#This Row],[Productividad (kg/TAS)]]*Tabla2[[#This Row],[Precio por kg]]-Tabla2[[#This Row],[Costos (En RD$/Tarea)]])</f>
        <v>-3913.6586614471489</v>
      </c>
      <c r="O1717" s="6">
        <f>IF(Tabla2[[#This Row],[Costos (En RD$/Tarea)]]=0,0,Tabla2[[#This Row],[Beneficio Neto  (En RD$/Tarea)]]/Tabla2[[#This Row],[Costos (En RD$/Tarea)]])</f>
        <v>-0.36010757861371029</v>
      </c>
      <c r="P1717" s="4">
        <f>Tabla2[[#This Row],[Rentabilidad (%)]]/12</f>
        <v>-3.0008964884475856E-2</v>
      </c>
    </row>
    <row r="1718" spans="1:16" x14ac:dyDescent="0.35">
      <c r="A1718" s="1">
        <v>40878</v>
      </c>
      <c r="B1718" t="s">
        <v>16</v>
      </c>
      <c r="C1718" s="2">
        <v>209809</v>
      </c>
      <c r="D1718" s="5" t="s">
        <v>17</v>
      </c>
      <c r="E1718" s="2">
        <f>IF(Tabla2[[#This Row],[Frecuencia]]="Annual", Tabla2[[#This Row],[Cosecha/Tarea]]/12,Tabla2[[#This Row],[Cosecha/Tarea]])</f>
        <v>209809</v>
      </c>
      <c r="F1718" s="2">
        <v>746266</v>
      </c>
      <c r="G1718" t="s">
        <v>18</v>
      </c>
      <c r="H1718">
        <f>F1718/Tabla2[[#This Row],[Cosecha Mensual]]</f>
        <v>3.5568826885405298</v>
      </c>
      <c r="I1718">
        <f>H1718*_xlfn.XLOOKUP(Tabla2[[#This Row],[Unidad de producción]],Tabla3[Medida],Tabla3[Equivalencia en Kg],"ELVIS",0)</f>
        <v>161.34019875219843</v>
      </c>
      <c r="J1718">
        <v>1689</v>
      </c>
      <c r="K1718" t="s">
        <v>19</v>
      </c>
      <c r="L1718">
        <f>J1718/_xlfn.XLOOKUP(Tabla2[[#This Row],[Unidad de precio]],Tabla3[Medida],Tabla3[Equivalencia en Kg],"ELVIS",0)</f>
        <v>15.354545454545455</v>
      </c>
      <c r="M1718">
        <v>7569</v>
      </c>
      <c r="N1718" s="2">
        <f>(Tabla2[[#This Row],[Productividad (kg/TAS)]]*Tabla2[[#This Row],[Precio por kg]]-Tabla2[[#This Row],[Costos (En RD$/Tarea)]])</f>
        <v>-5091.6945846139715</v>
      </c>
      <c r="O1718" s="6">
        <f>IF(Tabla2[[#This Row],[Costos (En RD$/Tarea)]]=0,0,Tabla2[[#This Row],[Beneficio Neto  (En RD$/Tarea)]]/Tabla2[[#This Row],[Costos (En RD$/Tarea)]])</f>
        <v>-0.67270373690236118</v>
      </c>
      <c r="P1718" s="4">
        <f>Tabla2[[#This Row],[Rentabilidad (%)]]/12</f>
        <v>-5.605864474186343E-2</v>
      </c>
    </row>
    <row r="1719" spans="1:16" x14ac:dyDescent="0.35">
      <c r="A1719" s="1">
        <v>40878</v>
      </c>
      <c r="B1719" t="s">
        <v>20</v>
      </c>
      <c r="C1719" s="2">
        <v>25445</v>
      </c>
      <c r="D1719" s="5" t="s">
        <v>17</v>
      </c>
      <c r="E1719" s="2">
        <f>IF(Tabla2[[#This Row],[Frecuencia]]="Annual", Tabla2[[#This Row],[Cosecha/Tarea]]/12,Tabla2[[#This Row],[Cosecha/Tarea]])</f>
        <v>25445</v>
      </c>
      <c r="F1719" s="2">
        <v>46457</v>
      </c>
      <c r="G1719" t="s">
        <v>18</v>
      </c>
      <c r="H1719">
        <f>F1719/Tabla2[[#This Row],[Cosecha Mensual]]</f>
        <v>1.8257810964826096</v>
      </c>
      <c r="I1719">
        <f>H1719*_xlfn.XLOOKUP(Tabla2[[#This Row],[Unidad de producción]],Tabla3[Medida],Tabla3[Equivalencia en Kg],"ELVIS",0)</f>
        <v>82.81743053645117</v>
      </c>
      <c r="J1719">
        <v>696.66666666666697</v>
      </c>
      <c r="K1719" t="s">
        <v>18</v>
      </c>
      <c r="L1719">
        <f>J1719/_xlfn.XLOOKUP(Tabla2[[#This Row],[Unidad de precio]],Tabla3[Medida],Tabla3[Equivalencia en Kg],"ELVIS",0)</f>
        <v>15.35861258083481</v>
      </c>
      <c r="M1719">
        <v>2249.6320342847998</v>
      </c>
      <c r="N1719" s="2">
        <f>(Tabla2[[#This Row],[Productividad (kg/TAS)]]*Tabla2[[#This Row],[Precio por kg]]-Tabla2[[#This Row],[Costos (En RD$/Tarea)]])</f>
        <v>-977.6712037352479</v>
      </c>
      <c r="O1719" s="6">
        <f>IF(Tabla2[[#This Row],[Costos (En RD$/Tarea)]]=0,0,Tabla2[[#This Row],[Beneficio Neto  (En RD$/Tarea)]]/Tabla2[[#This Row],[Costos (En RD$/Tarea)]])</f>
        <v>-0.43459160824319781</v>
      </c>
      <c r="P1719" s="4">
        <f>Tabla2[[#This Row],[Rentabilidad (%)]]/12</f>
        <v>-3.6215967353599818E-2</v>
      </c>
    </row>
    <row r="1720" spans="1:16" x14ac:dyDescent="0.35">
      <c r="A1720" s="1">
        <v>40878</v>
      </c>
      <c r="B1720" t="s">
        <v>21</v>
      </c>
      <c r="C1720" s="2">
        <v>7518</v>
      </c>
      <c r="D1720" s="5" t="s">
        <v>17</v>
      </c>
      <c r="E1720" s="2">
        <f>IF(Tabla2[[#This Row],[Frecuencia]]="Annual", Tabla2[[#This Row],[Cosecha/Tarea]]/12,Tabla2[[#This Row],[Cosecha/Tarea]])</f>
        <v>7518</v>
      </c>
      <c r="F1720" s="2">
        <v>72041</v>
      </c>
      <c r="G1720" t="s">
        <v>18</v>
      </c>
      <c r="H1720">
        <f>F1720/Tabla2[[#This Row],[Cosecha Mensual]]</f>
        <v>9.5824687416866183</v>
      </c>
      <c r="I1720">
        <f>H1720*_xlfn.XLOOKUP(Tabla2[[#This Row],[Unidad de producción]],Tabla3[Medida],Tabla3[Equivalencia en Kg],"ELVIS",0)</f>
        <v>434.660782122905</v>
      </c>
      <c r="J1720">
        <v>170.652777777778</v>
      </c>
      <c r="K1720" t="s">
        <v>18</v>
      </c>
      <c r="L1720">
        <f>J1720/_xlfn.XLOOKUP(Tabla2[[#This Row],[Unidad de precio]],Tabla3[Medida],Tabla3[Equivalencia en Kg],"ELVIS",0)</f>
        <v>3.762186458945723</v>
      </c>
      <c r="M1720">
        <v>4921.4416007500004</v>
      </c>
      <c r="N1720" s="2">
        <f>(Tabla2[[#This Row],[Productividad (kg/TAS)]]*Tabla2[[#This Row],[Precio por kg]]-Tabla2[[#This Row],[Costos (En RD$/Tarea)]])</f>
        <v>-3286.1666920124499</v>
      </c>
      <c r="O1720" s="6">
        <f>IF(Tabla2[[#This Row],[Costos (En RD$/Tarea)]]=0,0,Tabla2[[#This Row],[Beneficio Neto  (En RD$/Tarea)]]/Tabla2[[#This Row],[Costos (En RD$/Tarea)]])</f>
        <v>-0.66772441056938603</v>
      </c>
      <c r="P1720" s="4">
        <f>Tabla2[[#This Row],[Rentabilidad (%)]]/12</f>
        <v>-5.5643700880782167E-2</v>
      </c>
    </row>
    <row r="1721" spans="1:16" x14ac:dyDescent="0.35">
      <c r="A1721" s="1">
        <v>40878</v>
      </c>
      <c r="B1721" t="s">
        <v>22</v>
      </c>
      <c r="C1721" s="2">
        <v>4354</v>
      </c>
      <c r="D1721" s="5" t="s">
        <v>17</v>
      </c>
      <c r="E1721" s="2">
        <f>IF(Tabla2[[#This Row],[Frecuencia]]="Annual", Tabla2[[#This Row],[Cosecha/Tarea]]/12,Tabla2[[#This Row],[Cosecha/Tarea]])</f>
        <v>4354</v>
      </c>
      <c r="F1721" s="2">
        <v>41819</v>
      </c>
      <c r="G1721" t="s">
        <v>18</v>
      </c>
      <c r="H1721">
        <f>F1721/Tabla2[[#This Row],[Cosecha Mensual]]</f>
        <v>9.6047312815801558</v>
      </c>
      <c r="I1721">
        <f>H1721*_xlfn.XLOOKUP(Tabla2[[#This Row],[Unidad de producción]],Tabla3[Medida],Tabla3[Equivalencia en Kg],"ELVIS",0)</f>
        <v>435.67061093247588</v>
      </c>
      <c r="J1721">
        <v>1077.9166666666699</v>
      </c>
      <c r="K1721" t="s">
        <v>18</v>
      </c>
      <c r="L1721">
        <f>J1721/_xlfn.XLOOKUP(Tabla2[[#This Row],[Unidad de precio]],Tabla3[Medida],Tabla3[Equivalencia en Kg],"ELVIS",0)</f>
        <v>23.763594944150572</v>
      </c>
      <c r="M1721">
        <v>8263.3527360768003</v>
      </c>
      <c r="N1721" s="2">
        <f>(Tabla2[[#This Row],[Productividad (kg/TAS)]]*Tabla2[[#This Row],[Precio por kg]]-Tabla2[[#This Row],[Costos (En RD$/Tarea)]])</f>
        <v>2089.7471911931752</v>
      </c>
      <c r="O1721" s="6">
        <f>IF(Tabla2[[#This Row],[Costos (En RD$/Tarea)]]=0,0,Tabla2[[#This Row],[Beneficio Neto  (En RD$/Tarea)]]/Tabla2[[#This Row],[Costos (En RD$/Tarea)]])</f>
        <v>0.2528933785035693</v>
      </c>
      <c r="P1721" s="4">
        <f>Tabla2[[#This Row],[Rentabilidad (%)]]/12</f>
        <v>2.1074448208630775E-2</v>
      </c>
    </row>
    <row r="1722" spans="1:16" x14ac:dyDescent="0.35">
      <c r="A1722" s="1">
        <v>40878</v>
      </c>
      <c r="B1722" t="s">
        <v>23</v>
      </c>
      <c r="C1722" s="2">
        <v>2541</v>
      </c>
      <c r="D1722" s="5" t="s">
        <v>17</v>
      </c>
      <c r="E1722" s="2">
        <f>IF(Tabla2[[#This Row],[Frecuencia]]="Annual", Tabla2[[#This Row],[Cosecha/Tarea]]/12,Tabla2[[#This Row],[Cosecha/Tarea]])</f>
        <v>2541</v>
      </c>
      <c r="F1722" s="2">
        <v>88212</v>
      </c>
      <c r="G1722" t="s">
        <v>18</v>
      </c>
      <c r="H1722">
        <f>F1722/Tabla2[[#This Row],[Cosecha Mensual]]</f>
        <v>34.715466351829988</v>
      </c>
      <c r="I1722">
        <f>H1722*_xlfn.XLOOKUP(Tabla2[[#This Row],[Unidad de producción]],Tabla3[Medida],Tabla3[Equivalencia en Kg],"ELVIS",0)</f>
        <v>1574.6935537190082</v>
      </c>
      <c r="J1722">
        <v>754.37512500000003</v>
      </c>
      <c r="K1722" t="s">
        <v>18</v>
      </c>
      <c r="L1722">
        <f>J1722/_xlfn.XLOOKUP(Tabla2[[#This Row],[Unidad de precio]],Tabla3[Medida],Tabla3[Equivalencia en Kg],"ELVIS",0)</f>
        <v>16.630844907407408</v>
      </c>
      <c r="M1722">
        <v>22831.198995686002</v>
      </c>
      <c r="N1722" s="2">
        <f>(Tabla2[[#This Row],[Productividad (kg/TAS)]]*Tabla2[[#This Row],[Precio por kg]]-Tabla2[[#This Row],[Costos (En RD$/Tarea)]])</f>
        <v>3357.2852729090373</v>
      </c>
      <c r="O1722" s="6">
        <f>IF(Tabla2[[#This Row],[Costos (En RD$/Tarea)]]=0,0,Tabla2[[#This Row],[Beneficio Neto  (En RD$/Tarea)]]/Tabla2[[#This Row],[Costos (En RD$/Tarea)]])</f>
        <v>0.14704813678613213</v>
      </c>
      <c r="P1722" s="4">
        <f>Tabla2[[#This Row],[Rentabilidad (%)]]/12</f>
        <v>1.2254011398844343E-2</v>
      </c>
    </row>
    <row r="1723" spans="1:16" x14ac:dyDescent="0.35">
      <c r="A1723" s="1">
        <v>40878</v>
      </c>
      <c r="B1723" t="s">
        <v>24</v>
      </c>
      <c r="C1723" s="2">
        <v>11547</v>
      </c>
      <c r="D1723" s="5" t="s">
        <v>17</v>
      </c>
      <c r="E1723" s="2">
        <f>IF(Tabla2[[#This Row],[Frecuencia]]="Annual", Tabla2[[#This Row],[Cosecha/Tarea]]/12,Tabla2[[#This Row],[Cosecha/Tarea]])</f>
        <v>11547</v>
      </c>
      <c r="F1723" s="2">
        <v>81413</v>
      </c>
      <c r="G1723" t="s">
        <v>18</v>
      </c>
      <c r="H1723">
        <f>F1723/Tabla2[[#This Row],[Cosecha Mensual]]</f>
        <v>7.0505759071620338</v>
      </c>
      <c r="I1723">
        <f>H1723*_xlfn.XLOOKUP(Tabla2[[#This Row],[Unidad de producción]],Tabla3[Medida],Tabla3[Equivalencia en Kg],"ELVIS",0)</f>
        <v>319.81412314886984</v>
      </c>
      <c r="J1723">
        <v>1053.6666666666699</v>
      </c>
      <c r="K1723" t="s">
        <v>18</v>
      </c>
      <c r="L1723">
        <f>J1723/_xlfn.XLOOKUP(Tabla2[[#This Row],[Unidad de precio]],Tabla3[Medida],Tabla3[Equivalencia en Kg],"ELVIS",0)</f>
        <v>23.228982951205246</v>
      </c>
      <c r="M1723">
        <v>6908.3833517736002</v>
      </c>
      <c r="N1723" s="2">
        <f>(Tabla2[[#This Row],[Productividad (kg/TAS)]]*Tabla2[[#This Row],[Precio por kg]]-Tabla2[[#This Row],[Costos (En RD$/Tarea)]])</f>
        <v>520.57346240615243</v>
      </c>
      <c r="O1723" s="6">
        <f>IF(Tabla2[[#This Row],[Costos (En RD$/Tarea)]]=0,0,Tabla2[[#This Row],[Beneficio Neto  (En RD$/Tarea)]]/Tabla2[[#This Row],[Costos (En RD$/Tarea)]])</f>
        <v>7.5353875993651218E-2</v>
      </c>
      <c r="P1723" s="4">
        <f>Tabla2[[#This Row],[Rentabilidad (%)]]/12</f>
        <v>6.2794896661376018E-3</v>
      </c>
    </row>
    <row r="1724" spans="1:16" x14ac:dyDescent="0.35">
      <c r="A1724" s="1">
        <v>40878</v>
      </c>
      <c r="B1724" t="s">
        <v>25</v>
      </c>
      <c r="C1724" s="2">
        <v>27898</v>
      </c>
      <c r="D1724" s="5" t="s">
        <v>17</v>
      </c>
      <c r="E1724" s="2">
        <f>IF(Tabla2[[#This Row],[Frecuencia]]="Annual", Tabla2[[#This Row],[Cosecha/Tarea]]/12,Tabla2[[#This Row],[Cosecha/Tarea]])</f>
        <v>27898</v>
      </c>
      <c r="F1724" s="2">
        <v>398755</v>
      </c>
      <c r="G1724" t="s">
        <v>18</v>
      </c>
      <c r="H1724">
        <f>F1724/Tabla2[[#This Row],[Cosecha Mensual]]</f>
        <v>14.293318517456449</v>
      </c>
      <c r="I1724">
        <f>H1724*_xlfn.XLOOKUP(Tabla2[[#This Row],[Unidad de producción]],Tabla3[Medida],Tabla3[Equivalencia en Kg],"ELVIS",0)</f>
        <v>648.3449279518245</v>
      </c>
      <c r="J1724">
        <v>258.75</v>
      </c>
      <c r="K1724" t="s">
        <v>18</v>
      </c>
      <c r="L1724">
        <f>J1724/_xlfn.XLOOKUP(Tabla2[[#This Row],[Unidad de precio]],Tabla3[Medida],Tabla3[Equivalencia en Kg],"ELVIS",0)</f>
        <v>5.7043650793650791</v>
      </c>
      <c r="M1724">
        <v>4283.9889411321201</v>
      </c>
      <c r="N1724" s="2">
        <f>(Tabla2[[#This Row],[Productividad (kg/TAS)]]*Tabla2[[#This Row],[Precio por kg]]-Tabla2[[#This Row],[Costos (En RD$/Tarea)]])</f>
        <v>-585.5927747402643</v>
      </c>
      <c r="O1724" s="6">
        <f>IF(Tabla2[[#This Row],[Costos (En RD$/Tarea)]]=0,0,Tabla2[[#This Row],[Beneficio Neto  (En RD$/Tarea)]]/Tabla2[[#This Row],[Costos (En RD$/Tarea)]])</f>
        <v>-0.13669334416757645</v>
      </c>
      <c r="P1724" s="4">
        <f>Tabla2[[#This Row],[Rentabilidad (%)]]/12</f>
        <v>-1.1391112013964705E-2</v>
      </c>
    </row>
    <row r="1725" spans="1:16" x14ac:dyDescent="0.35">
      <c r="A1725" s="1">
        <v>40878</v>
      </c>
      <c r="B1725" t="s">
        <v>26</v>
      </c>
      <c r="C1725" s="2">
        <v>13494</v>
      </c>
      <c r="D1725" s="5" t="s">
        <v>17</v>
      </c>
      <c r="E1725" s="2">
        <f>IF(Tabla2[[#This Row],[Frecuencia]]="Annual", Tabla2[[#This Row],[Cosecha/Tarea]]/12,Tabla2[[#This Row],[Cosecha/Tarea]])</f>
        <v>13494</v>
      </c>
      <c r="F1725" s="2">
        <v>73269</v>
      </c>
      <c r="G1725" t="s">
        <v>18</v>
      </c>
      <c r="H1725">
        <f>F1725/Tabla2[[#This Row],[Cosecha Mensual]]</f>
        <v>5.4297465540240104</v>
      </c>
      <c r="I1725">
        <f>H1725*_xlfn.XLOOKUP(Tabla2[[#This Row],[Unidad de producción]],Tabla3[Medida],Tabla3[Equivalencia en Kg],"ELVIS",0)</f>
        <v>246.29330369052911</v>
      </c>
      <c r="J1725">
        <v>511.66666666666703</v>
      </c>
      <c r="K1725" t="s">
        <v>18</v>
      </c>
      <c r="L1725">
        <f>J1725/_xlfn.XLOOKUP(Tabla2[[#This Row],[Unidad de precio]],Tabla3[Medida],Tabla3[Equivalencia en Kg],"ELVIS",0)</f>
        <v>11.280129335684899</v>
      </c>
      <c r="M1725">
        <v>2009.79</v>
      </c>
      <c r="N1725" s="2">
        <f>(Tabla2[[#This Row],[Productividad (kg/TAS)]]*Tabla2[[#This Row],[Precio por kg]]-Tabla2[[#This Row],[Costos (En RD$/Tarea)]])</f>
        <v>768.4303201422872</v>
      </c>
      <c r="O1725" s="6">
        <f>IF(Tabla2[[#This Row],[Costos (En RD$/Tarea)]]=0,0,Tabla2[[#This Row],[Beneficio Neto  (En RD$/Tarea)]]/Tabla2[[#This Row],[Costos (En RD$/Tarea)]])</f>
        <v>0.38234358820687098</v>
      </c>
      <c r="P1725" s="4">
        <f>Tabla2[[#This Row],[Rentabilidad (%)]]/12</f>
        <v>3.1861965683905917E-2</v>
      </c>
    </row>
    <row r="1726" spans="1:16" x14ac:dyDescent="0.35">
      <c r="A1726" s="1">
        <v>40878</v>
      </c>
      <c r="B1726" t="s">
        <v>27</v>
      </c>
      <c r="C1726" s="2">
        <v>7201</v>
      </c>
      <c r="D1726" s="5" t="s">
        <v>17</v>
      </c>
      <c r="E1726" s="2">
        <f>IF(Tabla2[[#This Row],[Frecuencia]]="Annual", Tabla2[[#This Row],[Cosecha/Tarea]]/12,Tabla2[[#This Row],[Cosecha/Tarea]])</f>
        <v>7201</v>
      </c>
      <c r="F1726" s="2">
        <v>38762</v>
      </c>
      <c r="G1726" t="s">
        <v>18</v>
      </c>
      <c r="H1726">
        <f>F1726/Tabla2[[#This Row],[Cosecha Mensual]]</f>
        <v>5.3828634911817801</v>
      </c>
      <c r="I1726">
        <f>H1726*_xlfn.XLOOKUP(Tabla2[[#This Row],[Unidad de producción]],Tabla3[Medida],Tabla3[Equivalencia en Kg],"ELVIS",0)</f>
        <v>244.16668796000553</v>
      </c>
      <c r="J1726">
        <v>484.49</v>
      </c>
      <c r="K1726" t="s">
        <v>18</v>
      </c>
      <c r="L1726">
        <f>J1726/_xlfn.XLOOKUP(Tabla2[[#This Row],[Unidad de precio]],Tabla3[Medida],Tabla3[Equivalencia en Kg],"ELVIS",0)</f>
        <v>10.680996472663139</v>
      </c>
      <c r="M1726">
        <v>6922.0219999999999</v>
      </c>
      <c r="N1726" s="2">
        <f>(Tabla2[[#This Row],[Productividad (kg/TAS)]]*Tabla2[[#This Row],[Precio por kg]]-Tabla2[[#This Row],[Costos (En RD$/Tarea)]])</f>
        <v>-4314.0784671573401</v>
      </c>
      <c r="O1726" s="6">
        <f>IF(Tabla2[[#This Row],[Costos (En RD$/Tarea)]]=0,0,Tabla2[[#This Row],[Beneficio Neto  (En RD$/Tarea)]]/Tabla2[[#This Row],[Costos (En RD$/Tarea)]])</f>
        <v>-0.62323963534894</v>
      </c>
      <c r="P1726" s="4">
        <f>Tabla2[[#This Row],[Rentabilidad (%)]]/12</f>
        <v>-5.1936636279078331E-2</v>
      </c>
    </row>
    <row r="1727" spans="1:16" x14ac:dyDescent="0.35">
      <c r="A1727" s="1">
        <v>40878</v>
      </c>
      <c r="B1727" t="s">
        <v>28</v>
      </c>
      <c r="C1727" s="2">
        <v>45281</v>
      </c>
      <c r="D1727" s="5" t="s">
        <v>17</v>
      </c>
      <c r="E1727" s="2">
        <f>IF(Tabla2[[#This Row],[Frecuencia]]="Annual", Tabla2[[#This Row],[Cosecha/Tarea]]/12,Tabla2[[#This Row],[Cosecha/Tarea]])</f>
        <v>45281</v>
      </c>
      <c r="F1727" s="2">
        <v>68741</v>
      </c>
      <c r="G1727" t="s">
        <v>29</v>
      </c>
      <c r="H1727">
        <f>F1727/Tabla2[[#This Row],[Cosecha Mensual]]</f>
        <v>1.5180980985402266</v>
      </c>
      <c r="I1727">
        <f>H1727*_xlfn.XLOOKUP(Tabla2[[#This Row],[Unidad de producción]],Tabla3[Medida],Tabla3[Equivalencia en Kg],"ELVIS",0)</f>
        <v>853.68728473311103</v>
      </c>
      <c r="J1727">
        <v>5700</v>
      </c>
      <c r="K1727" t="s">
        <v>29</v>
      </c>
      <c r="L1727">
        <f>J1727/_xlfn.XLOOKUP(Tabla2[[#This Row],[Unidad de precio]],Tabla3[Medida],Tabla3[Equivalencia en Kg],"ELVIS",0)</f>
        <v>10.136216523811218</v>
      </c>
      <c r="M1727">
        <v>6816.0513247333301</v>
      </c>
      <c r="N1727" s="2">
        <f>(Tabla2[[#This Row],[Productividad (kg/TAS)]]*Tabla2[[#This Row],[Precio por kg]]-Tabla2[[#This Row],[Costos (En RD$/Tarea)]])</f>
        <v>1837.1078369459619</v>
      </c>
      <c r="O1727" s="6">
        <f>IF(Tabla2[[#This Row],[Costos (En RD$/Tarea)]]=0,0,Tabla2[[#This Row],[Beneficio Neto  (En RD$/Tarea)]]/Tabla2[[#This Row],[Costos (En RD$/Tarea)]])</f>
        <v>0.26952670240021065</v>
      </c>
      <c r="P1727" s="4">
        <f>Tabla2[[#This Row],[Rentabilidad (%)]]/12</f>
        <v>2.2460558533350886E-2</v>
      </c>
    </row>
    <row r="1728" spans="1:16" x14ac:dyDescent="0.35">
      <c r="A1728" s="1">
        <v>40878</v>
      </c>
      <c r="B1728" t="s">
        <v>30</v>
      </c>
      <c r="C1728" s="2">
        <v>343242</v>
      </c>
      <c r="D1728" s="2" t="s">
        <v>31</v>
      </c>
      <c r="E1728" s="2">
        <f>IF(Tabla2[[#This Row],[Frecuencia]]="Annual", Tabla2[[#This Row],[Cosecha/Tarea]]/12,Tabla2[[#This Row],[Cosecha/Tarea]])</f>
        <v>28603.5</v>
      </c>
      <c r="F1728" s="2">
        <v>2395120</v>
      </c>
      <c r="G1728" t="s">
        <v>32</v>
      </c>
      <c r="H1728">
        <f>F1728/Tabla2[[#This Row],[Cosecha Mensual]]</f>
        <v>83.735207229884452</v>
      </c>
      <c r="I1728">
        <f>H1728*_xlfn.XLOOKUP(Tabla2[[#This Row],[Unidad de producción]],Tabla3[Medida],Tabla3[Equivalencia en Kg],"ELVIS",0)</f>
        <v>2278.434988725156</v>
      </c>
      <c r="J1728">
        <v>143.166666666667</v>
      </c>
      <c r="K1728" t="s">
        <v>32</v>
      </c>
      <c r="L1728">
        <f>J1728/_xlfn.XLOOKUP(Tabla2[[#This Row],[Unidad de precio]],Tabla3[Medida],Tabla3[Equivalencia en Kg],"ELVIS",0)</f>
        <v>5.2615460002450201</v>
      </c>
      <c r="M1728" s="2">
        <v>11259.713084354</v>
      </c>
      <c r="N1728" s="2">
        <f>(Tabla2[[#This Row],[Productividad (kg/TAS)]]*Tabla2[[#This Row],[Precio por kg]]-Tabla2[[#This Row],[Costos (En RD$/Tarea)]])</f>
        <v>728.37741739115154</v>
      </c>
      <c r="O1728" s="6">
        <f>IF(Tabla2[[#This Row],[Costos (En RD$/Tarea)]]=0,0,Tabla2[[#This Row],[Beneficio Neto  (En RD$/Tarea)]]/Tabla2[[#This Row],[Costos (En RD$/Tarea)]])</f>
        <v>6.4688807959349573E-2</v>
      </c>
      <c r="P1728" s="4">
        <f>Tabla2[[#This Row],[Rentabilidad (%)]]/12</f>
        <v>5.3907339966124644E-3</v>
      </c>
    </row>
    <row r="1729" spans="1:16" x14ac:dyDescent="0.35">
      <c r="A1729" s="1">
        <v>40878</v>
      </c>
      <c r="B1729" t="s">
        <v>33</v>
      </c>
      <c r="C1729" s="2">
        <v>694574</v>
      </c>
      <c r="D1729" s="2" t="s">
        <v>31</v>
      </c>
      <c r="E1729" s="8">
        <f>IF(Tabla2[[#This Row],[Frecuencia]]="Annual", Tabla2[[#This Row],[Cosecha/Tarea]]/12,Tabla2[[#This Row],[Cosecha/Tarea]])</f>
        <v>57881.166666666664</v>
      </c>
      <c r="F1729" s="2">
        <v>251047</v>
      </c>
      <c r="G1729" t="s">
        <v>34</v>
      </c>
      <c r="H1729">
        <f>F1729/Tabla2[[#This Row],[Cosecha Mensual]]</f>
        <v>4.3372829964841761</v>
      </c>
      <c r="I1729">
        <f>H1729*_xlfn.XLOOKUP(Tabla2[[#This Row],[Unidad de producción]],Tabla3[Medida],Tabla3[Equivalencia en Kg],"ELVIS",0)</f>
        <v>1770.2620550150164</v>
      </c>
      <c r="J1729">
        <v>3791.6666666666702</v>
      </c>
      <c r="K1729" t="s">
        <v>34</v>
      </c>
      <c r="L1729">
        <f>J1729/_xlfn.XLOOKUP(Tabla2[[#This Row],[Unidad de precio]],Tabla3[Medida],Tabla3[Equivalencia en Kg],"ELVIS",0)</f>
        <v>9.2898852546041173</v>
      </c>
      <c r="M1729" s="2">
        <v>10868.026372878299</v>
      </c>
      <c r="N1729" s="2">
        <f>(Tabla2[[#This Row],[Productividad (kg/TAS)]]*Tabla2[[#This Row],[Precio por kg]]-Tabla2[[#This Row],[Costos (En RD$/Tarea)]])</f>
        <v>5577.5049887908826</v>
      </c>
      <c r="O1729" s="6">
        <f>IF(Tabla2[[#This Row],[Costos (En RD$/Tarea)]]=0,0,Tabla2[[#This Row],[Beneficio Neto  (En RD$/Tarea)]]/Tabla2[[#This Row],[Costos (En RD$/Tarea)]])</f>
        <v>0.51320311503014238</v>
      </c>
      <c r="P1729" s="4">
        <f>Tabla2[[#This Row],[Rentabilidad (%)]]/12</f>
        <v>4.2766926252511862E-2</v>
      </c>
    </row>
    <row r="1730" spans="1:16" x14ac:dyDescent="0.35">
      <c r="A1730" s="1">
        <v>40909</v>
      </c>
      <c r="B1730" t="s">
        <v>16</v>
      </c>
      <c r="C1730" s="2">
        <v>19815</v>
      </c>
      <c r="D1730" s="5" t="s">
        <v>17</v>
      </c>
      <c r="E1730" s="2">
        <f>IF(Tabla2[[#This Row],[Frecuencia]]="Annual", Tabla2[[#This Row],[Cosecha/Tarea]]/12,Tabla2[[#This Row],[Cosecha/Tarea]])</f>
        <v>19815</v>
      </c>
      <c r="F1730" s="2">
        <v>75897</v>
      </c>
      <c r="G1730" t="s">
        <v>18</v>
      </c>
      <c r="H1730">
        <f>F1730/Tabla2[[#This Row],[Cosecha Mensual]]</f>
        <v>3.8302800908402723</v>
      </c>
      <c r="I1730">
        <f>H1730*_xlfn.XLOOKUP(Tabla2[[#This Row],[Unidad de producción]],Tabla3[Medida],Tabla3[Equivalencia en Kg],"ELVIS",0)</f>
        <v>173.74150492051476</v>
      </c>
      <c r="J1730">
        <v>1850</v>
      </c>
      <c r="K1730" t="s">
        <v>19</v>
      </c>
      <c r="L1730">
        <f>J1730/_xlfn.XLOOKUP(Tabla2[[#This Row],[Unidad de precio]],Tabla3[Medida],Tabla3[Equivalencia en Kg],"ELVIS",0)</f>
        <v>16.818181818181817</v>
      </c>
      <c r="M1730">
        <v>7982.6190521234403</v>
      </c>
      <c r="N1730" s="2">
        <f>(Tabla2[[#This Row],[Productividad (kg/TAS)]]*Tabla2[[#This Row],[Precio por kg]]-Tabla2[[#This Row],[Costos (En RD$/Tarea)]])</f>
        <v>-5060.6028330056924</v>
      </c>
      <c r="O1730" s="6">
        <f>IF(Tabla2[[#This Row],[Costos (En RD$/Tarea)]]=0,0,Tabla2[[#This Row],[Beneficio Neto  (En RD$/Tarea)]]/Tabla2[[#This Row],[Costos (En RD$/Tarea)]])</f>
        <v>-0.63395269146152378</v>
      </c>
      <c r="P1730" s="4">
        <f>Tabla2[[#This Row],[Rentabilidad (%)]]/12</f>
        <v>-5.2829390955126981E-2</v>
      </c>
    </row>
    <row r="1731" spans="1:16" x14ac:dyDescent="0.35">
      <c r="A1731" s="1">
        <v>40909</v>
      </c>
      <c r="B1731" t="s">
        <v>20</v>
      </c>
      <c r="C1731" s="2">
        <v>30380</v>
      </c>
      <c r="D1731" s="5" t="s">
        <v>17</v>
      </c>
      <c r="E1731" s="2">
        <f>IF(Tabla2[[#This Row],[Frecuencia]]="Annual", Tabla2[[#This Row],[Cosecha/Tarea]]/12,Tabla2[[#This Row],[Cosecha/Tarea]])</f>
        <v>30380</v>
      </c>
      <c r="F1731" s="2">
        <v>50136</v>
      </c>
      <c r="G1731" t="s">
        <v>18</v>
      </c>
      <c r="H1731">
        <f>F1731/Tabla2[[#This Row],[Cosecha Mensual]]</f>
        <v>1.6502962475312706</v>
      </c>
      <c r="I1731">
        <f>H1731*_xlfn.XLOOKUP(Tabla2[[#This Row],[Unidad de producción]],Tabla3[Medida],Tabla3[Equivalencia en Kg],"ELVIS",0)</f>
        <v>74.85743778801843</v>
      </c>
      <c r="J1731">
        <v>700.892857142857</v>
      </c>
      <c r="K1731" t="s">
        <v>18</v>
      </c>
      <c r="L1731">
        <f>J1731/_xlfn.XLOOKUP(Tabla2[[#This Row],[Unidad de precio]],Tabla3[Medida],Tabla3[Equivalencia en Kg],"ELVIS",0)</f>
        <v>15.451782564877799</v>
      </c>
      <c r="M1731">
        <v>2248.3053412475001</v>
      </c>
      <c r="N1731" s="2">
        <f>(Tabla2[[#This Row],[Productividad (kg/TAS)]]*Tabla2[[#This Row],[Precio por kg]]-Tabla2[[#This Row],[Costos (En RD$/Tarea)]])</f>
        <v>-1091.6244891831725</v>
      </c>
      <c r="O1731" s="6">
        <f>IF(Tabla2[[#This Row],[Costos (En RD$/Tarea)]]=0,0,Tabla2[[#This Row],[Beneficio Neto  (En RD$/Tarea)]]/Tabla2[[#This Row],[Costos (En RD$/Tarea)]])</f>
        <v>-0.48553213353906421</v>
      </c>
      <c r="P1731" s="4">
        <f>Tabla2[[#This Row],[Rentabilidad (%)]]/12</f>
        <v>-4.0461011128255349E-2</v>
      </c>
    </row>
    <row r="1732" spans="1:16" x14ac:dyDescent="0.35">
      <c r="A1732" s="1">
        <v>40909</v>
      </c>
      <c r="B1732" t="s">
        <v>21</v>
      </c>
      <c r="C1732" s="2">
        <v>8741</v>
      </c>
      <c r="D1732" s="5" t="s">
        <v>17</v>
      </c>
      <c r="E1732" s="2">
        <f>IF(Tabla2[[#This Row],[Frecuencia]]="Annual", Tabla2[[#This Row],[Cosecha/Tarea]]/12,Tabla2[[#This Row],[Cosecha/Tarea]])</f>
        <v>8741</v>
      </c>
      <c r="F1732" s="2">
        <v>109150</v>
      </c>
      <c r="G1732" t="s">
        <v>18</v>
      </c>
      <c r="H1732">
        <f>F1732/Tabla2[[#This Row],[Cosecha Mensual]]</f>
        <v>12.487129619036724</v>
      </c>
      <c r="I1732">
        <f>H1732*_xlfn.XLOOKUP(Tabla2[[#This Row],[Unidad de producción]],Tabla3[Medida],Tabla3[Equivalencia en Kg],"ELVIS",0)</f>
        <v>566.41619951950577</v>
      </c>
      <c r="J1732">
        <v>155.138888888889</v>
      </c>
      <c r="K1732" t="s">
        <v>18</v>
      </c>
      <c r="L1732">
        <f>J1732/_xlfn.XLOOKUP(Tabla2[[#This Row],[Unidad de precio]],Tabla3[Medida],Tabla3[Equivalencia en Kg],"ELVIS",0)</f>
        <v>3.4201695081324734</v>
      </c>
      <c r="M1732">
        <v>5350.2017200091695</v>
      </c>
      <c r="N1732" s="2">
        <f>(Tabla2[[#This Row],[Productividad (kg/TAS)]]*Tabla2[[#This Row],[Precio por kg]]-Tabla2[[#This Row],[Costos (En RD$/Tarea)]])</f>
        <v>-3412.9623055002767</v>
      </c>
      <c r="O1732" s="6">
        <f>IF(Tabla2[[#This Row],[Costos (En RD$/Tarea)]]=0,0,Tabla2[[#This Row],[Beneficio Neto  (En RD$/Tarea)]]/Tabla2[[#This Row],[Costos (En RD$/Tarea)]])</f>
        <v>-0.63791282723718079</v>
      </c>
      <c r="P1732" s="4">
        <f>Tabla2[[#This Row],[Rentabilidad (%)]]/12</f>
        <v>-5.3159402269765066E-2</v>
      </c>
    </row>
    <row r="1733" spans="1:16" x14ac:dyDescent="0.35">
      <c r="A1733" s="1">
        <v>40909</v>
      </c>
      <c r="B1733" t="s">
        <v>22</v>
      </c>
      <c r="C1733" s="2">
        <v>8682</v>
      </c>
      <c r="D1733" s="5" t="s">
        <v>17</v>
      </c>
      <c r="E1733" s="2">
        <f>IF(Tabla2[[#This Row],[Frecuencia]]="Annual", Tabla2[[#This Row],[Cosecha/Tarea]]/12,Tabla2[[#This Row],[Cosecha/Tarea]])</f>
        <v>8682</v>
      </c>
      <c r="F1733" s="2">
        <v>84694</v>
      </c>
      <c r="G1733" t="s">
        <v>18</v>
      </c>
      <c r="H1733">
        <f>F1733/Tabla2[[#This Row],[Cosecha Mensual]]</f>
        <v>9.7551255471089604</v>
      </c>
      <c r="I1733">
        <f>H1733*_xlfn.XLOOKUP(Tabla2[[#This Row],[Unidad de producción]],Tabla3[Medida],Tabla3[Equivalencia en Kg],"ELVIS",0)</f>
        <v>442.49249481686246</v>
      </c>
      <c r="J1733">
        <v>967.17857142857099</v>
      </c>
      <c r="K1733" t="s">
        <v>18</v>
      </c>
      <c r="L1733">
        <f>J1733/_xlfn.XLOOKUP(Tabla2[[#This Row],[Unidad de precio]],Tabla3[Medida],Tabla3[Equivalencia en Kg],"ELVIS",0)</f>
        <v>21.322278911564617</v>
      </c>
      <c r="M1733">
        <v>8360.1905549999992</v>
      </c>
      <c r="N1733" s="2">
        <f>(Tabla2[[#This Row],[Productividad (kg/TAS)]]*Tabla2[[#This Row],[Precio por kg]]-Tabla2[[#This Row],[Costos (En RD$/Tarea)]])</f>
        <v>1074.7578357592029</v>
      </c>
      <c r="O1733" s="6">
        <f>IF(Tabla2[[#This Row],[Costos (En RD$/Tarea)]]=0,0,Tabla2[[#This Row],[Beneficio Neto  (En RD$/Tarea)]]/Tabla2[[#This Row],[Costos (En RD$/Tarea)]])</f>
        <v>0.12855661945605054</v>
      </c>
      <c r="P1733" s="4">
        <f>Tabla2[[#This Row],[Rentabilidad (%)]]/12</f>
        <v>1.0713051621337545E-2</v>
      </c>
    </row>
    <row r="1734" spans="1:16" x14ac:dyDescent="0.35">
      <c r="A1734" s="1">
        <v>40909</v>
      </c>
      <c r="B1734" t="s">
        <v>23</v>
      </c>
      <c r="C1734" s="2">
        <v>3339</v>
      </c>
      <c r="D1734" s="5" t="s">
        <v>17</v>
      </c>
      <c r="E1734" s="2">
        <f>IF(Tabla2[[#This Row],[Frecuencia]]="Annual", Tabla2[[#This Row],[Cosecha/Tarea]]/12,Tabla2[[#This Row],[Cosecha/Tarea]])</f>
        <v>3339</v>
      </c>
      <c r="F1734" s="2">
        <v>128478</v>
      </c>
      <c r="G1734" t="s">
        <v>18</v>
      </c>
      <c r="H1734">
        <f>F1734/Tabla2[[#This Row],[Cosecha Mensual]]</f>
        <v>38.477987421383645</v>
      </c>
      <c r="I1734">
        <f>H1734*_xlfn.XLOOKUP(Tabla2[[#This Row],[Unidad de producción]],Tabla3[Medida],Tabla3[Equivalencia en Kg],"ELVIS",0)</f>
        <v>1745.3615094339621</v>
      </c>
      <c r="J1734">
        <v>995.54285714285697</v>
      </c>
      <c r="K1734" t="s">
        <v>18</v>
      </c>
      <c r="L1734">
        <f>J1734/_xlfn.XLOOKUP(Tabla2[[#This Row],[Unidad de precio]],Tabla3[Medida],Tabla3[Equivalencia en Kg],"ELVIS",0)</f>
        <v>21.947593852355755</v>
      </c>
      <c r="M1734">
        <v>24344.842076238001</v>
      </c>
      <c r="N1734" s="2">
        <f>(Tabla2[[#This Row],[Productividad (kg/TAS)]]*Tabla2[[#This Row],[Precio por kg]]-Tabla2[[#This Row],[Costos (En RD$/Tarea)]])</f>
        <v>13961.643458353185</v>
      </c>
      <c r="O1734" s="6">
        <f>IF(Tabla2[[#This Row],[Costos (En RD$/Tarea)]]=0,0,Tabla2[[#This Row],[Beneficio Neto  (En RD$/Tarea)]]/Tabla2[[#This Row],[Costos (En RD$/Tarea)]])</f>
        <v>0.5734949281918148</v>
      </c>
      <c r="P1734" s="4">
        <f>Tabla2[[#This Row],[Rentabilidad (%)]]/12</f>
        <v>4.7791244015984564E-2</v>
      </c>
    </row>
    <row r="1735" spans="1:16" x14ac:dyDescent="0.35">
      <c r="A1735" s="1">
        <v>40909</v>
      </c>
      <c r="B1735" t="s">
        <v>24</v>
      </c>
      <c r="C1735" s="2">
        <v>7840</v>
      </c>
      <c r="D1735" s="5" t="s">
        <v>17</v>
      </c>
      <c r="E1735" s="2">
        <f>IF(Tabla2[[#This Row],[Frecuencia]]="Annual", Tabla2[[#This Row],[Cosecha/Tarea]]/12,Tabla2[[#This Row],[Cosecha/Tarea]])</f>
        <v>7840</v>
      </c>
      <c r="F1735" s="2">
        <v>56899</v>
      </c>
      <c r="G1735" t="s">
        <v>18</v>
      </c>
      <c r="H1735">
        <f>F1735/Tabla2[[#This Row],[Cosecha Mensual]]</f>
        <v>7.2575255102040819</v>
      </c>
      <c r="I1735">
        <f>H1735*_xlfn.XLOOKUP(Tabla2[[#This Row],[Unidad de producción]],Tabla3[Medida],Tabla3[Equivalencia en Kg],"ELVIS",0)</f>
        <v>329.20135714285715</v>
      </c>
      <c r="J1735">
        <v>1162.31142857143</v>
      </c>
      <c r="K1735" t="s">
        <v>18</v>
      </c>
      <c r="L1735">
        <f>J1735/_xlfn.XLOOKUP(Tabla2[[#This Row],[Unidad de precio]],Tabla3[Medida],Tabla3[Equivalencia en Kg],"ELVIS",0)</f>
        <v>25.624149659863978</v>
      </c>
      <c r="M1735">
        <v>8104.7130577283997</v>
      </c>
      <c r="N1735" s="2">
        <f>(Tabla2[[#This Row],[Productividad (kg/TAS)]]*Tabla2[[#This Row],[Precio por kg]]-Tabla2[[#This Row],[Costos (En RD$/Tarea)]])</f>
        <v>330.79178593050256</v>
      </c>
      <c r="O1735" s="6">
        <f>IF(Tabla2[[#This Row],[Costos (En RD$/Tarea)]]=0,0,Tabla2[[#This Row],[Beneficio Neto  (En RD$/Tarea)]]/Tabla2[[#This Row],[Costos (En RD$/Tarea)]])</f>
        <v>4.0814743665115928E-2</v>
      </c>
      <c r="P1735" s="4">
        <f>Tabla2[[#This Row],[Rentabilidad (%)]]/12</f>
        <v>3.4012286387596607E-3</v>
      </c>
    </row>
    <row r="1736" spans="1:16" x14ac:dyDescent="0.35">
      <c r="A1736" s="1">
        <v>40909</v>
      </c>
      <c r="B1736" t="s">
        <v>25</v>
      </c>
      <c r="C1736" s="2">
        <v>37012</v>
      </c>
      <c r="D1736" s="5" t="s">
        <v>17</v>
      </c>
      <c r="E1736" s="2">
        <f>IF(Tabla2[[#This Row],[Frecuencia]]="Annual", Tabla2[[#This Row],[Cosecha/Tarea]]/12,Tabla2[[#This Row],[Cosecha/Tarea]])</f>
        <v>37012</v>
      </c>
      <c r="F1736" s="2">
        <v>340454</v>
      </c>
      <c r="G1736" t="s">
        <v>18</v>
      </c>
      <c r="H1736">
        <f>F1736/Tabla2[[#This Row],[Cosecha Mensual]]</f>
        <v>9.1984761698908457</v>
      </c>
      <c r="I1736">
        <f>H1736*_xlfn.XLOOKUP(Tabla2[[#This Row],[Unidad de producción]],Tabla3[Medida],Tabla3[Equivalencia en Kg],"ELVIS",0)</f>
        <v>417.24287906624875</v>
      </c>
      <c r="J1736">
        <v>349.607142857143</v>
      </c>
      <c r="K1736" t="s">
        <v>18</v>
      </c>
      <c r="L1736">
        <f>J1736/_xlfn.XLOOKUP(Tabla2[[#This Row],[Unidad de precio]],Tabla3[Medida],Tabla3[Equivalencia en Kg],"ELVIS",0)</f>
        <v>7.7073885109599427</v>
      </c>
      <c r="M1736">
        <v>4628.4219376424999</v>
      </c>
      <c r="N1736" s="2">
        <f>(Tabla2[[#This Row],[Productividad (kg/TAS)]]*Tabla2[[#This Row],[Precio por kg]]-Tabla2[[#This Row],[Costos (En RD$/Tarea)]])</f>
        <v>-1412.5689652474457</v>
      </c>
      <c r="O1736" s="6">
        <f>IF(Tabla2[[#This Row],[Costos (En RD$/Tarea)]]=0,0,Tabla2[[#This Row],[Beneficio Neto  (En RD$/Tarea)]]/Tabla2[[#This Row],[Costos (En RD$/Tarea)]])</f>
        <v>-0.30519450998171999</v>
      </c>
      <c r="P1736" s="4">
        <f>Tabla2[[#This Row],[Rentabilidad (%)]]/12</f>
        <v>-2.543287583181E-2</v>
      </c>
    </row>
    <row r="1737" spans="1:16" x14ac:dyDescent="0.35">
      <c r="A1737" s="1">
        <v>40909</v>
      </c>
      <c r="B1737" t="s">
        <v>26</v>
      </c>
      <c r="C1737" s="2">
        <v>11957</v>
      </c>
      <c r="D1737" s="5" t="s">
        <v>17</v>
      </c>
      <c r="E1737" s="2">
        <f>IF(Tabla2[[#This Row],[Frecuencia]]="Annual", Tabla2[[#This Row],[Cosecha/Tarea]]/12,Tabla2[[#This Row],[Cosecha/Tarea]])</f>
        <v>11957</v>
      </c>
      <c r="F1737" s="2">
        <v>67395</v>
      </c>
      <c r="G1737" t="s">
        <v>18</v>
      </c>
      <c r="H1737">
        <f>F1737/Tabla2[[#This Row],[Cosecha Mensual]]</f>
        <v>5.6364472693819518</v>
      </c>
      <c r="I1737">
        <f>H1737*_xlfn.XLOOKUP(Tabla2[[#This Row],[Unidad de producción]],Tabla3[Medida],Tabla3[Equivalencia en Kg],"ELVIS",0)</f>
        <v>255.66924813916532</v>
      </c>
      <c r="J1737">
        <v>627.58333333333303</v>
      </c>
      <c r="K1737" t="s">
        <v>18</v>
      </c>
      <c r="L1737">
        <f>J1737/_xlfn.XLOOKUP(Tabla2[[#This Row],[Unidad de precio]],Tabla3[Medida],Tabla3[Equivalencia en Kg],"ELVIS",0)</f>
        <v>13.835611405055843</v>
      </c>
      <c r="M1737">
        <v>2035.7933205730001</v>
      </c>
      <c r="N1737" s="2">
        <f>(Tabla2[[#This Row],[Productividad (kg/TAS)]]*Tabla2[[#This Row],[Precio por kg]]-Tabla2[[#This Row],[Costos (En RD$/Tarea)]])</f>
        <v>1501.5470449032882</v>
      </c>
      <c r="O1737" s="6">
        <f>IF(Tabla2[[#This Row],[Costos (En RD$/Tarea)]]=0,0,Tabla2[[#This Row],[Beneficio Neto  (En RD$/Tarea)]]/Tabla2[[#This Row],[Costos (En RD$/Tarea)]])</f>
        <v>0.73757342149087046</v>
      </c>
      <c r="P1737" s="4">
        <f>Tabla2[[#This Row],[Rentabilidad (%)]]/12</f>
        <v>6.1464451790905872E-2</v>
      </c>
    </row>
    <row r="1738" spans="1:16" x14ac:dyDescent="0.35">
      <c r="A1738" s="1">
        <v>40909</v>
      </c>
      <c r="B1738" t="s">
        <v>27</v>
      </c>
      <c r="C1738" s="2">
        <v>6355</v>
      </c>
      <c r="D1738" s="5" t="s">
        <v>17</v>
      </c>
      <c r="E1738" s="2">
        <f>IF(Tabla2[[#This Row],[Frecuencia]]="Annual", Tabla2[[#This Row],[Cosecha/Tarea]]/12,Tabla2[[#This Row],[Cosecha/Tarea]])</f>
        <v>6355</v>
      </c>
      <c r="F1738" s="2">
        <v>41125</v>
      </c>
      <c r="G1738" t="s">
        <v>18</v>
      </c>
      <c r="H1738">
        <f>F1738/Tabla2[[#This Row],[Cosecha Mensual]]</f>
        <v>6.4712824547600318</v>
      </c>
      <c r="I1738">
        <f>H1738*_xlfn.XLOOKUP(Tabla2[[#This Row],[Unidad de producción]],Tabla3[Medida],Tabla3[Equivalencia en Kg],"ELVIS",0)</f>
        <v>293.53737214791505</v>
      </c>
      <c r="J1738">
        <v>677.36166666666702</v>
      </c>
      <c r="K1738" t="s">
        <v>18</v>
      </c>
      <c r="L1738">
        <f>J1738/_xlfn.XLOOKUP(Tabla2[[#This Row],[Unidad de precio]],Tabla3[Medida],Tabla3[Equivalencia en Kg],"ELVIS",0)</f>
        <v>14.933017342739573</v>
      </c>
      <c r="M1738">
        <v>7766.2500132750001</v>
      </c>
      <c r="N1738" s="2">
        <f>(Tabla2[[#This Row],[Productividad (kg/TAS)]]*Tabla2[[#This Row],[Precio por kg]]-Tabla2[[#This Row],[Costos (En RD$/Tarea)]])</f>
        <v>-3382.8513442479843</v>
      </c>
      <c r="O1738" s="6">
        <f>IF(Tabla2[[#This Row],[Costos (En RD$/Tarea)]]=0,0,Tabla2[[#This Row],[Beneficio Neto  (En RD$/Tarea)]]/Tabla2[[#This Row],[Costos (En RD$/Tarea)]])</f>
        <v>-0.43558362639183795</v>
      </c>
      <c r="P1738" s="4">
        <f>Tabla2[[#This Row],[Rentabilidad (%)]]/12</f>
        <v>-3.629863553265316E-2</v>
      </c>
    </row>
    <row r="1739" spans="1:16" x14ac:dyDescent="0.35">
      <c r="A1739" s="1">
        <v>40909</v>
      </c>
      <c r="B1739" t="s">
        <v>28</v>
      </c>
      <c r="C1739" s="2">
        <v>75555</v>
      </c>
      <c r="D1739" s="5" t="s">
        <v>17</v>
      </c>
      <c r="E1739" s="2">
        <f>IF(Tabla2[[#This Row],[Frecuencia]]="Annual", Tabla2[[#This Row],[Cosecha/Tarea]]/12,Tabla2[[#This Row],[Cosecha/Tarea]])</f>
        <v>75555</v>
      </c>
      <c r="F1739" s="2">
        <v>44800</v>
      </c>
      <c r="G1739" t="s">
        <v>29</v>
      </c>
      <c r="H1739">
        <f>F1739/Tabla2[[#This Row],[Cosecha Mensual]]</f>
        <v>0.59294553636423797</v>
      </c>
      <c r="I1739">
        <f>H1739*_xlfn.XLOOKUP(Tabla2[[#This Row],[Unidad de producción]],Tabla3[Medida],Tabla3[Equivalencia en Kg],"ELVIS",0)</f>
        <v>333.43699291906557</v>
      </c>
      <c r="J1739">
        <v>5224.625</v>
      </c>
      <c r="K1739" t="s">
        <v>29</v>
      </c>
      <c r="L1739">
        <f>J1739/_xlfn.XLOOKUP(Tabla2[[#This Row],[Unidad de precio]],Tabla3[Medida],Tabla3[Equivalencia en Kg],"ELVIS",0)</f>
        <v>9.2908649571433646</v>
      </c>
      <c r="M1739">
        <v>6923.3397737333999</v>
      </c>
      <c r="N1739" s="2">
        <f>(Tabla2[[#This Row],[Productividad (kg/TAS)]]*Tabla2[[#This Row],[Precio por kg]]-Tabla2[[#This Row],[Costos (En RD$/Tarea)]])</f>
        <v>-3825.4217008063933</v>
      </c>
      <c r="O1739" s="6">
        <f>IF(Tabla2[[#This Row],[Costos (En RD$/Tarea)]]=0,0,Tabla2[[#This Row],[Beneficio Neto  (En RD$/Tarea)]]/Tabla2[[#This Row],[Costos (En RD$/Tarea)]])</f>
        <v>-0.55253993387985068</v>
      </c>
      <c r="P1739" s="4">
        <f>Tabla2[[#This Row],[Rentabilidad (%)]]/12</f>
        <v>-4.6044994489987556E-2</v>
      </c>
    </row>
    <row r="1740" spans="1:16" x14ac:dyDescent="0.35">
      <c r="A1740" s="1">
        <v>40909</v>
      </c>
      <c r="B1740" t="s">
        <v>30</v>
      </c>
      <c r="C1740" s="2">
        <v>349480</v>
      </c>
      <c r="D1740" s="2" t="s">
        <v>31</v>
      </c>
      <c r="E1740" s="2">
        <f>IF(Tabla2[[#This Row],[Frecuencia]]="Annual", Tabla2[[#This Row],[Cosecha/Tarea]]/12,Tabla2[[#This Row],[Cosecha/Tarea]])</f>
        <v>29123.333333333332</v>
      </c>
      <c r="F1740" s="2">
        <v>2516320</v>
      </c>
      <c r="G1740" t="s">
        <v>32</v>
      </c>
      <c r="H1740">
        <f>F1740/Tabla2[[#This Row],[Cosecha Mensual]]</f>
        <v>86.402197550646676</v>
      </c>
      <c r="I1740">
        <f>H1740*_xlfn.XLOOKUP(Tabla2[[#This Row],[Unidad de producción]],Tabla3[Medida],Tabla3[Equivalencia en Kg],"ELVIS",0)</f>
        <v>2351.0037953530959</v>
      </c>
      <c r="J1740">
        <v>156.05714285714299</v>
      </c>
      <c r="K1740" t="s">
        <v>32</v>
      </c>
      <c r="L1740">
        <f>J1740/_xlfn.XLOOKUP(Tabla2[[#This Row],[Unidad de precio]],Tabla3[Medida],Tabla3[Equivalencia en Kg],"ELVIS",0)</f>
        <v>5.7352863968079006</v>
      </c>
      <c r="M1740" s="2">
        <v>12463.806077028201</v>
      </c>
      <c r="N1740" s="2">
        <f>(Tabla2[[#This Row],[Productividad (kg/TAS)]]*Tabla2[[#This Row],[Precio por kg]]-Tabla2[[#This Row],[Costos (En RD$/Tarea)]])</f>
        <v>1019.8740093041561</v>
      </c>
      <c r="O1740" s="6">
        <f>IF(Tabla2[[#This Row],[Costos (En RD$/Tarea)]]=0,0,Tabla2[[#This Row],[Beneficio Neto  (En RD$/Tarea)]]/Tabla2[[#This Row],[Costos (En RD$/Tarea)]])</f>
        <v>8.1826851525222788E-2</v>
      </c>
      <c r="P1740" s="4">
        <f>Tabla2[[#This Row],[Rentabilidad (%)]]/12</f>
        <v>6.8189042937685657E-3</v>
      </c>
    </row>
    <row r="1741" spans="1:16" x14ac:dyDescent="0.35">
      <c r="A1741" s="1">
        <v>40909</v>
      </c>
      <c r="B1741" t="s">
        <v>33</v>
      </c>
      <c r="C1741" s="2">
        <v>693877</v>
      </c>
      <c r="D1741" s="2" t="s">
        <v>31</v>
      </c>
      <c r="E1741" s="2">
        <f>IF(Tabla2[[#This Row],[Frecuencia]]="Annual", Tabla2[[#This Row],[Cosecha/Tarea]]/12,Tabla2[[#This Row],[Cosecha/Tarea]])</f>
        <v>57823.083333333336</v>
      </c>
      <c r="F1741" s="2">
        <v>127965</v>
      </c>
      <c r="G1741" t="s">
        <v>34</v>
      </c>
      <c r="H1741">
        <f>F1741/Tabla2[[#This Row],[Cosecha Mensual]]</f>
        <v>2.2130435221227969</v>
      </c>
      <c r="I1741">
        <f>H1741*_xlfn.XLOOKUP(Tabla2[[#This Row],[Unidad de producción]],Tabla3[Medida],Tabla3[Equivalencia en Kg],"ELVIS",0)</f>
        <v>903.25371355441951</v>
      </c>
      <c r="J1741">
        <v>4597.8576190476197</v>
      </c>
      <c r="K1741" t="s">
        <v>34</v>
      </c>
      <c r="L1741">
        <f>J1741/_xlfn.XLOOKUP(Tabla2[[#This Row],[Unidad de precio]],Tabla3[Medida],Tabla3[Equivalencia en Kg],"ELVIS",0)</f>
        <v>11.265117282978366</v>
      </c>
      <c r="M1741" s="2">
        <v>11933.7643424532</v>
      </c>
      <c r="N1741" s="2">
        <f>(Tabla2[[#This Row],[Productividad (kg/TAS)]]*Tabla2[[#This Row],[Precio por kg]]-Tabla2[[#This Row],[Costos (En RD$/Tarea)]])</f>
        <v>-1758.5053229769183</v>
      </c>
      <c r="O1741" s="6">
        <f>IF(Tabla2[[#This Row],[Costos (En RD$/Tarea)]]=0,0,Tabla2[[#This Row],[Beneficio Neto  (En RD$/Tarea)]]/Tabla2[[#This Row],[Costos (En RD$/Tarea)]])</f>
        <v>-0.14735545905839681</v>
      </c>
      <c r="P1741" s="4">
        <f>Tabla2[[#This Row],[Rentabilidad (%)]]/12</f>
        <v>-1.2279621588199735E-2</v>
      </c>
    </row>
    <row r="1742" spans="1:16" x14ac:dyDescent="0.35">
      <c r="A1742" s="1">
        <v>40940</v>
      </c>
      <c r="B1742" t="s">
        <v>16</v>
      </c>
      <c r="C1742" s="2">
        <v>1379</v>
      </c>
      <c r="D1742" s="5" t="s">
        <v>17</v>
      </c>
      <c r="E1742" s="2">
        <f>IF(Tabla2[[#This Row],[Frecuencia]]="Annual", Tabla2[[#This Row],[Cosecha/Tarea]]/12,Tabla2[[#This Row],[Cosecha/Tarea]])</f>
        <v>1379</v>
      </c>
      <c r="F1742" s="2">
        <v>2765</v>
      </c>
      <c r="G1742" t="s">
        <v>18</v>
      </c>
      <c r="H1742">
        <f>F1742/Tabla2[[#This Row],[Cosecha Mensual]]</f>
        <v>2.0050761421319798</v>
      </c>
      <c r="I1742">
        <f>H1742*_xlfn.XLOOKUP(Tabla2[[#This Row],[Unidad de producción]],Tabla3[Medida],Tabla3[Equivalencia en Kg],"ELVIS",0)</f>
        <v>90.950253807106606</v>
      </c>
      <c r="J1742">
        <v>1609.3641364136399</v>
      </c>
      <c r="K1742" t="s">
        <v>19</v>
      </c>
      <c r="L1742">
        <f>J1742/_xlfn.XLOOKUP(Tabla2[[#This Row],[Unidad de precio]],Tabla3[Medida],Tabla3[Equivalencia en Kg],"ELVIS",0)</f>
        <v>14.630583058305817</v>
      </c>
      <c r="M1742">
        <v>7982.6190521234403</v>
      </c>
      <c r="N1742" s="2">
        <f>(Tabla2[[#This Row],[Productividad (kg/TAS)]]*Tabla2[[#This Row],[Precio por kg]]-Tabla2[[#This Row],[Costos (En RD$/Tarea)]])</f>
        <v>-6651.9638096245726</v>
      </c>
      <c r="O1742" s="6">
        <f>IF(Tabla2[[#This Row],[Costos (En RD$/Tarea)]]=0,0,Tabla2[[#This Row],[Beneficio Neto  (En RD$/Tarea)]]/Tabla2[[#This Row],[Costos (En RD$/Tarea)]])</f>
        <v>-0.83330593207439818</v>
      </c>
      <c r="P1742" s="4">
        <f>Tabla2[[#This Row],[Rentabilidad (%)]]/12</f>
        <v>-6.9442161006199848E-2</v>
      </c>
    </row>
    <row r="1743" spans="1:16" x14ac:dyDescent="0.35">
      <c r="A1743" s="1">
        <v>40940</v>
      </c>
      <c r="B1743" t="s">
        <v>20</v>
      </c>
      <c r="C1743" s="2">
        <v>30048</v>
      </c>
      <c r="D1743" s="5" t="s">
        <v>17</v>
      </c>
      <c r="E1743" s="2">
        <f>IF(Tabla2[[#This Row],[Frecuencia]]="Annual", Tabla2[[#This Row],[Cosecha/Tarea]]/12,Tabla2[[#This Row],[Cosecha/Tarea]])</f>
        <v>30048</v>
      </c>
      <c r="F1743" s="2">
        <v>72604</v>
      </c>
      <c r="G1743" t="s">
        <v>18</v>
      </c>
      <c r="H1743">
        <f>F1743/Tabla2[[#This Row],[Cosecha Mensual]]</f>
        <v>2.4162673056443023</v>
      </c>
      <c r="I1743">
        <f>H1743*_xlfn.XLOOKUP(Tabla2[[#This Row],[Unidad de producción]],Tabla3[Medida],Tabla3[Equivalencia en Kg],"ELVIS",0)</f>
        <v>109.60188498402555</v>
      </c>
      <c r="J1743">
        <v>693.17331666666701</v>
      </c>
      <c r="K1743" t="s">
        <v>18</v>
      </c>
      <c r="L1743">
        <f>J1743/_xlfn.XLOOKUP(Tabla2[[#This Row],[Unidad de precio]],Tabla3[Medida],Tabla3[Equivalencia en Kg],"ELVIS",0)</f>
        <v>15.281598691945922</v>
      </c>
      <c r="M1743">
        <v>2248.3053412475001</v>
      </c>
      <c r="N1743" s="2">
        <f>(Tabla2[[#This Row],[Productividad (kg/TAS)]]*Tabla2[[#This Row],[Precio por kg]]-Tabla2[[#This Row],[Costos (En RD$/Tarea)]])</f>
        <v>-573.41331904080789</v>
      </c>
      <c r="O1743" s="6">
        <f>IF(Tabla2[[#This Row],[Costos (En RD$/Tarea)]]=0,0,Tabla2[[#This Row],[Beneficio Neto  (En RD$/Tarea)]]/Tabla2[[#This Row],[Costos (En RD$/Tarea)]])</f>
        <v>-0.25504245732149639</v>
      </c>
      <c r="P1743" s="4">
        <f>Tabla2[[#This Row],[Rentabilidad (%)]]/12</f>
        <v>-2.12535381101247E-2</v>
      </c>
    </row>
    <row r="1744" spans="1:16" x14ac:dyDescent="0.35">
      <c r="A1744" s="1">
        <v>40940</v>
      </c>
      <c r="B1744" t="s">
        <v>21</v>
      </c>
      <c r="C1744" s="2">
        <v>8883</v>
      </c>
      <c r="D1744" s="5" t="s">
        <v>17</v>
      </c>
      <c r="E1744" s="2">
        <f>IF(Tabla2[[#This Row],[Frecuencia]]="Annual", Tabla2[[#This Row],[Cosecha/Tarea]]/12,Tabla2[[#This Row],[Cosecha/Tarea]])</f>
        <v>8883</v>
      </c>
      <c r="F1744" s="2">
        <v>98890</v>
      </c>
      <c r="G1744" t="s">
        <v>18</v>
      </c>
      <c r="H1744">
        <f>F1744/Tabla2[[#This Row],[Cosecha Mensual]]</f>
        <v>11.132500281436451</v>
      </c>
      <c r="I1744">
        <f>H1744*_xlfn.XLOOKUP(Tabla2[[#This Row],[Unidad de producción]],Tabla3[Medida],Tabla3[Equivalencia en Kg],"ELVIS",0)</f>
        <v>504.9702127659574</v>
      </c>
      <c r="J1744">
        <v>251.55</v>
      </c>
      <c r="K1744" t="s">
        <v>18</v>
      </c>
      <c r="L1744">
        <f>J1744/_xlfn.XLOOKUP(Tabla2[[#This Row],[Unidad de precio]],Tabla3[Medida],Tabla3[Equivalencia en Kg],"ELVIS",0)</f>
        <v>5.5456349206349209</v>
      </c>
      <c r="M1744">
        <v>5350.2017200091695</v>
      </c>
      <c r="N1744" s="2">
        <f>(Tabla2[[#This Row],[Productividad (kg/TAS)]]*Tabla2[[#This Row],[Precio por kg]]-Tabla2[[#This Row],[Costos (En RD$/Tarea)]])</f>
        <v>-2549.8212742138303</v>
      </c>
      <c r="O1744" s="6">
        <f>IF(Tabla2[[#This Row],[Costos (En RD$/Tarea)]]=0,0,Tabla2[[#This Row],[Beneficio Neto  (En RD$/Tarea)]]/Tabla2[[#This Row],[Costos (En RD$/Tarea)]])</f>
        <v>-0.47658413787984433</v>
      </c>
      <c r="P1744" s="4">
        <f>Tabla2[[#This Row],[Rentabilidad (%)]]/12</f>
        <v>-3.9715344823320363E-2</v>
      </c>
    </row>
    <row r="1745" spans="1:16" x14ac:dyDescent="0.35">
      <c r="A1745" s="1">
        <v>40940</v>
      </c>
      <c r="B1745" t="s">
        <v>22</v>
      </c>
      <c r="C1745" s="2">
        <v>10643</v>
      </c>
      <c r="D1745" s="5" t="s">
        <v>17</v>
      </c>
      <c r="E1745" s="2">
        <f>IF(Tabla2[[#This Row],[Frecuencia]]="Annual", Tabla2[[#This Row],[Cosecha/Tarea]]/12,Tabla2[[#This Row],[Cosecha/Tarea]])</f>
        <v>10643</v>
      </c>
      <c r="F1745" s="2">
        <v>84784</v>
      </c>
      <c r="G1745" t="s">
        <v>18</v>
      </c>
      <c r="H1745">
        <f>F1745/Tabla2[[#This Row],[Cosecha Mensual]]</f>
        <v>7.9661749506718031</v>
      </c>
      <c r="I1745">
        <f>H1745*_xlfn.XLOOKUP(Tabla2[[#This Row],[Unidad de producción]],Tabla3[Medida],Tabla3[Equivalencia en Kg],"ELVIS",0)</f>
        <v>361.34569576247299</v>
      </c>
      <c r="J1745">
        <v>1045.3571428571399</v>
      </c>
      <c r="K1745" t="s">
        <v>18</v>
      </c>
      <c r="L1745">
        <f>J1745/_xlfn.XLOOKUP(Tabla2[[#This Row],[Unidad de precio]],Tabla3[Medida],Tabla3[Equivalencia en Kg],"ELVIS",0)</f>
        <v>23.045792391030421</v>
      </c>
      <c r="M1745">
        <v>8360.1905549999992</v>
      </c>
      <c r="N1745" s="2">
        <f>(Tabla2[[#This Row],[Productividad (kg/TAS)]]*Tabla2[[#This Row],[Precio por kg]]-Tabla2[[#This Row],[Costos (En RD$/Tarea)]])</f>
        <v>-32.692669065605514</v>
      </c>
      <c r="O1745" s="6">
        <f>IF(Tabla2[[#This Row],[Costos (En RD$/Tarea)]]=0,0,Tabla2[[#This Row],[Beneficio Neto  (En RD$/Tarea)]]/Tabla2[[#This Row],[Costos (En RD$/Tarea)]])</f>
        <v>-3.910517212559579E-3</v>
      </c>
      <c r="P1745" s="4">
        <f>Tabla2[[#This Row],[Rentabilidad (%)]]/12</f>
        <v>-3.2587643437996489E-4</v>
      </c>
    </row>
    <row r="1746" spans="1:16" x14ac:dyDescent="0.35">
      <c r="A1746" s="1">
        <v>40940</v>
      </c>
      <c r="B1746" t="s">
        <v>23</v>
      </c>
      <c r="C1746" s="2">
        <v>3984</v>
      </c>
      <c r="D1746" s="5" t="s">
        <v>17</v>
      </c>
      <c r="E1746" s="2">
        <f>IF(Tabla2[[#This Row],[Frecuencia]]="Annual", Tabla2[[#This Row],[Cosecha/Tarea]]/12,Tabla2[[#This Row],[Cosecha/Tarea]])</f>
        <v>3984</v>
      </c>
      <c r="F1746" s="2">
        <v>140693</v>
      </c>
      <c r="G1746" t="s">
        <v>18</v>
      </c>
      <c r="H1746">
        <f>F1746/Tabla2[[#This Row],[Cosecha Mensual]]</f>
        <v>35.314508032128515</v>
      </c>
      <c r="I1746">
        <f>H1746*_xlfn.XLOOKUP(Tabla2[[#This Row],[Unidad de producción]],Tabla3[Medida],Tabla3[Equivalencia en Kg],"ELVIS",0)</f>
        <v>1601.8660843373493</v>
      </c>
      <c r="J1746">
        <v>798.79</v>
      </c>
      <c r="K1746" t="s">
        <v>18</v>
      </c>
      <c r="L1746">
        <f>J1746/_xlfn.XLOOKUP(Tabla2[[#This Row],[Unidad de precio]],Tabla3[Medida],Tabla3[Equivalencia en Kg],"ELVIS",0)</f>
        <v>17.610008818342152</v>
      </c>
      <c r="M1746">
        <v>24344.842076238001</v>
      </c>
      <c r="N1746" s="2">
        <f>(Tabla2[[#This Row],[Productividad (kg/TAS)]]*Tabla2[[#This Row],[Precio por kg]]-Tabla2[[#This Row],[Costos (En RD$/Tarea)]])</f>
        <v>3864.0337947459338</v>
      </c>
      <c r="O1746" s="6">
        <f>IF(Tabla2[[#This Row],[Costos (En RD$/Tarea)]]=0,0,Tabla2[[#This Row],[Beneficio Neto  (En RD$/Tarea)]]/Tabla2[[#This Row],[Costos (En RD$/Tarea)]])</f>
        <v>0.15872084044108292</v>
      </c>
      <c r="P1746" s="4">
        <f>Tabla2[[#This Row],[Rentabilidad (%)]]/12</f>
        <v>1.3226736703423577E-2</v>
      </c>
    </row>
    <row r="1747" spans="1:16" x14ac:dyDescent="0.35">
      <c r="A1747" s="1">
        <v>40940</v>
      </c>
      <c r="B1747" t="s">
        <v>24</v>
      </c>
      <c r="C1747" s="2">
        <v>8099</v>
      </c>
      <c r="D1747" s="5" t="s">
        <v>17</v>
      </c>
      <c r="E1747" s="2">
        <f>IF(Tabla2[[#This Row],[Frecuencia]]="Annual", Tabla2[[#This Row],[Cosecha/Tarea]]/12,Tabla2[[#This Row],[Cosecha/Tarea]])</f>
        <v>8099</v>
      </c>
      <c r="F1747" s="2">
        <v>61292</v>
      </c>
      <c r="G1747" t="s">
        <v>18</v>
      </c>
      <c r="H1747">
        <f>F1747/Tabla2[[#This Row],[Cosecha Mensual]]</f>
        <v>7.5678478824546236</v>
      </c>
      <c r="I1747">
        <f>H1747*_xlfn.XLOOKUP(Tabla2[[#This Row],[Unidad de producción]],Tabla3[Medida],Tabla3[Equivalencia en Kg],"ELVIS",0)</f>
        <v>343.27757994814175</v>
      </c>
      <c r="J1747">
        <v>1266.5</v>
      </c>
      <c r="K1747" t="s">
        <v>18</v>
      </c>
      <c r="L1747">
        <f>J1747/_xlfn.XLOOKUP(Tabla2[[#This Row],[Unidad de precio]],Tabla3[Medida],Tabla3[Equivalencia en Kg],"ELVIS",0)</f>
        <v>27.921075837742503</v>
      </c>
      <c r="M1747">
        <v>8104.7130577283997</v>
      </c>
      <c r="N1747" s="2">
        <f>(Tabla2[[#This Row],[Productividad (kg/TAS)]]*Tabla2[[#This Row],[Precio por kg]]-Tabla2[[#This Row],[Costos (En RD$/Tarea)]])</f>
        <v>1479.9662854003809</v>
      </c>
      <c r="O1747" s="6">
        <f>IF(Tabla2[[#This Row],[Costos (En RD$/Tarea)]]=0,0,Tabla2[[#This Row],[Beneficio Neto  (En RD$/Tarea)]]/Tabla2[[#This Row],[Costos (En RD$/Tarea)]])</f>
        <v>0.18260563635737007</v>
      </c>
      <c r="P1747" s="4">
        <f>Tabla2[[#This Row],[Rentabilidad (%)]]/12</f>
        <v>1.5217136363114172E-2</v>
      </c>
    </row>
    <row r="1748" spans="1:16" x14ac:dyDescent="0.35">
      <c r="A1748" s="1">
        <v>40940</v>
      </c>
      <c r="B1748" t="s">
        <v>25</v>
      </c>
      <c r="C1748" s="2">
        <v>69934</v>
      </c>
      <c r="D1748" s="5" t="s">
        <v>17</v>
      </c>
      <c r="E1748" s="2">
        <f>IF(Tabla2[[#This Row],[Frecuencia]]="Annual", Tabla2[[#This Row],[Cosecha/Tarea]]/12,Tabla2[[#This Row],[Cosecha/Tarea]])</f>
        <v>69934</v>
      </c>
      <c r="F1748" s="2">
        <v>536512</v>
      </c>
      <c r="G1748" t="s">
        <v>18</v>
      </c>
      <c r="H1748">
        <f>F1748/Tabla2[[#This Row],[Cosecha Mensual]]</f>
        <v>7.6716904509966541</v>
      </c>
      <c r="I1748">
        <f>H1748*_xlfn.XLOOKUP(Tabla2[[#This Row],[Unidad de producción]],Tabla3[Medida],Tabla3[Equivalencia en Kg],"ELVIS",0)</f>
        <v>347.98787885720822</v>
      </c>
      <c r="J1748">
        <v>357.05571428571398</v>
      </c>
      <c r="K1748" t="s">
        <v>18</v>
      </c>
      <c r="L1748">
        <f>J1748/_xlfn.XLOOKUP(Tabla2[[#This Row],[Unidad de precio]],Tabla3[Medida],Tabla3[Equivalencia en Kg],"ELVIS",0)</f>
        <v>7.871598639455776</v>
      </c>
      <c r="M1748">
        <v>4628.4219376424999</v>
      </c>
      <c r="N1748" s="2">
        <f>(Tabla2[[#This Row],[Productividad (kg/TAS)]]*Tabla2[[#This Row],[Precio por kg]]-Tabla2[[#This Row],[Costos (En RD$/Tarea)]])</f>
        <v>-1889.2010238829985</v>
      </c>
      <c r="O1748" s="6">
        <f>IF(Tabla2[[#This Row],[Costos (En RD$/Tarea)]]=0,0,Tabla2[[#This Row],[Beneficio Neto  (En RD$/Tarea)]]/Tabla2[[#This Row],[Costos (En RD$/Tarea)]])</f>
        <v>-0.40817389800145759</v>
      </c>
      <c r="P1748" s="4">
        <f>Tabla2[[#This Row],[Rentabilidad (%)]]/12</f>
        <v>-3.4014491500121466E-2</v>
      </c>
    </row>
    <row r="1749" spans="1:16" x14ac:dyDescent="0.35">
      <c r="A1749" s="1">
        <v>40940</v>
      </c>
      <c r="B1749" t="s">
        <v>26</v>
      </c>
      <c r="C1749" s="2">
        <v>12080</v>
      </c>
      <c r="D1749" s="5" t="s">
        <v>17</v>
      </c>
      <c r="E1749" s="2">
        <f>IF(Tabla2[[#This Row],[Frecuencia]]="Annual", Tabla2[[#This Row],[Cosecha/Tarea]]/12,Tabla2[[#This Row],[Cosecha/Tarea]])</f>
        <v>12080</v>
      </c>
      <c r="F1749" s="2">
        <v>82658</v>
      </c>
      <c r="G1749" t="s">
        <v>18</v>
      </c>
      <c r="H1749">
        <f>F1749/Tabla2[[#This Row],[Cosecha Mensual]]</f>
        <v>6.842549668874172</v>
      </c>
      <c r="I1749">
        <f>H1749*_xlfn.XLOOKUP(Tabla2[[#This Row],[Unidad de producción]],Tabla3[Medida],Tabla3[Equivalencia en Kg],"ELVIS",0)</f>
        <v>310.37805298013245</v>
      </c>
      <c r="J1749">
        <v>622.91722222222199</v>
      </c>
      <c r="K1749" t="s">
        <v>18</v>
      </c>
      <c r="L1749">
        <f>J1749/_xlfn.XLOOKUP(Tabla2[[#This Row],[Unidad de precio]],Tabla3[Medida],Tabla3[Equivalencia en Kg],"ELVIS",0)</f>
        <v>13.732742994317064</v>
      </c>
      <c r="M1749">
        <v>2035.7933205730001</v>
      </c>
      <c r="N1749" s="2">
        <f>(Tabla2[[#This Row],[Productividad (kg/TAS)]]*Tabla2[[#This Row],[Precio por kg]]-Tabla2[[#This Row],[Costos (En RD$/Tarea)]])</f>
        <v>2226.5487120796847</v>
      </c>
      <c r="O1749" s="6">
        <f>IF(Tabla2[[#This Row],[Costos (En RD$/Tarea)]]=0,0,Tabla2[[#This Row],[Beneficio Neto  (En RD$/Tarea)]]/Tabla2[[#This Row],[Costos (En RD$/Tarea)]])</f>
        <v>1.0937007649936654</v>
      </c>
      <c r="P1749" s="4">
        <f>Tabla2[[#This Row],[Rentabilidad (%)]]/12</f>
        <v>9.114173041613878E-2</v>
      </c>
    </row>
    <row r="1750" spans="1:16" x14ac:dyDescent="0.35">
      <c r="A1750" s="1">
        <v>40940</v>
      </c>
      <c r="B1750" t="s">
        <v>27</v>
      </c>
      <c r="C1750" s="2">
        <v>6280</v>
      </c>
      <c r="D1750" s="5" t="s">
        <v>17</v>
      </c>
      <c r="E1750" s="2">
        <f>IF(Tabla2[[#This Row],[Frecuencia]]="Annual", Tabla2[[#This Row],[Cosecha/Tarea]]/12,Tabla2[[#This Row],[Cosecha/Tarea]])</f>
        <v>6280</v>
      </c>
      <c r="F1750" s="2">
        <v>41002</v>
      </c>
      <c r="G1750" t="s">
        <v>18</v>
      </c>
      <c r="H1750">
        <f>F1750/Tabla2[[#This Row],[Cosecha Mensual]]</f>
        <v>6.5289808917197449</v>
      </c>
      <c r="I1750">
        <f>H1750*_xlfn.XLOOKUP(Tabla2[[#This Row],[Unidad de producción]],Tabla3[Medida],Tabla3[Equivalencia en Kg],"ELVIS",0)</f>
        <v>296.15457324840764</v>
      </c>
      <c r="J1750">
        <v>745.55499999999995</v>
      </c>
      <c r="K1750" t="s">
        <v>18</v>
      </c>
      <c r="L1750">
        <f>J1750/_xlfn.XLOOKUP(Tabla2[[#This Row],[Unidad de precio]],Tabla3[Medida],Tabla3[Equivalencia en Kg],"ELVIS",0)</f>
        <v>16.436397707231041</v>
      </c>
      <c r="M1750">
        <v>7766.2500132750001</v>
      </c>
      <c r="N1750" s="2">
        <f>(Tabla2[[#This Row],[Productividad (kg/TAS)]]*Tabla2[[#This Row],[Precio por kg]]-Tabla2[[#This Row],[Costos (En RD$/Tarea)]])</f>
        <v>-2898.5356645488855</v>
      </c>
      <c r="O1750" s="6">
        <f>IF(Tabla2[[#This Row],[Costos (En RD$/Tarea)]]=0,0,Tabla2[[#This Row],[Beneficio Neto  (En RD$/Tarea)]]/Tabla2[[#This Row],[Costos (En RD$/Tarea)]])</f>
        <v>-0.3732220388983567</v>
      </c>
      <c r="P1750" s="4">
        <f>Tabla2[[#This Row],[Rentabilidad (%)]]/12</f>
        <v>-3.1101836574863057E-2</v>
      </c>
    </row>
    <row r="1751" spans="1:16" x14ac:dyDescent="0.35">
      <c r="A1751" s="1">
        <v>40940</v>
      </c>
      <c r="B1751" t="s">
        <v>28</v>
      </c>
      <c r="C1751" s="2">
        <v>81233</v>
      </c>
      <c r="D1751" s="5" t="s">
        <v>17</v>
      </c>
      <c r="E1751" s="2">
        <f>IF(Tabla2[[#This Row],[Frecuencia]]="Annual", Tabla2[[#This Row],[Cosecha/Tarea]]/12,Tabla2[[#This Row],[Cosecha/Tarea]])</f>
        <v>81233</v>
      </c>
      <c r="F1751" s="2">
        <v>47041</v>
      </c>
      <c r="G1751" t="s">
        <v>29</v>
      </c>
      <c r="H1751">
        <f>F1751/Tabla2[[#This Row],[Cosecha Mensual]]</f>
        <v>0.5790873167308852</v>
      </c>
      <c r="I1751">
        <f>H1751*_xlfn.XLOOKUP(Tabla2[[#This Row],[Unidad de producción]],Tabla3[Medida],Tabla3[Equivalencia en Kg],"ELVIS",0)</f>
        <v>325.64396169044602</v>
      </c>
      <c r="J1751">
        <v>7510</v>
      </c>
      <c r="K1751" t="s">
        <v>29</v>
      </c>
      <c r="L1751">
        <f>J1751/_xlfn.XLOOKUP(Tabla2[[#This Row],[Unidad de precio]],Tabla3[Medida],Tabla3[Equivalencia en Kg],"ELVIS",0)</f>
        <v>13.354909841021446</v>
      </c>
      <c r="M1751">
        <v>6923.3397737333999</v>
      </c>
      <c r="N1751" s="2">
        <f>(Tabla2[[#This Row],[Productividad (kg/TAS)]]*Tabla2[[#This Row],[Precio por kg]]-Tabla2[[#This Row],[Costos (En RD$/Tarea)]])</f>
        <v>-2574.3940250844516</v>
      </c>
      <c r="O1751" s="6">
        <f>IF(Tabla2[[#This Row],[Costos (En RD$/Tarea)]]=0,0,Tabla2[[#This Row],[Beneficio Neto  (En RD$/Tarea)]]/Tabla2[[#This Row],[Costos (En RD$/Tarea)]])</f>
        <v>-0.37184279686106086</v>
      </c>
      <c r="P1751" s="4">
        <f>Tabla2[[#This Row],[Rentabilidad (%)]]/12</f>
        <v>-3.0986899738421739E-2</v>
      </c>
    </row>
    <row r="1752" spans="1:16" x14ac:dyDescent="0.35">
      <c r="A1752" s="1">
        <v>40940</v>
      </c>
      <c r="B1752" t="s">
        <v>30</v>
      </c>
      <c r="C1752" s="2">
        <v>361724</v>
      </c>
      <c r="D1752" s="2" t="s">
        <v>31</v>
      </c>
      <c r="E1752" s="2">
        <f>IF(Tabla2[[#This Row],[Frecuencia]]="Annual", Tabla2[[#This Row],[Cosecha/Tarea]]/12,Tabla2[[#This Row],[Cosecha/Tarea]])</f>
        <v>30143.666666666668</v>
      </c>
      <c r="F1752" s="2">
        <v>2621788</v>
      </c>
      <c r="G1752" t="s">
        <v>32</v>
      </c>
      <c r="H1752">
        <f>F1752/Tabla2[[#This Row],[Cosecha Mensual]]</f>
        <v>86.976412955734205</v>
      </c>
      <c r="I1752">
        <f>H1752*_xlfn.XLOOKUP(Tabla2[[#This Row],[Unidad de producción]],Tabla3[Medida],Tabla3[Equivalencia en Kg],"ELVIS",0)</f>
        <v>2366.628196525528</v>
      </c>
      <c r="J1752">
        <v>168.708333333333</v>
      </c>
      <c r="K1752" t="s">
        <v>32</v>
      </c>
      <c r="L1752">
        <f>J1752/_xlfn.XLOOKUP(Tabla2[[#This Row],[Unidad de precio]],Tabla3[Medida],Tabla3[Equivalencia en Kg],"ELVIS",0)</f>
        <v>6.2002327575646081</v>
      </c>
      <c r="M1752" s="2">
        <v>12463.806077028201</v>
      </c>
      <c r="N1752" s="2">
        <f>(Tabla2[[#This Row],[Productividad (kg/TAS)]]*Tabla2[[#This Row],[Precio por kg]]-Tabla2[[#This Row],[Costos (En RD$/Tarea)]])</f>
        <v>2209.8395920454295</v>
      </c>
      <c r="O1752" s="6">
        <f>IF(Tabla2[[#This Row],[Costos (En RD$/Tarea)]]=0,0,Tabla2[[#This Row],[Beneficio Neto  (En RD$/Tarea)]]/Tabla2[[#This Row],[Costos (En RD$/Tarea)]])</f>
        <v>0.17730054354089655</v>
      </c>
      <c r="P1752" s="4">
        <f>Tabla2[[#This Row],[Rentabilidad (%)]]/12</f>
        <v>1.4775045295074713E-2</v>
      </c>
    </row>
    <row r="1753" spans="1:16" x14ac:dyDescent="0.35">
      <c r="A1753" s="1">
        <v>40940</v>
      </c>
      <c r="B1753" t="s">
        <v>33</v>
      </c>
      <c r="C1753" s="2">
        <v>715357</v>
      </c>
      <c r="D1753" s="2" t="s">
        <v>31</v>
      </c>
      <c r="E1753" s="2">
        <f>IF(Tabla2[[#This Row],[Frecuencia]]="Annual", Tabla2[[#This Row],[Cosecha/Tarea]]/12,Tabla2[[#This Row],[Cosecha/Tarea]])</f>
        <v>59613.083333333336</v>
      </c>
      <c r="F1753" s="2">
        <v>144868</v>
      </c>
      <c r="G1753" t="s">
        <v>34</v>
      </c>
      <c r="H1753">
        <f>F1753/Tabla2[[#This Row],[Cosecha Mensual]]</f>
        <v>2.4301376795082734</v>
      </c>
      <c r="I1753">
        <f>H1753*_xlfn.XLOOKUP(Tabla2[[#This Row],[Unidad de producción]],Tabla3[Medida],Tabla3[Equivalencia en Kg],"ELVIS",0)</f>
        <v>991.86069389130171</v>
      </c>
      <c r="J1753">
        <v>4581.9047619047597</v>
      </c>
      <c r="K1753" t="s">
        <v>34</v>
      </c>
      <c r="L1753">
        <f>J1753/_xlfn.XLOOKUP(Tabla2[[#This Row],[Unidad de precio]],Tabla3[Medida],Tabla3[Equivalencia en Kg],"ELVIS",0)</f>
        <v>11.226031512690824</v>
      </c>
      <c r="M1753" s="2">
        <v>11933.7643424532</v>
      </c>
      <c r="N1753" s="2">
        <f>(Tabla2[[#This Row],[Productividad (kg/TAS)]]*Tabla2[[#This Row],[Precio por kg]]-Tabla2[[#This Row],[Costos (En RD$/Tarea)]])</f>
        <v>-799.10493663005946</v>
      </c>
      <c r="O1753" s="6">
        <f>IF(Tabla2[[#This Row],[Costos (En RD$/Tarea)]]=0,0,Tabla2[[#This Row],[Beneficio Neto  (En RD$/Tarea)]]/Tabla2[[#This Row],[Costos (En RD$/Tarea)]])</f>
        <v>-6.6961682307343853E-2</v>
      </c>
      <c r="P1753" s="4">
        <f>Tabla2[[#This Row],[Rentabilidad (%)]]/12</f>
        <v>-5.5801401922786547E-3</v>
      </c>
    </row>
    <row r="1754" spans="1:16" x14ac:dyDescent="0.35">
      <c r="A1754" s="1">
        <v>40969</v>
      </c>
      <c r="B1754" t="s">
        <v>16</v>
      </c>
      <c r="C1754" s="2">
        <v>20574</v>
      </c>
      <c r="D1754" s="5" t="s">
        <v>17</v>
      </c>
      <c r="E1754" s="2">
        <f>IF(Tabla2[[#This Row],[Frecuencia]]="Annual", Tabla2[[#This Row],[Cosecha/Tarea]]/12,Tabla2[[#This Row],[Cosecha/Tarea]])</f>
        <v>20574</v>
      </c>
      <c r="F1754" s="2">
        <v>91075</v>
      </c>
      <c r="G1754" t="s">
        <v>18</v>
      </c>
      <c r="H1754">
        <f>F1754/Tabla2[[#This Row],[Cosecha Mensual]]</f>
        <v>4.4267036064936329</v>
      </c>
      <c r="I1754">
        <f>H1754*_xlfn.XLOOKUP(Tabla2[[#This Row],[Unidad de producción]],Tabla3[Medida],Tabla3[Equivalencia en Kg],"ELVIS",0)</f>
        <v>200.7952755905512</v>
      </c>
      <c r="J1754">
        <v>1602.0447199386599</v>
      </c>
      <c r="K1754" t="s">
        <v>19</v>
      </c>
      <c r="L1754">
        <f>J1754/_xlfn.XLOOKUP(Tabla2[[#This Row],[Unidad de precio]],Tabla3[Medida],Tabla3[Equivalencia en Kg],"ELVIS",0)</f>
        <v>14.564042908533272</v>
      </c>
      <c r="M1754">
        <v>7982.6190521234403</v>
      </c>
      <c r="N1754" s="2">
        <f>(Tabla2[[#This Row],[Productividad (kg/TAS)]]*Tabla2[[#This Row],[Precio por kg]]-Tabla2[[#This Row],[Costos (En RD$/Tarea)]])</f>
        <v>-5058.2280425918889</v>
      </c>
      <c r="O1754" s="6">
        <f>IF(Tabla2[[#This Row],[Costos (En RD$/Tarea)]]=0,0,Tabla2[[#This Row],[Beneficio Neto  (En RD$/Tarea)]]/Tabla2[[#This Row],[Costos (En RD$/Tarea)]])</f>
        <v>-0.63365519631634681</v>
      </c>
      <c r="P1754" s="4">
        <f>Tabla2[[#This Row],[Rentabilidad (%)]]/12</f>
        <v>-5.2804599693028899E-2</v>
      </c>
    </row>
    <row r="1755" spans="1:16" x14ac:dyDescent="0.35">
      <c r="A1755" s="1">
        <v>40969</v>
      </c>
      <c r="B1755" t="s">
        <v>20</v>
      </c>
      <c r="C1755" s="2">
        <v>14360</v>
      </c>
      <c r="D1755" s="5" t="s">
        <v>17</v>
      </c>
      <c r="E1755" s="2">
        <f>IF(Tabla2[[#This Row],[Frecuencia]]="Annual", Tabla2[[#This Row],[Cosecha/Tarea]]/12,Tabla2[[#This Row],[Cosecha/Tarea]])</f>
        <v>14360</v>
      </c>
      <c r="F1755" s="2">
        <v>33747</v>
      </c>
      <c r="G1755" t="s">
        <v>18</v>
      </c>
      <c r="H1755">
        <f>F1755/Tabla2[[#This Row],[Cosecha Mensual]]</f>
        <v>2.3500696378830082</v>
      </c>
      <c r="I1755">
        <f>H1755*_xlfn.XLOOKUP(Tabla2[[#This Row],[Unidad de producción]],Tabla3[Medida],Tabla3[Equivalencia en Kg],"ELVIS",0)</f>
        <v>106.59915877437325</v>
      </c>
      <c r="J1755">
        <v>739.607142857143</v>
      </c>
      <c r="K1755" t="s">
        <v>18</v>
      </c>
      <c r="L1755">
        <f>J1755/_xlfn.XLOOKUP(Tabla2[[#This Row],[Unidad de precio]],Tabla3[Medida],Tabla3[Equivalencia en Kg],"ELVIS",0)</f>
        <v>16.305272108843543</v>
      </c>
      <c r="M1755">
        <v>2248.3053412475001</v>
      </c>
      <c r="N1755" s="2">
        <f>(Tabla2[[#This Row],[Productividad (kg/TAS)]]*Tabla2[[#This Row],[Precio por kg]]-Tabla2[[#This Row],[Costos (En RD$/Tarea)]])</f>
        <v>-510.17705085752755</v>
      </c>
      <c r="O1755" s="6">
        <f>IF(Tabla2[[#This Row],[Costos (En RD$/Tarea)]]=0,0,Tabla2[[#This Row],[Beneficio Neto  (En RD$/Tarea)]]/Tabla2[[#This Row],[Costos (En RD$/Tarea)]])</f>
        <v>-0.22691626510767859</v>
      </c>
      <c r="P1755" s="4">
        <f>Tabla2[[#This Row],[Rentabilidad (%)]]/12</f>
        <v>-1.8909688758973215E-2</v>
      </c>
    </row>
    <row r="1756" spans="1:16" x14ac:dyDescent="0.35">
      <c r="A1756" s="1">
        <v>40969</v>
      </c>
      <c r="B1756" t="s">
        <v>21</v>
      </c>
      <c r="C1756" s="2">
        <v>9350</v>
      </c>
      <c r="D1756" s="5" t="s">
        <v>17</v>
      </c>
      <c r="E1756" s="2">
        <f>IF(Tabla2[[#This Row],[Frecuencia]]="Annual", Tabla2[[#This Row],[Cosecha/Tarea]]/12,Tabla2[[#This Row],[Cosecha/Tarea]])</f>
        <v>9350</v>
      </c>
      <c r="F1756" s="2">
        <v>107073</v>
      </c>
      <c r="G1756" t="s">
        <v>18</v>
      </c>
      <c r="H1756">
        <f>F1756/Tabla2[[#This Row],[Cosecha Mensual]]</f>
        <v>11.451657754010695</v>
      </c>
      <c r="I1756">
        <f>H1756*_xlfn.XLOOKUP(Tabla2[[#This Row],[Unidad de producción]],Tabla3[Medida],Tabla3[Equivalencia en Kg],"ELVIS",0)</f>
        <v>519.44719572192514</v>
      </c>
      <c r="J1756">
        <v>449.392698412698</v>
      </c>
      <c r="K1756" t="s">
        <v>18</v>
      </c>
      <c r="L1756">
        <f>J1756/_xlfn.XLOOKUP(Tabla2[[#This Row],[Unidad de precio]],Tabla3[Medida],Tabla3[Equivalencia en Kg],"ELVIS",0)</f>
        <v>9.9072464376697091</v>
      </c>
      <c r="M1756">
        <v>5350.2017200091695</v>
      </c>
      <c r="N1756" s="2">
        <f>(Tabla2[[#This Row],[Productividad (kg/TAS)]]*Tabla2[[#This Row],[Precio por kg]]-Tabla2[[#This Row],[Costos (En RD$/Tarea)]])</f>
        <v>-203.91034063560619</v>
      </c>
      <c r="O1756" s="6">
        <f>IF(Tabla2[[#This Row],[Costos (En RD$/Tarea)]]=0,0,Tabla2[[#This Row],[Beneficio Neto  (En RD$/Tarea)]]/Tabla2[[#This Row],[Costos (En RD$/Tarea)]])</f>
        <v>-3.8112645336904553E-2</v>
      </c>
      <c r="P1756" s="4">
        <f>Tabla2[[#This Row],[Rentabilidad (%)]]/12</f>
        <v>-3.1760537780753796E-3</v>
      </c>
    </row>
    <row r="1757" spans="1:16" x14ac:dyDescent="0.35">
      <c r="A1757" s="1">
        <v>40969</v>
      </c>
      <c r="B1757" t="s">
        <v>22</v>
      </c>
      <c r="C1757" s="2">
        <v>8133</v>
      </c>
      <c r="D1757" s="5" t="s">
        <v>17</v>
      </c>
      <c r="E1757" s="2">
        <f>IF(Tabla2[[#This Row],[Frecuencia]]="Annual", Tabla2[[#This Row],[Cosecha/Tarea]]/12,Tabla2[[#This Row],[Cosecha/Tarea]])</f>
        <v>8133</v>
      </c>
      <c r="F1757" s="2">
        <v>83882</v>
      </c>
      <c r="G1757" t="s">
        <v>18</v>
      </c>
      <c r="H1757">
        <f>F1757/Tabla2[[#This Row],[Cosecha Mensual]]</f>
        <v>10.313783351776712</v>
      </c>
      <c r="I1757">
        <f>H1757*_xlfn.XLOOKUP(Tabla2[[#This Row],[Unidad de producción]],Tabla3[Medida],Tabla3[Equivalencia en Kg],"ELVIS",0)</f>
        <v>467.83321283659166</v>
      </c>
      <c r="J1757">
        <v>970.65476190476204</v>
      </c>
      <c r="K1757" t="s">
        <v>18</v>
      </c>
      <c r="L1757">
        <f>J1757/_xlfn.XLOOKUP(Tabla2[[#This Row],[Unidad de precio]],Tabla3[Medida],Tabla3[Equivalencia en Kg],"ELVIS",0)</f>
        <v>21.398914504073236</v>
      </c>
      <c r="M1757">
        <v>8360.1905549999992</v>
      </c>
      <c r="N1757" s="2">
        <f>(Tabla2[[#This Row],[Productividad (kg/TAS)]]*Tabla2[[#This Row],[Precio por kg]]-Tabla2[[#This Row],[Costos (En RD$/Tarea)]])</f>
        <v>1650.9323686561238</v>
      </c>
      <c r="O1757" s="6">
        <f>IF(Tabla2[[#This Row],[Costos (En RD$/Tarea)]]=0,0,Tabla2[[#This Row],[Beneficio Neto  (En RD$/Tarea)]]/Tabla2[[#This Row],[Costos (En RD$/Tarea)]])</f>
        <v>0.19747544721558372</v>
      </c>
      <c r="P1757" s="4">
        <f>Tabla2[[#This Row],[Rentabilidad (%)]]/12</f>
        <v>1.645628726796531E-2</v>
      </c>
    </row>
    <row r="1758" spans="1:16" x14ac:dyDescent="0.35">
      <c r="A1758" s="1">
        <v>40969</v>
      </c>
      <c r="B1758" t="s">
        <v>23</v>
      </c>
      <c r="C1758" s="2">
        <v>2950</v>
      </c>
      <c r="D1758" s="5" t="s">
        <v>17</v>
      </c>
      <c r="E1758" s="2">
        <f>IF(Tabla2[[#This Row],[Frecuencia]]="Annual", Tabla2[[#This Row],[Cosecha/Tarea]]/12,Tabla2[[#This Row],[Cosecha/Tarea]])</f>
        <v>2950</v>
      </c>
      <c r="F1758" s="2">
        <v>94480</v>
      </c>
      <c r="G1758" t="s">
        <v>18</v>
      </c>
      <c r="H1758">
        <f>F1758/Tabla2[[#This Row],[Cosecha Mensual]]</f>
        <v>32.027118644067798</v>
      </c>
      <c r="I1758">
        <f>H1758*_xlfn.XLOOKUP(Tabla2[[#This Row],[Unidad de producción]],Tabla3[Medida],Tabla3[Equivalencia en Kg],"ELVIS",0)</f>
        <v>1452.7501016949152</v>
      </c>
      <c r="J1758">
        <v>664.88784999999996</v>
      </c>
      <c r="K1758" t="s">
        <v>18</v>
      </c>
      <c r="L1758">
        <f>J1758/_xlfn.XLOOKUP(Tabla2[[#This Row],[Unidad de precio]],Tabla3[Medida],Tabla3[Equivalencia en Kg],"ELVIS",0)</f>
        <v>14.658021384479717</v>
      </c>
      <c r="M1758">
        <v>24344.842076238001</v>
      </c>
      <c r="N1758" s="2">
        <f>(Tabla2[[#This Row],[Productividad (kg/TAS)]]*Tabla2[[#This Row],[Precio por kg]]-Tabla2[[#This Row],[Costos (En RD$/Tarea)]])</f>
        <v>-3050.4000192888489</v>
      </c>
      <c r="O1758" s="6">
        <f>IF(Tabla2[[#This Row],[Costos (En RD$/Tarea)]]=0,0,Tabla2[[#This Row],[Beneficio Neto  (En RD$/Tarea)]]/Tabla2[[#This Row],[Costos (En RD$/Tarea)]])</f>
        <v>-0.12529964292790458</v>
      </c>
      <c r="P1758" s="4">
        <f>Tabla2[[#This Row],[Rentabilidad (%)]]/12</f>
        <v>-1.0441636910658714E-2</v>
      </c>
    </row>
    <row r="1759" spans="1:16" x14ac:dyDescent="0.35">
      <c r="A1759" s="1">
        <v>40969</v>
      </c>
      <c r="B1759" t="s">
        <v>24</v>
      </c>
      <c r="C1759" s="2">
        <v>7914</v>
      </c>
      <c r="D1759" s="5" t="s">
        <v>17</v>
      </c>
      <c r="E1759" s="2">
        <f>IF(Tabla2[[#This Row],[Frecuencia]]="Annual", Tabla2[[#This Row],[Cosecha/Tarea]]/12,Tabla2[[#This Row],[Cosecha/Tarea]])</f>
        <v>7914</v>
      </c>
      <c r="F1759" s="2">
        <v>69025</v>
      </c>
      <c r="G1759" t="s">
        <v>18</v>
      </c>
      <c r="H1759">
        <f>F1759/Tabla2[[#This Row],[Cosecha Mensual]]</f>
        <v>8.7218852666161233</v>
      </c>
      <c r="I1759">
        <f>H1759*_xlfn.XLOOKUP(Tabla2[[#This Row],[Unidad de producción]],Tabla3[Medida],Tabla3[Equivalencia en Kg],"ELVIS",0)</f>
        <v>395.62471569370734</v>
      </c>
      <c r="J1759">
        <v>1247.5</v>
      </c>
      <c r="K1759" t="s">
        <v>18</v>
      </c>
      <c r="L1759">
        <f>J1759/_xlfn.XLOOKUP(Tabla2[[#This Row],[Unidad de precio]],Tabla3[Medida],Tabla3[Equivalencia en Kg],"ELVIS",0)</f>
        <v>27.502204585537918</v>
      </c>
      <c r="M1759">
        <v>8104.7130577283997</v>
      </c>
      <c r="N1759" s="2">
        <f>(Tabla2[[#This Row],[Productividad (kg/TAS)]]*Tabla2[[#This Row],[Precio por kg]]-Tabla2[[#This Row],[Costos (En RD$/Tarea)]])</f>
        <v>2775.8388123752129</v>
      </c>
      <c r="O1759" s="6">
        <f>IF(Tabla2[[#This Row],[Costos (En RD$/Tarea)]]=0,0,Tabla2[[#This Row],[Beneficio Neto  (En RD$/Tarea)]]/Tabla2[[#This Row],[Costos (En RD$/Tarea)]])</f>
        <v>0.34249686479995245</v>
      </c>
      <c r="P1759" s="4">
        <f>Tabla2[[#This Row],[Rentabilidad (%)]]/12</f>
        <v>2.8541405399996039E-2</v>
      </c>
    </row>
    <row r="1760" spans="1:16" x14ac:dyDescent="0.35">
      <c r="A1760" s="1">
        <v>40969</v>
      </c>
      <c r="B1760" t="s">
        <v>25</v>
      </c>
      <c r="C1760" s="2">
        <v>27138</v>
      </c>
      <c r="D1760" s="5" t="s">
        <v>17</v>
      </c>
      <c r="E1760" s="2">
        <f>IF(Tabla2[[#This Row],[Frecuencia]]="Annual", Tabla2[[#This Row],[Cosecha/Tarea]]/12,Tabla2[[#This Row],[Cosecha/Tarea]])</f>
        <v>27138</v>
      </c>
      <c r="F1760" s="2">
        <v>271014</v>
      </c>
      <c r="G1760" t="s">
        <v>18</v>
      </c>
      <c r="H1760">
        <f>F1760/Tabla2[[#This Row],[Cosecha Mensual]]</f>
        <v>9.9865133760778253</v>
      </c>
      <c r="I1760">
        <f>H1760*_xlfn.XLOOKUP(Tabla2[[#This Row],[Unidad de producción]],Tabla3[Medida],Tabla3[Equivalencia en Kg],"ELVIS",0)</f>
        <v>452.98824673889015</v>
      </c>
      <c r="J1760">
        <v>360.88657142857102</v>
      </c>
      <c r="K1760" t="s">
        <v>18</v>
      </c>
      <c r="L1760">
        <f>J1760/_xlfn.XLOOKUP(Tabla2[[#This Row],[Unidad de precio]],Tabla3[Medida],Tabla3[Equivalencia en Kg],"ELVIS",0)</f>
        <v>7.9560531620055341</v>
      </c>
      <c r="M1760">
        <v>4628.4219376424999</v>
      </c>
      <c r="N1760" s="2">
        <f>(Tabla2[[#This Row],[Productividad (kg/TAS)]]*Tabla2[[#This Row],[Precio por kg]]-Tabla2[[#This Row],[Costos (En RD$/Tarea)]])</f>
        <v>-1024.4233648242098</v>
      </c>
      <c r="O1760" s="6">
        <f>IF(Tabla2[[#This Row],[Costos (En RD$/Tarea)]]=0,0,Tabla2[[#This Row],[Beneficio Neto  (En RD$/Tarea)]]/Tabla2[[#This Row],[Costos (En RD$/Tarea)]])</f>
        <v>-0.2213331841016212</v>
      </c>
      <c r="P1760" s="4">
        <f>Tabla2[[#This Row],[Rentabilidad (%)]]/12</f>
        <v>-1.8444432008468434E-2</v>
      </c>
    </row>
    <row r="1761" spans="1:16" x14ac:dyDescent="0.35">
      <c r="A1761" s="1">
        <v>40969</v>
      </c>
      <c r="B1761" t="s">
        <v>26</v>
      </c>
      <c r="C1761" s="2">
        <v>13394</v>
      </c>
      <c r="D1761" s="5" t="s">
        <v>17</v>
      </c>
      <c r="E1761" s="2">
        <f>IF(Tabla2[[#This Row],[Frecuencia]]="Annual", Tabla2[[#This Row],[Cosecha/Tarea]]/12,Tabla2[[#This Row],[Cosecha/Tarea]])</f>
        <v>13394</v>
      </c>
      <c r="F1761" s="2">
        <v>91720</v>
      </c>
      <c r="G1761" t="s">
        <v>18</v>
      </c>
      <c r="H1761">
        <f>F1761/Tabla2[[#This Row],[Cosecha Mensual]]</f>
        <v>6.8478423174555774</v>
      </c>
      <c r="I1761">
        <f>H1761*_xlfn.XLOOKUP(Tabla2[[#This Row],[Unidad de producción]],Tabla3[Medida],Tabla3[Equivalencia en Kg],"ELVIS",0)</f>
        <v>310.61812751978499</v>
      </c>
      <c r="J1761">
        <v>680.73825396825396</v>
      </c>
      <c r="K1761" t="s">
        <v>18</v>
      </c>
      <c r="L1761">
        <f>J1761/_xlfn.XLOOKUP(Tabla2[[#This Row],[Unidad de precio]],Tabla3[Medida],Tabla3[Equivalencia en Kg],"ELVIS",0)</f>
        <v>15.007457098065563</v>
      </c>
      <c r="M1761">
        <v>2035.7933205730001</v>
      </c>
      <c r="N1761" s="2">
        <f>(Tabla2[[#This Row],[Productividad (kg/TAS)]]*Tabla2[[#This Row],[Precio por kg]]-Tabla2[[#This Row],[Costos (En RD$/Tarea)]])</f>
        <v>2625.7949020616311</v>
      </c>
      <c r="O1761" s="6">
        <f>IF(Tabla2[[#This Row],[Costos (En RD$/Tarea)]]=0,0,Tabla2[[#This Row],[Beneficio Neto  (En RD$/Tarea)]]/Tabla2[[#This Row],[Costos (En RD$/Tarea)]])</f>
        <v>1.2898140864921237</v>
      </c>
      <c r="P1761" s="4">
        <f>Tabla2[[#This Row],[Rentabilidad (%)]]/12</f>
        <v>0.10748450720767698</v>
      </c>
    </row>
    <row r="1762" spans="1:16" x14ac:dyDescent="0.35">
      <c r="A1762" s="1">
        <v>40969</v>
      </c>
      <c r="B1762" t="s">
        <v>27</v>
      </c>
      <c r="C1762" s="2">
        <v>6552</v>
      </c>
      <c r="D1762" s="5" t="s">
        <v>17</v>
      </c>
      <c r="E1762" s="2">
        <f>IF(Tabla2[[#This Row],[Frecuencia]]="Annual", Tabla2[[#This Row],[Cosecha/Tarea]]/12,Tabla2[[#This Row],[Cosecha/Tarea]])</f>
        <v>6552</v>
      </c>
      <c r="F1762" s="2">
        <v>44935</v>
      </c>
      <c r="G1762" t="s">
        <v>18</v>
      </c>
      <c r="H1762">
        <f>F1762/Tabla2[[#This Row],[Cosecha Mensual]]</f>
        <v>6.8582112332112333</v>
      </c>
      <c r="I1762">
        <f>H1762*_xlfn.XLOOKUP(Tabla2[[#This Row],[Unidad de producción]],Tabla3[Medida],Tabla3[Equivalencia en Kg],"ELVIS",0)</f>
        <v>311.08846153846156</v>
      </c>
      <c r="J1762">
        <v>623.88571428571402</v>
      </c>
      <c r="K1762" t="s">
        <v>18</v>
      </c>
      <c r="L1762">
        <f>J1762/_xlfn.XLOOKUP(Tabla2[[#This Row],[Unidad de precio]],Tabla3[Medida],Tabla3[Equivalencia en Kg],"ELVIS",0)</f>
        <v>13.7540942302847</v>
      </c>
      <c r="M1762">
        <v>7766.2500132750001</v>
      </c>
      <c r="N1762" s="2">
        <f>(Tabla2[[#This Row],[Productividad (kg/TAS)]]*Tabla2[[#This Row],[Precio por kg]]-Tabla2[[#This Row],[Costos (En RD$/Tarea)]])</f>
        <v>-3487.5099993207023</v>
      </c>
      <c r="O1762" s="6">
        <f>IF(Tabla2[[#This Row],[Costos (En RD$/Tarea)]]=0,0,Tabla2[[#This Row],[Beneficio Neto  (En RD$/Tarea)]]/Tabla2[[#This Row],[Costos (En RD$/Tarea)]])</f>
        <v>-0.44905971264888905</v>
      </c>
      <c r="P1762" s="4">
        <f>Tabla2[[#This Row],[Rentabilidad (%)]]/12</f>
        <v>-3.7421642720740757E-2</v>
      </c>
    </row>
    <row r="1763" spans="1:16" x14ac:dyDescent="0.35">
      <c r="A1763" s="1">
        <v>40969</v>
      </c>
      <c r="B1763" t="s">
        <v>28</v>
      </c>
      <c r="C1763" s="2">
        <v>54256</v>
      </c>
      <c r="D1763" s="5" t="s">
        <v>17</v>
      </c>
      <c r="E1763" s="2">
        <f>IF(Tabla2[[#This Row],[Frecuencia]]="Annual", Tabla2[[#This Row],[Cosecha/Tarea]]/12,Tabla2[[#This Row],[Cosecha/Tarea]])</f>
        <v>54256</v>
      </c>
      <c r="F1763" s="2">
        <v>36854</v>
      </c>
      <c r="G1763" t="s">
        <v>29</v>
      </c>
      <c r="H1763">
        <f>F1763/Tabla2[[#This Row],[Cosecha Mensual]]</f>
        <v>0.67926127985844886</v>
      </c>
      <c r="I1763">
        <f>H1763*_xlfn.XLOOKUP(Tabla2[[#This Row],[Unidad de producción]],Tabla3[Medida],Tabla3[Equivalencia en Kg],"ELVIS",0)</f>
        <v>381.97578811560015</v>
      </c>
      <c r="J1763">
        <v>7880</v>
      </c>
      <c r="K1763" t="s">
        <v>29</v>
      </c>
      <c r="L1763">
        <f>J1763/_xlfn.XLOOKUP(Tabla2[[#This Row],[Unidad de precio]],Tabla3[Medida],Tabla3[Equivalencia en Kg],"ELVIS",0)</f>
        <v>14.012874773268839</v>
      </c>
      <c r="M1763">
        <v>6923.3397737333999</v>
      </c>
      <c r="N1763" s="2">
        <f>(Tabla2[[#This Row],[Productividad (kg/TAS)]]*Tabla2[[#This Row],[Precio por kg]]-Tabla2[[#This Row],[Costos (En RD$/Tarea)]])</f>
        <v>-1570.7608884488236</v>
      </c>
      <c r="O1763" s="6">
        <f>IF(Tabla2[[#This Row],[Costos (En RD$/Tarea)]]=0,0,Tabla2[[#This Row],[Beneficio Neto  (En RD$/Tarea)]]/Tabla2[[#This Row],[Costos (En RD$/Tarea)]])</f>
        <v>-0.22687906989747425</v>
      </c>
      <c r="P1763" s="4">
        <f>Tabla2[[#This Row],[Rentabilidad (%)]]/12</f>
        <v>-1.8906589158122853E-2</v>
      </c>
    </row>
    <row r="1764" spans="1:16" x14ac:dyDescent="0.35">
      <c r="A1764" s="1">
        <v>40969</v>
      </c>
      <c r="B1764" t="s">
        <v>30</v>
      </c>
      <c r="C1764" s="2">
        <v>376388</v>
      </c>
      <c r="D1764" s="2" t="s">
        <v>31</v>
      </c>
      <c r="E1764" s="2">
        <f>IF(Tabla2[[#This Row],[Frecuencia]]="Annual", Tabla2[[#This Row],[Cosecha/Tarea]]/12,Tabla2[[#This Row],[Cosecha/Tarea]])</f>
        <v>31365.666666666668</v>
      </c>
      <c r="F1764" s="2">
        <v>2915134</v>
      </c>
      <c r="G1764" t="s">
        <v>32</v>
      </c>
      <c r="H1764">
        <f>F1764/Tabla2[[#This Row],[Cosecha Mensual]]</f>
        <v>92.940285025027364</v>
      </c>
      <c r="I1764">
        <f>H1764*_xlfn.XLOOKUP(Tabla2[[#This Row],[Unidad de producción]],Tabla3[Medida],Tabla3[Equivalencia en Kg],"ELVIS",0)</f>
        <v>2528.9051555309948</v>
      </c>
      <c r="J1764">
        <v>196.65452380952399</v>
      </c>
      <c r="K1764" t="s">
        <v>32</v>
      </c>
      <c r="L1764">
        <f>J1764/_xlfn.XLOOKUP(Tabla2[[#This Row],[Unidad de precio]],Tabla3[Medida],Tabla3[Equivalencia en Kg],"ELVIS",0)</f>
        <v>7.2272886368807052</v>
      </c>
      <c r="M1764" s="2">
        <v>12463.806077028201</v>
      </c>
      <c r="N1764" s="2">
        <f>(Tabla2[[#This Row],[Productividad (kg/TAS)]]*Tabla2[[#This Row],[Precio por kg]]-Tabla2[[#This Row],[Costos (En RD$/Tarea)]])</f>
        <v>5813.3214172899916</v>
      </c>
      <c r="O1764" s="6">
        <f>IF(Tabla2[[#This Row],[Costos (En RD$/Tarea)]]=0,0,Tabla2[[#This Row],[Beneficio Neto  (En RD$/Tarea)]]/Tabla2[[#This Row],[Costos (En RD$/Tarea)]])</f>
        <v>0.46641622802559579</v>
      </c>
      <c r="P1764" s="4">
        <f>Tabla2[[#This Row],[Rentabilidad (%)]]/12</f>
        <v>3.8868019002132985E-2</v>
      </c>
    </row>
    <row r="1765" spans="1:16" x14ac:dyDescent="0.35">
      <c r="A1765" s="1">
        <v>40969</v>
      </c>
      <c r="B1765" t="s">
        <v>33</v>
      </c>
      <c r="C1765" s="2">
        <v>720124</v>
      </c>
      <c r="D1765" s="2" t="s">
        <v>31</v>
      </c>
      <c r="E1765" s="2">
        <f>IF(Tabla2[[#This Row],[Frecuencia]]="Annual", Tabla2[[#This Row],[Cosecha/Tarea]]/12,Tabla2[[#This Row],[Cosecha/Tarea]])</f>
        <v>60010.333333333336</v>
      </c>
      <c r="F1765" s="2">
        <v>143747</v>
      </c>
      <c r="G1765" t="s">
        <v>34</v>
      </c>
      <c r="H1765">
        <f>F1765/Tabla2[[#This Row],[Cosecha Mensual]]</f>
        <v>2.3953707972515845</v>
      </c>
      <c r="I1765">
        <f>H1765*_xlfn.XLOOKUP(Tabla2[[#This Row],[Unidad de producción]],Tabla3[Medida],Tabla3[Equivalencia en Kg],"ELVIS",0)</f>
        <v>977.6705908982342</v>
      </c>
      <c r="J1765">
        <v>4517.0851700680296</v>
      </c>
      <c r="K1765" t="s">
        <v>34</v>
      </c>
      <c r="L1765">
        <f>J1765/_xlfn.XLOOKUP(Tabla2[[#This Row],[Unidad de precio]],Tabla3[Medida],Tabla3[Equivalencia en Kg],"ELVIS",0)</f>
        <v>11.067218351263088</v>
      </c>
      <c r="M1765" s="2">
        <v>11933.7643424532</v>
      </c>
      <c r="N1765" s="2">
        <f>(Tabla2[[#This Row],[Productividad (kg/TAS)]]*Tabla2[[#This Row],[Precio por kg]]-Tabla2[[#This Row],[Costos (En RD$/Tarea)]])</f>
        <v>-1113.6704373740358</v>
      </c>
      <c r="O1765" s="6">
        <f>IF(Tabla2[[#This Row],[Costos (En RD$/Tarea)]]=0,0,Tabla2[[#This Row],[Beneficio Neto  (En RD$/Tarea)]]/Tabla2[[#This Row],[Costos (En RD$/Tarea)]])</f>
        <v>-9.3320967753004982E-2</v>
      </c>
      <c r="P1765" s="4">
        <f>Tabla2[[#This Row],[Rentabilidad (%)]]/12</f>
        <v>-7.7767473127504155E-3</v>
      </c>
    </row>
    <row r="1766" spans="1:16" x14ac:dyDescent="0.35">
      <c r="A1766" s="1">
        <v>41000</v>
      </c>
      <c r="B1766" t="s">
        <v>16</v>
      </c>
      <c r="C1766" s="2">
        <v>288906</v>
      </c>
      <c r="D1766" s="5" t="s">
        <v>17</v>
      </c>
      <c r="E1766" s="2">
        <f>IF(Tabla2[[#This Row],[Frecuencia]]="Annual", Tabla2[[#This Row],[Cosecha/Tarea]]/12,Tabla2[[#This Row],[Cosecha/Tarea]])</f>
        <v>288906</v>
      </c>
      <c r="F1766" s="2">
        <v>1336149</v>
      </c>
      <c r="G1766" t="s">
        <v>18</v>
      </c>
      <c r="H1766">
        <f>F1766/Tabla2[[#This Row],[Cosecha Mensual]]</f>
        <v>4.6248572199954312</v>
      </c>
      <c r="I1766">
        <f>H1766*_xlfn.XLOOKUP(Tabla2[[#This Row],[Unidad de producción]],Tabla3[Medida],Tabla3[Equivalencia en Kg],"ELVIS",0)</f>
        <v>209.78352349899276</v>
      </c>
      <c r="J1766">
        <v>1668.75</v>
      </c>
      <c r="K1766" t="s">
        <v>19</v>
      </c>
      <c r="L1766">
        <f>J1766/_xlfn.XLOOKUP(Tabla2[[#This Row],[Unidad de precio]],Tabla3[Medida],Tabla3[Equivalencia en Kg],"ELVIS",0)</f>
        <v>15.170454545454545</v>
      </c>
      <c r="M1766">
        <v>7982.6190521234403</v>
      </c>
      <c r="N1766" s="2">
        <f>(Tabla2[[#This Row],[Productividad (kg/TAS)]]*Tabla2[[#This Row],[Precio por kg]]-Tabla2[[#This Row],[Costos (En RD$/Tarea)]])</f>
        <v>-4800.1076444966748</v>
      </c>
      <c r="O1766" s="6">
        <f>IF(Tabla2[[#This Row],[Costos (En RD$/Tarea)]]=0,0,Tabla2[[#This Row],[Beneficio Neto  (En RD$/Tarea)]]/Tabla2[[#This Row],[Costos (En RD$/Tarea)]])</f>
        <v>-0.60131989427953569</v>
      </c>
      <c r="P1766" s="4">
        <f>Tabla2[[#This Row],[Rentabilidad (%)]]/12</f>
        <v>-5.010999118996131E-2</v>
      </c>
    </row>
    <row r="1767" spans="1:16" x14ac:dyDescent="0.35">
      <c r="A1767" s="1">
        <v>41000</v>
      </c>
      <c r="B1767" t="s">
        <v>20</v>
      </c>
      <c r="C1767" s="2">
        <v>31920</v>
      </c>
      <c r="D1767" s="5" t="s">
        <v>17</v>
      </c>
      <c r="E1767" s="2">
        <f>IF(Tabla2[[#This Row],[Frecuencia]]="Annual", Tabla2[[#This Row],[Cosecha/Tarea]]/12,Tabla2[[#This Row],[Cosecha/Tarea]])</f>
        <v>31920</v>
      </c>
      <c r="F1767" s="2">
        <v>84173</v>
      </c>
      <c r="G1767" t="s">
        <v>18</v>
      </c>
      <c r="H1767">
        <f>F1767/Tabla2[[#This Row],[Cosecha Mensual]]</f>
        <v>2.6369987468671678</v>
      </c>
      <c r="I1767">
        <f>H1767*_xlfn.XLOOKUP(Tabla2[[#This Row],[Unidad de producción]],Tabla3[Medida],Tabla3[Equivalencia en Kg],"ELVIS",0)</f>
        <v>119.61426315789473</v>
      </c>
      <c r="J1767">
        <v>779.33333333333303</v>
      </c>
      <c r="K1767" t="s">
        <v>18</v>
      </c>
      <c r="L1767">
        <f>J1767/_xlfn.XLOOKUP(Tabla2[[#This Row],[Unidad de precio]],Tabla3[Medida],Tabla3[Equivalencia en Kg],"ELVIS",0)</f>
        <v>17.181069958847729</v>
      </c>
      <c r="M1767">
        <v>2248.3053412475001</v>
      </c>
      <c r="N1767" s="2">
        <f>(Tabla2[[#This Row],[Productividad (kg/TAS)]]*Tabla2[[#This Row],[Precio por kg]]-Tabla2[[#This Row],[Costos (En RD$/Tarea)]])</f>
        <v>-193.20431785568826</v>
      </c>
      <c r="O1767" s="6">
        <f>IF(Tabla2[[#This Row],[Costos (En RD$/Tarea)]]=0,0,Tabla2[[#This Row],[Beneficio Neto  (En RD$/Tarea)]]/Tabla2[[#This Row],[Costos (En RD$/Tarea)]])</f>
        <v>-8.5933309106709876E-2</v>
      </c>
      <c r="P1767" s="4">
        <f>Tabla2[[#This Row],[Rentabilidad (%)]]/12</f>
        <v>-7.161109092225823E-3</v>
      </c>
    </row>
    <row r="1768" spans="1:16" x14ac:dyDescent="0.35">
      <c r="A1768" s="1">
        <v>41000</v>
      </c>
      <c r="B1768" t="s">
        <v>21</v>
      </c>
      <c r="C1768" s="2">
        <v>8777</v>
      </c>
      <c r="D1768" s="5" t="s">
        <v>17</v>
      </c>
      <c r="E1768" s="2">
        <f>IF(Tabla2[[#This Row],[Frecuencia]]="Annual", Tabla2[[#This Row],[Cosecha/Tarea]]/12,Tabla2[[#This Row],[Cosecha/Tarea]])</f>
        <v>8777</v>
      </c>
      <c r="F1768" s="2">
        <v>103914</v>
      </c>
      <c r="G1768" t="s">
        <v>18</v>
      </c>
      <c r="H1768">
        <f>F1768/Tabla2[[#This Row],[Cosecha Mensual]]</f>
        <v>11.839352854050359</v>
      </c>
      <c r="I1768">
        <f>H1768*_xlfn.XLOOKUP(Tabla2[[#This Row],[Unidad de producción]],Tabla3[Medida],Tabla3[Equivalencia en Kg],"ELVIS",0)</f>
        <v>537.03304545972424</v>
      </c>
      <c r="J1768">
        <v>346.73250000000002</v>
      </c>
      <c r="K1768" t="s">
        <v>18</v>
      </c>
      <c r="L1768">
        <f>J1768/_xlfn.XLOOKUP(Tabla2[[#This Row],[Unidad de precio]],Tabla3[Medida],Tabla3[Equivalencia en Kg],"ELVIS",0)</f>
        <v>7.6440145502645507</v>
      </c>
      <c r="M1768">
        <v>5350.2017200091695</v>
      </c>
      <c r="N1768" s="2">
        <f>(Tabla2[[#This Row],[Productividad (kg/TAS)]]*Tabla2[[#This Row],[Precio por kg]]-Tabla2[[#This Row],[Costos (En RD$/Tarea)]])</f>
        <v>-1245.1133065421536</v>
      </c>
      <c r="O1768" s="6">
        <f>IF(Tabla2[[#This Row],[Costos (En RD$/Tarea)]]=0,0,Tabla2[[#This Row],[Beneficio Neto  (En RD$/Tarea)]]/Tabla2[[#This Row],[Costos (En RD$/Tarea)]])</f>
        <v>-0.23272268443366648</v>
      </c>
      <c r="P1768" s="4">
        <f>Tabla2[[#This Row],[Rentabilidad (%)]]/12</f>
        <v>-1.9393557036138872E-2</v>
      </c>
    </row>
    <row r="1769" spans="1:16" x14ac:dyDescent="0.35">
      <c r="A1769" s="1">
        <v>41000</v>
      </c>
      <c r="B1769" t="s">
        <v>22</v>
      </c>
      <c r="C1769" s="2">
        <v>5939</v>
      </c>
      <c r="D1769" s="5" t="s">
        <v>17</v>
      </c>
      <c r="E1769" s="2">
        <f>IF(Tabla2[[#This Row],[Frecuencia]]="Annual", Tabla2[[#This Row],[Cosecha/Tarea]]/12,Tabla2[[#This Row],[Cosecha/Tarea]])</f>
        <v>5939</v>
      </c>
      <c r="F1769" s="2">
        <v>53708</v>
      </c>
      <c r="G1769" t="s">
        <v>18</v>
      </c>
      <c r="H1769">
        <f>F1769/Tabla2[[#This Row],[Cosecha Mensual]]</f>
        <v>9.0432732783296856</v>
      </c>
      <c r="I1769">
        <f>H1769*_xlfn.XLOOKUP(Tabla2[[#This Row],[Unidad de producción]],Tabla3[Medida],Tabla3[Equivalencia en Kg],"ELVIS",0)</f>
        <v>410.20287590503455</v>
      </c>
      <c r="J1769">
        <v>1040.31864285714</v>
      </c>
      <c r="K1769" t="s">
        <v>18</v>
      </c>
      <c r="L1769">
        <f>J1769/_xlfn.XLOOKUP(Tabla2[[#This Row],[Unidad de precio]],Tabla3[Medida],Tabla3[Equivalencia en Kg],"ELVIS",0)</f>
        <v>22.934714348702382</v>
      </c>
      <c r="M1769">
        <v>8360.1905549999992</v>
      </c>
      <c r="N1769" s="2">
        <f>(Tabla2[[#This Row],[Productividad (kg/TAS)]]*Tabla2[[#This Row],[Precio por kg]]-Tabla2[[#This Row],[Costos (En RD$/Tarea)]])</f>
        <v>1047.6952288981793</v>
      </c>
      <c r="O1769" s="6">
        <f>IF(Tabla2[[#This Row],[Costos (En RD$/Tarea)]]=0,0,Tabla2[[#This Row],[Beneficio Neto  (En RD$/Tarea)]]/Tabla2[[#This Row],[Costos (En RD$/Tarea)]])</f>
        <v>0.12531953931021125</v>
      </c>
      <c r="P1769" s="4">
        <f>Tabla2[[#This Row],[Rentabilidad (%)]]/12</f>
        <v>1.0443294942517604E-2</v>
      </c>
    </row>
    <row r="1770" spans="1:16" x14ac:dyDescent="0.35">
      <c r="A1770" s="1">
        <v>41000</v>
      </c>
      <c r="B1770" t="s">
        <v>23</v>
      </c>
      <c r="C1770" s="2">
        <v>4928</v>
      </c>
      <c r="D1770" s="5" t="s">
        <v>17</v>
      </c>
      <c r="E1770" s="2">
        <f>IF(Tabla2[[#This Row],[Frecuencia]]="Annual", Tabla2[[#This Row],[Cosecha/Tarea]]/12,Tabla2[[#This Row],[Cosecha/Tarea]])</f>
        <v>4928</v>
      </c>
      <c r="F1770" s="2">
        <v>122698</v>
      </c>
      <c r="G1770" t="s">
        <v>18</v>
      </c>
      <c r="H1770">
        <f>F1770/Tabla2[[#This Row],[Cosecha Mensual]]</f>
        <v>24.898133116883116</v>
      </c>
      <c r="I1770">
        <f>H1770*_xlfn.XLOOKUP(Tabla2[[#This Row],[Unidad de producción]],Tabla3[Medida],Tabla3[Equivalencia en Kg],"ELVIS",0)</f>
        <v>1129.3793181818182</v>
      </c>
      <c r="J1770">
        <v>687.5</v>
      </c>
      <c r="K1770" t="s">
        <v>18</v>
      </c>
      <c r="L1770">
        <f>J1770/_xlfn.XLOOKUP(Tabla2[[#This Row],[Unidad de precio]],Tabla3[Medida],Tabla3[Equivalencia en Kg],"ELVIS",0)</f>
        <v>15.156525573192241</v>
      </c>
      <c r="M1770">
        <v>24344.842076238001</v>
      </c>
      <c r="N1770" s="2">
        <f>(Tabla2[[#This Row],[Productividad (kg/TAS)]]*Tabla2[[#This Row],[Precio por kg]]-Tabla2[[#This Row],[Costos (En RD$/Tarea)]])</f>
        <v>-7227.3755583808561</v>
      </c>
      <c r="O1770" s="6">
        <f>IF(Tabla2[[#This Row],[Costos (En RD$/Tarea)]]=0,0,Tabla2[[#This Row],[Beneficio Neto  (En RD$/Tarea)]]/Tabla2[[#This Row],[Costos (En RD$/Tarea)]])</f>
        <v>-0.29687502329025989</v>
      </c>
      <c r="P1770" s="4">
        <f>Tabla2[[#This Row],[Rentabilidad (%)]]/12</f>
        <v>-2.4739585274188323E-2</v>
      </c>
    </row>
    <row r="1771" spans="1:16" x14ac:dyDescent="0.35">
      <c r="A1771" s="1">
        <v>41000</v>
      </c>
      <c r="B1771" t="s">
        <v>24</v>
      </c>
      <c r="C1771" s="2">
        <v>8320</v>
      </c>
      <c r="D1771" s="5" t="s">
        <v>17</v>
      </c>
      <c r="E1771" s="2">
        <f>IF(Tabla2[[#This Row],[Frecuencia]]="Annual", Tabla2[[#This Row],[Cosecha/Tarea]]/12,Tabla2[[#This Row],[Cosecha/Tarea]])</f>
        <v>8320</v>
      </c>
      <c r="F1771" s="2">
        <v>63299</v>
      </c>
      <c r="G1771" t="s">
        <v>18</v>
      </c>
      <c r="H1771">
        <f>F1771/Tabla2[[#This Row],[Cosecha Mensual]]</f>
        <v>7.6080528846153843</v>
      </c>
      <c r="I1771">
        <f>H1771*_xlfn.XLOOKUP(Tabla2[[#This Row],[Unidad de producción]],Tabla3[Medida],Tabla3[Equivalencia en Kg],"ELVIS",0)</f>
        <v>345.10127884615383</v>
      </c>
      <c r="J1771">
        <v>1257.57142857143</v>
      </c>
      <c r="K1771" t="s">
        <v>18</v>
      </c>
      <c r="L1771">
        <f>J1771/_xlfn.XLOOKUP(Tabla2[[#This Row],[Unidad de precio]],Tabla3[Medida],Tabla3[Equivalencia en Kg],"ELVIS",0)</f>
        <v>27.724237843285493</v>
      </c>
      <c r="M1771">
        <v>8104.7130577283997</v>
      </c>
      <c r="N1771" s="2">
        <f>(Tabla2[[#This Row],[Productividad (kg/TAS)]]*Tabla2[[#This Row],[Precio por kg]]-Tabla2[[#This Row],[Costos (En RD$/Tarea)]])</f>
        <v>1462.9568770243577</v>
      </c>
      <c r="O1771" s="6">
        <f>IF(Tabla2[[#This Row],[Costos (En RD$/Tarea)]]=0,0,Tabla2[[#This Row],[Beneficio Neto  (En RD$/Tarea)]]/Tabla2[[#This Row],[Costos (En RD$/Tarea)]])</f>
        <v>0.18050693054818615</v>
      </c>
      <c r="P1771" s="4">
        <f>Tabla2[[#This Row],[Rentabilidad (%)]]/12</f>
        <v>1.5042244212348845E-2</v>
      </c>
    </row>
    <row r="1772" spans="1:16" x14ac:dyDescent="0.35">
      <c r="A1772" s="1">
        <v>41000</v>
      </c>
      <c r="B1772" t="s">
        <v>25</v>
      </c>
      <c r="C1772" s="2">
        <v>23298</v>
      </c>
      <c r="D1772" s="5" t="s">
        <v>17</v>
      </c>
      <c r="E1772" s="2">
        <f>IF(Tabla2[[#This Row],[Frecuencia]]="Annual", Tabla2[[#This Row],[Cosecha/Tarea]]/12,Tabla2[[#This Row],[Cosecha/Tarea]])</f>
        <v>23298</v>
      </c>
      <c r="F1772" s="2">
        <v>265489</v>
      </c>
      <c r="G1772" t="s">
        <v>18</v>
      </c>
      <c r="H1772">
        <f>F1772/Tabla2[[#This Row],[Cosecha Mensual]]</f>
        <v>11.395355824534295</v>
      </c>
      <c r="I1772">
        <f>H1772*_xlfn.XLOOKUP(Tabla2[[#This Row],[Unidad de producción]],Tabla3[Medida],Tabla3[Equivalencia en Kg],"ELVIS",0)</f>
        <v>516.89334020087563</v>
      </c>
      <c r="J1772">
        <v>355.86</v>
      </c>
      <c r="K1772" t="s">
        <v>18</v>
      </c>
      <c r="L1772">
        <f>J1772/_xlfn.XLOOKUP(Tabla2[[#This Row],[Unidad de precio]],Tabla3[Medida],Tabla3[Equivalencia en Kg],"ELVIS",0)</f>
        <v>7.8452380952380958</v>
      </c>
      <c r="M1772">
        <v>4628.4219376424999</v>
      </c>
      <c r="N1772" s="2">
        <f>(Tabla2[[#This Row],[Productividad (kg/TAS)]]*Tabla2[[#This Row],[Precio por kg]]-Tabla2[[#This Row],[Costos (En RD$/Tarea)]])</f>
        <v>-573.27061392372525</v>
      </c>
      <c r="O1772" s="6">
        <f>IF(Tabla2[[#This Row],[Costos (En RD$/Tarea)]]=0,0,Tabla2[[#This Row],[Beneficio Neto  (En RD$/Tarea)]]/Tabla2[[#This Row],[Costos (En RD$/Tarea)]])</f>
        <v>-0.12385876258630869</v>
      </c>
      <c r="P1772" s="4">
        <f>Tabla2[[#This Row],[Rentabilidad (%)]]/12</f>
        <v>-1.0321563548859058E-2</v>
      </c>
    </row>
    <row r="1773" spans="1:16" x14ac:dyDescent="0.35">
      <c r="A1773" s="1">
        <v>41000</v>
      </c>
      <c r="B1773" t="s">
        <v>26</v>
      </c>
      <c r="C1773" s="2">
        <v>12550</v>
      </c>
      <c r="D1773" s="5" t="s">
        <v>17</v>
      </c>
      <c r="E1773" s="2">
        <f>IF(Tabla2[[#This Row],[Frecuencia]]="Annual", Tabla2[[#This Row],[Cosecha/Tarea]]/12,Tabla2[[#This Row],[Cosecha/Tarea]])</f>
        <v>12550</v>
      </c>
      <c r="F1773" s="2">
        <v>73454</v>
      </c>
      <c r="G1773" t="s">
        <v>18</v>
      </c>
      <c r="H1773">
        <f>F1773/Tabla2[[#This Row],[Cosecha Mensual]]</f>
        <v>5.8529083665338648</v>
      </c>
      <c r="I1773">
        <f>H1773*_xlfn.XLOOKUP(Tabla2[[#This Row],[Unidad de producción]],Tabla3[Medida],Tabla3[Equivalencia en Kg],"ELVIS",0)</f>
        <v>265.48792350597608</v>
      </c>
      <c r="J1773">
        <v>727.21666666666704</v>
      </c>
      <c r="K1773" t="s">
        <v>18</v>
      </c>
      <c r="L1773">
        <f>J1773/_xlfn.XLOOKUP(Tabla2[[#This Row],[Unidad de precio]],Tabla3[Medida],Tabla3[Equivalencia en Kg],"ELVIS",0)</f>
        <v>16.032113462669027</v>
      </c>
      <c r="M1773">
        <v>2035.7933205730001</v>
      </c>
      <c r="N1773" s="2">
        <f>(Tabla2[[#This Row],[Productividad (kg/TAS)]]*Tabla2[[#This Row],[Precio por kg]]-Tabla2[[#This Row],[Costos (En RD$/Tarea)]])</f>
        <v>2220.5391920432044</v>
      </c>
      <c r="O1773" s="6">
        <f>IF(Tabla2[[#This Row],[Costos (En RD$/Tarea)]]=0,0,Tabla2[[#This Row],[Beneficio Neto  (En RD$/Tarea)]]/Tabla2[[#This Row],[Costos (En RD$/Tarea)]])</f>
        <v>1.0907488346696241</v>
      </c>
      <c r="P1773" s="4">
        <f>Tabla2[[#This Row],[Rentabilidad (%)]]/12</f>
        <v>9.0895736222468673E-2</v>
      </c>
    </row>
    <row r="1774" spans="1:16" x14ac:dyDescent="0.35">
      <c r="A1774" s="1">
        <v>41000</v>
      </c>
      <c r="B1774" t="s">
        <v>27</v>
      </c>
      <c r="C1774" s="2">
        <v>7555</v>
      </c>
      <c r="D1774" s="5" t="s">
        <v>17</v>
      </c>
      <c r="E1774" s="2">
        <f>IF(Tabla2[[#This Row],[Frecuencia]]="Annual", Tabla2[[#This Row],[Cosecha/Tarea]]/12,Tabla2[[#This Row],[Cosecha/Tarea]])</f>
        <v>7555</v>
      </c>
      <c r="F1774" s="2">
        <v>77444</v>
      </c>
      <c r="G1774" t="s">
        <v>18</v>
      </c>
      <c r="H1774">
        <f>F1774/Tabla2[[#This Row],[Cosecha Mensual]]</f>
        <v>10.250694904037061</v>
      </c>
      <c r="I1774">
        <f>H1774*_xlfn.XLOOKUP(Tabla2[[#This Row],[Unidad de producción]],Tabla3[Medida],Tabla3[Equivalencia en Kg],"ELVIS",0)</f>
        <v>464.9715208471211</v>
      </c>
      <c r="J1774">
        <v>637.868333333333</v>
      </c>
      <c r="K1774" t="s">
        <v>18</v>
      </c>
      <c r="L1774">
        <f>J1774/_xlfn.XLOOKUP(Tabla2[[#This Row],[Unidad de precio]],Tabla3[Medida],Tabla3[Equivalencia en Kg],"ELVIS",0)</f>
        <v>14.062353027630799</v>
      </c>
      <c r="M1774">
        <v>7766.2500132750001</v>
      </c>
      <c r="N1774" s="2">
        <f>(Tabla2[[#This Row],[Productividad (kg/TAS)]]*Tabla2[[#This Row],[Precio por kg]]-Tabla2[[#This Row],[Costos (En RD$/Tarea)]])</f>
        <v>-1227.6563393283895</v>
      </c>
      <c r="O1774" s="6">
        <f>IF(Tabla2[[#This Row],[Costos (En RD$/Tarea)]]=0,0,Tabla2[[#This Row],[Beneficio Neto  (En RD$/Tarea)]]/Tabla2[[#This Row],[Costos (En RD$/Tarea)]])</f>
        <v>-0.15807582001994952</v>
      </c>
      <c r="P1774" s="4">
        <f>Tabla2[[#This Row],[Rentabilidad (%)]]/12</f>
        <v>-1.317298500166246E-2</v>
      </c>
    </row>
    <row r="1775" spans="1:16" x14ac:dyDescent="0.35">
      <c r="A1775" s="1">
        <v>41000</v>
      </c>
      <c r="B1775" t="s">
        <v>28</v>
      </c>
      <c r="C1775" s="2">
        <v>12969</v>
      </c>
      <c r="D1775" s="5" t="s">
        <v>17</v>
      </c>
      <c r="E1775" s="2">
        <f>IF(Tabla2[[#This Row],[Frecuencia]]="Annual", Tabla2[[#This Row],[Cosecha/Tarea]]/12,Tabla2[[#This Row],[Cosecha/Tarea]])</f>
        <v>12969</v>
      </c>
      <c r="F1775" s="2">
        <v>6181</v>
      </c>
      <c r="G1775" t="s">
        <v>29</v>
      </c>
      <c r="H1775">
        <f>F1775/Tabla2[[#This Row],[Cosecha Mensual]]</f>
        <v>0.47659804148353768</v>
      </c>
      <c r="I1775">
        <f>H1775*_xlfn.XLOOKUP(Tabla2[[#This Row],[Unidad de producción]],Tabla3[Medida],Tabla3[Equivalencia en Kg],"ELVIS",0)</f>
        <v>268.0101426478526</v>
      </c>
      <c r="J1775">
        <v>8133.25</v>
      </c>
      <c r="K1775" t="s">
        <v>29</v>
      </c>
      <c r="L1775">
        <f>J1775/_xlfn.XLOOKUP(Tabla2[[#This Row],[Unidad de precio]],Tabla3[Medida],Tabla3[Equivalencia en Kg],"ELVIS",0)</f>
        <v>14.463225095138172</v>
      </c>
      <c r="M1775">
        <v>6923.3397737333999</v>
      </c>
      <c r="N1775" s="2">
        <f>(Tabla2[[#This Row],[Productividad (kg/TAS)]]*Tabla2[[#This Row],[Precio por kg]]-Tabla2[[#This Row],[Costos (En RD$/Tarea)]])</f>
        <v>-3047.0487528374165</v>
      </c>
      <c r="O1775" s="6">
        <f>IF(Tabla2[[#This Row],[Costos (En RD$/Tarea)]]=0,0,Tabla2[[#This Row],[Beneficio Neto  (En RD$/Tarea)]]/Tabla2[[#This Row],[Costos (En RD$/Tarea)]])</f>
        <v>-0.44011255440584862</v>
      </c>
      <c r="P1775" s="4">
        <f>Tabla2[[#This Row],[Rentabilidad (%)]]/12</f>
        <v>-3.6676046200487387E-2</v>
      </c>
    </row>
    <row r="1776" spans="1:16" x14ac:dyDescent="0.35">
      <c r="A1776" s="1">
        <v>41000</v>
      </c>
      <c r="B1776" t="s">
        <v>30</v>
      </c>
      <c r="C1776" s="2">
        <v>370688</v>
      </c>
      <c r="D1776" s="2" t="s">
        <v>31</v>
      </c>
      <c r="E1776" s="2">
        <f>IF(Tabla2[[#This Row],[Frecuencia]]="Annual", Tabla2[[#This Row],[Cosecha/Tarea]]/12,Tabla2[[#This Row],[Cosecha/Tarea]])</f>
        <v>30890.666666666668</v>
      </c>
      <c r="F1776" s="2">
        <v>3201777</v>
      </c>
      <c r="G1776" t="s">
        <v>32</v>
      </c>
      <c r="H1776">
        <f>F1776/Tabla2[[#This Row],[Cosecha Mensual]]</f>
        <v>103.6486856871547</v>
      </c>
      <c r="I1776">
        <f>H1776*_xlfn.XLOOKUP(Tabla2[[#This Row],[Unidad de producción]],Tabla3[Medida],Tabla3[Equivalencia en Kg],"ELVIS",0)</f>
        <v>2820.2807375474795</v>
      </c>
      <c r="J1776">
        <v>173.944444444444</v>
      </c>
      <c r="K1776" t="s">
        <v>32</v>
      </c>
      <c r="L1776">
        <f>J1776/_xlfn.XLOOKUP(Tabla2[[#This Row],[Unidad de precio]],Tabla3[Medida],Tabla3[Equivalencia en Kg],"ELVIS",0)</f>
        <v>6.3926660949814034</v>
      </c>
      <c r="M1776" s="2">
        <v>12463.806077028201</v>
      </c>
      <c r="N1776" s="2">
        <f>(Tabla2[[#This Row],[Productividad (kg/TAS)]]*Tabla2[[#This Row],[Precio por kg]]-Tabla2[[#This Row],[Costos (En RD$/Tarea)]])</f>
        <v>5565.3069722207165</v>
      </c>
      <c r="O1776" s="6">
        <f>IF(Tabla2[[#This Row],[Costos (En RD$/Tarea)]]=0,0,Tabla2[[#This Row],[Beneficio Neto  (En RD$/Tarea)]]/Tabla2[[#This Row],[Costos (En RD$/Tarea)]])</f>
        <v>0.44651745524812247</v>
      </c>
      <c r="P1776" s="4">
        <f>Tabla2[[#This Row],[Rentabilidad (%)]]/12</f>
        <v>3.7209787937343537E-2</v>
      </c>
    </row>
    <row r="1777" spans="1:16" x14ac:dyDescent="0.35">
      <c r="A1777" s="1">
        <v>41000</v>
      </c>
      <c r="B1777" t="s">
        <v>33</v>
      </c>
      <c r="C1777" s="2">
        <v>722410</v>
      </c>
      <c r="D1777" s="2" t="s">
        <v>31</v>
      </c>
      <c r="E1777" s="8">
        <f>IF(Tabla2[[#This Row],[Frecuencia]]="Annual", Tabla2[[#This Row],[Cosecha/Tarea]]/12,Tabla2[[#This Row],[Cosecha/Tarea]])</f>
        <v>60200.833333333336</v>
      </c>
      <c r="F1777" s="2">
        <v>185808</v>
      </c>
      <c r="G1777" t="s">
        <v>34</v>
      </c>
      <c r="H1777">
        <f>F1777/Tabla2[[#This Row],[Cosecha Mensual]]</f>
        <v>3.0864689027006822</v>
      </c>
      <c r="I1777">
        <f>H1777*_xlfn.XLOOKUP(Tabla2[[#This Row],[Unidad de producción]],Tabla3[Medida],Tabla3[Equivalencia en Kg],"ELVIS",0)</f>
        <v>1259.7422826372833</v>
      </c>
      <c r="J1777">
        <v>4530.74489795918</v>
      </c>
      <c r="K1777" t="s">
        <v>34</v>
      </c>
      <c r="L1777">
        <f>J1777/_xlfn.XLOOKUP(Tabla2[[#This Row],[Unidad de precio]],Tabla3[Medida],Tabla3[Equivalencia en Kg],"ELVIS",0)</f>
        <v>11.100685772287591</v>
      </c>
      <c r="M1777" s="2">
        <v>11933.7643424532</v>
      </c>
      <c r="N1777" s="2">
        <f>(Tabla2[[#This Row],[Productividad (kg/TAS)]]*Tabla2[[#This Row],[Precio por kg]]-Tabla2[[#This Row],[Costos (En RD$/Tarea)]])</f>
        <v>2050.2388911675844</v>
      </c>
      <c r="O1777" s="6">
        <f>IF(Tabla2[[#This Row],[Costos (En RD$/Tarea)]]=0,0,Tabla2[[#This Row],[Beneficio Neto  (En RD$/Tarea)]]/Tabla2[[#This Row],[Costos (En RD$/Tarea)]])</f>
        <v>0.17180152316851607</v>
      </c>
      <c r="P1777" s="4">
        <f>Tabla2[[#This Row],[Rentabilidad (%)]]/12</f>
        <v>1.4316793597376339E-2</v>
      </c>
    </row>
    <row r="1778" spans="1:16" x14ac:dyDescent="0.35">
      <c r="A1778" s="1">
        <v>41030</v>
      </c>
      <c r="B1778" t="s">
        <v>16</v>
      </c>
      <c r="C1778" s="2">
        <v>583917</v>
      </c>
      <c r="D1778" s="5" t="s">
        <v>17</v>
      </c>
      <c r="E1778" s="2">
        <f>IF(Tabla2[[#This Row],[Frecuencia]]="Annual", Tabla2[[#This Row],[Cosecha/Tarea]]/12,Tabla2[[#This Row],[Cosecha/Tarea]])</f>
        <v>583917</v>
      </c>
      <c r="F1778" s="2">
        <v>2714505</v>
      </c>
      <c r="G1778" t="s">
        <v>18</v>
      </c>
      <c r="H1778">
        <f>F1778/Tabla2[[#This Row],[Cosecha Mensual]]</f>
        <v>4.6487857007074638</v>
      </c>
      <c r="I1778">
        <f>H1778*_xlfn.XLOOKUP(Tabla2[[#This Row],[Unidad de producción]],Tabla3[Medida],Tabla3[Equivalencia en Kg],"ELVIS",0)</f>
        <v>210.86891938409056</v>
      </c>
      <c r="J1778">
        <v>1499.16391639164</v>
      </c>
      <c r="K1778" t="s">
        <v>19</v>
      </c>
      <c r="L1778">
        <f>J1778/_xlfn.XLOOKUP(Tabla2[[#This Row],[Unidad de precio]],Tabla3[Medida],Tabla3[Equivalencia en Kg],"ELVIS",0)</f>
        <v>13.628762876287636</v>
      </c>
      <c r="M1778">
        <v>7982.6190521234403</v>
      </c>
      <c r="N1778" s="2">
        <f>(Tabla2[[#This Row],[Productividad (kg/TAS)]]*Tabla2[[#This Row],[Precio por kg]]-Tabla2[[#This Row],[Costos (En RD$/Tarea)]])</f>
        <v>-5108.7365518586566</v>
      </c>
      <c r="O1778" s="6">
        <f>IF(Tabla2[[#This Row],[Costos (En RD$/Tarea)]]=0,0,Tabla2[[#This Row],[Beneficio Neto  (En RD$/Tarea)]]/Tabla2[[#This Row],[Costos (En RD$/Tarea)]])</f>
        <v>-0.6399825068064211</v>
      </c>
      <c r="P1778" s="4">
        <f>Tabla2[[#This Row],[Rentabilidad (%)]]/12</f>
        <v>-5.3331875567201759E-2</v>
      </c>
    </row>
    <row r="1779" spans="1:16" x14ac:dyDescent="0.35">
      <c r="A1779" s="1">
        <v>41030</v>
      </c>
      <c r="B1779" t="s">
        <v>20</v>
      </c>
      <c r="C1779" s="2">
        <v>27657</v>
      </c>
      <c r="D1779" s="5" t="s">
        <v>17</v>
      </c>
      <c r="E1779" s="2">
        <f>IF(Tabla2[[#This Row],[Frecuencia]]="Annual", Tabla2[[#This Row],[Cosecha/Tarea]]/12,Tabla2[[#This Row],[Cosecha/Tarea]])</f>
        <v>27657</v>
      </c>
      <c r="F1779" s="2">
        <v>74210</v>
      </c>
      <c r="G1779" t="s">
        <v>18</v>
      </c>
      <c r="H1779">
        <f>F1779/Tabla2[[#This Row],[Cosecha Mensual]]</f>
        <v>2.6832266695592435</v>
      </c>
      <c r="I1779">
        <f>H1779*_xlfn.XLOOKUP(Tabla2[[#This Row],[Unidad de producción]],Tabla3[Medida],Tabla3[Equivalencia en Kg],"ELVIS",0)</f>
        <v>121.71116173120728</v>
      </c>
      <c r="J1779">
        <v>767.142857142857</v>
      </c>
      <c r="K1779" t="s">
        <v>18</v>
      </c>
      <c r="L1779">
        <f>J1779/_xlfn.XLOOKUP(Tabla2[[#This Row],[Unidad de precio]],Tabla3[Medida],Tabla3[Equivalencia en Kg],"ELVIS",0)</f>
        <v>16.912320483749053</v>
      </c>
      <c r="M1779">
        <v>2248.3053412475001</v>
      </c>
      <c r="N1779" s="2">
        <f>(Tabla2[[#This Row],[Productividad (kg/TAS)]]*Tabla2[[#This Row],[Precio por kg]]-Tabla2[[#This Row],[Costos (En RD$/Tarea)]])</f>
        <v>-189.88716759990939</v>
      </c>
      <c r="O1779" s="6">
        <f>IF(Tabla2[[#This Row],[Costos (En RD$/Tarea)]]=0,0,Tabla2[[#This Row],[Beneficio Neto  (En RD$/Tarea)]]/Tabla2[[#This Row],[Costos (En RD$/Tarea)]])</f>
        <v>-8.4457908859722819E-2</v>
      </c>
      <c r="P1779" s="4">
        <f>Tabla2[[#This Row],[Rentabilidad (%)]]/12</f>
        <v>-7.0381590716435682E-3</v>
      </c>
    </row>
    <row r="1780" spans="1:16" x14ac:dyDescent="0.35">
      <c r="A1780" s="1">
        <v>41030</v>
      </c>
      <c r="B1780" t="s">
        <v>21</v>
      </c>
      <c r="C1780" s="2">
        <v>9101</v>
      </c>
      <c r="D1780" s="5" t="s">
        <v>17</v>
      </c>
      <c r="E1780" s="2">
        <f>IF(Tabla2[[#This Row],[Frecuencia]]="Annual", Tabla2[[#This Row],[Cosecha/Tarea]]/12,Tabla2[[#This Row],[Cosecha/Tarea]])</f>
        <v>9101</v>
      </c>
      <c r="F1780" s="2">
        <v>94102</v>
      </c>
      <c r="G1780" t="s">
        <v>18</v>
      </c>
      <c r="H1780">
        <f>F1780/Tabla2[[#This Row],[Cosecha Mensual]]</f>
        <v>10.339742885397209</v>
      </c>
      <c r="I1780">
        <f>H1780*_xlfn.XLOOKUP(Tabla2[[#This Row],[Unidad de producción]],Tabla3[Medida],Tabla3[Equivalencia en Kg],"ELVIS",0)</f>
        <v>469.01073728161742</v>
      </c>
      <c r="J1780">
        <v>187.18392857142899</v>
      </c>
      <c r="K1780" t="s">
        <v>18</v>
      </c>
      <c r="L1780">
        <f>J1780/_xlfn.XLOOKUP(Tabla2[[#This Row],[Unidad de precio]],Tabla3[Medida],Tabla3[Equivalencia en Kg],"ELVIS",0)</f>
        <v>4.1266298185941137</v>
      </c>
      <c r="M1780">
        <v>5350.2017200091695</v>
      </c>
      <c r="N1780" s="2">
        <f>(Tabla2[[#This Row],[Productividad (kg/TAS)]]*Tabla2[[#This Row],[Precio por kg]]-Tabla2[[#This Row],[Costos (En RD$/Tarea)]])</f>
        <v>-3414.768026302037</v>
      </c>
      <c r="O1780" s="6">
        <f>IF(Tabla2[[#This Row],[Costos (En RD$/Tarea)]]=0,0,Tabla2[[#This Row],[Beneficio Neto  (En RD$/Tarea)]]/Tabla2[[#This Row],[Costos (En RD$/Tarea)]])</f>
        <v>-0.6382503324185288</v>
      </c>
      <c r="P1780" s="4">
        <f>Tabla2[[#This Row],[Rentabilidad (%)]]/12</f>
        <v>-5.3187527701544064E-2</v>
      </c>
    </row>
    <row r="1781" spans="1:16" x14ac:dyDescent="0.35">
      <c r="A1781" s="1">
        <v>41030</v>
      </c>
      <c r="B1781" t="s">
        <v>22</v>
      </c>
      <c r="C1781" s="2">
        <v>6721</v>
      </c>
      <c r="D1781" s="5" t="s">
        <v>17</v>
      </c>
      <c r="E1781" s="2">
        <f>IF(Tabla2[[#This Row],[Frecuencia]]="Annual", Tabla2[[#This Row],[Cosecha/Tarea]]/12,Tabla2[[#This Row],[Cosecha/Tarea]])</f>
        <v>6721</v>
      </c>
      <c r="F1781" s="2">
        <v>66104</v>
      </c>
      <c r="G1781" t="s">
        <v>18</v>
      </c>
      <c r="H1781">
        <f>F1781/Tabla2[[#This Row],[Cosecha Mensual]]</f>
        <v>9.8354411545900913</v>
      </c>
      <c r="I1781">
        <f>H1781*_xlfn.XLOOKUP(Tabla2[[#This Row],[Unidad de producción]],Tabla3[Medida],Tabla3[Equivalencia en Kg],"ELVIS",0)</f>
        <v>446.13561077220652</v>
      </c>
      <c r="J1781">
        <v>1075.16027777778</v>
      </c>
      <c r="K1781" t="s">
        <v>18</v>
      </c>
      <c r="L1781">
        <f>J1781/_xlfn.XLOOKUP(Tabla2[[#This Row],[Unidad de precio]],Tabla3[Medida],Tabla3[Equivalencia en Kg],"ELVIS",0)</f>
        <v>23.702827993337301</v>
      </c>
      <c r="M1781">
        <v>8360.1905549999992</v>
      </c>
      <c r="N1781" s="2">
        <f>(Tabla2[[#This Row],[Productividad (kg/TAS)]]*Tabla2[[#This Row],[Precio por kg]]-Tabla2[[#This Row],[Costos (En RD$/Tarea)]])</f>
        <v>2214.4850888360925</v>
      </c>
      <c r="O1781" s="6">
        <f>IF(Tabla2[[#This Row],[Costos (En RD$/Tarea)]]=0,0,Tabla2[[#This Row],[Beneficio Neto  (En RD$/Tarea)]]/Tabla2[[#This Row],[Costos (En RD$/Tarea)]])</f>
        <v>0.26488452317772471</v>
      </c>
      <c r="P1781" s="4">
        <f>Tabla2[[#This Row],[Rentabilidad (%)]]/12</f>
        <v>2.2073710264810392E-2</v>
      </c>
    </row>
    <row r="1782" spans="1:16" x14ac:dyDescent="0.35">
      <c r="A1782" s="1">
        <v>41030</v>
      </c>
      <c r="B1782" t="s">
        <v>23</v>
      </c>
      <c r="C1782" s="2">
        <v>2987</v>
      </c>
      <c r="D1782" s="5" t="s">
        <v>17</v>
      </c>
      <c r="E1782" s="2">
        <f>IF(Tabla2[[#This Row],[Frecuencia]]="Annual", Tabla2[[#This Row],[Cosecha/Tarea]]/12,Tabla2[[#This Row],[Cosecha/Tarea]])</f>
        <v>2987</v>
      </c>
      <c r="F1782" s="2">
        <v>82147</v>
      </c>
      <c r="G1782" t="s">
        <v>18</v>
      </c>
      <c r="H1782">
        <f>F1782/Tabla2[[#This Row],[Cosecha Mensual]]</f>
        <v>27.501506528289255</v>
      </c>
      <c r="I1782">
        <f>H1782*_xlfn.XLOOKUP(Tabla2[[#This Row],[Unidad de producción]],Tabla3[Medida],Tabla3[Equivalencia en Kg],"ELVIS",0)</f>
        <v>1247.4683361232005</v>
      </c>
      <c r="J1782">
        <v>631.42857142857099</v>
      </c>
      <c r="K1782" t="s">
        <v>18</v>
      </c>
      <c r="L1782">
        <f>J1782/_xlfn.XLOOKUP(Tabla2[[#This Row],[Unidad de precio]],Tabla3[Medida],Tabla3[Equivalencia en Kg],"ELVIS",0)</f>
        <v>13.920382968002006</v>
      </c>
      <c r="M1782">
        <v>24344.842076238001</v>
      </c>
      <c r="N1782" s="2">
        <f>(Tabla2[[#This Row],[Productividad (kg/TAS)]]*Tabla2[[#This Row],[Precio por kg]]-Tabla2[[#This Row],[Costos (En RD$/Tarea)]])</f>
        <v>-6979.6050969467979</v>
      </c>
      <c r="O1782" s="6">
        <f>IF(Tabla2[[#This Row],[Costos (En RD$/Tarea)]]=0,0,Tabla2[[#This Row],[Beneficio Neto  (En RD$/Tarea)]]/Tabla2[[#This Row],[Costos (En RD$/Tarea)]])</f>
        <v>-0.28669748914737481</v>
      </c>
      <c r="P1782" s="4">
        <f>Tabla2[[#This Row],[Rentabilidad (%)]]/12</f>
        <v>-2.3891457428947899E-2</v>
      </c>
    </row>
    <row r="1783" spans="1:16" x14ac:dyDescent="0.35">
      <c r="A1783" s="1">
        <v>41030</v>
      </c>
      <c r="B1783" t="s">
        <v>24</v>
      </c>
      <c r="C1783" s="2">
        <v>6710</v>
      </c>
      <c r="D1783" s="5" t="s">
        <v>17</v>
      </c>
      <c r="E1783" s="2">
        <f>IF(Tabla2[[#This Row],[Frecuencia]]="Annual", Tabla2[[#This Row],[Cosecha/Tarea]]/12,Tabla2[[#This Row],[Cosecha/Tarea]])</f>
        <v>6710</v>
      </c>
      <c r="F1783" s="2">
        <v>107985</v>
      </c>
      <c r="G1783" t="s">
        <v>18</v>
      </c>
      <c r="H1783">
        <f>F1783/Tabla2[[#This Row],[Cosecha Mensual]]</f>
        <v>16.093144560357675</v>
      </c>
      <c r="I1783">
        <f>H1783*_xlfn.XLOOKUP(Tabla2[[#This Row],[Unidad de producción]],Tabla3[Medida],Tabla3[Equivalencia en Kg],"ELVIS",0)</f>
        <v>729.98503725782416</v>
      </c>
      <c r="J1783">
        <v>1239.3518518518499</v>
      </c>
      <c r="K1783" t="s">
        <v>18</v>
      </c>
      <c r="L1783">
        <f>J1783/_xlfn.XLOOKUP(Tabla2[[#This Row],[Unidad de precio]],Tabla3[Medida],Tabla3[Equivalencia en Kg],"ELVIS",0)</f>
        <v>27.322571689855597</v>
      </c>
      <c r="M1783">
        <v>8104.7130577283997</v>
      </c>
      <c r="N1783" s="2">
        <f>(Tabla2[[#This Row],[Productividad (kg/TAS)]]*Tabla2[[#This Row],[Precio por kg]]-Tabla2[[#This Row],[Costos (En RD$/Tarea)]])</f>
        <v>11840.355455270408</v>
      </c>
      <c r="O1783" s="6">
        <f>IF(Tabla2[[#This Row],[Costos (En RD$/Tarea)]]=0,0,Tabla2[[#This Row],[Beneficio Neto  (En RD$/Tarea)]]/Tabla2[[#This Row],[Costos (En RD$/Tarea)]])</f>
        <v>1.4609222277129006</v>
      </c>
      <c r="P1783" s="4">
        <f>Tabla2[[#This Row],[Rentabilidad (%)]]/12</f>
        <v>0.12174351897607505</v>
      </c>
    </row>
    <row r="1784" spans="1:16" x14ac:dyDescent="0.35">
      <c r="A1784" s="1">
        <v>41030</v>
      </c>
      <c r="B1784" t="s">
        <v>25</v>
      </c>
      <c r="C1784" s="2">
        <v>21468</v>
      </c>
      <c r="D1784" s="5" t="s">
        <v>17</v>
      </c>
      <c r="E1784" s="2">
        <f>IF(Tabla2[[#This Row],[Frecuencia]]="Annual", Tabla2[[#This Row],[Cosecha/Tarea]]/12,Tabla2[[#This Row],[Cosecha/Tarea]])</f>
        <v>21468</v>
      </c>
      <c r="F1784" s="2">
        <v>354788</v>
      </c>
      <c r="G1784" t="s">
        <v>18</v>
      </c>
      <c r="H1784">
        <f>F1784/Tabla2[[#This Row],[Cosecha Mensual]]</f>
        <v>16.526364822060742</v>
      </c>
      <c r="I1784">
        <f>H1784*_xlfn.XLOOKUP(Tabla2[[#This Row],[Unidad de producción]],Tabla3[Medida],Tabla3[Equivalencia en Kg],"ELVIS",0)</f>
        <v>749.63590832867521</v>
      </c>
      <c r="J1784">
        <v>359.26740000000001</v>
      </c>
      <c r="K1784" t="s">
        <v>18</v>
      </c>
      <c r="L1784">
        <f>J1784/_xlfn.XLOOKUP(Tabla2[[#This Row],[Unidad de precio]],Tabla3[Medida],Tabla3[Equivalencia en Kg],"ELVIS",0)</f>
        <v>7.9203571428571431</v>
      </c>
      <c r="M1784">
        <v>4628.4219376424999</v>
      </c>
      <c r="N1784" s="2">
        <f>(Tabla2[[#This Row],[Productividad (kg/TAS)]]*Tabla2[[#This Row],[Precio por kg]]-Tabla2[[#This Row],[Costos (En RD$/Tarea)]])</f>
        <v>1308.9621834307254</v>
      </c>
      <c r="O1784" s="6">
        <f>IF(Tabla2[[#This Row],[Costos (En RD$/Tarea)]]=0,0,Tabla2[[#This Row],[Beneficio Neto  (En RD$/Tarea)]]/Tabla2[[#This Row],[Costos (En RD$/Tarea)]])</f>
        <v>0.28280960575030223</v>
      </c>
      <c r="P1784" s="4">
        <f>Tabla2[[#This Row],[Rentabilidad (%)]]/12</f>
        <v>2.3567467145858518E-2</v>
      </c>
    </row>
    <row r="1785" spans="1:16" x14ac:dyDescent="0.35">
      <c r="A1785" s="1">
        <v>41030</v>
      </c>
      <c r="B1785" t="s">
        <v>26</v>
      </c>
      <c r="C1785" s="2">
        <v>12933</v>
      </c>
      <c r="D1785" s="5" t="s">
        <v>17</v>
      </c>
      <c r="E1785" s="2">
        <f>IF(Tabla2[[#This Row],[Frecuencia]]="Annual", Tabla2[[#This Row],[Cosecha/Tarea]]/12,Tabla2[[#This Row],[Cosecha/Tarea]])</f>
        <v>12933</v>
      </c>
      <c r="F1785" s="2">
        <v>89757</v>
      </c>
      <c r="G1785" t="s">
        <v>18</v>
      </c>
      <c r="H1785">
        <f>F1785/Tabla2[[#This Row],[Cosecha Mensual]]</f>
        <v>6.940153096729297</v>
      </c>
      <c r="I1785">
        <f>H1785*_xlfn.XLOOKUP(Tabla2[[#This Row],[Unidad de producción]],Tabla3[Medida],Tabla3[Equivalencia en Kg],"ELVIS",0)</f>
        <v>314.80534446764091</v>
      </c>
      <c r="J1785">
        <v>668.69047619047603</v>
      </c>
      <c r="K1785" t="s">
        <v>18</v>
      </c>
      <c r="L1785">
        <f>J1785/_xlfn.XLOOKUP(Tabla2[[#This Row],[Unidad de precio]],Tabla3[Medida],Tabla3[Equivalencia en Kg],"ELVIS",0)</f>
        <v>14.741853531536067</v>
      </c>
      <c r="M1785">
        <v>2035.7933205730001</v>
      </c>
      <c r="N1785" s="2">
        <f>(Tabla2[[#This Row],[Productividad (kg/TAS)]]*Tabla2[[#This Row],[Precio por kg]]-Tabla2[[#This Row],[Costos (En RD$/Tarea)]])</f>
        <v>2605.0209585137204</v>
      </c>
      <c r="O1785" s="6">
        <f>IF(Tabla2[[#This Row],[Costos (En RD$/Tarea)]]=0,0,Tabla2[[#This Row],[Beneficio Neto  (En RD$/Tarea)]]/Tabla2[[#This Row],[Costos (En RD$/Tarea)]])</f>
        <v>1.2796097384681977</v>
      </c>
      <c r="P1785" s="4">
        <f>Tabla2[[#This Row],[Rentabilidad (%)]]/12</f>
        <v>0.1066341448723498</v>
      </c>
    </row>
    <row r="1786" spans="1:16" x14ac:dyDescent="0.35">
      <c r="A1786" s="1">
        <v>41030</v>
      </c>
      <c r="B1786" t="s">
        <v>27</v>
      </c>
      <c r="C1786" s="2">
        <v>7104</v>
      </c>
      <c r="D1786" s="5" t="s">
        <v>17</v>
      </c>
      <c r="E1786" s="2">
        <f>IF(Tabla2[[#This Row],[Frecuencia]]="Annual", Tabla2[[#This Row],[Cosecha/Tarea]]/12,Tabla2[[#This Row],[Cosecha/Tarea]])</f>
        <v>7104</v>
      </c>
      <c r="F1786" s="2">
        <v>53741</v>
      </c>
      <c r="G1786" t="s">
        <v>18</v>
      </c>
      <c r="H1786">
        <f>F1786/Tabla2[[#This Row],[Cosecha Mensual]]</f>
        <v>7.5648930180180178</v>
      </c>
      <c r="I1786">
        <f>H1786*_xlfn.XLOOKUP(Tabla2[[#This Row],[Unidad de producción]],Tabla3[Medida],Tabla3[Equivalencia en Kg],"ELVIS",0)</f>
        <v>343.14354729729729</v>
      </c>
      <c r="J1786">
        <v>668.48857142857105</v>
      </c>
      <c r="K1786" t="s">
        <v>18</v>
      </c>
      <c r="L1786">
        <f>J1786/_xlfn.XLOOKUP(Tabla2[[#This Row],[Unidad de precio]],Tabla3[Medida],Tabla3[Equivalencia en Kg],"ELVIS",0)</f>
        <v>14.737402368354742</v>
      </c>
      <c r="M1786">
        <v>7766.2500132750001</v>
      </c>
      <c r="N1786" s="2">
        <f>(Tabla2[[#This Row],[Productividad (kg/TAS)]]*Tabla2[[#This Row],[Precio por kg]]-Tabla2[[#This Row],[Costos (En RD$/Tarea)]])</f>
        <v>-2709.2054866501639</v>
      </c>
      <c r="O1786" s="6">
        <f>IF(Tabla2[[#This Row],[Costos (En RD$/Tarea)]]=0,0,Tabla2[[#This Row],[Beneficio Neto  (En RD$/Tarea)]]/Tabla2[[#This Row],[Costos (En RD$/Tarea)]])</f>
        <v>-0.34884345495178071</v>
      </c>
      <c r="P1786" s="4">
        <f>Tabla2[[#This Row],[Rentabilidad (%)]]/12</f>
        <v>-2.9070287912648391E-2</v>
      </c>
    </row>
    <row r="1787" spans="1:16" x14ac:dyDescent="0.35">
      <c r="A1787" s="1">
        <v>41030</v>
      </c>
      <c r="B1787" t="s">
        <v>28</v>
      </c>
      <c r="C1787" s="2">
        <v>510</v>
      </c>
      <c r="D1787" s="5" t="s">
        <v>17</v>
      </c>
      <c r="E1787" s="2">
        <f>IF(Tabla2[[#This Row],[Frecuencia]]="Annual", Tabla2[[#This Row],[Cosecha/Tarea]]/12,Tabla2[[#This Row],[Cosecha/Tarea]])</f>
        <v>510</v>
      </c>
      <c r="F1787" s="2">
        <v>1854</v>
      </c>
      <c r="G1787" t="s">
        <v>29</v>
      </c>
      <c r="H1787">
        <f>F1787/Tabla2[[#This Row],[Cosecha Mensual]]</f>
        <v>3.6352941176470588</v>
      </c>
      <c r="I1787">
        <f>H1787*_xlfn.XLOOKUP(Tabla2[[#This Row],[Unidad de producción]],Tabla3[Medida],Tabla3[Equivalencia en Kg],"ELVIS",0)</f>
        <v>2044.2712941176471</v>
      </c>
      <c r="J1787">
        <v>4959.5</v>
      </c>
      <c r="K1787" t="s">
        <v>29</v>
      </c>
      <c r="L1787">
        <f>J1787/_xlfn.XLOOKUP(Tabla2[[#This Row],[Unidad de precio]],Tabla3[Medida],Tabla3[Equivalencia en Kg],"ELVIS",0)</f>
        <v>8.8193975175160926</v>
      </c>
      <c r="M1787">
        <v>6923.3397737333999</v>
      </c>
      <c r="N1787" s="2">
        <f>(Tabla2[[#This Row],[Productividad (kg/TAS)]]*Tabla2[[#This Row],[Precio por kg]]-Tabla2[[#This Row],[Costos (En RD$/Tarea)]])</f>
        <v>11105.901402737187</v>
      </c>
      <c r="O1787" s="6">
        <f>IF(Tabla2[[#This Row],[Costos (En RD$/Tarea)]]=0,0,Tabla2[[#This Row],[Beneficio Neto  (En RD$/Tarea)]]/Tabla2[[#This Row],[Costos (En RD$/Tarea)]])</f>
        <v>1.6041248538562405</v>
      </c>
      <c r="P1787" s="4">
        <f>Tabla2[[#This Row],[Rentabilidad (%)]]/12</f>
        <v>0.13367707115468672</v>
      </c>
    </row>
    <row r="1788" spans="1:16" x14ac:dyDescent="0.35">
      <c r="A1788" s="1">
        <v>41030</v>
      </c>
      <c r="B1788" t="s">
        <v>30</v>
      </c>
      <c r="C1788" s="2">
        <v>364163</v>
      </c>
      <c r="D1788" s="2" t="s">
        <v>31</v>
      </c>
      <c r="E1788" s="2">
        <f>IF(Tabla2[[#This Row],[Frecuencia]]="Annual", Tabla2[[#This Row],[Cosecha/Tarea]]/12,Tabla2[[#This Row],[Cosecha/Tarea]])</f>
        <v>30346.916666666668</v>
      </c>
      <c r="F1788" s="2">
        <v>3201444</v>
      </c>
      <c r="G1788" t="s">
        <v>32</v>
      </c>
      <c r="H1788">
        <f>F1788/Tabla2[[#This Row],[Cosecha Mensual]]</f>
        <v>105.49486905588981</v>
      </c>
      <c r="I1788">
        <f>H1788*_xlfn.XLOOKUP(Tabla2[[#This Row],[Unidad de producción]],Tabla3[Medida],Tabla3[Equivalencia en Kg],"ELVIS",0)</f>
        <v>2870.515387010762</v>
      </c>
      <c r="J1788">
        <v>174.74074074074099</v>
      </c>
      <c r="K1788" t="s">
        <v>32</v>
      </c>
      <c r="L1788">
        <f>J1788/_xlfn.XLOOKUP(Tabla2[[#This Row],[Unidad de precio]],Tabla3[Medida],Tabla3[Equivalencia en Kg],"ELVIS",0)</f>
        <v>6.4219309349776177</v>
      </c>
      <c r="M1788" s="2">
        <v>12463.806077028201</v>
      </c>
      <c r="N1788" s="2">
        <f>(Tabla2[[#This Row],[Productividad (kg/TAS)]]*Tabla2[[#This Row],[Precio por kg]]-Tabla2[[#This Row],[Costos (En RD$/Tarea)]])</f>
        <v>5970.4454861454597</v>
      </c>
      <c r="O1788" s="6">
        <f>IF(Tabla2[[#This Row],[Costos (En RD$/Tarea)]]=0,0,Tabla2[[#This Row],[Beneficio Neto  (En RD$/Tarea)]]/Tabla2[[#This Row],[Costos (En RD$/Tarea)]])</f>
        <v>0.47902265561957608</v>
      </c>
      <c r="P1788" s="4">
        <f>Tabla2[[#This Row],[Rentabilidad (%)]]/12</f>
        <v>3.9918554634964673E-2</v>
      </c>
    </row>
    <row r="1789" spans="1:16" x14ac:dyDescent="0.35">
      <c r="A1789" s="1">
        <v>41030</v>
      </c>
      <c r="B1789" t="s">
        <v>33</v>
      </c>
      <c r="C1789" s="2">
        <v>717546</v>
      </c>
      <c r="D1789" s="2" t="s">
        <v>31</v>
      </c>
      <c r="E1789" s="2">
        <f>IF(Tabla2[[#This Row],[Frecuencia]]="Annual", Tabla2[[#This Row],[Cosecha/Tarea]]/12,Tabla2[[#This Row],[Cosecha/Tarea]])</f>
        <v>59795.5</v>
      </c>
      <c r="F1789" s="2">
        <v>144741</v>
      </c>
      <c r="G1789" t="s">
        <v>34</v>
      </c>
      <c r="H1789">
        <f>F1789/Tabla2[[#This Row],[Cosecha Mensual]]</f>
        <v>2.4206002123905646</v>
      </c>
      <c r="I1789">
        <f>H1789*_xlfn.XLOOKUP(Tabla2[[#This Row],[Unidad de producción]],Tabla3[Medida],Tabla3[Equivalencia en Kg],"ELVIS",0)</f>
        <v>987.96797668720887</v>
      </c>
      <c r="J1789">
        <v>4001.2037037036998</v>
      </c>
      <c r="K1789" t="s">
        <v>34</v>
      </c>
      <c r="L1789">
        <f>J1789/_xlfn.XLOOKUP(Tabla2[[#This Row],[Unidad de precio]],Tabla3[Medida],Tabla3[Equivalencia en Kg],"ELVIS",0)</f>
        <v>9.8032676802736738</v>
      </c>
      <c r="M1789" s="2">
        <v>11933.7643424532</v>
      </c>
      <c r="N1789" s="2">
        <f>(Tabla2[[#This Row],[Productividad (kg/TAS)]]*Tabla2[[#This Row],[Precio por kg]]-Tabla2[[#This Row],[Costos (En RD$/Tarea)]])</f>
        <v>-2248.4498074501098</v>
      </c>
      <c r="O1789" s="6">
        <f>IF(Tabla2[[#This Row],[Costos (En RD$/Tarea)]]=0,0,Tabla2[[#This Row],[Beneficio Neto  (En RD$/Tarea)]]/Tabla2[[#This Row],[Costos (En RD$/Tarea)]])</f>
        <v>-0.18841077659389247</v>
      </c>
      <c r="P1789" s="4">
        <f>Tabla2[[#This Row],[Rentabilidad (%)]]/12</f>
        <v>-1.5700898049491038E-2</v>
      </c>
    </row>
    <row r="1790" spans="1:16" x14ac:dyDescent="0.35">
      <c r="A1790" s="1">
        <v>41061</v>
      </c>
      <c r="B1790" t="s">
        <v>16</v>
      </c>
      <c r="C1790" s="2">
        <v>301265</v>
      </c>
      <c r="D1790" s="5" t="s">
        <v>17</v>
      </c>
      <c r="E1790" s="2">
        <f>IF(Tabla2[[#This Row],[Frecuencia]]="Annual", Tabla2[[#This Row],[Cosecha/Tarea]]/12,Tabla2[[#This Row],[Cosecha/Tarea]])</f>
        <v>301265</v>
      </c>
      <c r="F1790" s="2">
        <v>1525215</v>
      </c>
      <c r="G1790" t="s">
        <v>18</v>
      </c>
      <c r="H1790">
        <f>F1790/Tabla2[[#This Row],[Cosecha Mensual]]</f>
        <v>5.0627022720860371</v>
      </c>
      <c r="I1790">
        <f>H1790*_xlfn.XLOOKUP(Tabla2[[#This Row],[Unidad de producción]],Tabla3[Medida],Tabla3[Equivalencia en Kg],"ELVIS",0)</f>
        <v>229.64417506182264</v>
      </c>
      <c r="J1790">
        <v>1549.9145056839</v>
      </c>
      <c r="K1790" t="s">
        <v>19</v>
      </c>
      <c r="L1790">
        <f>J1790/_xlfn.XLOOKUP(Tabla2[[#This Row],[Unidad de precio]],Tabla3[Medida],Tabla3[Equivalencia en Kg],"ELVIS",0)</f>
        <v>14.090131869853636</v>
      </c>
      <c r="M1790">
        <v>7982.6190521234403</v>
      </c>
      <c r="N1790" s="2">
        <f>(Tabla2[[#This Row],[Productividad (kg/TAS)]]*Tabla2[[#This Row],[Precio por kg]]-Tabla2[[#This Row],[Costos (En RD$/Tarea)]])</f>
        <v>-4746.9023423586059</v>
      </c>
      <c r="O1790" s="6">
        <f>IF(Tabla2[[#This Row],[Costos (En RD$/Tarea)]]=0,0,Tabla2[[#This Row],[Beneficio Neto  (En RD$/Tarea)]]/Tabla2[[#This Row],[Costos (En RD$/Tarea)]])</f>
        <v>-0.59465475069812979</v>
      </c>
      <c r="P1790" s="4">
        <f>Tabla2[[#This Row],[Rentabilidad (%)]]/12</f>
        <v>-4.955456255817748E-2</v>
      </c>
    </row>
    <row r="1791" spans="1:16" x14ac:dyDescent="0.35">
      <c r="A1791" s="1">
        <v>41061</v>
      </c>
      <c r="B1791" t="s">
        <v>20</v>
      </c>
      <c r="C1791" s="2">
        <v>35274</v>
      </c>
      <c r="D1791" s="5" t="s">
        <v>17</v>
      </c>
      <c r="E1791" s="2">
        <f>IF(Tabla2[[#This Row],[Frecuencia]]="Annual", Tabla2[[#This Row],[Cosecha/Tarea]]/12,Tabla2[[#This Row],[Cosecha/Tarea]])</f>
        <v>35274</v>
      </c>
      <c r="F1791" s="2">
        <v>94367</v>
      </c>
      <c r="G1791" t="s">
        <v>18</v>
      </c>
      <c r="H1791">
        <f>F1791/Tabla2[[#This Row],[Cosecha Mensual]]</f>
        <v>2.6752565629075238</v>
      </c>
      <c r="I1791">
        <f>H1791*_xlfn.XLOOKUP(Tabla2[[#This Row],[Unidad de producción]],Tabla3[Medida],Tabla3[Equivalencia en Kg],"ELVIS",0)</f>
        <v>121.34963769348528</v>
      </c>
      <c r="J1791">
        <v>670.14985714285694</v>
      </c>
      <c r="K1791" t="s">
        <v>18</v>
      </c>
      <c r="L1791">
        <f>J1791/_xlfn.XLOOKUP(Tabla2[[#This Row],[Unidad de precio]],Tabla3[Medida],Tabla3[Equivalencia en Kg],"ELVIS",0)</f>
        <v>14.7740268329554</v>
      </c>
      <c r="M1791">
        <v>2248.3053412475001</v>
      </c>
      <c r="N1791" s="2">
        <f>(Tabla2[[#This Row],[Productividad (kg/TAS)]]*Tabla2[[#This Row],[Precio por kg]]-Tabla2[[#This Row],[Costos (En RD$/Tarea)]])</f>
        <v>-455.48253779453262</v>
      </c>
      <c r="O1791" s="6">
        <f>IF(Tabla2[[#This Row],[Costos (En RD$/Tarea)]]=0,0,Tabla2[[#This Row],[Beneficio Neto  (En RD$/Tarea)]]/Tabla2[[#This Row],[Costos (En RD$/Tarea)]])</f>
        <v>-0.20258926998848051</v>
      </c>
      <c r="P1791" s="4">
        <f>Tabla2[[#This Row],[Rentabilidad (%)]]/12</f>
        <v>-1.6882439165706708E-2</v>
      </c>
    </row>
    <row r="1792" spans="1:16" x14ac:dyDescent="0.35">
      <c r="A1792" s="1">
        <v>41061</v>
      </c>
      <c r="B1792" t="s">
        <v>21</v>
      </c>
      <c r="C1792" s="2">
        <v>8709</v>
      </c>
      <c r="D1792" s="5" t="s">
        <v>17</v>
      </c>
      <c r="E1792" s="2">
        <f>IF(Tabla2[[#This Row],[Frecuencia]]="Annual", Tabla2[[#This Row],[Cosecha/Tarea]]/12,Tabla2[[#This Row],[Cosecha/Tarea]])</f>
        <v>8709</v>
      </c>
      <c r="F1792" s="2">
        <v>98535</v>
      </c>
      <c r="G1792" t="s">
        <v>18</v>
      </c>
      <c r="H1792">
        <f>F1792/Tabla2[[#This Row],[Cosecha Mensual]]</f>
        <v>11.314157767826387</v>
      </c>
      <c r="I1792">
        <f>H1792*_xlfn.XLOOKUP(Tabla2[[#This Row],[Unidad de producción]],Tabla3[Medida],Tabla3[Equivalencia en Kg],"ELVIS",0)</f>
        <v>513.21019634860488</v>
      </c>
      <c r="J1792">
        <v>195.54492857142901</v>
      </c>
      <c r="K1792" t="s">
        <v>18</v>
      </c>
      <c r="L1792">
        <f>J1792/_xlfn.XLOOKUP(Tabla2[[#This Row],[Unidad de precio]],Tabla3[Medida],Tabla3[Equivalencia en Kg],"ELVIS",0)</f>
        <v>4.3109552154195105</v>
      </c>
      <c r="M1792">
        <v>5350.2017200091695</v>
      </c>
      <c r="N1792" s="2">
        <f>(Tabla2[[#This Row],[Productividad (kg/TAS)]]*Tabla2[[#This Row],[Precio por kg]]-Tabla2[[#This Row],[Costos (En RD$/Tarea)]])</f>
        <v>-3137.7755474536802</v>
      </c>
      <c r="O1792" s="6">
        <f>IF(Tabla2[[#This Row],[Costos (En RD$/Tarea)]]=0,0,Tabla2[[#This Row],[Beneficio Neto  (En RD$/Tarea)]]/Tabla2[[#This Row],[Costos (En RD$/Tarea)]])</f>
        <v>-0.58647798936603501</v>
      </c>
      <c r="P1792" s="4">
        <f>Tabla2[[#This Row],[Rentabilidad (%)]]/12</f>
        <v>-4.8873165780502915E-2</v>
      </c>
    </row>
    <row r="1793" spans="1:16" x14ac:dyDescent="0.35">
      <c r="A1793" s="1">
        <v>41061</v>
      </c>
      <c r="B1793" t="s">
        <v>22</v>
      </c>
      <c r="C1793" s="2">
        <v>5064</v>
      </c>
      <c r="D1793" s="5" t="s">
        <v>17</v>
      </c>
      <c r="E1793" s="2">
        <f>IF(Tabla2[[#This Row],[Frecuencia]]="Annual", Tabla2[[#This Row],[Cosecha/Tarea]]/12,Tabla2[[#This Row],[Cosecha/Tarea]])</f>
        <v>5064</v>
      </c>
      <c r="F1793" s="2">
        <v>41268</v>
      </c>
      <c r="G1793" t="s">
        <v>18</v>
      </c>
      <c r="H1793">
        <f>F1793/Tabla2[[#This Row],[Cosecha Mensual]]</f>
        <v>8.1492890995260669</v>
      </c>
      <c r="I1793">
        <f>H1793*_xlfn.XLOOKUP(Tabla2[[#This Row],[Unidad de producción]],Tabla3[Medida],Tabla3[Equivalencia en Kg],"ELVIS",0)</f>
        <v>369.65175355450242</v>
      </c>
      <c r="J1793">
        <v>1291.0238095238101</v>
      </c>
      <c r="K1793" t="s">
        <v>18</v>
      </c>
      <c r="L1793">
        <f>J1793/_xlfn.XLOOKUP(Tabla2[[#This Row],[Unidad de precio]],Tabla3[Medida],Tabla3[Equivalencia en Kg],"ELVIS",0)</f>
        <v>28.461724195851193</v>
      </c>
      <c r="M1793">
        <v>8360.1905549999992</v>
      </c>
      <c r="N1793" s="2">
        <f>(Tabla2[[#This Row],[Productividad (kg/TAS)]]*Tabla2[[#This Row],[Precio por kg]]-Tabla2[[#This Row],[Costos (En RD$/Tarea)]])</f>
        <v>2160.7357031810043</v>
      </c>
      <c r="O1793" s="6">
        <f>IF(Tabla2[[#This Row],[Costos (En RD$/Tarea)]]=0,0,Tabla2[[#This Row],[Beneficio Neto  (En RD$/Tarea)]]/Tabla2[[#This Row],[Costos (En RD$/Tarea)]])</f>
        <v>0.25845531737177063</v>
      </c>
      <c r="P1793" s="4">
        <f>Tabla2[[#This Row],[Rentabilidad (%)]]/12</f>
        <v>2.1537943114314218E-2</v>
      </c>
    </row>
    <row r="1794" spans="1:16" x14ac:dyDescent="0.35">
      <c r="A1794" s="1">
        <v>41061</v>
      </c>
      <c r="B1794" t="s">
        <v>23</v>
      </c>
      <c r="C1794" s="2">
        <v>3001</v>
      </c>
      <c r="D1794" s="5" t="s">
        <v>17</v>
      </c>
      <c r="E1794" s="2">
        <f>IF(Tabla2[[#This Row],[Frecuencia]]="Annual", Tabla2[[#This Row],[Cosecha/Tarea]]/12,Tabla2[[#This Row],[Cosecha/Tarea]])</f>
        <v>3001</v>
      </c>
      <c r="F1794" s="2">
        <v>83125</v>
      </c>
      <c r="G1794" t="s">
        <v>18</v>
      </c>
      <c r="H1794">
        <f>F1794/Tabla2[[#This Row],[Cosecha Mensual]]</f>
        <v>27.699100299900035</v>
      </c>
      <c r="I1794">
        <f>H1794*_xlfn.XLOOKUP(Tabla2[[#This Row],[Unidad de producción]],Tabla3[Medida],Tabla3[Equivalencia en Kg],"ELVIS",0)</f>
        <v>1256.4311896034656</v>
      </c>
      <c r="J1794">
        <v>717.11565476190503</v>
      </c>
      <c r="K1794" t="s">
        <v>18</v>
      </c>
      <c r="L1794">
        <f>J1794/_xlfn.XLOOKUP(Tabla2[[#This Row],[Unidad de precio]],Tabla3[Medida],Tabla3[Equivalencia en Kg],"ELVIS",0)</f>
        <v>15.809428015033181</v>
      </c>
      <c r="M1794">
        <v>24344.842076238001</v>
      </c>
      <c r="N1794" s="2">
        <f>(Tabla2[[#This Row],[Productividad (kg/TAS)]]*Tabla2[[#This Row],[Precio por kg]]-Tabla2[[#This Row],[Costos (En RD$/Tarea)]])</f>
        <v>-4481.3836283595083</v>
      </c>
      <c r="O1794" s="6">
        <f>IF(Tabla2[[#This Row],[Costos (En RD$/Tarea)]]=0,0,Tabla2[[#This Row],[Beneficio Neto  (En RD$/Tarea)]]/Tabla2[[#This Row],[Costos (En RD$/Tarea)]])</f>
        <v>-0.18407938791821543</v>
      </c>
      <c r="P1794" s="4">
        <f>Tabla2[[#This Row],[Rentabilidad (%)]]/12</f>
        <v>-1.5339948993184619E-2</v>
      </c>
    </row>
    <row r="1795" spans="1:16" x14ac:dyDescent="0.35">
      <c r="A1795" s="1">
        <v>41061</v>
      </c>
      <c r="B1795" t="s">
        <v>24</v>
      </c>
      <c r="C1795" s="2">
        <v>7817</v>
      </c>
      <c r="D1795" s="5" t="s">
        <v>17</v>
      </c>
      <c r="E1795" s="2">
        <f>IF(Tabla2[[#This Row],[Frecuencia]]="Annual", Tabla2[[#This Row],[Cosecha/Tarea]]/12,Tabla2[[#This Row],[Cosecha/Tarea]])</f>
        <v>7817</v>
      </c>
      <c r="F1795" s="2">
        <v>61148</v>
      </c>
      <c r="G1795" t="s">
        <v>18</v>
      </c>
      <c r="H1795">
        <f>F1795/Tabla2[[#This Row],[Cosecha Mensual]]</f>
        <v>7.8224382755532815</v>
      </c>
      <c r="I1795">
        <f>H1795*_xlfn.XLOOKUP(Tabla2[[#This Row],[Unidad de producción]],Tabla3[Medida],Tabla3[Equivalencia en Kg],"ELVIS",0)</f>
        <v>354.82580017909686</v>
      </c>
      <c r="J1795">
        <v>1081.3959183673501</v>
      </c>
      <c r="K1795" t="s">
        <v>18</v>
      </c>
      <c r="L1795">
        <f>J1795/_xlfn.XLOOKUP(Tabla2[[#This Row],[Unidad de precio]],Tabla3[Medida],Tabla3[Equivalencia en Kg],"ELVIS",0)</f>
        <v>23.840298023971563</v>
      </c>
      <c r="M1795">
        <v>8104.7130577283997</v>
      </c>
      <c r="N1795" s="2">
        <f>(Tabla2[[#This Row],[Productividad (kg/TAS)]]*Tabla2[[#This Row],[Precio por kg]]-Tabla2[[#This Row],[Costos (En RD$/Tarea)]])</f>
        <v>354.43976513545113</v>
      </c>
      <c r="O1795" s="6">
        <f>IF(Tabla2[[#This Row],[Costos (En RD$/Tarea)]]=0,0,Tabla2[[#This Row],[Beneficio Neto  (En RD$/Tarea)]]/Tabla2[[#This Row],[Costos (En RD$/Tarea)]])</f>
        <v>4.373254951913054E-2</v>
      </c>
      <c r="P1795" s="4">
        <f>Tabla2[[#This Row],[Rentabilidad (%)]]/12</f>
        <v>3.6443791265942118E-3</v>
      </c>
    </row>
    <row r="1796" spans="1:16" x14ac:dyDescent="0.35">
      <c r="A1796" s="1">
        <v>41061</v>
      </c>
      <c r="B1796" t="s">
        <v>25</v>
      </c>
      <c r="C1796" s="2">
        <v>26387</v>
      </c>
      <c r="D1796" s="5" t="s">
        <v>17</v>
      </c>
      <c r="E1796" s="2">
        <f>IF(Tabla2[[#This Row],[Frecuencia]]="Annual", Tabla2[[#This Row],[Cosecha/Tarea]]/12,Tabla2[[#This Row],[Cosecha/Tarea]])</f>
        <v>26387</v>
      </c>
      <c r="F1796" s="2">
        <v>276221</v>
      </c>
      <c r="G1796" t="s">
        <v>18</v>
      </c>
      <c r="H1796">
        <f>F1796/Tabla2[[#This Row],[Cosecha Mensual]]</f>
        <v>10.46807139879486</v>
      </c>
      <c r="I1796">
        <f>H1796*_xlfn.XLOOKUP(Tabla2[[#This Row],[Unidad de producción]],Tabla3[Medida],Tabla3[Equivalencia en Kg],"ELVIS",0)</f>
        <v>474.83171864933485</v>
      </c>
      <c r="J1796">
        <v>474.16726190476197</v>
      </c>
      <c r="K1796" t="s">
        <v>18</v>
      </c>
      <c r="L1796">
        <f>J1796/_xlfn.XLOOKUP(Tabla2[[#This Row],[Unidad de precio]],Tabla3[Medida],Tabla3[Equivalencia en Kg],"ELVIS",0)</f>
        <v>10.45342288149828</v>
      </c>
      <c r="M1796">
        <v>4628.4219376424999</v>
      </c>
      <c r="N1796" s="2">
        <f>(Tabla2[[#This Row],[Productividad (kg/TAS)]]*Tabla2[[#This Row],[Precio por kg]]-Tabla2[[#This Row],[Costos (En RD$/Tarea)]])</f>
        <v>335.19481494761112</v>
      </c>
      <c r="O1796" s="6">
        <f>IF(Tabla2[[#This Row],[Costos (En RD$/Tarea)]]=0,0,Tabla2[[#This Row],[Beneficio Neto  (En RD$/Tarea)]]/Tabla2[[#This Row],[Costos (En RD$/Tarea)]])</f>
        <v>7.2420971869808309E-2</v>
      </c>
      <c r="P1796" s="4">
        <f>Tabla2[[#This Row],[Rentabilidad (%)]]/12</f>
        <v>6.0350809891506927E-3</v>
      </c>
    </row>
    <row r="1797" spans="1:16" x14ac:dyDescent="0.35">
      <c r="A1797" s="1">
        <v>41061</v>
      </c>
      <c r="B1797" t="s">
        <v>26</v>
      </c>
      <c r="C1797" s="2">
        <v>17617</v>
      </c>
      <c r="D1797" s="5" t="s">
        <v>17</v>
      </c>
      <c r="E1797" s="2">
        <f>IF(Tabla2[[#This Row],[Frecuencia]]="Annual", Tabla2[[#This Row],[Cosecha/Tarea]]/12,Tabla2[[#This Row],[Cosecha/Tarea]])</f>
        <v>17617</v>
      </c>
      <c r="F1797" s="2">
        <v>148906</v>
      </c>
      <c r="G1797" t="s">
        <v>18</v>
      </c>
      <c r="H1797">
        <f>F1797/Tabla2[[#This Row],[Cosecha Mensual]]</f>
        <v>8.4524039280240668</v>
      </c>
      <c r="I1797">
        <f>H1797*_xlfn.XLOOKUP(Tabla2[[#This Row],[Unidad de producción]],Tabla3[Medida],Tabla3[Equivalencia en Kg],"ELVIS",0)</f>
        <v>383.40104217517165</v>
      </c>
      <c r="J1797">
        <v>713.95238095238096</v>
      </c>
      <c r="K1797" t="s">
        <v>18</v>
      </c>
      <c r="L1797">
        <f>J1797/_xlfn.XLOOKUP(Tabla2[[#This Row],[Unidad de precio]],Tabla3[Medida],Tabla3[Equivalencia en Kg],"ELVIS",0)</f>
        <v>15.739690938103637</v>
      </c>
      <c r="M1797">
        <v>2035.7933205730001</v>
      </c>
      <c r="N1797" s="2">
        <f>(Tabla2[[#This Row],[Productividad (kg/TAS)]]*Tabla2[[#This Row],[Precio por kg]]-Tabla2[[#This Row],[Costos (En RD$/Tarea)]])</f>
        <v>3998.8205886110395</v>
      </c>
      <c r="O1797" s="6">
        <f>IF(Tabla2[[#This Row],[Costos (En RD$/Tarea)]]=0,0,Tabla2[[#This Row],[Beneficio Neto  (En RD$/Tarea)]]/Tabla2[[#This Row],[Costos (En RD$/Tarea)]])</f>
        <v>1.9642566601434375</v>
      </c>
      <c r="P1797" s="4">
        <f>Tabla2[[#This Row],[Rentabilidad (%)]]/12</f>
        <v>0.16368805501195313</v>
      </c>
    </row>
    <row r="1798" spans="1:16" x14ac:dyDescent="0.35">
      <c r="A1798" s="1">
        <v>41061</v>
      </c>
      <c r="B1798" t="s">
        <v>27</v>
      </c>
      <c r="C1798" s="2">
        <v>6987</v>
      </c>
      <c r="D1798" s="5" t="s">
        <v>17</v>
      </c>
      <c r="E1798" s="2">
        <f>IF(Tabla2[[#This Row],[Frecuencia]]="Annual", Tabla2[[#This Row],[Cosecha/Tarea]]/12,Tabla2[[#This Row],[Cosecha/Tarea]])</f>
        <v>6987</v>
      </c>
      <c r="F1798" s="2">
        <v>35327</v>
      </c>
      <c r="G1798" t="s">
        <v>18</v>
      </c>
      <c r="H1798">
        <f>F1798/Tabla2[[#This Row],[Cosecha Mensual]]</f>
        <v>5.0561041935022182</v>
      </c>
      <c r="I1798">
        <f>H1798*_xlfn.XLOOKUP(Tabla2[[#This Row],[Unidad de producción]],Tabla3[Medida],Tabla3[Equivalencia en Kg],"ELVIS",0)</f>
        <v>229.34488621726061</v>
      </c>
      <c r="J1798">
        <v>597.31928571428602</v>
      </c>
      <c r="K1798" t="s">
        <v>18</v>
      </c>
      <c r="L1798">
        <f>J1798/_xlfn.XLOOKUP(Tabla2[[#This Row],[Unidad de precio]],Tabla3[Medida],Tabla3[Equivalencia en Kg],"ELVIS",0)</f>
        <v>13.168414588057452</v>
      </c>
      <c r="M1798">
        <v>7766.2500132750001</v>
      </c>
      <c r="N1798" s="2">
        <f>(Tabla2[[#This Row],[Productividad (kg/TAS)]]*Tabla2[[#This Row],[Precio por kg]]-Tabla2[[#This Row],[Costos (En RD$/Tarea)]])</f>
        <v>-4746.1414679152495</v>
      </c>
      <c r="O1798" s="6">
        <f>IF(Tabla2[[#This Row],[Costos (En RD$/Tarea)]]=0,0,Tabla2[[#This Row],[Beneficio Neto  (En RD$/Tarea)]]/Tabla2[[#This Row],[Costos (En RD$/Tarea)]])</f>
        <v>-0.61112396070208641</v>
      </c>
      <c r="P1798" s="4">
        <f>Tabla2[[#This Row],[Rentabilidad (%)]]/12</f>
        <v>-5.0926996725173868E-2</v>
      </c>
    </row>
    <row r="1799" spans="1:16" x14ac:dyDescent="0.35">
      <c r="A1799" s="1">
        <v>41061</v>
      </c>
      <c r="B1799" t="s">
        <v>28</v>
      </c>
      <c r="C1799" s="2">
        <v>985</v>
      </c>
      <c r="D1799" s="5" t="s">
        <v>17</v>
      </c>
      <c r="E1799" s="2">
        <f>IF(Tabla2[[#This Row],[Frecuencia]]="Annual", Tabla2[[#This Row],[Cosecha/Tarea]]/12,Tabla2[[#This Row],[Cosecha/Tarea]])</f>
        <v>985</v>
      </c>
      <c r="F1799" s="2">
        <v>1801</v>
      </c>
      <c r="G1799" t="s">
        <v>29</v>
      </c>
      <c r="H1799">
        <f>F1799/Tabla2[[#This Row],[Cosecha Mensual]]</f>
        <v>1.8284263959390863</v>
      </c>
      <c r="I1799">
        <f>H1799*_xlfn.XLOOKUP(Tabla2[[#This Row],[Unidad de producción]],Tabla3[Medida],Tabla3[Equivalencia en Kg],"ELVIS",0)</f>
        <v>1028.1972994923858</v>
      </c>
      <c r="J1799">
        <v>4750</v>
      </c>
      <c r="K1799" t="s">
        <v>29</v>
      </c>
      <c r="L1799">
        <f>J1799/_xlfn.XLOOKUP(Tabla2[[#This Row],[Unidad de precio]],Tabla3[Medida],Tabla3[Equivalencia en Kg],"ELVIS",0)</f>
        <v>8.4468471031760135</v>
      </c>
      <c r="M1799">
        <v>6923.3397737333999</v>
      </c>
      <c r="N1799" s="2">
        <f>(Tabla2[[#This Row],[Productividad (kg/TAS)]]*Tabla2[[#This Row],[Precio por kg]]-Tabla2[[#This Row],[Costos (En RD$/Tarea)]])</f>
        <v>1761.6856069772584</v>
      </c>
      <c r="O1799" s="6">
        <f>IF(Tabla2[[#This Row],[Costos (En RD$/Tarea)]]=0,0,Tabla2[[#This Row],[Beneficio Neto  (En RD$/Tarea)]]/Tabla2[[#This Row],[Costos (En RD$/Tarea)]])</f>
        <v>0.25445603777254344</v>
      </c>
      <c r="P1799" s="4">
        <f>Tabla2[[#This Row],[Rentabilidad (%)]]/12</f>
        <v>2.1204669814378619E-2</v>
      </c>
    </row>
    <row r="1800" spans="1:16" x14ac:dyDescent="0.35">
      <c r="A1800" s="1">
        <v>41061</v>
      </c>
      <c r="B1800" t="s">
        <v>30</v>
      </c>
      <c r="C1800" s="2">
        <v>372114</v>
      </c>
      <c r="D1800" s="2" t="s">
        <v>31</v>
      </c>
      <c r="E1800" s="2">
        <f>IF(Tabla2[[#This Row],[Frecuencia]]="Annual", Tabla2[[#This Row],[Cosecha/Tarea]]/12,Tabla2[[#This Row],[Cosecha/Tarea]])</f>
        <v>31009.5</v>
      </c>
      <c r="F1800" s="2">
        <v>3392063</v>
      </c>
      <c r="G1800" t="s">
        <v>32</v>
      </c>
      <c r="H1800">
        <f>F1800/Tabla2[[#This Row],[Cosecha Mensual]]</f>
        <v>109.38786500911012</v>
      </c>
      <c r="I1800">
        <f>H1800*_xlfn.XLOOKUP(Tabla2[[#This Row],[Unidad de producción]],Tabla3[Medida],Tabla3[Equivalencia en Kg],"ELVIS",0)</f>
        <v>2976.4438068978861</v>
      </c>
      <c r="J1800">
        <v>144.64880952381</v>
      </c>
      <c r="K1800" t="s">
        <v>32</v>
      </c>
      <c r="L1800">
        <f>J1800/_xlfn.XLOOKUP(Tabla2[[#This Row],[Unidad de precio]],Tabla3[Medida],Tabla3[Equivalencia en Kg],"ELVIS",0)</f>
        <v>5.3160165205369347</v>
      </c>
      <c r="M1800" s="2">
        <v>12463.806077028201</v>
      </c>
      <c r="N1800" s="2">
        <f>(Tabla2[[#This Row],[Productividad (kg/TAS)]]*Tabla2[[#This Row],[Precio por kg]]-Tabla2[[#This Row],[Costos (En RD$/Tarea)]])</f>
        <v>3359.0183728908087</v>
      </c>
      <c r="O1800" s="6">
        <f>IF(Tabla2[[#This Row],[Costos (En RD$/Tarea)]]=0,0,Tabla2[[#This Row],[Beneficio Neto  (En RD$/Tarea)]]/Tabla2[[#This Row],[Costos (En RD$/Tarea)]])</f>
        <v>0.2695018160689896</v>
      </c>
      <c r="P1800" s="4">
        <f>Tabla2[[#This Row],[Rentabilidad (%)]]/12</f>
        <v>2.2458484672415801E-2</v>
      </c>
    </row>
    <row r="1801" spans="1:16" x14ac:dyDescent="0.35">
      <c r="A1801" s="1">
        <v>41061</v>
      </c>
      <c r="B1801" t="s">
        <v>33</v>
      </c>
      <c r="C1801" s="2">
        <v>738508</v>
      </c>
      <c r="D1801" s="2" t="s">
        <v>31</v>
      </c>
      <c r="E1801" s="2">
        <f>IF(Tabla2[[#This Row],[Frecuencia]]="Annual", Tabla2[[#This Row],[Cosecha/Tarea]]/12,Tabla2[[#This Row],[Cosecha/Tarea]])</f>
        <v>61542.333333333336</v>
      </c>
      <c r="F1801" s="2">
        <v>173731</v>
      </c>
      <c r="G1801" t="s">
        <v>34</v>
      </c>
      <c r="H1801">
        <f>F1801/Tabla2[[#This Row],[Cosecha Mensual]]</f>
        <v>2.8229511393241506</v>
      </c>
      <c r="I1801">
        <f>H1801*_xlfn.XLOOKUP(Tabla2[[#This Row],[Unidad de producción]],Tabla3[Medida],Tabla3[Equivalencia en Kg],"ELVIS",0)</f>
        <v>1152.187507515152</v>
      </c>
      <c r="J1801">
        <v>3845.6938775510198</v>
      </c>
      <c r="K1801" t="s">
        <v>34</v>
      </c>
      <c r="L1801">
        <f>J1801/_xlfn.XLOOKUP(Tabla2[[#This Row],[Unidad de precio]],Tabla3[Medida],Tabla3[Equivalencia en Kg],"ELVIS",0)</f>
        <v>9.422256223327258</v>
      </c>
      <c r="M1801" s="2">
        <v>11933.7643424532</v>
      </c>
      <c r="N1801" s="2">
        <f>(Tabla2[[#This Row],[Productividad (kg/TAS)]]*Tabla2[[#This Row],[Precio por kg]]-Tabla2[[#This Row],[Costos (En RD$/Tarea)]])</f>
        <v>-1077.5584293286374</v>
      </c>
      <c r="O1801" s="6">
        <f>IF(Tabla2[[#This Row],[Costos (En RD$/Tarea)]]=0,0,Tabla2[[#This Row],[Beneficio Neto  (En RD$/Tarea)]]/Tabla2[[#This Row],[Costos (En RD$/Tarea)]])</f>
        <v>-9.029493112205414E-2</v>
      </c>
      <c r="P1801" s="4">
        <f>Tabla2[[#This Row],[Rentabilidad (%)]]/12</f>
        <v>-7.5245775935045113E-3</v>
      </c>
    </row>
    <row r="1802" spans="1:16" x14ac:dyDescent="0.35">
      <c r="A1802" s="1">
        <v>41091</v>
      </c>
      <c r="B1802" t="s">
        <v>16</v>
      </c>
      <c r="C1802" s="2">
        <v>79073</v>
      </c>
      <c r="D1802" s="5" t="s">
        <v>17</v>
      </c>
      <c r="E1802" s="2">
        <f>IF(Tabla2[[#This Row],[Frecuencia]]="Annual", Tabla2[[#This Row],[Cosecha/Tarea]]/12,Tabla2[[#This Row],[Cosecha/Tarea]])</f>
        <v>79073</v>
      </c>
      <c r="F1802" s="2">
        <v>360887</v>
      </c>
      <c r="G1802" t="s">
        <v>18</v>
      </c>
      <c r="H1802">
        <f>F1802/Tabla2[[#This Row],[Cosecha Mensual]]</f>
        <v>4.5639725317112037</v>
      </c>
      <c r="I1802">
        <f>H1802*_xlfn.XLOOKUP(Tabla2[[#This Row],[Unidad de producción]],Tabla3[Medida],Tabla3[Equivalencia en Kg],"ELVIS",0)</f>
        <v>207.02179403842018</v>
      </c>
      <c r="J1802">
        <v>1564.6134422442201</v>
      </c>
      <c r="K1802" t="s">
        <v>19</v>
      </c>
      <c r="L1802">
        <f>J1802/_xlfn.XLOOKUP(Tabla2[[#This Row],[Unidad de precio]],Tabla3[Medida],Tabla3[Equivalencia en Kg],"ELVIS",0)</f>
        <v>14.223758565856546</v>
      </c>
      <c r="M1802">
        <v>7982.6190521234403</v>
      </c>
      <c r="N1802" s="2">
        <f>(Tabla2[[#This Row],[Productividad (kg/TAS)]]*Tabla2[[#This Row],[Precio por kg]]-Tabla2[[#This Row],[Costos (En RD$/Tarea)]])</f>
        <v>-5037.9910358504712</v>
      </c>
      <c r="O1802" s="6">
        <f>IF(Tabla2[[#This Row],[Costos (En RD$/Tarea)]]=0,0,Tabla2[[#This Row],[Beneficio Neto  (En RD$/Tarea)]]/Tabla2[[#This Row],[Costos (En RD$/Tarea)]])</f>
        <v>-0.63112006259528641</v>
      </c>
      <c r="P1802" s="4">
        <f>Tabla2[[#This Row],[Rentabilidad (%)]]/12</f>
        <v>-5.2593338549607203E-2</v>
      </c>
    </row>
    <row r="1803" spans="1:16" x14ac:dyDescent="0.35">
      <c r="A1803" s="1">
        <v>41091</v>
      </c>
      <c r="B1803" t="s">
        <v>20</v>
      </c>
      <c r="C1803" s="2">
        <v>43081</v>
      </c>
      <c r="D1803" s="5" t="s">
        <v>17</v>
      </c>
      <c r="E1803" s="2">
        <f>IF(Tabla2[[#This Row],[Frecuencia]]="Annual", Tabla2[[#This Row],[Cosecha/Tarea]]/12,Tabla2[[#This Row],[Cosecha/Tarea]])</f>
        <v>43081</v>
      </c>
      <c r="F1803" s="2">
        <v>96731</v>
      </c>
      <c r="G1803" t="s">
        <v>18</v>
      </c>
      <c r="H1803">
        <f>F1803/Tabla2[[#This Row],[Cosecha Mensual]]</f>
        <v>2.2453285671177547</v>
      </c>
      <c r="I1803">
        <f>H1803*_xlfn.XLOOKUP(Tabla2[[#This Row],[Unidad de producción]],Tabla3[Medida],Tabla3[Equivalencia en Kg],"ELVIS",0)</f>
        <v>101.84810380446136</v>
      </c>
      <c r="J1803">
        <v>659.46420000000001</v>
      </c>
      <c r="K1803" t="s">
        <v>18</v>
      </c>
      <c r="L1803">
        <f>J1803/_xlfn.XLOOKUP(Tabla2[[#This Row],[Unidad de precio]],Tabla3[Medida],Tabla3[Equivalencia en Kg],"ELVIS",0)</f>
        <v>14.538452380952382</v>
      </c>
      <c r="M1803">
        <v>2248.3053412475001</v>
      </c>
      <c r="N1803" s="2">
        <f>(Tabla2[[#This Row],[Productividad (kg/TAS)]]*Tabla2[[#This Row],[Precio por kg]]-Tabla2[[#This Row],[Costos (En RD$/Tarea)]])</f>
        <v>-767.59153399604361</v>
      </c>
      <c r="O1803" s="6">
        <f>IF(Tabla2[[#This Row],[Costos (En RD$/Tarea)]]=0,0,Tabla2[[#This Row],[Beneficio Neto  (En RD$/Tarea)]]/Tabla2[[#This Row],[Costos (En RD$/Tarea)]])</f>
        <v>-0.34140893583881982</v>
      </c>
      <c r="P1803" s="4">
        <f>Tabla2[[#This Row],[Rentabilidad (%)]]/12</f>
        <v>-2.8450744653234984E-2</v>
      </c>
    </row>
    <row r="1804" spans="1:16" x14ac:dyDescent="0.35">
      <c r="A1804" s="1">
        <v>41091</v>
      </c>
      <c r="B1804" t="s">
        <v>21</v>
      </c>
      <c r="C1804" s="2">
        <v>5573</v>
      </c>
      <c r="D1804" s="5" t="s">
        <v>17</v>
      </c>
      <c r="E1804" s="2">
        <f>IF(Tabla2[[#This Row],[Frecuencia]]="Annual", Tabla2[[#This Row],[Cosecha/Tarea]]/12,Tabla2[[#This Row],[Cosecha/Tarea]])</f>
        <v>5573</v>
      </c>
      <c r="F1804" s="2">
        <v>61464</v>
      </c>
      <c r="G1804" t="s">
        <v>18</v>
      </c>
      <c r="H1804">
        <f>F1804/Tabla2[[#This Row],[Cosecha Mensual]]</f>
        <v>11.028889287636821</v>
      </c>
      <c r="I1804">
        <f>H1804*_xlfn.XLOOKUP(Tabla2[[#This Row],[Unidad de producción]],Tabla3[Medida],Tabla3[Equivalencia en Kg],"ELVIS",0)</f>
        <v>500.27041808720617</v>
      </c>
      <c r="J1804">
        <v>230.19706285714301</v>
      </c>
      <c r="K1804" t="s">
        <v>18</v>
      </c>
      <c r="L1804">
        <f>J1804/_xlfn.XLOOKUP(Tabla2[[#This Row],[Unidad de precio]],Tabla3[Medida],Tabla3[Equivalencia en Kg],"ELVIS",0)</f>
        <v>5.0748911564625887</v>
      </c>
      <c r="M1804">
        <v>5350.2017200091695</v>
      </c>
      <c r="N1804" s="2">
        <f>(Tabla2[[#This Row],[Productividad (kg/TAS)]]*Tabla2[[#This Row],[Precio por kg]]-Tabla2[[#This Row],[Costos (En RD$/Tarea)]])</f>
        <v>-2811.3837994185651</v>
      </c>
      <c r="O1804" s="6">
        <f>IF(Tabla2[[#This Row],[Costos (En RD$/Tarea)]]=0,0,Tabla2[[#This Row],[Beneficio Neto  (En RD$/Tarea)]]/Tabla2[[#This Row],[Costos (En RD$/Tarea)]])</f>
        <v>-0.52547248618763231</v>
      </c>
      <c r="P1804" s="4">
        <f>Tabla2[[#This Row],[Rentabilidad (%)]]/12</f>
        <v>-4.378937384896936E-2</v>
      </c>
    </row>
    <row r="1805" spans="1:16" x14ac:dyDescent="0.35">
      <c r="A1805" s="1">
        <v>41091</v>
      </c>
      <c r="B1805" t="s">
        <v>22</v>
      </c>
      <c r="C1805" s="2">
        <v>3001</v>
      </c>
      <c r="D1805" s="5" t="s">
        <v>17</v>
      </c>
      <c r="E1805" s="2">
        <f>IF(Tabla2[[#This Row],[Frecuencia]]="Annual", Tabla2[[#This Row],[Cosecha/Tarea]]/12,Tabla2[[#This Row],[Cosecha/Tarea]])</f>
        <v>3001</v>
      </c>
      <c r="F1805" s="2">
        <v>25998</v>
      </c>
      <c r="G1805" t="s">
        <v>18</v>
      </c>
      <c r="H1805">
        <f>F1805/Tabla2[[#This Row],[Cosecha Mensual]]</f>
        <v>8.6631122959013656</v>
      </c>
      <c r="I1805">
        <f>H1805*_xlfn.XLOOKUP(Tabla2[[#This Row],[Unidad de producción]],Tabla3[Medida],Tabla3[Equivalencia en Kg],"ELVIS",0)</f>
        <v>392.95877374208595</v>
      </c>
      <c r="J1805">
        <v>1184.9242857142899</v>
      </c>
      <c r="K1805" t="s">
        <v>18</v>
      </c>
      <c r="L1805">
        <f>J1805/_xlfn.XLOOKUP(Tabla2[[#This Row],[Unidad de precio]],Tabla3[Medida],Tabla3[Equivalencia en Kg],"ELVIS",0)</f>
        <v>26.122669438145721</v>
      </c>
      <c r="M1805">
        <v>8360.1905549999992</v>
      </c>
      <c r="N1805" s="2">
        <f>(Tabla2[[#This Row],[Productividad (kg/TAS)]]*Tabla2[[#This Row],[Precio por kg]]-Tabla2[[#This Row],[Costos (En RD$/Tarea)]])</f>
        <v>1904.9415942836094</v>
      </c>
      <c r="O1805" s="6">
        <f>IF(Tabla2[[#This Row],[Costos (En RD$/Tarea)]]=0,0,Tabla2[[#This Row],[Beneficio Neto  (En RD$/Tarea)]]/Tabla2[[#This Row],[Costos (En RD$/Tarea)]])</f>
        <v>0.2278586333351357</v>
      </c>
      <c r="P1805" s="4">
        <f>Tabla2[[#This Row],[Rentabilidad (%)]]/12</f>
        <v>1.8988219444594643E-2</v>
      </c>
    </row>
    <row r="1806" spans="1:16" x14ac:dyDescent="0.35">
      <c r="A1806" s="1">
        <v>41091</v>
      </c>
      <c r="B1806" t="s">
        <v>23</v>
      </c>
      <c r="C1806" s="2">
        <v>4729</v>
      </c>
      <c r="D1806" s="5" t="s">
        <v>17</v>
      </c>
      <c r="E1806" s="2">
        <f>IF(Tabla2[[#This Row],[Frecuencia]]="Annual", Tabla2[[#This Row],[Cosecha/Tarea]]/12,Tabla2[[#This Row],[Cosecha/Tarea]])</f>
        <v>4729</v>
      </c>
      <c r="F1806" s="2">
        <v>182810</v>
      </c>
      <c r="G1806" t="s">
        <v>18</v>
      </c>
      <c r="H1806">
        <f>F1806/Tabla2[[#This Row],[Cosecha Mensual]]</f>
        <v>38.657221399873123</v>
      </c>
      <c r="I1806">
        <f>H1806*_xlfn.XLOOKUP(Tabla2[[#This Row],[Unidad de producción]],Tabla3[Medida],Tabla3[Equivalencia en Kg],"ELVIS",0)</f>
        <v>1753.4915626982449</v>
      </c>
      <c r="J1806">
        <v>1072.5</v>
      </c>
      <c r="K1806" t="s">
        <v>18</v>
      </c>
      <c r="L1806">
        <f>J1806/_xlfn.XLOOKUP(Tabla2[[#This Row],[Unidad de precio]],Tabla3[Medida],Tabla3[Equivalencia en Kg],"ELVIS",0)</f>
        <v>23.644179894179896</v>
      </c>
      <c r="M1806">
        <v>24344.842076238001</v>
      </c>
      <c r="N1806" s="2">
        <f>(Tabla2[[#This Row],[Productividad (kg/TAS)]]*Tabla2[[#This Row],[Precio por kg]]-Tabla2[[#This Row],[Costos (En RD$/Tarea)]])</f>
        <v>17115.027875125928</v>
      </c>
      <c r="O1806" s="6">
        <f>IF(Tabla2[[#This Row],[Costos (En RD$/Tarea)]]=0,0,Tabla2[[#This Row],[Beneficio Neto  (En RD$/Tarea)]]/Tabla2[[#This Row],[Costos (En RD$/Tarea)]])</f>
        <v>0.70302480589230043</v>
      </c>
      <c r="P1806" s="4">
        <f>Tabla2[[#This Row],[Rentabilidad (%)]]/12</f>
        <v>5.8585400491025036E-2</v>
      </c>
    </row>
    <row r="1807" spans="1:16" x14ac:dyDescent="0.35">
      <c r="A1807" s="1">
        <v>41091</v>
      </c>
      <c r="B1807" t="s">
        <v>24</v>
      </c>
      <c r="C1807" s="2">
        <v>6241</v>
      </c>
      <c r="D1807" s="5" t="s">
        <v>17</v>
      </c>
      <c r="E1807" s="2">
        <f>IF(Tabla2[[#This Row],[Frecuencia]]="Annual", Tabla2[[#This Row],[Cosecha/Tarea]]/12,Tabla2[[#This Row],[Cosecha/Tarea]])</f>
        <v>6241</v>
      </c>
      <c r="F1807" s="2">
        <v>52366</v>
      </c>
      <c r="G1807" t="s">
        <v>18</v>
      </c>
      <c r="H1807">
        <f>F1807/Tabla2[[#This Row],[Cosecha Mensual]]</f>
        <v>8.3906425252363395</v>
      </c>
      <c r="I1807">
        <f>H1807*_xlfn.XLOOKUP(Tabla2[[#This Row],[Unidad de producción]],Tabla3[Medida],Tabla3[Equivalencia en Kg],"ELVIS",0)</f>
        <v>380.59954494472038</v>
      </c>
      <c r="J1807">
        <v>1289.5918367346901</v>
      </c>
      <c r="K1807" t="s">
        <v>18</v>
      </c>
      <c r="L1807">
        <f>J1807/_xlfn.XLOOKUP(Tabla2[[#This Row],[Unidad de precio]],Tabla3[Medida],Tabla3[Equivalencia en Kg],"ELVIS",0)</f>
        <v>28.43015513083532</v>
      </c>
      <c r="M1807">
        <v>8104.7130577283997</v>
      </c>
      <c r="N1807" s="2">
        <f>(Tabla2[[#This Row],[Productividad (kg/TAS)]]*Tabla2[[#This Row],[Precio por kg]]-Tabla2[[#This Row],[Costos (En RD$/Tarea)]])</f>
        <v>2715.7910477753312</v>
      </c>
      <c r="O1807" s="6">
        <f>IF(Tabla2[[#This Row],[Costos (En RD$/Tarea)]]=0,0,Tabla2[[#This Row],[Beneficio Neto  (En RD$/Tarea)]]/Tabla2[[#This Row],[Costos (En RD$/Tarea)]])</f>
        <v>0.33508787151762742</v>
      </c>
      <c r="P1807" s="4">
        <f>Tabla2[[#This Row],[Rentabilidad (%)]]/12</f>
        <v>2.792398929313562E-2</v>
      </c>
    </row>
    <row r="1808" spans="1:16" x14ac:dyDescent="0.35">
      <c r="A1808" s="1">
        <v>41091</v>
      </c>
      <c r="B1808" t="s">
        <v>25</v>
      </c>
      <c r="C1808" s="2">
        <v>20298</v>
      </c>
      <c r="D1808" s="5" t="s">
        <v>17</v>
      </c>
      <c r="E1808" s="2">
        <f>IF(Tabla2[[#This Row],[Frecuencia]]="Annual", Tabla2[[#This Row],[Cosecha/Tarea]]/12,Tabla2[[#This Row],[Cosecha/Tarea]])</f>
        <v>20298</v>
      </c>
      <c r="F1808" s="2">
        <v>223799</v>
      </c>
      <c r="G1808" t="s">
        <v>18</v>
      </c>
      <c r="H1808">
        <f>F1808/Tabla2[[#This Row],[Cosecha Mensual]]</f>
        <v>11.025667553453543</v>
      </c>
      <c r="I1808">
        <f>H1808*_xlfn.XLOOKUP(Tabla2[[#This Row],[Unidad de producción]],Tabla3[Medida],Tabla3[Equivalencia en Kg],"ELVIS",0)</f>
        <v>500.12428022465269</v>
      </c>
      <c r="J1808">
        <v>427.21936214285699</v>
      </c>
      <c r="K1808" t="s">
        <v>18</v>
      </c>
      <c r="L1808">
        <f>J1808/_xlfn.XLOOKUP(Tabla2[[#This Row],[Unidad de precio]],Tabla3[Medida],Tabla3[Equivalencia en Kg],"ELVIS",0)</f>
        <v>9.4184162729906742</v>
      </c>
      <c r="M1808">
        <v>4628.4219376424999</v>
      </c>
      <c r="N1808" s="2">
        <f>(Tabla2[[#This Row],[Productividad (kg/TAS)]]*Tabla2[[#This Row],[Precio por kg]]-Tabla2[[#This Row],[Costos (En RD$/Tarea)]])</f>
        <v>81.956721743116759</v>
      </c>
      <c r="O1808" s="6">
        <f>IF(Tabla2[[#This Row],[Costos (En RD$/Tarea)]]=0,0,Tabla2[[#This Row],[Beneficio Neto  (En RD$/Tarea)]]/Tabla2[[#This Row],[Costos (En RD$/Tarea)]])</f>
        <v>1.7707271041252918E-2</v>
      </c>
      <c r="P1808" s="4">
        <f>Tabla2[[#This Row],[Rentabilidad (%)]]/12</f>
        <v>1.4756059201044098E-3</v>
      </c>
    </row>
    <row r="1809" spans="1:16" x14ac:dyDescent="0.35">
      <c r="A1809" s="1">
        <v>41091</v>
      </c>
      <c r="B1809" t="s">
        <v>26</v>
      </c>
      <c r="C1809" s="2">
        <v>7792</v>
      </c>
      <c r="D1809" s="5" t="s">
        <v>17</v>
      </c>
      <c r="E1809" s="2">
        <f>IF(Tabla2[[#This Row],[Frecuencia]]="Annual", Tabla2[[#This Row],[Cosecha/Tarea]]/12,Tabla2[[#This Row],[Cosecha/Tarea]])</f>
        <v>7792</v>
      </c>
      <c r="F1809" s="2">
        <v>55751</v>
      </c>
      <c r="G1809" t="s">
        <v>18</v>
      </c>
      <c r="H1809">
        <f>F1809/Tabla2[[#This Row],[Cosecha Mensual]]</f>
        <v>7.1549024640657084</v>
      </c>
      <c r="I1809">
        <f>H1809*_xlfn.XLOOKUP(Tabla2[[#This Row],[Unidad de producción]],Tabla3[Medida],Tabla3[Equivalencia en Kg],"ELVIS",0)</f>
        <v>324.54637577002052</v>
      </c>
      <c r="J1809">
        <v>730.97619047619105</v>
      </c>
      <c r="K1809" t="s">
        <v>18</v>
      </c>
      <c r="L1809">
        <f>J1809/_xlfn.XLOOKUP(Tabla2[[#This Row],[Unidad de precio]],Tabla3[Medida],Tabla3[Equivalencia en Kg],"ELVIS",0)</f>
        <v>16.114995380868411</v>
      </c>
      <c r="M1809">
        <v>2035.7933205730001</v>
      </c>
      <c r="N1809" s="2">
        <f>(Tabla2[[#This Row],[Productividad (kg/TAS)]]*Tabla2[[#This Row],[Precio por kg]]-Tabla2[[#This Row],[Costos (En RD$/Tarea)]])</f>
        <v>3194.2700258384643</v>
      </c>
      <c r="O1809" s="6">
        <f>IF(Tabla2[[#This Row],[Costos (En RD$/Tarea)]]=0,0,Tabla2[[#This Row],[Beneficio Neto  (En RD$/Tarea)]]/Tabla2[[#This Row],[Costos (En RD$/Tarea)]])</f>
        <v>1.569054183230838</v>
      </c>
      <c r="P1809" s="4">
        <f>Tabla2[[#This Row],[Rentabilidad (%)]]/12</f>
        <v>0.13075451526923651</v>
      </c>
    </row>
    <row r="1810" spans="1:16" x14ac:dyDescent="0.35">
      <c r="A1810" s="1">
        <v>41091</v>
      </c>
      <c r="B1810" t="s">
        <v>27</v>
      </c>
      <c r="C1810" s="2">
        <v>5495</v>
      </c>
      <c r="D1810" s="5" t="s">
        <v>17</v>
      </c>
      <c r="E1810" s="2">
        <f>IF(Tabla2[[#This Row],[Frecuencia]]="Annual", Tabla2[[#This Row],[Cosecha/Tarea]]/12,Tabla2[[#This Row],[Cosecha/Tarea]])</f>
        <v>5495</v>
      </c>
      <c r="F1810" s="2">
        <v>48198</v>
      </c>
      <c r="G1810" t="s">
        <v>18</v>
      </c>
      <c r="H1810">
        <f>F1810/Tabla2[[#This Row],[Cosecha Mensual]]</f>
        <v>8.7712465878070969</v>
      </c>
      <c r="I1810">
        <f>H1810*_xlfn.XLOOKUP(Tabla2[[#This Row],[Unidad de producción]],Tabla3[Medida],Tabla3[Equivalencia en Kg],"ELVIS",0)</f>
        <v>397.86374522292994</v>
      </c>
      <c r="J1810">
        <v>600.96214285714302</v>
      </c>
      <c r="K1810" t="s">
        <v>18</v>
      </c>
      <c r="L1810">
        <f>J1810/_xlfn.XLOOKUP(Tabla2[[#This Row],[Unidad de precio]],Tabla3[Medida],Tabla3[Equivalencia en Kg],"ELVIS",0)</f>
        <v>13.248724489795922</v>
      </c>
      <c r="M1810">
        <v>7766.2500132750001</v>
      </c>
      <c r="N1810" s="2">
        <f>(Tabla2[[#This Row],[Productividad (kg/TAS)]]*Tabla2[[#This Row],[Precio por kg]]-Tabla2[[#This Row],[Costos (En RD$/Tarea)]])</f>
        <v>-2495.0628683380428</v>
      </c>
      <c r="O1810" s="6">
        <f>IF(Tabla2[[#This Row],[Costos (En RD$/Tarea)]]=0,0,Tabla2[[#This Row],[Beneficio Neto  (En RD$/Tarea)]]/Tabla2[[#This Row],[Costos (En RD$/Tarea)]])</f>
        <v>-0.32126996479294179</v>
      </c>
      <c r="P1810" s="4">
        <f>Tabla2[[#This Row],[Rentabilidad (%)]]/12</f>
        <v>-2.6772497066078482E-2</v>
      </c>
    </row>
    <row r="1811" spans="1:16" x14ac:dyDescent="0.35">
      <c r="A1811" s="1">
        <v>41091</v>
      </c>
      <c r="B1811" t="s">
        <v>28</v>
      </c>
      <c r="C1811" s="2">
        <v>50511</v>
      </c>
      <c r="D1811" s="5" t="s">
        <v>17</v>
      </c>
      <c r="E1811" s="2">
        <f>IF(Tabla2[[#This Row],[Frecuencia]]="Annual", Tabla2[[#This Row],[Cosecha/Tarea]]/12,Tabla2[[#This Row],[Cosecha/Tarea]])</f>
        <v>50511</v>
      </c>
      <c r="F1811" s="2">
        <v>79260</v>
      </c>
      <c r="G1811" t="s">
        <v>29</v>
      </c>
      <c r="H1811">
        <f>F1811/Tabla2[[#This Row],[Cosecha Mensual]]</f>
        <v>1.569163152580626</v>
      </c>
      <c r="I1811">
        <f>H1811*_xlfn.XLOOKUP(Tabla2[[#This Row],[Unidad de producción]],Tabla3[Medida],Tabla3[Equivalencia en Kg],"ELVIS",0)</f>
        <v>882.40320722218928</v>
      </c>
      <c r="J1811">
        <v>6267.8333333333303</v>
      </c>
      <c r="K1811" t="s">
        <v>29</v>
      </c>
      <c r="L1811">
        <f>J1811/_xlfn.XLOOKUP(Tabla2[[#This Row],[Unidad de precio]],Tabla3[Medida],Tabla3[Equivalencia en Kg],"ELVIS",0)</f>
        <v>11.145985228390884</v>
      </c>
      <c r="M1811">
        <v>6923.3397737333999</v>
      </c>
      <c r="N1811" s="2">
        <f>(Tabla2[[#This Row],[Productividad (kg/TAS)]]*Tabla2[[#This Row],[Precio por kg]]-Tabla2[[#This Row],[Costos (En RD$/Tarea)]])</f>
        <v>2911.9133394498622</v>
      </c>
      <c r="O1811" s="6">
        <f>IF(Tabla2[[#This Row],[Costos (En RD$/Tarea)]]=0,0,Tabla2[[#This Row],[Beneficio Neto  (En RD$/Tarea)]]/Tabla2[[#This Row],[Costos (En RD$/Tarea)]])</f>
        <v>0.42059373577148845</v>
      </c>
      <c r="P1811" s="4">
        <f>Tabla2[[#This Row],[Rentabilidad (%)]]/12</f>
        <v>3.5049477980957373E-2</v>
      </c>
    </row>
    <row r="1812" spans="1:16" x14ac:dyDescent="0.35">
      <c r="A1812" s="1">
        <v>41091</v>
      </c>
      <c r="B1812" t="s">
        <v>30</v>
      </c>
      <c r="C1812" s="2">
        <v>376038</v>
      </c>
      <c r="D1812" s="2" t="s">
        <v>31</v>
      </c>
      <c r="E1812" s="2">
        <f>IF(Tabla2[[#This Row],[Frecuencia]]="Annual", Tabla2[[#This Row],[Cosecha/Tarea]]/12,Tabla2[[#This Row],[Cosecha/Tarea]])</f>
        <v>31336.5</v>
      </c>
      <c r="F1812" s="2">
        <v>3269802</v>
      </c>
      <c r="G1812" t="s">
        <v>32</v>
      </c>
      <c r="H1812">
        <f>F1812/Tabla2[[#This Row],[Cosecha Mensual]]</f>
        <v>104.34483748982815</v>
      </c>
      <c r="I1812">
        <f>H1812*_xlfn.XLOOKUP(Tabla2[[#This Row],[Unidad de producción]],Tabla3[Medida],Tabla3[Equivalencia en Kg],"ELVIS",0)</f>
        <v>2839.2230280982239</v>
      </c>
      <c r="J1812">
        <v>126.78571428571399</v>
      </c>
      <c r="K1812" t="s">
        <v>32</v>
      </c>
      <c r="L1812">
        <f>J1812/_xlfn.XLOOKUP(Tabla2[[#This Row],[Unidad de precio]],Tabla3[Medida],Tabla3[Equivalencia en Kg],"ELVIS",0)</f>
        <v>4.6595264346091136</v>
      </c>
      <c r="M1812" s="2">
        <v>12463.806077028201</v>
      </c>
      <c r="N1812" s="2">
        <f>(Tabla2[[#This Row],[Productividad (kg/TAS)]]*Tabla2[[#This Row],[Precio por kg]]-Tabla2[[#This Row],[Costos (En RD$/Tarea)]])</f>
        <v>765.62867614640709</v>
      </c>
      <c r="O1812" s="6">
        <f>IF(Tabla2[[#This Row],[Costos (En RD$/Tarea)]]=0,0,Tabla2[[#This Row],[Beneficio Neto  (En RD$/Tarea)]]/Tabla2[[#This Row],[Costos (En RD$/Tarea)]])</f>
        <v>6.1428160179539573E-2</v>
      </c>
      <c r="P1812" s="4">
        <f>Tabla2[[#This Row],[Rentabilidad (%)]]/12</f>
        <v>5.1190133482949644E-3</v>
      </c>
    </row>
    <row r="1813" spans="1:16" x14ac:dyDescent="0.35">
      <c r="A1813" s="1">
        <v>41091</v>
      </c>
      <c r="B1813" t="s">
        <v>33</v>
      </c>
      <c r="C1813" s="2">
        <v>755478</v>
      </c>
      <c r="D1813" s="2" t="s">
        <v>31</v>
      </c>
      <c r="E1813" s="2">
        <f>IF(Tabla2[[#This Row],[Frecuencia]]="Annual", Tabla2[[#This Row],[Cosecha/Tarea]]/12,Tabla2[[#This Row],[Cosecha/Tarea]])</f>
        <v>62956.5</v>
      </c>
      <c r="F1813" s="2">
        <v>178779</v>
      </c>
      <c r="G1813" t="s">
        <v>34</v>
      </c>
      <c r="H1813">
        <f>F1813/Tabla2[[#This Row],[Cosecha Mensual]]</f>
        <v>2.8397226656500916</v>
      </c>
      <c r="I1813">
        <f>H1813*_xlfn.XLOOKUP(Tabla2[[#This Row],[Unidad de producción]],Tabla3[Medida],Tabla3[Equivalencia en Kg],"ELVIS",0)</f>
        <v>1159.0328059850849</v>
      </c>
      <c r="J1813">
        <v>3267.6734693877502</v>
      </c>
      <c r="K1813" t="s">
        <v>34</v>
      </c>
      <c r="L1813">
        <f>J1813/_xlfn.XLOOKUP(Tabla2[[#This Row],[Unidad de precio]],Tabla3[Medida],Tabla3[Equivalencia en Kg],"ELVIS",0)</f>
        <v>8.0060601969563887</v>
      </c>
      <c r="M1813" s="2">
        <v>11933.7643424532</v>
      </c>
      <c r="N1813" s="2">
        <f>(Tabla2[[#This Row],[Productividad (kg/TAS)]]*Tabla2[[#This Row],[Precio por kg]]-Tabla2[[#This Row],[Costos (En RD$/Tarea)]])</f>
        <v>-2654.4779274893353</v>
      </c>
      <c r="O1813" s="6">
        <f>IF(Tabla2[[#This Row],[Costos (En RD$/Tarea)]]=0,0,Tabla2[[#This Row],[Beneficio Neto  (En RD$/Tarea)]]/Tabla2[[#This Row],[Costos (En RD$/Tarea)]])</f>
        <v>-0.22243425052783133</v>
      </c>
      <c r="P1813" s="4">
        <f>Tabla2[[#This Row],[Rentabilidad (%)]]/12</f>
        <v>-1.8536187543985946E-2</v>
      </c>
    </row>
    <row r="1814" spans="1:16" x14ac:dyDescent="0.35">
      <c r="A1814" s="1">
        <v>41122</v>
      </c>
      <c r="B1814" t="s">
        <v>16</v>
      </c>
      <c r="C1814" s="2">
        <v>38883</v>
      </c>
      <c r="D1814" s="5" t="s">
        <v>17</v>
      </c>
      <c r="E1814" s="2">
        <f>IF(Tabla2[[#This Row],[Frecuencia]]="Annual", Tabla2[[#This Row],[Cosecha/Tarea]]/12,Tabla2[[#This Row],[Cosecha/Tarea]])</f>
        <v>38883</v>
      </c>
      <c r="F1814" s="2">
        <v>141611</v>
      </c>
      <c r="G1814" t="s">
        <v>18</v>
      </c>
      <c r="H1814">
        <f>F1814/Tabla2[[#This Row],[Cosecha Mensual]]</f>
        <v>3.6419772136923592</v>
      </c>
      <c r="I1814">
        <f>H1814*_xlfn.XLOOKUP(Tabla2[[#This Row],[Unidad de producción]],Tabla3[Medida],Tabla3[Equivalencia en Kg],"ELVIS",0)</f>
        <v>165.20008641308542</v>
      </c>
      <c r="J1814">
        <v>1576.92647598093</v>
      </c>
      <c r="K1814" t="s">
        <v>19</v>
      </c>
      <c r="L1814">
        <f>J1814/_xlfn.XLOOKUP(Tabla2[[#This Row],[Unidad de precio]],Tabla3[Medida],Tabla3[Equivalencia en Kg],"ELVIS",0)</f>
        <v>14.335695236190274</v>
      </c>
      <c r="M1814">
        <v>7982.6190521234403</v>
      </c>
      <c r="N1814" s="2">
        <f>(Tabla2[[#This Row],[Productividad (kg/TAS)]]*Tabla2[[#This Row],[Precio por kg]]-Tabla2[[#This Row],[Costos (En RD$/Tarea)]])</f>
        <v>-5614.3609603131499</v>
      </c>
      <c r="O1814" s="6">
        <f>IF(Tabla2[[#This Row],[Costos (En RD$/Tarea)]]=0,0,Tabla2[[#This Row],[Beneficio Neto  (En RD$/Tarea)]]/Tabla2[[#This Row],[Costos (En RD$/Tarea)]])</f>
        <v>-0.70332317296535463</v>
      </c>
      <c r="P1814" s="4">
        <f>Tabla2[[#This Row],[Rentabilidad (%)]]/12</f>
        <v>-5.8610264413779554E-2</v>
      </c>
    </row>
    <row r="1815" spans="1:16" x14ac:dyDescent="0.35">
      <c r="A1815" s="1">
        <v>41122</v>
      </c>
      <c r="B1815" t="s">
        <v>20</v>
      </c>
      <c r="C1815" s="2">
        <v>37975</v>
      </c>
      <c r="D1815" s="5" t="s">
        <v>17</v>
      </c>
      <c r="E1815" s="2">
        <f>IF(Tabla2[[#This Row],[Frecuencia]]="Annual", Tabla2[[#This Row],[Cosecha/Tarea]]/12,Tabla2[[#This Row],[Cosecha/Tarea]])</f>
        <v>37975</v>
      </c>
      <c r="F1815" s="2">
        <v>81910</v>
      </c>
      <c r="G1815" t="s">
        <v>18</v>
      </c>
      <c r="H1815">
        <f>F1815/Tabla2[[#This Row],[Cosecha Mensual]]</f>
        <v>2.1569453587886769</v>
      </c>
      <c r="I1815">
        <f>H1815*_xlfn.XLOOKUP(Tabla2[[#This Row],[Unidad de producción]],Tabla3[Medida],Tabla3[Equivalencia en Kg],"ELVIS",0)</f>
        <v>97.83904147465438</v>
      </c>
      <c r="J1815">
        <v>752.74052910052899</v>
      </c>
      <c r="K1815" t="s">
        <v>18</v>
      </c>
      <c r="L1815">
        <f>J1815/_xlfn.XLOOKUP(Tabla2[[#This Row],[Unidad de precio]],Tabla3[Medida],Tabla3[Equivalencia en Kg],"ELVIS",0)</f>
        <v>16.594808842604255</v>
      </c>
      <c r="M1815">
        <v>2248.3053412475001</v>
      </c>
      <c r="N1815" s="2">
        <f>(Tabla2[[#This Row],[Productividad (kg/TAS)]]*Tabla2[[#This Row],[Precio por kg]]-Tabla2[[#This Row],[Costos (En RD$/Tarea)]])</f>
        <v>-624.68515063198106</v>
      </c>
      <c r="O1815" s="6">
        <f>IF(Tabla2[[#This Row],[Costos (En RD$/Tarea)]]=0,0,Tabla2[[#This Row],[Beneficio Neto  (En RD$/Tarea)]]/Tabla2[[#This Row],[Costos (En RD$/Tarea)]])</f>
        <v>-0.27784711407809348</v>
      </c>
      <c r="P1815" s="4">
        <f>Tabla2[[#This Row],[Rentabilidad (%)]]/12</f>
        <v>-2.3153926173174456E-2</v>
      </c>
    </row>
    <row r="1816" spans="1:16" x14ac:dyDescent="0.35">
      <c r="A1816" s="1">
        <v>41122</v>
      </c>
      <c r="B1816" t="s">
        <v>21</v>
      </c>
      <c r="C1816" s="2">
        <v>5703</v>
      </c>
      <c r="D1816" s="5" t="s">
        <v>17</v>
      </c>
      <c r="E1816" s="2">
        <f>IF(Tabla2[[#This Row],[Frecuencia]]="Annual", Tabla2[[#This Row],[Cosecha/Tarea]]/12,Tabla2[[#This Row],[Cosecha/Tarea]])</f>
        <v>5703</v>
      </c>
      <c r="F1816" s="2">
        <v>70695</v>
      </c>
      <c r="G1816" t="s">
        <v>18</v>
      </c>
      <c r="H1816">
        <f>F1816/Tabla2[[#This Row],[Cosecha Mensual]]</f>
        <v>12.396107311941083</v>
      </c>
      <c r="I1816">
        <f>H1816*_xlfn.XLOOKUP(Tabla2[[#This Row],[Unidad de producción]],Tabla3[Medida],Tabla3[Equivalencia en Kg],"ELVIS",0)</f>
        <v>562.28742766964751</v>
      </c>
      <c r="J1816">
        <v>341.82407407407402</v>
      </c>
      <c r="K1816" t="s">
        <v>18</v>
      </c>
      <c r="L1816">
        <f>J1816/_xlfn.XLOOKUP(Tabla2[[#This Row],[Unidad de precio]],Tabla3[Medida],Tabla3[Equivalencia en Kg],"ELVIS",0)</f>
        <v>7.5358041021621256</v>
      </c>
      <c r="M1816">
        <v>5350.2017200091695</v>
      </c>
      <c r="N1816" s="2">
        <f>(Tabla2[[#This Row],[Productividad (kg/TAS)]]*Tabla2[[#This Row],[Precio por kg]]-Tabla2[[#This Row],[Costos (En RD$/Tarea)]])</f>
        <v>-1112.9138159820504</v>
      </c>
      <c r="O1816" s="6">
        <f>IF(Tabla2[[#This Row],[Costos (En RD$/Tarea)]]=0,0,Tabla2[[#This Row],[Beneficio Neto  (En RD$/Tarea)]]/Tabla2[[#This Row],[Costos (En RD$/Tarea)]])</f>
        <v>-0.20801343093660832</v>
      </c>
      <c r="P1816" s="4">
        <f>Tabla2[[#This Row],[Rentabilidad (%)]]/12</f>
        <v>-1.7334452578050694E-2</v>
      </c>
    </row>
    <row r="1817" spans="1:16" x14ac:dyDescent="0.35">
      <c r="A1817" s="1">
        <v>41122</v>
      </c>
      <c r="B1817" t="s">
        <v>22</v>
      </c>
      <c r="C1817" s="2">
        <v>1984</v>
      </c>
      <c r="D1817" s="5" t="s">
        <v>17</v>
      </c>
      <c r="E1817" s="2">
        <f>IF(Tabla2[[#This Row],[Frecuencia]]="Annual", Tabla2[[#This Row],[Cosecha/Tarea]]/12,Tabla2[[#This Row],[Cosecha/Tarea]])</f>
        <v>1984</v>
      </c>
      <c r="F1817" s="2">
        <v>24191</v>
      </c>
      <c r="G1817" t="s">
        <v>18</v>
      </c>
      <c r="H1817">
        <f>F1817/Tabla2[[#This Row],[Cosecha Mensual]]</f>
        <v>12.19304435483871</v>
      </c>
      <c r="I1817">
        <f>H1817*_xlfn.XLOOKUP(Tabla2[[#This Row],[Unidad de producción]],Tabla3[Medida],Tabla3[Equivalencia en Kg],"ELVIS",0)</f>
        <v>553.07649193548389</v>
      </c>
      <c r="J1817">
        <v>1063.03125</v>
      </c>
      <c r="K1817" t="s">
        <v>18</v>
      </c>
      <c r="L1817">
        <f>J1817/_xlfn.XLOOKUP(Tabla2[[#This Row],[Unidad de precio]],Tabla3[Medida],Tabla3[Equivalencia en Kg],"ELVIS",0)</f>
        <v>23.435433201058203</v>
      </c>
      <c r="M1817">
        <v>8360.1905549999992</v>
      </c>
      <c r="N1817" s="2">
        <f>(Tabla2[[#This Row],[Productividad (kg/TAS)]]*Tabla2[[#This Row],[Precio por kg]]-Tabla2[[#This Row],[Costos (En RD$/Tarea)]])</f>
        <v>4601.396626829639</v>
      </c>
      <c r="O1817" s="6">
        <f>IF(Tabla2[[#This Row],[Costos (En RD$/Tarea)]]=0,0,Tabla2[[#This Row],[Beneficio Neto  (En RD$/Tarea)]]/Tabla2[[#This Row],[Costos (En RD$/Tarea)]])</f>
        <v>0.55039374958716347</v>
      </c>
      <c r="P1817" s="4">
        <f>Tabla2[[#This Row],[Rentabilidad (%)]]/12</f>
        <v>4.5866145798930287E-2</v>
      </c>
    </row>
    <row r="1818" spans="1:16" x14ac:dyDescent="0.35">
      <c r="A1818" s="1">
        <v>41122</v>
      </c>
      <c r="B1818" t="s">
        <v>23</v>
      </c>
      <c r="C1818" s="2">
        <v>2883</v>
      </c>
      <c r="D1818" s="5" t="s">
        <v>17</v>
      </c>
      <c r="E1818" s="2">
        <f>IF(Tabla2[[#This Row],[Frecuencia]]="Annual", Tabla2[[#This Row],[Cosecha/Tarea]]/12,Tabla2[[#This Row],[Cosecha/Tarea]])</f>
        <v>2883</v>
      </c>
      <c r="F1818" s="2">
        <v>124210</v>
      </c>
      <c r="G1818" t="s">
        <v>18</v>
      </c>
      <c r="H1818">
        <f>F1818/Tabla2[[#This Row],[Cosecha Mensual]]</f>
        <v>43.083593479014915</v>
      </c>
      <c r="I1818">
        <f>H1818*_xlfn.XLOOKUP(Tabla2[[#This Row],[Unidad de producción]],Tabla3[Medida],Tabla3[Equivalencia en Kg],"ELVIS",0)</f>
        <v>1954.2718002081165</v>
      </c>
      <c r="J1818">
        <v>1414.3316666666699</v>
      </c>
      <c r="K1818" t="s">
        <v>18</v>
      </c>
      <c r="L1818">
        <f>J1818/_xlfn.XLOOKUP(Tabla2[[#This Row],[Unidad de precio]],Tabla3[Medida],Tabla3[Equivalencia en Kg],"ELVIS",0)</f>
        <v>31.180151381540341</v>
      </c>
      <c r="M1818">
        <v>24344.842076238001</v>
      </c>
      <c r="N1818" s="2">
        <f>(Tabla2[[#This Row],[Productividad (kg/TAS)]]*Tabla2[[#This Row],[Precio por kg]]-Tabla2[[#This Row],[Costos (En RD$/Tarea)]])</f>
        <v>36589.648494926427</v>
      </c>
      <c r="O1818" s="6">
        <f>IF(Tabla2[[#This Row],[Costos (En RD$/Tarea)]]=0,0,Tabla2[[#This Row],[Beneficio Neto  (En RD$/Tarea)]]/Tabla2[[#This Row],[Costos (En RD$/Tarea)]])</f>
        <v>1.5029733353924721</v>
      </c>
      <c r="P1818" s="4">
        <f>Tabla2[[#This Row],[Rentabilidad (%)]]/12</f>
        <v>0.12524777794937267</v>
      </c>
    </row>
    <row r="1819" spans="1:16" x14ac:dyDescent="0.35">
      <c r="A1819" s="1">
        <v>41122</v>
      </c>
      <c r="B1819" t="s">
        <v>24</v>
      </c>
      <c r="C1819" s="2">
        <v>4368</v>
      </c>
      <c r="D1819" s="5" t="s">
        <v>17</v>
      </c>
      <c r="E1819" s="2">
        <f>IF(Tabla2[[#This Row],[Frecuencia]]="Annual", Tabla2[[#This Row],[Cosecha/Tarea]]/12,Tabla2[[#This Row],[Cosecha/Tarea]])</f>
        <v>4368</v>
      </c>
      <c r="F1819" s="2">
        <v>50416</v>
      </c>
      <c r="G1819" t="s">
        <v>18</v>
      </c>
      <c r="H1819">
        <f>F1819/Tabla2[[#This Row],[Cosecha Mensual]]</f>
        <v>11.542124542124542</v>
      </c>
      <c r="I1819">
        <f>H1819*_xlfn.XLOOKUP(Tabla2[[#This Row],[Unidad de producción]],Tabla3[Medida],Tabla3[Equivalencia en Kg],"ELVIS",0)</f>
        <v>523.55076923076922</v>
      </c>
      <c r="J1819">
        <v>1278.8293650793701</v>
      </c>
      <c r="K1819" t="s">
        <v>18</v>
      </c>
      <c r="L1819">
        <f>J1819/_xlfn.XLOOKUP(Tabla2[[#This Row],[Unidad de precio]],Tabla3[Medida],Tabla3[Equivalencia en Kg],"ELVIS",0)</f>
        <v>28.192887237199518</v>
      </c>
      <c r="M1819">
        <v>8104.7130577283997</v>
      </c>
      <c r="N1819" s="2">
        <f>(Tabla2[[#This Row],[Productividad (kg/TAS)]]*Tabla2[[#This Row],[Precio por kg]]-Tabla2[[#This Row],[Costos (En RD$/Tarea)]])</f>
        <v>6655.6947421437444</v>
      </c>
      <c r="O1819" s="6">
        <f>IF(Tabla2[[#This Row],[Costos (En RD$/Tarea)]]=0,0,Tabla2[[#This Row],[Beneficio Neto  (En RD$/Tarea)]]/Tabla2[[#This Row],[Costos (En RD$/Tarea)]])</f>
        <v>0.82121287881957561</v>
      </c>
      <c r="P1819" s="4">
        <f>Tabla2[[#This Row],[Rentabilidad (%)]]/12</f>
        <v>6.8434406568297967E-2</v>
      </c>
    </row>
    <row r="1820" spans="1:16" x14ac:dyDescent="0.35">
      <c r="A1820" s="1">
        <v>41122</v>
      </c>
      <c r="B1820" t="s">
        <v>25</v>
      </c>
      <c r="C1820" s="2">
        <v>25989</v>
      </c>
      <c r="D1820" s="5" t="s">
        <v>17</v>
      </c>
      <c r="E1820" s="2">
        <f>IF(Tabla2[[#This Row],[Frecuencia]]="Annual", Tabla2[[#This Row],[Cosecha/Tarea]]/12,Tabla2[[#This Row],[Cosecha/Tarea]])</f>
        <v>25989</v>
      </c>
      <c r="F1820" s="2">
        <v>312092</v>
      </c>
      <c r="G1820" t="s">
        <v>18</v>
      </c>
      <c r="H1820">
        <f>F1820/Tabla2[[#This Row],[Cosecha Mensual]]</f>
        <v>12.008619031128555</v>
      </c>
      <c r="I1820">
        <f>H1820*_xlfn.XLOOKUP(Tabla2[[#This Row],[Unidad de producción]],Tabla3[Medida],Tabla3[Equivalencia en Kg],"ELVIS",0)</f>
        <v>544.71095925199131</v>
      </c>
      <c r="J1820">
        <v>420.97801984127</v>
      </c>
      <c r="K1820" t="s">
        <v>18</v>
      </c>
      <c r="L1820">
        <f>J1820/_xlfn.XLOOKUP(Tabla2[[#This Row],[Unidad de precio]],Tabla3[Medida],Tabla3[Equivalencia en Kg],"ELVIS",0)</f>
        <v>9.2808205432378745</v>
      </c>
      <c r="M1820">
        <v>4628.4219376424999</v>
      </c>
      <c r="N1820" s="2">
        <f>(Tabla2[[#This Row],[Productividad (kg/TAS)]]*Tabla2[[#This Row],[Precio por kg]]-Tabla2[[#This Row],[Costos (En RD$/Tarea)]])</f>
        <v>426.94272311018995</v>
      </c>
      <c r="O1820" s="6">
        <f>IF(Tabla2[[#This Row],[Costos (En RD$/Tarea)]]=0,0,Tabla2[[#This Row],[Beneficio Neto  (En RD$/Tarea)]]/Tabla2[[#This Row],[Costos (En RD$/Tarea)]])</f>
        <v>9.224369101656589E-2</v>
      </c>
      <c r="P1820" s="4">
        <f>Tabla2[[#This Row],[Rentabilidad (%)]]/12</f>
        <v>7.6869742513804911E-3</v>
      </c>
    </row>
    <row r="1821" spans="1:16" x14ac:dyDescent="0.35">
      <c r="A1821" s="1">
        <v>41122</v>
      </c>
      <c r="B1821" t="s">
        <v>26</v>
      </c>
      <c r="C1821" s="2">
        <v>9733</v>
      </c>
      <c r="D1821" s="5" t="s">
        <v>17</v>
      </c>
      <c r="E1821" s="2">
        <f>IF(Tabla2[[#This Row],[Frecuencia]]="Annual", Tabla2[[#This Row],[Cosecha/Tarea]]/12,Tabla2[[#This Row],[Cosecha/Tarea]])</f>
        <v>9733</v>
      </c>
      <c r="F1821" s="2">
        <v>66495</v>
      </c>
      <c r="G1821" t="s">
        <v>18</v>
      </c>
      <c r="H1821">
        <f>F1821/Tabla2[[#This Row],[Cosecha Mensual]]</f>
        <v>6.8319120517825951</v>
      </c>
      <c r="I1821">
        <f>H1821*_xlfn.XLOOKUP(Tabla2[[#This Row],[Unidad de producción]],Tabla3[Medida],Tabla3[Equivalencia en Kg],"ELVIS",0)</f>
        <v>309.8955306688585</v>
      </c>
      <c r="J1821">
        <v>920.97828042328103</v>
      </c>
      <c r="K1821" t="s">
        <v>18</v>
      </c>
      <c r="L1821">
        <f>J1821/_xlfn.XLOOKUP(Tabla2[[#This Row],[Unidad de precio]],Tabla3[Medida],Tabla3[Equivalencia en Kg],"ELVIS",0)</f>
        <v>20.303753977585561</v>
      </c>
      <c r="M1821">
        <v>2035.7933205730001</v>
      </c>
      <c r="N1821" s="2">
        <f>(Tabla2[[#This Row],[Productividad (kg/TAS)]]*Tabla2[[#This Row],[Precio por kg]]-Tabla2[[#This Row],[Costos (En RD$/Tarea)]])</f>
        <v>4256.2492928808242</v>
      </c>
      <c r="O1821" s="6">
        <f>IF(Tabla2[[#This Row],[Costos (En RD$/Tarea)]]=0,0,Tabla2[[#This Row],[Beneficio Neto  (En RD$/Tarea)]]/Tabla2[[#This Row],[Costos (En RD$/Tarea)]])</f>
        <v>2.0907079563866771</v>
      </c>
      <c r="P1821" s="4">
        <f>Tabla2[[#This Row],[Rentabilidad (%)]]/12</f>
        <v>0.17422566303222309</v>
      </c>
    </row>
    <row r="1822" spans="1:16" x14ac:dyDescent="0.35">
      <c r="A1822" s="1">
        <v>41122</v>
      </c>
      <c r="B1822" t="s">
        <v>27</v>
      </c>
      <c r="C1822" s="2">
        <v>3721</v>
      </c>
      <c r="D1822" s="5" t="s">
        <v>17</v>
      </c>
      <c r="E1822" s="2">
        <f>IF(Tabla2[[#This Row],[Frecuencia]]="Annual", Tabla2[[#This Row],[Cosecha/Tarea]]/12,Tabla2[[#This Row],[Cosecha/Tarea]])</f>
        <v>3721</v>
      </c>
      <c r="F1822" s="2">
        <v>33227</v>
      </c>
      <c r="G1822" t="s">
        <v>18</v>
      </c>
      <c r="H1822">
        <f>F1822/Tabla2[[#This Row],[Cosecha Mensual]]</f>
        <v>8.9295888202096219</v>
      </c>
      <c r="I1822">
        <f>H1822*_xlfn.XLOOKUP(Tabla2[[#This Row],[Unidad de producción]],Tabla3[Medida],Tabla3[Equivalencia en Kg],"ELVIS",0)</f>
        <v>405.04614888470843</v>
      </c>
      <c r="J1822">
        <v>615.06946693121699</v>
      </c>
      <c r="K1822" t="s">
        <v>18</v>
      </c>
      <c r="L1822">
        <f>J1822/_xlfn.XLOOKUP(Tabla2[[#This Row],[Unidad de precio]],Tabla3[Medida],Tabla3[Equivalencia en Kg],"ELVIS",0)</f>
        <v>13.559732516120304</v>
      </c>
      <c r="M1822">
        <v>7766.2500132750001</v>
      </c>
      <c r="N1822" s="2">
        <f>(Tabla2[[#This Row],[Productividad (kg/TAS)]]*Tabla2[[#This Row],[Precio por kg]]-Tabla2[[#This Row],[Costos (En RD$/Tarea)]])</f>
        <v>-2273.9325777137137</v>
      </c>
      <c r="O1822" s="6">
        <f>IF(Tabla2[[#This Row],[Costos (En RD$/Tarea)]]=0,0,Tabla2[[#This Row],[Beneficio Neto  (En RD$/Tarea)]]/Tabla2[[#This Row],[Costos (En RD$/Tarea)]])</f>
        <v>-0.29279672606815865</v>
      </c>
      <c r="P1822" s="4">
        <f>Tabla2[[#This Row],[Rentabilidad (%)]]/12</f>
        <v>-2.4399727172346553E-2</v>
      </c>
    </row>
    <row r="1823" spans="1:16" x14ac:dyDescent="0.35">
      <c r="A1823" s="1">
        <v>41122</v>
      </c>
      <c r="B1823" t="s">
        <v>28</v>
      </c>
      <c r="C1823" s="2">
        <v>60789</v>
      </c>
      <c r="D1823" s="5" t="s">
        <v>17</v>
      </c>
      <c r="E1823" s="2">
        <f>IF(Tabla2[[#This Row],[Frecuencia]]="Annual", Tabla2[[#This Row],[Cosecha/Tarea]]/12,Tabla2[[#This Row],[Cosecha/Tarea]])</f>
        <v>60789</v>
      </c>
      <c r="F1823" s="2">
        <v>165020</v>
      </c>
      <c r="G1823" t="s">
        <v>29</v>
      </c>
      <c r="H1823">
        <f>F1823/Tabla2[[#This Row],[Cosecha Mensual]]</f>
        <v>2.7146358716215104</v>
      </c>
      <c r="I1823">
        <f>H1823*_xlfn.XLOOKUP(Tabla2[[#This Row],[Unidad de producción]],Tabla3[Medida],Tabla3[Equivalencia en Kg],"ELVIS",0)</f>
        <v>1526.5483360476403</v>
      </c>
      <c r="J1823">
        <v>4849.5238095238101</v>
      </c>
      <c r="K1823" t="s">
        <v>29</v>
      </c>
      <c r="L1823">
        <f>J1823/_xlfn.XLOOKUP(Tabla2[[#This Row],[Unidad de precio]],Tabla3[Medida],Tabla3[Equivalencia en Kg],"ELVIS",0)</f>
        <v>8.6238286615282735</v>
      </c>
      <c r="M1823">
        <v>6923.3397737333999</v>
      </c>
      <c r="N1823" s="2">
        <f>(Tabla2[[#This Row],[Productividad (kg/TAS)]]*Tabla2[[#This Row],[Precio por kg]]-Tabla2[[#This Row],[Costos (En RD$/Tarea)]])</f>
        <v>6241.3515198825353</v>
      </c>
      <c r="O1823" s="6">
        <f>IF(Tabla2[[#This Row],[Costos (En RD$/Tarea)]]=0,0,Tabla2[[#This Row],[Beneficio Neto  (En RD$/Tarea)]]/Tabla2[[#This Row],[Costos (En RD$/Tarea)]])</f>
        <v>0.9014943255510478</v>
      </c>
      <c r="P1823" s="4">
        <f>Tabla2[[#This Row],[Rentabilidad (%)]]/12</f>
        <v>7.5124527129253979E-2</v>
      </c>
    </row>
    <row r="1824" spans="1:16" x14ac:dyDescent="0.35">
      <c r="A1824" s="1">
        <v>41122</v>
      </c>
      <c r="B1824" t="s">
        <v>30</v>
      </c>
      <c r="C1824" s="2">
        <v>381667</v>
      </c>
      <c r="D1824" s="2" t="s">
        <v>31</v>
      </c>
      <c r="E1824" s="2">
        <f>IF(Tabla2[[#This Row],[Frecuencia]]="Annual", Tabla2[[#This Row],[Cosecha/Tarea]]/12,Tabla2[[#This Row],[Cosecha/Tarea]])</f>
        <v>31805.583333333332</v>
      </c>
      <c r="F1824" s="2">
        <v>3262404</v>
      </c>
      <c r="G1824" t="s">
        <v>32</v>
      </c>
      <c r="H1824">
        <f>F1824/Tabla2[[#This Row],[Cosecha Mensual]]</f>
        <v>102.57331128968447</v>
      </c>
      <c r="I1824">
        <f>H1824*_xlfn.XLOOKUP(Tabla2[[#This Row],[Unidad de producción]],Tabla3[Medida],Tabla3[Equivalencia en Kg],"ELVIS",0)</f>
        <v>2791.0198001923145</v>
      </c>
      <c r="J1824">
        <v>138.544444444444</v>
      </c>
      <c r="K1824" t="s">
        <v>32</v>
      </c>
      <c r="L1824">
        <f>J1824/_xlfn.XLOOKUP(Tabla2[[#This Row],[Unidad de precio]],Tabla3[Medida],Tabla3[Equivalencia en Kg],"ELVIS",0)</f>
        <v>5.0916738127322301</v>
      </c>
      <c r="M1824" s="2">
        <v>12463.806077028201</v>
      </c>
      <c r="N1824" s="2">
        <f>(Tabla2[[#This Row],[Productividad (kg/TAS)]]*Tabla2[[#This Row],[Precio por kg]]-Tabla2[[#This Row],[Costos (En RD$/Tarea)]])</f>
        <v>1747.1563504281476</v>
      </c>
      <c r="O1824" s="6">
        <f>IF(Tabla2[[#This Row],[Costos (En RD$/Tarea)]]=0,0,Tabla2[[#This Row],[Beneficio Neto  (En RD$/Tarea)]]/Tabla2[[#This Row],[Costos (En RD$/Tarea)]])</f>
        <v>0.14017839652113151</v>
      </c>
      <c r="P1824" s="4">
        <f>Tabla2[[#This Row],[Rentabilidad (%)]]/12</f>
        <v>1.1681533043427625E-2</v>
      </c>
    </row>
    <row r="1825" spans="1:16" x14ac:dyDescent="0.35">
      <c r="A1825" s="1">
        <v>41122</v>
      </c>
      <c r="B1825" t="s">
        <v>33</v>
      </c>
      <c r="C1825" s="2">
        <v>765399</v>
      </c>
      <c r="D1825" s="2" t="s">
        <v>31</v>
      </c>
      <c r="E1825" s="8">
        <f>IF(Tabla2[[#This Row],[Frecuencia]]="Annual", Tabla2[[#This Row],[Cosecha/Tarea]]/12,Tabla2[[#This Row],[Cosecha/Tarea]])</f>
        <v>63783.25</v>
      </c>
      <c r="F1825" s="2">
        <v>218755</v>
      </c>
      <c r="G1825" t="s">
        <v>34</v>
      </c>
      <c r="H1825">
        <f>F1825/Tabla2[[#This Row],[Cosecha Mensual]]</f>
        <v>3.4296621761982964</v>
      </c>
      <c r="I1825">
        <f>H1825*_xlfn.XLOOKUP(Tabla2[[#This Row],[Unidad de producción]],Tabla3[Medida],Tabla3[Equivalencia en Kg],"ELVIS",0)</f>
        <v>1399.8166172153346</v>
      </c>
      <c r="J1825">
        <v>3774.5383597883601</v>
      </c>
      <c r="K1825" t="s">
        <v>34</v>
      </c>
      <c r="L1825">
        <f>J1825/_xlfn.XLOOKUP(Tabla2[[#This Row],[Unidad de precio]],Tabla3[Medida],Tabla3[Equivalencia en Kg],"ELVIS",0)</f>
        <v>9.2479195388664959</v>
      </c>
      <c r="M1825" s="2">
        <v>11933.7643424532</v>
      </c>
      <c r="N1825" s="2">
        <f>(Tabla2[[#This Row],[Productividad (kg/TAS)]]*Tabla2[[#This Row],[Precio por kg]]-Tabla2[[#This Row],[Costos (En RD$/Tarea)]])</f>
        <v>1011.6271027224957</v>
      </c>
      <c r="O1825" s="6">
        <f>IF(Tabla2[[#This Row],[Costos (En RD$/Tarea)]]=0,0,Tabla2[[#This Row],[Beneficio Neto  (En RD$/Tarea)]]/Tabla2[[#This Row],[Costos (En RD$/Tarea)]])</f>
        <v>8.4770159162916525E-2</v>
      </c>
      <c r="P1825" s="4">
        <f>Tabla2[[#This Row],[Rentabilidad (%)]]/12</f>
        <v>7.0641799302430435E-3</v>
      </c>
    </row>
    <row r="1826" spans="1:16" x14ac:dyDescent="0.35">
      <c r="A1826" s="1">
        <v>41153</v>
      </c>
      <c r="B1826" t="s">
        <v>16</v>
      </c>
      <c r="C1826" s="2">
        <v>217410</v>
      </c>
      <c r="D1826" s="5" t="s">
        <v>17</v>
      </c>
      <c r="E1826" s="2">
        <f>IF(Tabla2[[#This Row],[Frecuencia]]="Annual", Tabla2[[#This Row],[Cosecha/Tarea]]/12,Tabla2[[#This Row],[Cosecha/Tarea]])</f>
        <v>217410</v>
      </c>
      <c r="F1826" s="2">
        <v>892819</v>
      </c>
      <c r="G1826" t="s">
        <v>18</v>
      </c>
      <c r="H1826">
        <f>F1826/Tabla2[[#This Row],[Cosecha Mensual]]</f>
        <v>4.1066142311761187</v>
      </c>
      <c r="I1826">
        <f>H1826*_xlfn.XLOOKUP(Tabla2[[#This Row],[Unidad de producción]],Tabla3[Medida],Tabla3[Equivalencia en Kg],"ELVIS",0)</f>
        <v>186.27602152614875</v>
      </c>
      <c r="J1826">
        <v>1568.8428676200999</v>
      </c>
      <c r="K1826" t="s">
        <v>19</v>
      </c>
      <c r="L1826">
        <f>J1826/_xlfn.XLOOKUP(Tabla2[[#This Row],[Unidad de precio]],Tabla3[Medida],Tabla3[Equivalencia en Kg],"ELVIS",0)</f>
        <v>14.262207887455453</v>
      </c>
      <c r="M1826">
        <v>7982.6190521234403</v>
      </c>
      <c r="N1826" s="2">
        <f>(Tabla2[[#This Row],[Productividad (kg/TAS)]]*Tabla2[[#This Row],[Precio por kg]]-Tabla2[[#This Row],[Costos (En RD$/Tarea)]])</f>
        <v>-5325.9117086693795</v>
      </c>
      <c r="O1826" s="6">
        <f>IF(Tabla2[[#This Row],[Costos (En RD$/Tarea)]]=0,0,Tabla2[[#This Row],[Beneficio Neto  (En RD$/Tarea)]]/Tabla2[[#This Row],[Costos (En RD$/Tarea)]])</f>
        <v>-0.66718850967247956</v>
      </c>
      <c r="P1826" s="4">
        <f>Tabla2[[#This Row],[Rentabilidad (%)]]/12</f>
        <v>-5.5599042472706632E-2</v>
      </c>
    </row>
    <row r="1827" spans="1:16" x14ac:dyDescent="0.35">
      <c r="A1827" s="1">
        <v>41153</v>
      </c>
      <c r="B1827" t="s">
        <v>20</v>
      </c>
      <c r="C1827" s="2">
        <v>54775</v>
      </c>
      <c r="D1827" s="5" t="s">
        <v>17</v>
      </c>
      <c r="E1827" s="2">
        <f>IF(Tabla2[[#This Row],[Frecuencia]]="Annual", Tabla2[[#This Row],[Cosecha/Tarea]]/12,Tabla2[[#This Row],[Cosecha/Tarea]])</f>
        <v>54775</v>
      </c>
      <c r="F1827" s="2">
        <v>106172</v>
      </c>
      <c r="G1827" t="s">
        <v>18</v>
      </c>
      <c r="H1827">
        <f>F1827/Tabla2[[#This Row],[Cosecha Mensual]]</f>
        <v>1.9383295298950252</v>
      </c>
      <c r="I1827">
        <f>H1827*_xlfn.XLOOKUP(Tabla2[[#This Row],[Unidad de producción]],Tabla3[Medida],Tabla3[Equivalencia en Kg],"ELVIS",0)</f>
        <v>87.922627476038343</v>
      </c>
      <c r="J1827">
        <v>722.52261904761895</v>
      </c>
      <c r="K1827" t="s">
        <v>18</v>
      </c>
      <c r="L1827">
        <f>J1827/_xlfn.XLOOKUP(Tabla2[[#This Row],[Unidad de precio]],Tabla3[Medida],Tabla3[Equivalencia en Kg],"ELVIS",0)</f>
        <v>15.928629167716467</v>
      </c>
      <c r="M1827">
        <v>2248.3053412475001</v>
      </c>
      <c r="N1827" s="2">
        <f>(Tabla2[[#This Row],[Productividad (kg/TAS)]]*Tabla2[[#This Row],[Precio por kg]]-Tabla2[[#This Row],[Costos (En RD$/Tarea)]])</f>
        <v>-847.81841273040641</v>
      </c>
      <c r="O1827" s="6">
        <f>IF(Tabla2[[#This Row],[Costos (En RD$/Tarea)]]=0,0,Tabla2[[#This Row],[Beneficio Neto  (En RD$/Tarea)]]/Tabla2[[#This Row],[Costos (En RD$/Tarea)]])</f>
        <v>-0.37709220236962293</v>
      </c>
      <c r="P1827" s="4">
        <f>Tabla2[[#This Row],[Rentabilidad (%)]]/12</f>
        <v>-3.142435019746858E-2</v>
      </c>
    </row>
    <row r="1828" spans="1:16" x14ac:dyDescent="0.35">
      <c r="A1828" s="1">
        <v>41153</v>
      </c>
      <c r="B1828" t="s">
        <v>21</v>
      </c>
      <c r="C1828" s="2">
        <v>3698</v>
      </c>
      <c r="D1828" s="5" t="s">
        <v>17</v>
      </c>
      <c r="E1828" s="2">
        <f>IF(Tabla2[[#This Row],[Frecuencia]]="Annual", Tabla2[[#This Row],[Cosecha/Tarea]]/12,Tabla2[[#This Row],[Cosecha/Tarea]])</f>
        <v>3698</v>
      </c>
      <c r="F1828" s="2">
        <v>41157</v>
      </c>
      <c r="G1828" t="s">
        <v>18</v>
      </c>
      <c r="H1828">
        <f>F1828/Tabla2[[#This Row],[Cosecha Mensual]]</f>
        <v>11.129529475392104</v>
      </c>
      <c r="I1828">
        <f>H1828*_xlfn.XLOOKUP(Tabla2[[#This Row],[Unidad de producción]],Tabla3[Medida],Tabla3[Equivalencia en Kg],"ELVIS",0)</f>
        <v>504.83545700378585</v>
      </c>
      <c r="J1828">
        <v>412.08333333333297</v>
      </c>
      <c r="K1828" t="s">
        <v>18</v>
      </c>
      <c r="L1828">
        <f>J1828/_xlfn.XLOOKUP(Tabla2[[#This Row],[Unidad de precio]],Tabla3[Medida],Tabla3[Equivalencia en Kg],"ELVIS",0)</f>
        <v>9.0847295708406737</v>
      </c>
      <c r="M1828">
        <v>5350.2017200091695</v>
      </c>
      <c r="N1828" s="2">
        <f>(Tabla2[[#This Row],[Productividad (kg/TAS)]]*Tabla2[[#This Row],[Precio por kg]]-Tabla2[[#This Row],[Costos (En RD$/Tarea)]])</f>
        <v>-763.90811535801095</v>
      </c>
      <c r="O1828" s="6">
        <f>IF(Tabla2[[#This Row],[Costos (En RD$/Tarea)]]=0,0,Tabla2[[#This Row],[Beneficio Neto  (En RD$/Tarea)]]/Tabla2[[#This Row],[Costos (En RD$/Tarea)]])</f>
        <v>-0.14278118010038351</v>
      </c>
      <c r="P1828" s="4">
        <f>Tabla2[[#This Row],[Rentabilidad (%)]]/12</f>
        <v>-1.189843167503196E-2</v>
      </c>
    </row>
    <row r="1829" spans="1:16" x14ac:dyDescent="0.35">
      <c r="A1829" s="1">
        <v>41153</v>
      </c>
      <c r="B1829" t="s">
        <v>22</v>
      </c>
      <c r="C1829" s="2">
        <v>1993</v>
      </c>
      <c r="D1829" s="5" t="s">
        <v>17</v>
      </c>
      <c r="E1829" s="2">
        <f>IF(Tabla2[[#This Row],[Frecuencia]]="Annual", Tabla2[[#This Row],[Cosecha/Tarea]]/12,Tabla2[[#This Row],[Cosecha/Tarea]])</f>
        <v>1993</v>
      </c>
      <c r="F1829" s="2">
        <v>17728</v>
      </c>
      <c r="G1829" t="s">
        <v>18</v>
      </c>
      <c r="H1829">
        <f>F1829/Tabla2[[#This Row],[Cosecha Mensual]]</f>
        <v>8.895132965378826</v>
      </c>
      <c r="I1829">
        <f>H1829*_xlfn.XLOOKUP(Tabla2[[#This Row],[Unidad de producción]],Tabla3[Medida],Tabla3[Equivalencia en Kg],"ELVIS",0)</f>
        <v>403.48323130958352</v>
      </c>
      <c r="J1829">
        <v>1085.875</v>
      </c>
      <c r="K1829" t="s">
        <v>18</v>
      </c>
      <c r="L1829">
        <f>J1829/_xlfn.XLOOKUP(Tabla2[[#This Row],[Unidad de precio]],Tabla3[Medida],Tabla3[Equivalencia en Kg],"ELVIS",0)</f>
        <v>23.939043209876544</v>
      </c>
      <c r="M1829">
        <v>8360.1905549999992</v>
      </c>
      <c r="N1829" s="2">
        <f>(Tabla2[[#This Row],[Productividad (kg/TAS)]]*Tabla2[[#This Row],[Precio por kg]]-Tabla2[[#This Row],[Costos (En RD$/Tarea)]])</f>
        <v>1298.8119537807324</v>
      </c>
      <c r="O1829" s="6">
        <f>IF(Tabla2[[#This Row],[Costos (En RD$/Tarea)]]=0,0,Tabla2[[#This Row],[Beneficio Neto  (En RD$/Tarea)]]/Tabla2[[#This Row],[Costos (En RD$/Tarea)]])</f>
        <v>0.15535674040395514</v>
      </c>
      <c r="P1829" s="4">
        <f>Tabla2[[#This Row],[Rentabilidad (%)]]/12</f>
        <v>1.2946395033662928E-2</v>
      </c>
    </row>
    <row r="1830" spans="1:16" x14ac:dyDescent="0.35">
      <c r="A1830" s="1">
        <v>41153</v>
      </c>
      <c r="B1830" t="s">
        <v>23</v>
      </c>
      <c r="C1830" s="2">
        <v>2276</v>
      </c>
      <c r="D1830" s="5" t="s">
        <v>17</v>
      </c>
      <c r="E1830" s="2">
        <f>IF(Tabla2[[#This Row],[Frecuencia]]="Annual", Tabla2[[#This Row],[Cosecha/Tarea]]/12,Tabla2[[#This Row],[Cosecha/Tarea]])</f>
        <v>2276</v>
      </c>
      <c r="F1830" s="2">
        <v>81505</v>
      </c>
      <c r="G1830" t="s">
        <v>18</v>
      </c>
      <c r="H1830">
        <f>F1830/Tabla2[[#This Row],[Cosecha Mensual]]</f>
        <v>35.810632688927946</v>
      </c>
      <c r="I1830">
        <f>H1830*_xlfn.XLOOKUP(Tabla2[[#This Row],[Unidad de producción]],Tabla3[Medida],Tabla3[Equivalencia en Kg],"ELVIS",0)</f>
        <v>1624.3702987697716</v>
      </c>
      <c r="J1830">
        <v>706.041875</v>
      </c>
      <c r="K1830" t="s">
        <v>18</v>
      </c>
      <c r="L1830">
        <f>J1830/_xlfn.XLOOKUP(Tabla2[[#This Row],[Unidad de precio]],Tabla3[Medida],Tabla3[Equivalencia en Kg],"ELVIS",0)</f>
        <v>15.565297067901234</v>
      </c>
      <c r="M1830">
        <v>24344.842076238001</v>
      </c>
      <c r="N1830" s="2">
        <f>(Tabla2[[#This Row],[Productividad (kg/TAS)]]*Tabla2[[#This Row],[Precio por kg]]-Tabla2[[#This Row],[Costos (En RD$/Tarea)]])</f>
        <v>938.96417238897629</v>
      </c>
      <c r="O1830" s="6">
        <f>IF(Tabla2[[#This Row],[Costos (En RD$/Tarea)]]=0,0,Tabla2[[#This Row],[Beneficio Neto  (En RD$/Tarea)]]/Tabla2[[#This Row],[Costos (En RD$/Tarea)]])</f>
        <v>3.856932690089046E-2</v>
      </c>
      <c r="P1830" s="4">
        <f>Tabla2[[#This Row],[Rentabilidad (%)]]/12</f>
        <v>3.2141105750742049E-3</v>
      </c>
    </row>
    <row r="1831" spans="1:16" x14ac:dyDescent="0.35">
      <c r="A1831" s="1">
        <v>41153</v>
      </c>
      <c r="B1831" t="s">
        <v>24</v>
      </c>
      <c r="C1831" s="2">
        <v>3150</v>
      </c>
      <c r="D1831" s="5" t="s">
        <v>17</v>
      </c>
      <c r="E1831" s="2">
        <f>IF(Tabla2[[#This Row],[Frecuencia]]="Annual", Tabla2[[#This Row],[Cosecha/Tarea]]/12,Tabla2[[#This Row],[Cosecha/Tarea]])</f>
        <v>3150</v>
      </c>
      <c r="F1831" s="2">
        <v>26266</v>
      </c>
      <c r="G1831" t="s">
        <v>18</v>
      </c>
      <c r="H1831">
        <f>F1831/Tabla2[[#This Row],[Cosecha Mensual]]</f>
        <v>8.3384126984126983</v>
      </c>
      <c r="I1831">
        <f>H1831*_xlfn.XLOOKUP(Tabla2[[#This Row],[Unidad de producción]],Tabla3[Medida],Tabla3[Equivalencia en Kg],"ELVIS",0)</f>
        <v>378.23039999999997</v>
      </c>
      <c r="J1831">
        <v>1278.80952380952</v>
      </c>
      <c r="K1831" t="s">
        <v>18</v>
      </c>
      <c r="L1831">
        <f>J1831/_xlfn.XLOOKUP(Tabla2[[#This Row],[Unidad de precio]],Tabla3[Medida],Tabla3[Equivalencia en Kg],"ELVIS",0)</f>
        <v>28.192449819433861</v>
      </c>
      <c r="M1831">
        <v>8104.7130577283997</v>
      </c>
      <c r="N1831" s="2">
        <f>(Tabla2[[#This Row],[Productividad (kg/TAS)]]*Tabla2[[#This Row],[Precio por kg]]-Tabla2[[#This Row],[Costos (En RD$/Tarea)]])</f>
        <v>2558.5285144559975</v>
      </c>
      <c r="O1831" s="6">
        <f>IF(Tabla2[[#This Row],[Costos (En RD$/Tarea)]]=0,0,Tabla2[[#This Row],[Beneficio Neto  (En RD$/Tarea)]]/Tabla2[[#This Row],[Costos (En RD$/Tarea)]])</f>
        <v>0.31568403424428026</v>
      </c>
      <c r="P1831" s="4">
        <f>Tabla2[[#This Row],[Rentabilidad (%)]]/12</f>
        <v>2.6307002853690021E-2</v>
      </c>
    </row>
    <row r="1832" spans="1:16" x14ac:dyDescent="0.35">
      <c r="A1832" s="1">
        <v>41153</v>
      </c>
      <c r="B1832" t="s">
        <v>25</v>
      </c>
      <c r="C1832" s="2">
        <v>18569</v>
      </c>
      <c r="D1832" s="5" t="s">
        <v>17</v>
      </c>
      <c r="E1832" s="2">
        <f>IF(Tabla2[[#This Row],[Frecuencia]]="Annual", Tabla2[[#This Row],[Cosecha/Tarea]]/12,Tabla2[[#This Row],[Cosecha/Tarea]])</f>
        <v>18569</v>
      </c>
      <c r="F1832" s="2">
        <v>209595</v>
      </c>
      <c r="G1832" t="s">
        <v>18</v>
      </c>
      <c r="H1832">
        <f>F1832/Tabla2[[#This Row],[Cosecha Mensual]]</f>
        <v>11.287360654854865</v>
      </c>
      <c r="I1832">
        <f>H1832*_xlfn.XLOOKUP(Tabla2[[#This Row],[Unidad de producción]],Tabla3[Medida],Tabla3[Equivalencia en Kg],"ELVIS",0)</f>
        <v>511.99467930421667</v>
      </c>
      <c r="J1832">
        <v>461.32016666666698</v>
      </c>
      <c r="K1832" t="s">
        <v>18</v>
      </c>
      <c r="L1832">
        <f>J1832/_xlfn.XLOOKUP(Tabla2[[#This Row],[Unidad de precio]],Tabla3[Medida],Tabla3[Equivalencia en Kg],"ELVIS",0)</f>
        <v>10.170197677836574</v>
      </c>
      <c r="M1832">
        <v>4628.4219376424999</v>
      </c>
      <c r="N1832" s="2">
        <f>(Tabla2[[#This Row],[Productividad (kg/TAS)]]*Tabla2[[#This Row],[Precio por kg]]-Tabla2[[#This Row],[Costos (En RD$/Tarea)]])</f>
        <v>578.66516088192657</v>
      </c>
      <c r="O1832" s="6">
        <f>IF(Tabla2[[#This Row],[Costos (En RD$/Tarea)]]=0,0,Tabla2[[#This Row],[Beneficio Neto  (En RD$/Tarea)]]/Tabla2[[#This Row],[Costos (En RD$/Tarea)]])</f>
        <v>0.1250242887701529</v>
      </c>
      <c r="P1832" s="4">
        <f>Tabla2[[#This Row],[Rentabilidad (%)]]/12</f>
        <v>1.0418690730846074E-2</v>
      </c>
    </row>
    <row r="1833" spans="1:16" x14ac:dyDescent="0.35">
      <c r="A1833" s="1">
        <v>41153</v>
      </c>
      <c r="B1833" t="s">
        <v>26</v>
      </c>
      <c r="C1833" s="2">
        <v>6942</v>
      </c>
      <c r="D1833" s="5" t="s">
        <v>17</v>
      </c>
      <c r="E1833" s="2">
        <f>IF(Tabla2[[#This Row],[Frecuencia]]="Annual", Tabla2[[#This Row],[Cosecha/Tarea]]/12,Tabla2[[#This Row],[Cosecha/Tarea]])</f>
        <v>6942</v>
      </c>
      <c r="F1833" s="2">
        <v>62948</v>
      </c>
      <c r="G1833" t="s">
        <v>18</v>
      </c>
      <c r="H1833">
        <f>F1833/Tabla2[[#This Row],[Cosecha Mensual]]</f>
        <v>9.0677038317487764</v>
      </c>
      <c r="I1833">
        <f>H1833*_xlfn.XLOOKUP(Tabla2[[#This Row],[Unidad de producción]],Tabla3[Medida],Tabla3[Equivalencia en Kg],"ELVIS",0)</f>
        <v>411.3110458081245</v>
      </c>
      <c r="J1833">
        <v>1029.1666666666699</v>
      </c>
      <c r="K1833" t="s">
        <v>18</v>
      </c>
      <c r="L1833">
        <f>J1833/_xlfn.XLOOKUP(Tabla2[[#This Row],[Unidad de precio]],Tabla3[Medida],Tabla3[Equivalencia en Kg],"ELVIS",0)</f>
        <v>22.688859494415123</v>
      </c>
      <c r="M1833">
        <v>2035.7933205730001</v>
      </c>
      <c r="N1833" s="2">
        <f>(Tabla2[[#This Row],[Productividad (kg/TAS)]]*Tabla2[[#This Row],[Precio por kg]]-Tabla2[[#This Row],[Costos (En RD$/Tarea)]])</f>
        <v>7296.3852062684782</v>
      </c>
      <c r="O1833" s="6">
        <f>IF(Tabla2[[#This Row],[Costos (En RD$/Tarea)]]=0,0,Tabla2[[#This Row],[Beneficio Neto  (En RD$/Tarea)]]/Tabla2[[#This Row],[Costos (En RD$/Tarea)]])</f>
        <v>3.5840500764659238</v>
      </c>
      <c r="P1833" s="4">
        <f>Tabla2[[#This Row],[Rentabilidad (%)]]/12</f>
        <v>0.29867083970549363</v>
      </c>
    </row>
    <row r="1834" spans="1:16" x14ac:dyDescent="0.35">
      <c r="A1834" s="1">
        <v>41153</v>
      </c>
      <c r="B1834" t="s">
        <v>27</v>
      </c>
      <c r="C1834" s="2">
        <v>3580</v>
      </c>
      <c r="D1834" s="5" t="s">
        <v>17</v>
      </c>
      <c r="E1834" s="2">
        <f>IF(Tabla2[[#This Row],[Frecuencia]]="Annual", Tabla2[[#This Row],[Cosecha/Tarea]]/12,Tabla2[[#This Row],[Cosecha/Tarea]])</f>
        <v>3580</v>
      </c>
      <c r="F1834" s="2">
        <v>38471</v>
      </c>
      <c r="G1834" t="s">
        <v>18</v>
      </c>
      <c r="H1834">
        <f>F1834/Tabla2[[#This Row],[Cosecha Mensual]]</f>
        <v>10.74608938547486</v>
      </c>
      <c r="I1834">
        <f>H1834*_xlfn.XLOOKUP(Tabla2[[#This Row],[Unidad de producción]],Tabla3[Medida],Tabla3[Equivalencia en Kg],"ELVIS",0)</f>
        <v>487.44261452513967</v>
      </c>
      <c r="J1834">
        <v>664.02809523809503</v>
      </c>
      <c r="K1834" t="s">
        <v>18</v>
      </c>
      <c r="L1834">
        <f>J1834/_xlfn.XLOOKUP(Tabla2[[#This Row],[Unidad de precio]],Tabla3[Medida],Tabla3[Equivalencia en Kg],"ELVIS",0)</f>
        <v>14.639067355337192</v>
      </c>
      <c r="M1834">
        <v>7766.2500132750001</v>
      </c>
      <c r="N1834" s="2">
        <f>(Tabla2[[#This Row],[Productividad (kg/TAS)]]*Tabla2[[#This Row],[Precio por kg]]-Tabla2[[#This Row],[Costos (En RD$/Tarea)]])</f>
        <v>-630.54474737981764</v>
      </c>
      <c r="O1834" s="6">
        <f>IF(Tabla2[[#This Row],[Costos (En RD$/Tarea)]]=0,0,Tabla2[[#This Row],[Beneficio Neto  (En RD$/Tarea)]]/Tabla2[[#This Row],[Costos (En RD$/Tarea)]])</f>
        <v>-8.1190374543958208E-2</v>
      </c>
      <c r="P1834" s="4">
        <f>Tabla2[[#This Row],[Rentabilidad (%)]]/12</f>
        <v>-6.7658645453298506E-3</v>
      </c>
    </row>
    <row r="1835" spans="1:16" x14ac:dyDescent="0.35">
      <c r="A1835" s="1">
        <v>41153</v>
      </c>
      <c r="B1835" t="s">
        <v>28</v>
      </c>
      <c r="C1835" s="2">
        <v>75862</v>
      </c>
      <c r="D1835" s="5" t="s">
        <v>17</v>
      </c>
      <c r="E1835" s="2">
        <f>IF(Tabla2[[#This Row],[Frecuencia]]="Annual", Tabla2[[#This Row],[Cosecha/Tarea]]/12,Tabla2[[#This Row],[Cosecha/Tarea]])</f>
        <v>75862</v>
      </c>
      <c r="F1835" s="2">
        <v>104000</v>
      </c>
      <c r="G1835" t="s">
        <v>29</v>
      </c>
      <c r="H1835">
        <f>F1835/Tabla2[[#This Row],[Cosecha Mensual]]</f>
        <v>1.3709103371912157</v>
      </c>
      <c r="I1835">
        <f>H1835*_xlfn.XLOOKUP(Tabla2[[#This Row],[Unidad de producción]],Tabla3[Medida],Tabla3[Equivalencia en Kg],"ELVIS",0)</f>
        <v>770.91771901610832</v>
      </c>
      <c r="J1835">
        <v>3732.7380952381</v>
      </c>
      <c r="K1835" t="s">
        <v>29</v>
      </c>
      <c r="L1835">
        <f>J1835/_xlfn.XLOOKUP(Tabla2[[#This Row],[Unidad de precio]],Tabla3[Medida],Tabla3[Equivalencia en Kg],"ELVIS",0)</f>
        <v>6.6378669403529891</v>
      </c>
      <c r="M1835">
        <v>6923.3397737333999</v>
      </c>
      <c r="N1835" s="2">
        <f>(Tabla2[[#This Row],[Productividad (kg/TAS)]]*Tabla2[[#This Row],[Precio por kg]]-Tabla2[[#This Row],[Costos (En RD$/Tarea)]])</f>
        <v>-1806.0905329440393</v>
      </c>
      <c r="O1835" s="6">
        <f>IF(Tabla2[[#This Row],[Costos (En RD$/Tarea)]]=0,0,Tabla2[[#This Row],[Beneficio Neto  (En RD$/Tarea)]]/Tabla2[[#This Row],[Costos (En RD$/Tarea)]])</f>
        <v>-0.26086983911958256</v>
      </c>
      <c r="P1835" s="4">
        <f>Tabla2[[#This Row],[Rentabilidad (%)]]/12</f>
        <v>-2.1739153259965213E-2</v>
      </c>
    </row>
    <row r="1836" spans="1:16" x14ac:dyDescent="0.35">
      <c r="A1836" s="1">
        <v>41153</v>
      </c>
      <c r="B1836" t="s">
        <v>30</v>
      </c>
      <c r="C1836" s="2">
        <v>357415</v>
      </c>
      <c r="D1836" s="2" t="s">
        <v>31</v>
      </c>
      <c r="E1836" s="2">
        <f>IF(Tabla2[[#This Row],[Frecuencia]]="Annual", Tabla2[[#This Row],[Cosecha/Tarea]]/12,Tabla2[[#This Row],[Cosecha/Tarea]])</f>
        <v>29784.583333333332</v>
      </c>
      <c r="F1836" s="2">
        <v>3133117</v>
      </c>
      <c r="G1836" t="s">
        <v>32</v>
      </c>
      <c r="H1836">
        <f>F1836/Tabla2[[#This Row],[Cosecha Mensual]]</f>
        <v>105.19257445826281</v>
      </c>
      <c r="I1836">
        <f>H1836*_xlfn.XLOOKUP(Tabla2[[#This Row],[Unidad de producción]],Tabla3[Medida],Tabla3[Equivalencia en Kg],"ELVIS",0)</f>
        <v>2862.2899510093312</v>
      </c>
      <c r="J1836">
        <v>150.29828571428601</v>
      </c>
      <c r="K1836" t="s">
        <v>32</v>
      </c>
      <c r="L1836">
        <f>J1836/_xlfn.XLOOKUP(Tabla2[[#This Row],[Unidad de precio]],Tabla3[Medida],Tabla3[Equivalencia en Kg],"ELVIS",0)</f>
        <v>5.5236415183493568</v>
      </c>
      <c r="M1836" s="2">
        <v>12463.806077028201</v>
      </c>
      <c r="N1836" s="2">
        <f>(Tabla2[[#This Row],[Productividad (kg/TAS)]]*Tabla2[[#This Row],[Precio por kg]]-Tabla2[[#This Row],[Costos (En RD$/Tarea)]])</f>
        <v>3346.4575339210878</v>
      </c>
      <c r="O1836" s="6">
        <f>IF(Tabla2[[#This Row],[Costos (En RD$/Tarea)]]=0,0,Tabla2[[#This Row],[Beneficio Neto  (En RD$/Tarea)]]/Tabla2[[#This Row],[Costos (En RD$/Tarea)]])</f>
        <v>0.26849403089549656</v>
      </c>
      <c r="P1836" s="4">
        <f>Tabla2[[#This Row],[Rentabilidad (%)]]/12</f>
        <v>2.2374502574624713E-2</v>
      </c>
    </row>
    <row r="1837" spans="1:16" x14ac:dyDescent="0.35">
      <c r="A1837" s="1">
        <v>41153</v>
      </c>
      <c r="B1837" t="s">
        <v>33</v>
      </c>
      <c r="C1837" s="2">
        <v>723294</v>
      </c>
      <c r="D1837" s="2" t="s">
        <v>31</v>
      </c>
      <c r="E1837" s="2">
        <f>IF(Tabla2[[#This Row],[Frecuencia]]="Annual", Tabla2[[#This Row],[Cosecha/Tarea]]/12,Tabla2[[#This Row],[Cosecha/Tarea]])</f>
        <v>60274.5</v>
      </c>
      <c r="F1837" s="2">
        <v>178324</v>
      </c>
      <c r="G1837" t="s">
        <v>34</v>
      </c>
      <c r="H1837">
        <f>F1837/Tabla2[[#This Row],[Cosecha Mensual]]</f>
        <v>2.9585313855776487</v>
      </c>
      <c r="I1837">
        <f>H1837*_xlfn.XLOOKUP(Tabla2[[#This Row],[Unidad de producción]],Tabla3[Medida],Tabla3[Equivalencia en Kg],"ELVIS",0)</f>
        <v>1207.5245850235171</v>
      </c>
      <c r="J1837">
        <v>3960.5654761904798</v>
      </c>
      <c r="K1837" t="s">
        <v>34</v>
      </c>
      <c r="L1837">
        <f>J1837/_xlfn.XLOOKUP(Tabla2[[#This Row],[Unidad de precio]],Tabla3[Medida],Tabla3[Equivalencia en Kg],"ELVIS",0)</f>
        <v>9.7037007869422514</v>
      </c>
      <c r="M1837" s="2">
        <v>11933.7643424532</v>
      </c>
      <c r="N1837" s="2">
        <f>(Tabla2[[#This Row],[Productividad (kg/TAS)]]*Tabla2[[#This Row],[Precio por kg]]-Tabla2[[#This Row],[Costos (En RD$/Tarea)]])</f>
        <v>-216.30707650838121</v>
      </c>
      <c r="O1837" s="6">
        <f>IF(Tabla2[[#This Row],[Costos (En RD$/Tarea)]]=0,0,Tabla2[[#This Row],[Beneficio Neto  (En RD$/Tarea)]]/Tabla2[[#This Row],[Costos (En RD$/Tarea)]])</f>
        <v>-1.8125636664274487E-2</v>
      </c>
      <c r="P1837" s="4">
        <f>Tabla2[[#This Row],[Rentabilidad (%)]]/12</f>
        <v>-1.510469722022874E-3</v>
      </c>
    </row>
    <row r="1838" spans="1:16" x14ac:dyDescent="0.35">
      <c r="A1838" s="1">
        <v>41183</v>
      </c>
      <c r="B1838" t="s">
        <v>16</v>
      </c>
      <c r="C1838" s="2">
        <v>487161</v>
      </c>
      <c r="D1838" s="5" t="s">
        <v>17</v>
      </c>
      <c r="E1838" s="2">
        <f>IF(Tabla2[[#This Row],[Frecuencia]]="Annual", Tabla2[[#This Row],[Cosecha/Tarea]]/12,Tabla2[[#This Row],[Cosecha/Tarea]])</f>
        <v>487161</v>
      </c>
      <c r="F1838" s="2">
        <v>1924522</v>
      </c>
      <c r="G1838" t="s">
        <v>18</v>
      </c>
      <c r="H1838">
        <f>F1838/Tabla2[[#This Row],[Cosecha Mensual]]</f>
        <v>3.9504845420713068</v>
      </c>
      <c r="I1838">
        <f>H1838*_xlfn.XLOOKUP(Tabla2[[#This Row],[Unidad de producción]],Tabla3[Medida],Tabla3[Equivalencia en Kg],"ELVIS",0)</f>
        <v>179.19397882835449</v>
      </c>
      <c r="J1838">
        <v>1635.5095342867601</v>
      </c>
      <c r="K1838" t="s">
        <v>19</v>
      </c>
      <c r="L1838">
        <f>J1838/_xlfn.XLOOKUP(Tabla2[[#This Row],[Unidad de precio]],Tabla3[Medida],Tabla3[Equivalencia en Kg],"ELVIS",0)</f>
        <v>14.868268493516</v>
      </c>
      <c r="M1838">
        <v>7982.6190521234403</v>
      </c>
      <c r="N1838" s="2">
        <f>(Tabla2[[#This Row],[Productividad (kg/TAS)]]*Tabla2[[#This Row],[Precio por kg]]-Tabla2[[#This Row],[Costos (En RD$/Tarea)]])</f>
        <v>-5318.3148624820442</v>
      </c>
      <c r="O1838" s="6">
        <f>IF(Tabla2[[#This Row],[Costos (En RD$/Tarea)]]=0,0,Tabla2[[#This Row],[Beneficio Neto  (En RD$/Tarea)]]/Tabla2[[#This Row],[Costos (En RD$/Tarea)]])</f>
        <v>-0.66623683627584984</v>
      </c>
      <c r="P1838" s="4">
        <f>Tabla2[[#This Row],[Rentabilidad (%)]]/12</f>
        <v>-5.551973635632082E-2</v>
      </c>
    </row>
    <row r="1839" spans="1:16" x14ac:dyDescent="0.35">
      <c r="A1839" s="1">
        <v>41183</v>
      </c>
      <c r="B1839" t="s">
        <v>20</v>
      </c>
      <c r="C1839" s="2">
        <v>28043</v>
      </c>
      <c r="D1839" s="5" t="s">
        <v>17</v>
      </c>
      <c r="E1839" s="2">
        <f>IF(Tabla2[[#This Row],[Frecuencia]]="Annual", Tabla2[[#This Row],[Cosecha/Tarea]]/12,Tabla2[[#This Row],[Cosecha/Tarea]])</f>
        <v>28043</v>
      </c>
      <c r="F1839" s="2">
        <v>49747</v>
      </c>
      <c r="G1839" t="s">
        <v>18</v>
      </c>
      <c r="H1839">
        <f>F1839/Tabla2[[#This Row],[Cosecha Mensual]]</f>
        <v>1.7739542844916736</v>
      </c>
      <c r="I1839">
        <f>H1839*_xlfn.XLOOKUP(Tabla2[[#This Row],[Unidad de producción]],Tabla3[Medida],Tabla3[Equivalencia en Kg],"ELVIS",0)</f>
        <v>80.466566344542315</v>
      </c>
      <c r="J1839">
        <v>701.76190476190504</v>
      </c>
      <c r="K1839" t="s">
        <v>18</v>
      </c>
      <c r="L1839">
        <f>J1839/_xlfn.XLOOKUP(Tabla2[[#This Row],[Unidad de precio]],Tabla3[Medida],Tabla3[Equivalencia en Kg],"ELVIS",0)</f>
        <v>15.470941463004962</v>
      </c>
      <c r="M1839">
        <v>2248.3053412475001</v>
      </c>
      <c r="N1839" s="2">
        <f>(Tabla2[[#This Row],[Productividad (kg/TAS)]]*Tabla2[[#This Row],[Precio por kg]]-Tabla2[[#This Row],[Costos (En RD$/Tarea)]])</f>
        <v>-1003.4118036020807</v>
      </c>
      <c r="O1839" s="6">
        <f>IF(Tabla2[[#This Row],[Costos (En RD$/Tarea)]]=0,0,Tabla2[[#This Row],[Beneficio Neto  (En RD$/Tarea)]]/Tabla2[[#This Row],[Costos (En RD$/Tarea)]])</f>
        <v>-0.44629694427773997</v>
      </c>
      <c r="P1839" s="4">
        <f>Tabla2[[#This Row],[Rentabilidad (%)]]/12</f>
        <v>-3.7191412023145E-2</v>
      </c>
    </row>
    <row r="1840" spans="1:16" x14ac:dyDescent="0.35">
      <c r="A1840" s="1">
        <v>41183</v>
      </c>
      <c r="B1840" t="s">
        <v>21</v>
      </c>
      <c r="C1840" s="2">
        <v>2605</v>
      </c>
      <c r="D1840" s="5" t="s">
        <v>17</v>
      </c>
      <c r="E1840" s="2">
        <f>IF(Tabla2[[#This Row],[Frecuencia]]="Annual", Tabla2[[#This Row],[Cosecha/Tarea]]/12,Tabla2[[#This Row],[Cosecha/Tarea]])</f>
        <v>2605</v>
      </c>
      <c r="F1840" s="2">
        <v>27385</v>
      </c>
      <c r="G1840" t="s">
        <v>18</v>
      </c>
      <c r="H1840">
        <f>F1840/Tabla2[[#This Row],[Cosecha Mensual]]</f>
        <v>10.512476007677543</v>
      </c>
      <c r="I1840">
        <f>H1840*_xlfn.XLOOKUP(Tabla2[[#This Row],[Unidad de producción]],Tabla3[Medida],Tabla3[Equivalencia en Kg],"ELVIS",0)</f>
        <v>476.84591170825337</v>
      </c>
      <c r="J1840">
        <v>634.52380952380997</v>
      </c>
      <c r="K1840" t="s">
        <v>18</v>
      </c>
      <c r="L1840">
        <f>J1840/_xlfn.XLOOKUP(Tabla2[[#This Row],[Unidad de precio]],Tabla3[Medida],Tabla3[Equivalencia en Kg],"ELVIS",0)</f>
        <v>13.988620139413801</v>
      </c>
      <c r="M1840">
        <v>5350.2017200091695</v>
      </c>
      <c r="N1840" s="2">
        <f>(Tabla2[[#This Row],[Productividad (kg/TAS)]]*Tabla2[[#This Row],[Precio por kg]]-Tabla2[[#This Row],[Costos (En RD$/Tarea)]])</f>
        <v>1320.2146039100389</v>
      </c>
      <c r="O1840" s="6">
        <f>IF(Tabla2[[#This Row],[Costos (En RD$/Tarea)]]=0,0,Tabla2[[#This Row],[Beneficio Neto  (En RD$/Tarea)]]/Tabla2[[#This Row],[Costos (En RD$/Tarea)]])</f>
        <v>0.24675978084575403</v>
      </c>
      <c r="P1840" s="4">
        <f>Tabla2[[#This Row],[Rentabilidad (%)]]/12</f>
        <v>2.0563315070479503E-2</v>
      </c>
    </row>
    <row r="1841" spans="1:16" x14ac:dyDescent="0.35">
      <c r="A1841" s="1">
        <v>41183</v>
      </c>
      <c r="B1841" t="s">
        <v>22</v>
      </c>
      <c r="C1841" s="2">
        <v>4624</v>
      </c>
      <c r="D1841" s="5" t="s">
        <v>17</v>
      </c>
      <c r="E1841" s="2">
        <f>IF(Tabla2[[#This Row],[Frecuencia]]="Annual", Tabla2[[#This Row],[Cosecha/Tarea]]/12,Tabla2[[#This Row],[Cosecha/Tarea]])</f>
        <v>4624</v>
      </c>
      <c r="F1841" s="2">
        <v>45345</v>
      </c>
      <c r="G1841" t="s">
        <v>18</v>
      </c>
      <c r="H1841">
        <f>F1841/Tabla2[[#This Row],[Cosecha Mensual]]</f>
        <v>9.8064446366782008</v>
      </c>
      <c r="I1841">
        <f>H1841*_xlfn.XLOOKUP(Tabla2[[#This Row],[Unidad de producción]],Tabla3[Medida],Tabla3[Equivalencia en Kg],"ELVIS",0)</f>
        <v>444.82032871972319</v>
      </c>
      <c r="J1841">
        <v>1057.06991666667</v>
      </c>
      <c r="K1841" t="s">
        <v>18</v>
      </c>
      <c r="L1841">
        <f>J1841/_xlfn.XLOOKUP(Tabla2[[#This Row],[Unidad de precio]],Tabla3[Medida],Tabla3[Equivalencia en Kg],"ELVIS",0)</f>
        <v>23.30401050852447</v>
      </c>
      <c r="M1841">
        <v>8360.1905549999992</v>
      </c>
      <c r="N1841" s="2">
        <f>(Tabla2[[#This Row],[Productividad (kg/TAS)]]*Tabla2[[#This Row],[Precio por kg]]-Tabla2[[#This Row],[Costos (En RD$/Tarea)]])</f>
        <v>2005.9070598897397</v>
      </c>
      <c r="O1841" s="6">
        <f>IF(Tabla2[[#This Row],[Costos (En RD$/Tarea)]]=0,0,Tabla2[[#This Row],[Beneficio Neto  (En RD$/Tarea)]]/Tabla2[[#This Row],[Costos (En RD$/Tarea)]])</f>
        <v>0.2399355668621766</v>
      </c>
      <c r="P1841" s="4">
        <f>Tabla2[[#This Row],[Rentabilidad (%)]]/12</f>
        <v>1.9994630571848051E-2</v>
      </c>
    </row>
    <row r="1842" spans="1:16" x14ac:dyDescent="0.35">
      <c r="A1842" s="1">
        <v>41183</v>
      </c>
      <c r="B1842" t="s">
        <v>23</v>
      </c>
      <c r="C1842" s="2">
        <v>2450</v>
      </c>
      <c r="D1842" s="5" t="s">
        <v>17</v>
      </c>
      <c r="E1842" s="2">
        <f>IF(Tabla2[[#This Row],[Frecuencia]]="Annual", Tabla2[[#This Row],[Cosecha/Tarea]]/12,Tabla2[[#This Row],[Cosecha/Tarea]])</f>
        <v>2450</v>
      </c>
      <c r="F1842" s="2">
        <v>97300</v>
      </c>
      <c r="G1842" t="s">
        <v>18</v>
      </c>
      <c r="H1842">
        <f>F1842/Tabla2[[#This Row],[Cosecha Mensual]]</f>
        <v>39.714285714285715</v>
      </c>
      <c r="I1842">
        <f>H1842*_xlfn.XLOOKUP(Tabla2[[#This Row],[Unidad de producción]],Tabla3[Medida],Tabla3[Equivalencia en Kg],"ELVIS",0)</f>
        <v>1801.44</v>
      </c>
      <c r="J1842">
        <v>681.54983333333303</v>
      </c>
      <c r="K1842" t="s">
        <v>18</v>
      </c>
      <c r="L1842">
        <f>J1842/_xlfn.XLOOKUP(Tabla2[[#This Row],[Unidad de precio]],Tabla3[Medida],Tabla3[Equivalencia en Kg],"ELVIS",0)</f>
        <v>15.025349059376831</v>
      </c>
      <c r="M1842">
        <v>24344.842076238001</v>
      </c>
      <c r="N1842" s="2">
        <f>(Tabla2[[#This Row],[Productividad (kg/TAS)]]*Tabla2[[#This Row],[Precio por kg]]-Tabla2[[#This Row],[Costos (En RD$/Tarea)]])</f>
        <v>2722.422733285799</v>
      </c>
      <c r="O1842" s="6">
        <f>IF(Tabla2[[#This Row],[Costos (En RD$/Tarea)]]=0,0,Tabla2[[#This Row],[Beneficio Neto  (En RD$/Tarea)]]/Tabla2[[#This Row],[Costos (En RD$/Tarea)]])</f>
        <v>0.11182749613902995</v>
      </c>
      <c r="P1842" s="4">
        <f>Tabla2[[#This Row],[Rentabilidad (%)]]/12</f>
        <v>9.31895801158583E-3</v>
      </c>
    </row>
    <row r="1843" spans="1:16" x14ac:dyDescent="0.35">
      <c r="A1843" s="1">
        <v>41183</v>
      </c>
      <c r="B1843" t="s">
        <v>24</v>
      </c>
      <c r="C1843" s="2">
        <v>3539</v>
      </c>
      <c r="D1843" s="5" t="s">
        <v>17</v>
      </c>
      <c r="E1843" s="2">
        <f>IF(Tabla2[[#This Row],[Frecuencia]]="Annual", Tabla2[[#This Row],[Cosecha/Tarea]]/12,Tabla2[[#This Row],[Cosecha/Tarea]])</f>
        <v>3539</v>
      </c>
      <c r="F1843" s="2">
        <v>28423</v>
      </c>
      <c r="G1843" t="s">
        <v>18</v>
      </c>
      <c r="H1843">
        <f>F1843/Tabla2[[#This Row],[Cosecha Mensual]]</f>
        <v>8.0313647923142124</v>
      </c>
      <c r="I1843">
        <f>H1843*_xlfn.XLOOKUP(Tabla2[[#This Row],[Unidad de producción]],Tabla3[Medida],Tabla3[Equivalencia en Kg],"ELVIS",0)</f>
        <v>364.30270697937266</v>
      </c>
      <c r="J1843">
        <v>1278.7692857142899</v>
      </c>
      <c r="K1843" t="s">
        <v>18</v>
      </c>
      <c r="L1843">
        <f>J1843/_xlfn.XLOOKUP(Tabla2[[#This Row],[Unidad de precio]],Tabla3[Medida],Tabla3[Equivalencia en Kg],"ELVIS",0)</f>
        <v>28.191562736205686</v>
      </c>
      <c r="M1843">
        <v>8104.7130577283997</v>
      </c>
      <c r="N1843" s="2">
        <f>(Tabla2[[#This Row],[Productividad (kg/TAS)]]*Tabla2[[#This Row],[Precio por kg]]-Tabla2[[#This Row],[Costos (En RD$/Tarea)]])</f>
        <v>2165.5495610501412</v>
      </c>
      <c r="O1843" s="6">
        <f>IF(Tabla2[[#This Row],[Costos (En RD$/Tarea)]]=0,0,Tabla2[[#This Row],[Beneficio Neto  (En RD$/Tarea)]]/Tabla2[[#This Row],[Costos (En RD$/Tarea)]])</f>
        <v>0.26719632707849428</v>
      </c>
      <c r="P1843" s="4">
        <f>Tabla2[[#This Row],[Rentabilidad (%)]]/12</f>
        <v>2.2266360589874523E-2</v>
      </c>
    </row>
    <row r="1844" spans="1:16" x14ac:dyDescent="0.35">
      <c r="A1844" s="1">
        <v>41183</v>
      </c>
      <c r="B1844" t="s">
        <v>25</v>
      </c>
      <c r="C1844" s="2">
        <v>18527</v>
      </c>
      <c r="D1844" s="5" t="s">
        <v>17</v>
      </c>
      <c r="E1844" s="2">
        <f>IF(Tabla2[[#This Row],[Frecuencia]]="Annual", Tabla2[[#This Row],[Cosecha/Tarea]]/12,Tabla2[[#This Row],[Cosecha/Tarea]])</f>
        <v>18527</v>
      </c>
      <c r="F1844" s="2">
        <v>205357</v>
      </c>
      <c r="G1844" t="s">
        <v>18</v>
      </c>
      <c r="H1844">
        <f>F1844/Tabla2[[#This Row],[Cosecha Mensual]]</f>
        <v>11.084201435742431</v>
      </c>
      <c r="I1844">
        <f>H1844*_xlfn.XLOOKUP(Tabla2[[#This Row],[Unidad de producción]],Tabla3[Medida],Tabla3[Equivalencia en Kg],"ELVIS",0)</f>
        <v>502.77937712527665</v>
      </c>
      <c r="J1844">
        <v>442.12123015872999</v>
      </c>
      <c r="K1844" t="s">
        <v>18</v>
      </c>
      <c r="L1844">
        <f>J1844/_xlfn.XLOOKUP(Tabla2[[#This Row],[Unidad de precio]],Tabla3[Medida],Tabla3[Equivalencia en Kg],"ELVIS",0)</f>
        <v>9.7469407001483681</v>
      </c>
      <c r="M1844">
        <v>4628.4219376424999</v>
      </c>
      <c r="N1844" s="2">
        <f>(Tabla2[[#This Row],[Productividad (kg/TAS)]]*Tabla2[[#This Row],[Precio por kg]]-Tabla2[[#This Row],[Costos (En RD$/Tarea)]])</f>
        <v>272.13883645510487</v>
      </c>
      <c r="O1844" s="6">
        <f>IF(Tabla2[[#This Row],[Costos (En RD$/Tarea)]]=0,0,Tabla2[[#This Row],[Beneficio Neto  (En RD$/Tarea)]]/Tabla2[[#This Row],[Costos (En RD$/Tarea)]])</f>
        <v>5.8797326631313908E-2</v>
      </c>
      <c r="P1844" s="4">
        <f>Tabla2[[#This Row],[Rentabilidad (%)]]/12</f>
        <v>4.899777219276159E-3</v>
      </c>
    </row>
    <row r="1845" spans="1:16" x14ac:dyDescent="0.35">
      <c r="A1845" s="1">
        <v>41183</v>
      </c>
      <c r="B1845" t="s">
        <v>26</v>
      </c>
      <c r="C1845" s="2">
        <v>7059</v>
      </c>
      <c r="D1845" s="5" t="s">
        <v>17</v>
      </c>
      <c r="E1845" s="2">
        <f>IF(Tabla2[[#This Row],[Frecuencia]]="Annual", Tabla2[[#This Row],[Cosecha/Tarea]]/12,Tabla2[[#This Row],[Cosecha/Tarea]])</f>
        <v>7059</v>
      </c>
      <c r="F1845" s="2">
        <v>37767</v>
      </c>
      <c r="G1845" t="s">
        <v>18</v>
      </c>
      <c r="H1845">
        <f>F1845/Tabla2[[#This Row],[Cosecha Mensual]]</f>
        <v>5.3501912452188698</v>
      </c>
      <c r="I1845">
        <f>H1845*_xlfn.XLOOKUP(Tabla2[[#This Row],[Unidad de producción]],Tabla3[Medida],Tabla3[Equivalencia en Kg],"ELVIS",0)</f>
        <v>242.68467488312794</v>
      </c>
      <c r="J1845">
        <v>950.71428571428601</v>
      </c>
      <c r="K1845" t="s">
        <v>18</v>
      </c>
      <c r="L1845">
        <f>J1845/_xlfn.XLOOKUP(Tabla2[[#This Row],[Unidad de precio]],Tabla3[Medida],Tabla3[Equivalencia en Kg],"ELVIS",0)</f>
        <v>20.959309649785848</v>
      </c>
      <c r="M1845">
        <v>2035.7933205730001</v>
      </c>
      <c r="N1845" s="2">
        <f>(Tabla2[[#This Row],[Productividad (kg/TAS)]]*Tabla2[[#This Row],[Precio por kg]]-Tabla2[[#This Row],[Costos (En RD$/Tarea)]])</f>
        <v>3050.7099275600845</v>
      </c>
      <c r="O1845" s="6">
        <f>IF(Tabla2[[#This Row],[Costos (En RD$/Tarea)]]=0,0,Tabla2[[#This Row],[Beneficio Neto  (En RD$/Tarea)]]/Tabla2[[#This Row],[Costos (En RD$/Tarea)]])</f>
        <v>1.4985361710006118</v>
      </c>
      <c r="P1845" s="4">
        <f>Tabla2[[#This Row],[Rentabilidad (%)]]/12</f>
        <v>0.12487801425005098</v>
      </c>
    </row>
    <row r="1846" spans="1:16" x14ac:dyDescent="0.35">
      <c r="A1846" s="1">
        <v>41183</v>
      </c>
      <c r="B1846" t="s">
        <v>27</v>
      </c>
      <c r="C1846" s="2">
        <v>2915</v>
      </c>
      <c r="D1846" s="5" t="s">
        <v>17</v>
      </c>
      <c r="E1846" s="2">
        <f>IF(Tabla2[[#This Row],[Frecuencia]]="Annual", Tabla2[[#This Row],[Cosecha/Tarea]]/12,Tabla2[[#This Row],[Cosecha/Tarea]])</f>
        <v>2915</v>
      </c>
      <c r="F1846" s="2">
        <v>25445</v>
      </c>
      <c r="G1846" t="s">
        <v>18</v>
      </c>
      <c r="H1846">
        <f>F1846/Tabla2[[#This Row],[Cosecha Mensual]]</f>
        <v>8.7289879931389365</v>
      </c>
      <c r="I1846">
        <f>H1846*_xlfn.XLOOKUP(Tabla2[[#This Row],[Unidad de producción]],Tabla3[Medida],Tabla3[Equivalencia en Kg],"ELVIS",0)</f>
        <v>395.94689536878218</v>
      </c>
      <c r="J1846">
        <v>597.34285714285704</v>
      </c>
      <c r="K1846" t="s">
        <v>18</v>
      </c>
      <c r="L1846">
        <f>J1846/_xlfn.XLOOKUP(Tabla2[[#This Row],[Unidad de precio]],Tabla3[Medida],Tabla3[Equivalencia en Kg],"ELVIS",0)</f>
        <v>13.168934240362809</v>
      </c>
      <c r="M1846">
        <v>7766.2500132750001</v>
      </c>
      <c r="N1846" s="2">
        <f>(Tabla2[[#This Row],[Productividad (kg/TAS)]]*Tabla2[[#This Row],[Precio por kg]]-Tabla2[[#This Row],[Costos (En RD$/Tarea)]])</f>
        <v>-2552.0513854876936</v>
      </c>
      <c r="O1846" s="6">
        <f>IF(Tabla2[[#This Row],[Costos (En RD$/Tarea)]]=0,0,Tabla2[[#This Row],[Beneficio Neto  (En RD$/Tarea)]]/Tabla2[[#This Row],[Costos (En RD$/Tarea)]])</f>
        <v>-0.32860793576377573</v>
      </c>
      <c r="P1846" s="4">
        <f>Tabla2[[#This Row],[Rentabilidad (%)]]/12</f>
        <v>-2.7383994646981311E-2</v>
      </c>
    </row>
    <row r="1847" spans="1:16" x14ac:dyDescent="0.35">
      <c r="A1847" s="1">
        <v>41183</v>
      </c>
      <c r="B1847" t="s">
        <v>28</v>
      </c>
      <c r="C1847" s="2">
        <v>41901</v>
      </c>
      <c r="D1847" s="5" t="s">
        <v>17</v>
      </c>
      <c r="E1847" s="2">
        <f>IF(Tabla2[[#This Row],[Frecuencia]]="Annual", Tabla2[[#This Row],[Cosecha/Tarea]]/12,Tabla2[[#This Row],[Cosecha/Tarea]])</f>
        <v>41901</v>
      </c>
      <c r="F1847" s="2">
        <v>29713</v>
      </c>
      <c r="G1847" t="s">
        <v>29</v>
      </c>
      <c r="H1847">
        <f>F1847/Tabla2[[#This Row],[Cosecha Mensual]]</f>
        <v>0.70912388725806064</v>
      </c>
      <c r="I1847">
        <f>H1847*_xlfn.XLOOKUP(Tabla2[[#This Row],[Unidad de producción]],Tabla3[Medida],Tabla3[Equivalencia en Kg],"ELVIS",0)</f>
        <v>398.76872676069786</v>
      </c>
      <c r="J1847">
        <v>4251.1547619047597</v>
      </c>
      <c r="K1847" t="s">
        <v>29</v>
      </c>
      <c r="L1847">
        <f>J1847/_xlfn.XLOOKUP(Tabla2[[#This Row],[Unidad de precio]],Tabla3[Medida],Tabla3[Equivalencia en Kg],"ELVIS",0)</f>
        <v>7.5597587969996081</v>
      </c>
      <c r="M1847">
        <v>6923.3397737333999</v>
      </c>
      <c r="N1847" s="2">
        <f>(Tabla2[[#This Row],[Productividad (kg/TAS)]]*Tabla2[[#This Row],[Precio por kg]]-Tabla2[[#This Row],[Costos (En RD$/Tarea)]])</f>
        <v>-3908.7443836358811</v>
      </c>
      <c r="O1847" s="6">
        <f>IF(Tabla2[[#This Row],[Costos (En RD$/Tarea)]]=0,0,Tabla2[[#This Row],[Beneficio Neto  (En RD$/Tarea)]]/Tabla2[[#This Row],[Costos (En RD$/Tarea)]])</f>
        <v>-0.56457497557253311</v>
      </c>
      <c r="P1847" s="4">
        <f>Tabla2[[#This Row],[Rentabilidad (%)]]/12</f>
        <v>-4.7047914631044428E-2</v>
      </c>
    </row>
    <row r="1848" spans="1:16" x14ac:dyDescent="0.35">
      <c r="A1848" s="1">
        <v>41183</v>
      </c>
      <c r="B1848" t="s">
        <v>30</v>
      </c>
      <c r="C1848" s="2">
        <v>327884</v>
      </c>
      <c r="D1848" s="2" t="s">
        <v>31</v>
      </c>
      <c r="E1848" s="2">
        <f>IF(Tabla2[[#This Row],[Frecuencia]]="Annual", Tabla2[[#This Row],[Cosecha/Tarea]]/12,Tabla2[[#This Row],[Cosecha/Tarea]])</f>
        <v>27323.666666666668</v>
      </c>
      <c r="F1848" s="2">
        <v>2785456</v>
      </c>
      <c r="G1848" t="s">
        <v>32</v>
      </c>
      <c r="H1848">
        <f>F1848/Tabla2[[#This Row],[Cosecha Mensual]]</f>
        <v>101.94297983433165</v>
      </c>
      <c r="I1848">
        <f>H1848*_xlfn.XLOOKUP(Tabla2[[#This Row],[Unidad de producción]],Tabla3[Medida],Tabla3[Equivalencia en Kg],"ELVIS",0)</f>
        <v>2773.8684812921642</v>
      </c>
      <c r="J1848">
        <v>153.81269841269801</v>
      </c>
      <c r="K1848" t="s">
        <v>32</v>
      </c>
      <c r="L1848">
        <f>J1848/_xlfn.XLOOKUP(Tabla2[[#This Row],[Unidad de precio]],Tabla3[Medida],Tabla3[Equivalencia en Kg],"ELVIS",0)</f>
        <v>5.6528003826790885</v>
      </c>
      <c r="M1848" s="2">
        <v>12463.806077028201</v>
      </c>
      <c r="N1848" s="2">
        <f>(Tabla2[[#This Row],[Productividad (kg/TAS)]]*Tabla2[[#This Row],[Precio por kg]]-Tabla2[[#This Row],[Costos (En RD$/Tarea)]])</f>
        <v>3216.3187355216069</v>
      </c>
      <c r="O1848" s="6">
        <f>IF(Tabla2[[#This Row],[Costos (En RD$/Tarea)]]=0,0,Tabla2[[#This Row],[Beneficio Neto  (En RD$/Tarea)]]/Tabla2[[#This Row],[Costos (En RD$/Tarea)]])</f>
        <v>0.25805269398803804</v>
      </c>
      <c r="P1848" s="4">
        <f>Tabla2[[#This Row],[Rentabilidad (%)]]/12</f>
        <v>2.1504391165669837E-2</v>
      </c>
    </row>
    <row r="1849" spans="1:16" x14ac:dyDescent="0.35">
      <c r="A1849" s="1">
        <v>41183</v>
      </c>
      <c r="B1849" t="s">
        <v>33</v>
      </c>
      <c r="C1849" s="2">
        <v>630117</v>
      </c>
      <c r="D1849" s="2" t="s">
        <v>31</v>
      </c>
      <c r="E1849" s="8">
        <f>IF(Tabla2[[#This Row],[Frecuencia]]="Annual", Tabla2[[#This Row],[Cosecha/Tarea]]/12,Tabla2[[#This Row],[Cosecha/Tarea]])</f>
        <v>52509.75</v>
      </c>
      <c r="F1849" s="2">
        <v>157706</v>
      </c>
      <c r="G1849" t="s">
        <v>34</v>
      </c>
      <c r="H1849">
        <f>F1849/Tabla2[[#This Row],[Cosecha Mensual]]</f>
        <v>3.0033660415446657</v>
      </c>
      <c r="I1849">
        <f>H1849*_xlfn.XLOOKUP(Tabla2[[#This Row],[Unidad de producción]],Tabla3[Medida],Tabla3[Equivalencia en Kg],"ELVIS",0)</f>
        <v>1225.8238498564551</v>
      </c>
      <c r="J1849">
        <v>4746.0748299319703</v>
      </c>
      <c r="K1849" t="s">
        <v>34</v>
      </c>
      <c r="L1849">
        <f>J1849/_xlfn.XLOOKUP(Tabla2[[#This Row],[Unidad de precio]],Tabla3[Medida],Tabla3[Equivalencia en Kg],"ELVIS",0)</f>
        <v>11.628261251824012</v>
      </c>
      <c r="M1849" s="2">
        <v>11933.7643424532</v>
      </c>
      <c r="N1849" s="2">
        <f>(Tabla2[[#This Row],[Productividad (kg/TAS)]]*Tabla2[[#This Row],[Precio por kg]]-Tabla2[[#This Row],[Costos (En RD$/Tarea)]])</f>
        <v>2320.4356323943539</v>
      </c>
      <c r="O1849" s="6">
        <f>IF(Tabla2[[#This Row],[Costos (En RD$/Tarea)]]=0,0,Tabla2[[#This Row],[Beneficio Neto  (En RD$/Tarea)]]/Tabla2[[#This Row],[Costos (En RD$/Tarea)]])</f>
        <v>0.19444289042474477</v>
      </c>
      <c r="P1849" s="4">
        <f>Tabla2[[#This Row],[Rentabilidad (%)]]/12</f>
        <v>1.6203574202062063E-2</v>
      </c>
    </row>
    <row r="1850" spans="1:16" x14ac:dyDescent="0.35">
      <c r="A1850" s="1">
        <v>41214</v>
      </c>
      <c r="B1850" t="s">
        <v>16</v>
      </c>
      <c r="C1850" s="2">
        <v>441005</v>
      </c>
      <c r="D1850" s="5" t="s">
        <v>17</v>
      </c>
      <c r="E1850" s="2">
        <f>IF(Tabla2[[#This Row],[Frecuencia]]="Annual", Tabla2[[#This Row],[Cosecha/Tarea]]/12,Tabla2[[#This Row],[Cosecha/Tarea]])</f>
        <v>441005</v>
      </c>
      <c r="F1850" s="2">
        <v>1513472</v>
      </c>
      <c r="G1850" t="s">
        <v>18</v>
      </c>
      <c r="H1850">
        <f>F1850/Tabla2[[#This Row],[Cosecha Mensual]]</f>
        <v>3.4318703869570641</v>
      </c>
      <c r="I1850">
        <f>H1850*_xlfn.XLOOKUP(Tabla2[[#This Row],[Unidad de producción]],Tabla3[Medida],Tabla3[Equivalencia en Kg],"ELVIS",0)</f>
        <v>155.66964075237243</v>
      </c>
      <c r="J1850">
        <v>1569.4070407040699</v>
      </c>
      <c r="K1850" t="s">
        <v>19</v>
      </c>
      <c r="L1850">
        <f>J1850/_xlfn.XLOOKUP(Tabla2[[#This Row],[Unidad de precio]],Tabla3[Medida],Tabla3[Equivalencia en Kg],"ELVIS",0)</f>
        <v>14.267336733673362</v>
      </c>
      <c r="M1850">
        <v>7982.6190521234403</v>
      </c>
      <c r="N1850" s="2">
        <f>(Tabla2[[#This Row],[Productividad (kg/TAS)]]*Tabla2[[#This Row],[Precio por kg]]-Tabla2[[#This Row],[Costos (En RD$/Tarea)]])</f>
        <v>-5761.6278682993816</v>
      </c>
      <c r="O1850" s="6">
        <f>IF(Tabla2[[#This Row],[Costos (En RD$/Tarea)]]=0,0,Tabla2[[#This Row],[Beneficio Neto  (En RD$/Tarea)]]/Tabla2[[#This Row],[Costos (En RD$/Tarea)]])</f>
        <v>-0.72177161789610178</v>
      </c>
      <c r="P1850" s="4">
        <f>Tabla2[[#This Row],[Rentabilidad (%)]]/12</f>
        <v>-6.0147634824675146E-2</v>
      </c>
    </row>
    <row r="1851" spans="1:16" x14ac:dyDescent="0.35">
      <c r="A1851" s="1">
        <v>41214</v>
      </c>
      <c r="B1851" t="s">
        <v>20</v>
      </c>
      <c r="C1851" s="2">
        <v>31001</v>
      </c>
      <c r="D1851" s="5" t="s">
        <v>17</v>
      </c>
      <c r="E1851" s="2">
        <f>IF(Tabla2[[#This Row],[Frecuencia]]="Annual", Tabla2[[#This Row],[Cosecha/Tarea]]/12,Tabla2[[#This Row],[Cosecha/Tarea]])</f>
        <v>31001</v>
      </c>
      <c r="F1851" s="2">
        <v>64514</v>
      </c>
      <c r="G1851" t="s">
        <v>18</v>
      </c>
      <c r="H1851">
        <f>F1851/Tabla2[[#This Row],[Cosecha Mensual]]</f>
        <v>2.0810296442050258</v>
      </c>
      <c r="I1851">
        <f>H1851*_xlfn.XLOOKUP(Tabla2[[#This Row],[Unidad de producción]],Tabla3[Medida],Tabla3[Equivalencia en Kg],"ELVIS",0)</f>
        <v>94.395504661139967</v>
      </c>
      <c r="J1851">
        <v>689.25</v>
      </c>
      <c r="K1851" t="s">
        <v>18</v>
      </c>
      <c r="L1851">
        <f>J1851/_xlfn.XLOOKUP(Tabla2[[#This Row],[Unidad de precio]],Tabla3[Medida],Tabla3[Equivalencia en Kg],"ELVIS",0)</f>
        <v>15.19510582010582</v>
      </c>
      <c r="M1851">
        <v>2248.3053412475001</v>
      </c>
      <c r="N1851" s="2">
        <f>(Tabla2[[#This Row],[Productividad (kg/TAS)]]*Tabla2[[#This Row],[Precio por kg]]-Tabla2[[#This Row],[Costos (En RD$/Tarea)]])</f>
        <v>-813.95565897918618</v>
      </c>
      <c r="O1851" s="6">
        <f>IF(Tabla2[[#This Row],[Costos (En RD$/Tarea)]]=0,0,Tabla2[[#This Row],[Beneficio Neto  (En RD$/Tarea)]]/Tabla2[[#This Row],[Costos (En RD$/Tarea)]])</f>
        <v>-0.36203074557815745</v>
      </c>
      <c r="P1851" s="4">
        <f>Tabla2[[#This Row],[Rentabilidad (%)]]/12</f>
        <v>-3.0169228798179789E-2</v>
      </c>
    </row>
    <row r="1852" spans="1:16" x14ac:dyDescent="0.35">
      <c r="A1852" s="1">
        <v>41214</v>
      </c>
      <c r="B1852" t="s">
        <v>21</v>
      </c>
      <c r="C1852" s="2">
        <v>8654</v>
      </c>
      <c r="D1852" s="5" t="s">
        <v>17</v>
      </c>
      <c r="E1852" s="2">
        <f>IF(Tabla2[[#This Row],[Frecuencia]]="Annual", Tabla2[[#This Row],[Cosecha/Tarea]]/12,Tabla2[[#This Row],[Cosecha/Tarea]])</f>
        <v>8654</v>
      </c>
      <c r="F1852" s="2">
        <v>95874</v>
      </c>
      <c r="G1852" t="s">
        <v>18</v>
      </c>
      <c r="H1852">
        <f>F1852/Tabla2[[#This Row],[Cosecha Mensual]]</f>
        <v>11.078576380864341</v>
      </c>
      <c r="I1852">
        <f>H1852*_xlfn.XLOOKUP(Tabla2[[#This Row],[Unidad de producción]],Tabla3[Medida],Tabla3[Equivalencia en Kg],"ELVIS",0)</f>
        <v>502.52422463600652</v>
      </c>
      <c r="J1852">
        <v>503.53333333333302</v>
      </c>
      <c r="K1852" t="s">
        <v>18</v>
      </c>
      <c r="L1852">
        <f>J1852/_xlfn.XLOOKUP(Tabla2[[#This Row],[Unidad de precio]],Tabla3[Medida],Tabla3[Equivalencia en Kg],"ELVIS",0)</f>
        <v>11.100823045267482</v>
      </c>
      <c r="M1852">
        <v>5350.2017200091695</v>
      </c>
      <c r="N1852" s="2">
        <f>(Tabla2[[#This Row],[Productividad (kg/TAS)]]*Tabla2[[#This Row],[Precio por kg]]-Tabla2[[#This Row],[Costos (En RD$/Tarea)]])</f>
        <v>228.23077363538505</v>
      </c>
      <c r="O1852" s="6">
        <f>IF(Tabla2[[#This Row],[Costos (En RD$/Tarea)]]=0,0,Tabla2[[#This Row],[Beneficio Neto  (En RD$/Tarea)]]/Tabla2[[#This Row],[Costos (En RD$/Tarea)]])</f>
        <v>4.2658349269678354E-2</v>
      </c>
      <c r="P1852" s="4">
        <f>Tabla2[[#This Row],[Rentabilidad (%)]]/12</f>
        <v>3.5548624391398627E-3</v>
      </c>
    </row>
    <row r="1853" spans="1:16" x14ac:dyDescent="0.35">
      <c r="A1853" s="1">
        <v>41214</v>
      </c>
      <c r="B1853" t="s">
        <v>22</v>
      </c>
      <c r="C1853" s="2">
        <v>6194</v>
      </c>
      <c r="D1853" s="5" t="s">
        <v>17</v>
      </c>
      <c r="E1853" s="2">
        <f>IF(Tabla2[[#This Row],[Frecuencia]]="Annual", Tabla2[[#This Row],[Cosecha/Tarea]]/12,Tabla2[[#This Row],[Cosecha/Tarea]])</f>
        <v>6194</v>
      </c>
      <c r="F1853" s="2">
        <v>46998</v>
      </c>
      <c r="G1853" t="s">
        <v>18</v>
      </c>
      <c r="H1853">
        <f>F1853/Tabla2[[#This Row],[Cosecha Mensual]]</f>
        <v>7.5876654827252183</v>
      </c>
      <c r="I1853">
        <f>H1853*_xlfn.XLOOKUP(Tabla2[[#This Row],[Unidad de producción]],Tabla3[Medida],Tabla3[Equivalencia en Kg],"ELVIS",0)</f>
        <v>344.17650629641588</v>
      </c>
      <c r="J1853">
        <v>1088.7213750000001</v>
      </c>
      <c r="K1853" t="s">
        <v>18</v>
      </c>
      <c r="L1853">
        <f>J1853/_xlfn.XLOOKUP(Tabla2[[#This Row],[Unidad de precio]],Tabla3[Medida],Tabla3[Equivalencia en Kg],"ELVIS",0)</f>
        <v>24.001793981481484</v>
      </c>
      <c r="M1853">
        <v>8360.1905549999992</v>
      </c>
      <c r="N1853" s="2">
        <f>(Tabla2[[#This Row],[Productividad (kg/TAS)]]*Tabla2[[#This Row],[Precio por kg]]-Tabla2[[#This Row],[Costos (En RD$/Tarea)]])</f>
        <v>-99.336957607360091</v>
      </c>
      <c r="O1853" s="6">
        <f>IF(Tabla2[[#This Row],[Costos (En RD$/Tarea)]]=0,0,Tabla2[[#This Row],[Beneficio Neto  (En RD$/Tarea)]]/Tabla2[[#This Row],[Costos (En RD$/Tarea)]])</f>
        <v>-1.1882140359581805E-2</v>
      </c>
      <c r="P1853" s="4">
        <f>Tabla2[[#This Row],[Rentabilidad (%)]]/12</f>
        <v>-9.9017836329848372E-4</v>
      </c>
    </row>
    <row r="1854" spans="1:16" x14ac:dyDescent="0.35">
      <c r="A1854" s="1">
        <v>41214</v>
      </c>
      <c r="B1854" t="s">
        <v>23</v>
      </c>
      <c r="C1854" s="2">
        <v>3550</v>
      </c>
      <c r="D1854" s="5" t="s">
        <v>17</v>
      </c>
      <c r="E1854" s="2">
        <f>IF(Tabla2[[#This Row],[Frecuencia]]="Annual", Tabla2[[#This Row],[Cosecha/Tarea]]/12,Tabla2[[#This Row],[Cosecha/Tarea]])</f>
        <v>3550</v>
      </c>
      <c r="F1854" s="2">
        <v>110444</v>
      </c>
      <c r="G1854" t="s">
        <v>18</v>
      </c>
      <c r="H1854">
        <f>F1854/Tabla2[[#This Row],[Cosecha Mensual]]</f>
        <v>31.110985915492957</v>
      </c>
      <c r="I1854">
        <f>H1854*_xlfn.XLOOKUP(Tabla2[[#This Row],[Unidad de producción]],Tabla3[Medida],Tabla3[Equivalencia en Kg],"ELVIS",0)</f>
        <v>1411.1943211267605</v>
      </c>
      <c r="J1854">
        <v>1067</v>
      </c>
      <c r="K1854" t="s">
        <v>18</v>
      </c>
      <c r="L1854">
        <f>J1854/_xlfn.XLOOKUP(Tabla2[[#This Row],[Unidad de precio]],Tabla3[Medida],Tabla3[Equivalencia en Kg],"ELVIS",0)</f>
        <v>23.522927689594358</v>
      </c>
      <c r="M1854">
        <v>24344.842076238001</v>
      </c>
      <c r="N1854" s="2">
        <f>(Tabla2[[#This Row],[Productividad (kg/TAS)]]*Tabla2[[#This Row],[Precio por kg]]-Tabla2[[#This Row],[Costos (En RD$/Tarea)]])</f>
        <v>8850.5798955929895</v>
      </c>
      <c r="O1854" s="6">
        <f>IF(Tabla2[[#This Row],[Costos (En RD$/Tarea)]]=0,0,Tabla2[[#This Row],[Beneficio Neto  (En RD$/Tarea)]]/Tabla2[[#This Row],[Costos (En RD$/Tarea)]])</f>
        <v>0.36355051587012249</v>
      </c>
      <c r="P1854" s="4">
        <f>Tabla2[[#This Row],[Rentabilidad (%)]]/12</f>
        <v>3.0295876322510209E-2</v>
      </c>
    </row>
    <row r="1855" spans="1:16" x14ac:dyDescent="0.35">
      <c r="A1855" s="1">
        <v>41214</v>
      </c>
      <c r="B1855" t="s">
        <v>24</v>
      </c>
      <c r="C1855" s="2">
        <v>6544</v>
      </c>
      <c r="D1855" s="5" t="s">
        <v>17</v>
      </c>
      <c r="E1855" s="2">
        <f>IF(Tabla2[[#This Row],[Frecuencia]]="Annual", Tabla2[[#This Row],[Cosecha/Tarea]]/12,Tabla2[[#This Row],[Cosecha/Tarea]])</f>
        <v>6544</v>
      </c>
      <c r="F1855" s="2">
        <v>58321</v>
      </c>
      <c r="G1855" t="s">
        <v>18</v>
      </c>
      <c r="H1855">
        <f>F1855/Tabla2[[#This Row],[Cosecha Mensual]]</f>
        <v>8.9121332518337404</v>
      </c>
      <c r="I1855">
        <f>H1855*_xlfn.XLOOKUP(Tabla2[[#This Row],[Unidad de producción]],Tabla3[Medida],Tabla3[Equivalencia en Kg],"ELVIS",0)</f>
        <v>404.25436430317848</v>
      </c>
      <c r="J1855">
        <v>1512.3611111111099</v>
      </c>
      <c r="K1855" t="s">
        <v>18</v>
      </c>
      <c r="L1855">
        <f>J1855/_xlfn.XLOOKUP(Tabla2[[#This Row],[Unidad de precio]],Tabla3[Medida],Tabla3[Equivalencia en Kg],"ELVIS",0)</f>
        <v>33.341294336664681</v>
      </c>
      <c r="M1855">
        <v>8104.7130577283997</v>
      </c>
      <c r="N1855" s="2">
        <f>(Tabla2[[#This Row],[Productividad (kg/TAS)]]*Tabla2[[#This Row],[Precio por kg]]-Tabla2[[#This Row],[Costos (En RD$/Tarea)]])</f>
        <v>5373.6506893851465</v>
      </c>
      <c r="O1855" s="6">
        <f>IF(Tabla2[[#This Row],[Costos (En RD$/Tarea)]]=0,0,Tabla2[[#This Row],[Beneficio Neto  (En RD$/Tarea)]]/Tabla2[[#This Row],[Costos (En RD$/Tarea)]])</f>
        <v>0.66302787663296758</v>
      </c>
      <c r="P1855" s="4">
        <f>Tabla2[[#This Row],[Rentabilidad (%)]]/12</f>
        <v>5.5252323052747299E-2</v>
      </c>
    </row>
    <row r="1856" spans="1:16" x14ac:dyDescent="0.35">
      <c r="A1856" s="1">
        <v>41214</v>
      </c>
      <c r="B1856" t="s">
        <v>25</v>
      </c>
      <c r="C1856" s="2">
        <v>44514</v>
      </c>
      <c r="D1856" s="5" t="s">
        <v>17</v>
      </c>
      <c r="E1856" s="2">
        <f>IF(Tabla2[[#This Row],[Frecuencia]]="Annual", Tabla2[[#This Row],[Cosecha/Tarea]]/12,Tabla2[[#This Row],[Cosecha/Tarea]])</f>
        <v>44514</v>
      </c>
      <c r="F1856" s="2">
        <v>416021</v>
      </c>
      <c r="G1856" t="s">
        <v>18</v>
      </c>
      <c r="H1856">
        <f>F1856/Tabla2[[#This Row],[Cosecha Mensual]]</f>
        <v>9.3458462506177824</v>
      </c>
      <c r="I1856">
        <f>H1856*_xlfn.XLOOKUP(Tabla2[[#This Row],[Unidad de producción]],Tabla3[Medida],Tabla3[Equivalencia en Kg],"ELVIS",0)</f>
        <v>423.92758592802261</v>
      </c>
      <c r="J1856">
        <v>393.293745</v>
      </c>
      <c r="K1856" t="s">
        <v>18</v>
      </c>
      <c r="L1856">
        <f>J1856/_xlfn.XLOOKUP(Tabla2[[#This Row],[Unidad de precio]],Tabla3[Medida],Tabla3[Equivalencia en Kg],"ELVIS",0)</f>
        <v>8.6704970238095243</v>
      </c>
      <c r="M1856">
        <v>4628.4219376424999</v>
      </c>
      <c r="N1856" s="2">
        <f>(Tabla2[[#This Row],[Productividad (kg/TAS)]]*Tabla2[[#This Row],[Precio por kg]]-Tabla2[[#This Row],[Costos (En RD$/Tarea)]])</f>
        <v>-952.75906554282346</v>
      </c>
      <c r="O1856" s="6">
        <f>IF(Tabla2[[#This Row],[Costos (En RD$/Tarea)]]=0,0,Tabla2[[#This Row],[Beneficio Neto  (En RD$/Tarea)]]/Tabla2[[#This Row],[Costos (En RD$/Tarea)]])</f>
        <v>-0.2058496564010571</v>
      </c>
      <c r="P1856" s="4">
        <f>Tabla2[[#This Row],[Rentabilidad (%)]]/12</f>
        <v>-1.7154138033421425E-2</v>
      </c>
    </row>
    <row r="1857" spans="1:16" x14ac:dyDescent="0.35">
      <c r="A1857" s="1">
        <v>41214</v>
      </c>
      <c r="B1857" t="s">
        <v>26</v>
      </c>
      <c r="C1857" s="2">
        <v>12041</v>
      </c>
      <c r="D1857" s="5" t="s">
        <v>17</v>
      </c>
      <c r="E1857" s="2">
        <f>IF(Tabla2[[#This Row],[Frecuencia]]="Annual", Tabla2[[#This Row],[Cosecha/Tarea]]/12,Tabla2[[#This Row],[Cosecha/Tarea]])</f>
        <v>12041</v>
      </c>
      <c r="F1857" s="2">
        <v>63214</v>
      </c>
      <c r="G1857" t="s">
        <v>18</v>
      </c>
      <c r="H1857">
        <f>F1857/Tabla2[[#This Row],[Cosecha Mensual]]</f>
        <v>5.2498961880242501</v>
      </c>
      <c r="I1857">
        <f>H1857*_xlfn.XLOOKUP(Tabla2[[#This Row],[Unidad de producción]],Tabla3[Medida],Tabla3[Equivalencia en Kg],"ELVIS",0)</f>
        <v>238.13529108877998</v>
      </c>
      <c r="J1857">
        <v>790.41666666666697</v>
      </c>
      <c r="K1857" t="s">
        <v>18</v>
      </c>
      <c r="L1857">
        <f>J1857/_xlfn.XLOOKUP(Tabla2[[#This Row],[Unidad de precio]],Tabla3[Medida],Tabla3[Equivalencia en Kg],"ELVIS",0)</f>
        <v>17.425411522633752</v>
      </c>
      <c r="M1857">
        <v>2035.7933205730001</v>
      </c>
      <c r="N1857" s="2">
        <f>(Tabla2[[#This Row],[Productividad (kg/TAS)]]*Tabla2[[#This Row],[Precio por kg]]-Tabla2[[#This Row],[Costos (En RD$/Tarea)]])</f>
        <v>2113.812124711169</v>
      </c>
      <c r="O1857" s="6">
        <f>IF(Tabla2[[#This Row],[Costos (En RD$/Tarea)]]=0,0,Tabla2[[#This Row],[Beneficio Neto  (En RD$/Tarea)]]/Tabla2[[#This Row],[Costos (En RD$/Tarea)]])</f>
        <v>1.0383235387157128</v>
      </c>
      <c r="P1857" s="4">
        <f>Tabla2[[#This Row],[Rentabilidad (%)]]/12</f>
        <v>8.6526961559642734E-2</v>
      </c>
    </row>
    <row r="1858" spans="1:16" x14ac:dyDescent="0.35">
      <c r="A1858" s="1">
        <v>41214</v>
      </c>
      <c r="B1858" t="s">
        <v>27</v>
      </c>
      <c r="C1858" s="2">
        <v>8101</v>
      </c>
      <c r="D1858" s="5" t="s">
        <v>17</v>
      </c>
      <c r="E1858" s="2">
        <f>IF(Tabla2[[#This Row],[Frecuencia]]="Annual", Tabla2[[#This Row],[Cosecha/Tarea]]/12,Tabla2[[#This Row],[Cosecha/Tarea]])</f>
        <v>8101</v>
      </c>
      <c r="F1858" s="2">
        <v>43651</v>
      </c>
      <c r="G1858" t="s">
        <v>18</v>
      </c>
      <c r="H1858">
        <f>F1858/Tabla2[[#This Row],[Cosecha Mensual]]</f>
        <v>5.3883471176397979</v>
      </c>
      <c r="I1858">
        <f>H1858*_xlfn.XLOOKUP(Tabla2[[#This Row],[Unidad de producción]],Tabla3[Medida],Tabla3[Equivalencia en Kg],"ELVIS",0)</f>
        <v>244.41542525614122</v>
      </c>
      <c r="J1858">
        <v>757.53</v>
      </c>
      <c r="K1858" t="s">
        <v>18</v>
      </c>
      <c r="L1858">
        <f>J1858/_xlfn.XLOOKUP(Tabla2[[#This Row],[Unidad de precio]],Tabla3[Medida],Tabla3[Equivalencia en Kg],"ELVIS",0)</f>
        <v>16.700396825396826</v>
      </c>
      <c r="M1858">
        <v>7766.2500132750001</v>
      </c>
      <c r="N1858" s="2">
        <f>(Tabla2[[#This Row],[Productividad (kg/TAS)]]*Tabla2[[#This Row],[Precio por kg]]-Tabla2[[#This Row],[Costos (En RD$/Tarea)]])</f>
        <v>-3684.415421249324</v>
      </c>
      <c r="O1858" s="6">
        <f>IF(Tabla2[[#This Row],[Costos (En RD$/Tarea)]]=0,0,Tabla2[[#This Row],[Beneficio Neto  (En RD$/Tarea)]]/Tabla2[[#This Row],[Costos (En RD$/Tarea)]])</f>
        <v>-0.47441370223099721</v>
      </c>
      <c r="P1858" s="4">
        <f>Tabla2[[#This Row],[Rentabilidad (%)]]/12</f>
        <v>-3.9534475185916435E-2</v>
      </c>
    </row>
    <row r="1859" spans="1:16" x14ac:dyDescent="0.35">
      <c r="A1859" s="1">
        <v>41214</v>
      </c>
      <c r="B1859" t="s">
        <v>28</v>
      </c>
      <c r="C1859" s="2">
        <v>33448</v>
      </c>
      <c r="D1859" s="5" t="s">
        <v>17</v>
      </c>
      <c r="E1859" s="2">
        <f>IF(Tabla2[[#This Row],[Frecuencia]]="Annual", Tabla2[[#This Row],[Cosecha/Tarea]]/12,Tabla2[[#This Row],[Cosecha/Tarea]])</f>
        <v>33448</v>
      </c>
      <c r="F1859" s="2">
        <v>53133</v>
      </c>
      <c r="G1859" t="s">
        <v>29</v>
      </c>
      <c r="H1859">
        <f>F1859/Tabla2[[#This Row],[Cosecha Mensual]]</f>
        <v>1.5885254723750299</v>
      </c>
      <c r="I1859">
        <f>H1859*_xlfn.XLOOKUP(Tabla2[[#This Row],[Unidad de producción]],Tabla3[Medida],Tabla3[Equivalencia en Kg],"ELVIS",0)</f>
        <v>893.29141413537434</v>
      </c>
      <c r="J1859">
        <v>4333.3333333333303</v>
      </c>
      <c r="K1859" t="s">
        <v>29</v>
      </c>
      <c r="L1859">
        <f>J1859/_xlfn.XLOOKUP(Tabla2[[#This Row],[Unidad de precio]],Tabla3[Medida],Tabla3[Equivalencia en Kg],"ELVIS",0)</f>
        <v>7.705895602897411</v>
      </c>
      <c r="M1859">
        <v>6923.3397737333999</v>
      </c>
      <c r="N1859" s="2">
        <f>(Tabla2[[#This Row],[Productividad (kg/TAS)]]*Tabla2[[#This Row],[Precio por kg]]-Tabla2[[#This Row],[Costos (En RD$/Tarea)]])</f>
        <v>-39.729393441608408</v>
      </c>
      <c r="O1859" s="6">
        <f>IF(Tabla2[[#This Row],[Costos (En RD$/Tarea)]]=0,0,Tabla2[[#This Row],[Beneficio Neto  (En RD$/Tarea)]]/Tabla2[[#This Row],[Costos (En RD$/Tarea)]])</f>
        <v>-5.7384722893911062E-3</v>
      </c>
      <c r="P1859" s="4">
        <f>Tabla2[[#This Row],[Rentabilidad (%)]]/12</f>
        <v>-4.7820602411592552E-4</v>
      </c>
    </row>
    <row r="1860" spans="1:16" x14ac:dyDescent="0.35">
      <c r="A1860" s="1">
        <v>41214</v>
      </c>
      <c r="B1860" t="s">
        <v>30</v>
      </c>
      <c r="C1860" s="2">
        <v>357939</v>
      </c>
      <c r="D1860" s="2" t="s">
        <v>31</v>
      </c>
      <c r="E1860" s="2">
        <f>IF(Tabla2[[#This Row],[Frecuencia]]="Annual", Tabla2[[#This Row],[Cosecha/Tarea]]/12,Tabla2[[#This Row],[Cosecha/Tarea]])</f>
        <v>29828.25</v>
      </c>
      <c r="F1860" s="2">
        <v>2890144</v>
      </c>
      <c r="G1860" t="s">
        <v>32</v>
      </c>
      <c r="H1860">
        <f>F1860/Tabla2[[#This Row],[Cosecha Mensual]]</f>
        <v>96.892844870215313</v>
      </c>
      <c r="I1860">
        <f>H1860*_xlfn.XLOOKUP(Tabla2[[#This Row],[Unidad de producción]],Tabla3[Medida],Tabla3[Equivalencia en Kg],"ELVIS",0)</f>
        <v>2636.4543089185586</v>
      </c>
      <c r="J1860">
        <v>149.80000000000001</v>
      </c>
      <c r="K1860" t="s">
        <v>32</v>
      </c>
      <c r="L1860">
        <f>J1860/_xlfn.XLOOKUP(Tabla2[[#This Row],[Unidad de precio]],Tabla3[Medida],Tabla3[Equivalencia en Kg],"ELVIS",0)</f>
        <v>5.505328923190004</v>
      </c>
      <c r="M1860" s="2">
        <v>12463.806077028201</v>
      </c>
      <c r="N1860" s="2">
        <f>(Tabla2[[#This Row],[Productividad (kg/TAS)]]*Tabla2[[#This Row],[Precio por kg]]-Tabla2[[#This Row],[Costos (En RD$/Tarea)]])</f>
        <v>2050.742084530053</v>
      </c>
      <c r="O1860" s="6">
        <f>IF(Tabla2[[#This Row],[Costos (En RD$/Tarea)]]=0,0,Tabla2[[#This Row],[Beneficio Neto  (En RD$/Tarea)]]/Tabla2[[#This Row],[Costos (En RD$/Tarea)]])</f>
        <v>0.16453578239713917</v>
      </c>
      <c r="P1860" s="4">
        <f>Tabla2[[#This Row],[Rentabilidad (%)]]/12</f>
        <v>1.3711315199761598E-2</v>
      </c>
    </row>
    <row r="1861" spans="1:16" x14ac:dyDescent="0.35">
      <c r="A1861" s="1">
        <v>41214</v>
      </c>
      <c r="B1861" t="s">
        <v>33</v>
      </c>
      <c r="C1861" s="2">
        <v>737599</v>
      </c>
      <c r="D1861" s="2" t="s">
        <v>31</v>
      </c>
      <c r="E1861" s="8">
        <f>IF(Tabla2[[#This Row],[Frecuencia]]="Annual", Tabla2[[#This Row],[Cosecha/Tarea]]/12,Tabla2[[#This Row],[Cosecha/Tarea]])</f>
        <v>61466.583333333336</v>
      </c>
      <c r="F1861" s="2">
        <v>127178</v>
      </c>
      <c r="G1861" t="s">
        <v>34</v>
      </c>
      <c r="H1861">
        <f>F1861/Tabla2[[#This Row],[Cosecha Mensual]]</f>
        <v>2.069059204255971</v>
      </c>
      <c r="I1861">
        <f>H1861*_xlfn.XLOOKUP(Tabla2[[#This Row],[Unidad de producción]],Tabla3[Medida],Tabla3[Equivalencia en Kg],"ELVIS",0)</f>
        <v>844.4865142170745</v>
      </c>
      <c r="J1861">
        <v>6508.5833333333303</v>
      </c>
      <c r="K1861" t="s">
        <v>34</v>
      </c>
      <c r="L1861">
        <f>J1861/_xlfn.XLOOKUP(Tabla2[[#This Row],[Unidad de precio]],Tabla3[Medida],Tabla3[Equivalencia en Kg],"ELVIS",0)</f>
        <v>15.946547429458118</v>
      </c>
      <c r="M1861" s="2">
        <v>11933.7643424532</v>
      </c>
      <c r="N1861" s="2">
        <f>(Tabla2[[#This Row],[Productividad (kg/TAS)]]*Tabla2[[#This Row],[Precio por kg]]-Tabla2[[#This Row],[Costos (En RD$/Tarea)]])</f>
        <v>1532.8799100471351</v>
      </c>
      <c r="O1861" s="6">
        <f>IF(Tabla2[[#This Row],[Costos (En RD$/Tarea)]]=0,0,Tabla2[[#This Row],[Beneficio Neto  (En RD$/Tarea)]]/Tabla2[[#This Row],[Costos (En RD$/Tarea)]])</f>
        <v>0.12844898441592856</v>
      </c>
      <c r="P1861" s="4">
        <f>Tabla2[[#This Row],[Rentabilidad (%)]]/12</f>
        <v>1.0704082034660714E-2</v>
      </c>
    </row>
    <row r="1862" spans="1:16" x14ac:dyDescent="0.35">
      <c r="A1862" s="1">
        <v>41244</v>
      </c>
      <c r="B1862" t="s">
        <v>16</v>
      </c>
      <c r="C1862" s="2">
        <v>78975</v>
      </c>
      <c r="D1862" s="5" t="s">
        <v>17</v>
      </c>
      <c r="E1862" s="2">
        <f>IF(Tabla2[[#This Row],[Frecuencia]]="Annual", Tabla2[[#This Row],[Cosecha/Tarea]]/12,Tabla2[[#This Row],[Cosecha/Tarea]])</f>
        <v>78975</v>
      </c>
      <c r="F1862" s="2">
        <v>264146</v>
      </c>
      <c r="G1862" t="s">
        <v>18</v>
      </c>
      <c r="H1862">
        <f>F1862/Tabla2[[#This Row],[Cosecha Mensual]]</f>
        <v>3.3446786957898067</v>
      </c>
      <c r="I1862">
        <f>H1862*_xlfn.XLOOKUP(Tabla2[[#This Row],[Unidad de producción]],Tabla3[Medida],Tabla3[Equivalencia en Kg],"ELVIS",0)</f>
        <v>151.71462564102563</v>
      </c>
      <c r="J1862">
        <v>1530</v>
      </c>
      <c r="K1862" t="s">
        <v>19</v>
      </c>
      <c r="L1862">
        <f>J1862/_xlfn.XLOOKUP(Tabla2[[#This Row],[Unidad de precio]],Tabla3[Medida],Tabla3[Equivalencia en Kg],"ELVIS",0)</f>
        <v>13.909090909090908</v>
      </c>
      <c r="M1862">
        <v>7982.6190521234403</v>
      </c>
      <c r="N1862" s="2">
        <f>(Tabla2[[#This Row],[Productividad (kg/TAS)]]*Tabla2[[#This Row],[Precio por kg]]-Tabla2[[#This Row],[Costos (En RD$/Tarea)]])</f>
        <v>-5872.4065318437206</v>
      </c>
      <c r="O1862" s="6">
        <f>IF(Tabla2[[#This Row],[Costos (En RD$/Tarea)]]=0,0,Tabla2[[#This Row],[Beneficio Neto  (En RD$/Tarea)]]/Tabla2[[#This Row],[Costos (En RD$/Tarea)]])</f>
        <v>-0.73564910131614181</v>
      </c>
      <c r="P1862" s="4">
        <f>Tabla2[[#This Row],[Rentabilidad (%)]]/12</f>
        <v>-6.1304091776345153E-2</v>
      </c>
    </row>
    <row r="1863" spans="1:16" x14ac:dyDescent="0.35">
      <c r="A1863" s="1">
        <v>41244</v>
      </c>
      <c r="B1863" t="s">
        <v>20</v>
      </c>
      <c r="C1863" s="2">
        <v>57380</v>
      </c>
      <c r="D1863" s="5" t="s">
        <v>17</v>
      </c>
      <c r="E1863" s="2">
        <f>IF(Tabla2[[#This Row],[Frecuencia]]="Annual", Tabla2[[#This Row],[Cosecha/Tarea]]/12,Tabla2[[#This Row],[Cosecha/Tarea]])</f>
        <v>57380</v>
      </c>
      <c r="F1863" s="2">
        <v>108609</v>
      </c>
      <c r="G1863" t="s">
        <v>18</v>
      </c>
      <c r="H1863">
        <f>F1863/Tabla2[[#This Row],[Cosecha Mensual]]</f>
        <v>1.8928023701638201</v>
      </c>
      <c r="I1863">
        <f>H1863*_xlfn.XLOOKUP(Tabla2[[#This Row],[Unidad de producción]],Tabla3[Medida],Tabla3[Equivalencia en Kg],"ELVIS",0)</f>
        <v>85.857515510630876</v>
      </c>
      <c r="J1863">
        <v>756.5625</v>
      </c>
      <c r="K1863" t="s">
        <v>18</v>
      </c>
      <c r="L1863">
        <f>J1863/_xlfn.XLOOKUP(Tabla2[[#This Row],[Unidad de precio]],Tabla3[Medida],Tabla3[Equivalencia en Kg],"ELVIS",0)</f>
        <v>16.679067460317462</v>
      </c>
      <c r="M1863">
        <v>2248.3053412475001</v>
      </c>
      <c r="N1863" s="2">
        <f>(Tabla2[[#This Row],[Productividad (kg/TAS)]]*Tabla2[[#This Row],[Precio por kg]]-Tabla2[[#This Row],[Costos (En RD$/Tarea)]])</f>
        <v>-816.28204807043494</v>
      </c>
      <c r="O1863" s="6">
        <f>IF(Tabla2[[#This Row],[Costos (En RD$/Tarea)]]=0,0,Tabla2[[#This Row],[Beneficio Neto  (En RD$/Tarea)]]/Tabla2[[#This Row],[Costos (En RD$/Tarea)]])</f>
        <v>-0.36306547562508157</v>
      </c>
      <c r="P1863" s="4">
        <f>Tabla2[[#This Row],[Rentabilidad (%)]]/12</f>
        <v>-3.0255456302090131E-2</v>
      </c>
    </row>
    <row r="1864" spans="1:16" x14ac:dyDescent="0.35">
      <c r="A1864" s="1">
        <v>41244</v>
      </c>
      <c r="B1864" t="s">
        <v>21</v>
      </c>
      <c r="C1864" s="2">
        <v>7524</v>
      </c>
      <c r="D1864" s="5" t="s">
        <v>17</v>
      </c>
      <c r="E1864" s="2">
        <f>IF(Tabla2[[#This Row],[Frecuencia]]="Annual", Tabla2[[#This Row],[Cosecha/Tarea]]/12,Tabla2[[#This Row],[Cosecha/Tarea]])</f>
        <v>7524</v>
      </c>
      <c r="F1864" s="2">
        <v>72571</v>
      </c>
      <c r="G1864" t="s">
        <v>18</v>
      </c>
      <c r="H1864">
        <f>F1864/Tabla2[[#This Row],[Cosecha Mensual]]</f>
        <v>9.6452684742158432</v>
      </c>
      <c r="I1864">
        <f>H1864*_xlfn.XLOOKUP(Tabla2[[#This Row],[Unidad de producción]],Tabla3[Medida],Tabla3[Equivalencia en Kg],"ELVIS",0)</f>
        <v>437.50937799043066</v>
      </c>
      <c r="J1864">
        <v>547.5</v>
      </c>
      <c r="K1864" t="s">
        <v>18</v>
      </c>
      <c r="L1864">
        <f>J1864/_xlfn.XLOOKUP(Tabla2[[#This Row],[Unidad de precio]],Tabla3[Medida],Tabla3[Equivalencia en Kg],"ELVIS",0)</f>
        <v>12.07010582010582</v>
      </c>
      <c r="M1864">
        <v>5350.2017200091695</v>
      </c>
      <c r="N1864" s="2">
        <f>(Tabla2[[#This Row],[Productividad (kg/TAS)]]*Tabla2[[#This Row],[Precio por kg]]-Tabla2[[#This Row],[Costos (En RD$/Tarea)]])</f>
        <v>-69.417230375995132</v>
      </c>
      <c r="O1864" s="6">
        <f>IF(Tabla2[[#This Row],[Costos (En RD$/Tarea)]]=0,0,Tabla2[[#This Row],[Beneficio Neto  (En RD$/Tarea)]]/Tabla2[[#This Row],[Costos (En RD$/Tarea)]])</f>
        <v>-1.2974694041232554E-2</v>
      </c>
      <c r="P1864" s="4">
        <f>Tabla2[[#This Row],[Rentabilidad (%)]]/12</f>
        <v>-1.0812245034360461E-3</v>
      </c>
    </row>
    <row r="1865" spans="1:16" x14ac:dyDescent="0.35">
      <c r="A1865" s="1">
        <v>41244</v>
      </c>
      <c r="B1865" t="s">
        <v>22</v>
      </c>
      <c r="C1865" s="2">
        <v>5647</v>
      </c>
      <c r="D1865" s="5" t="s">
        <v>17</v>
      </c>
      <c r="E1865" s="2">
        <f>IF(Tabla2[[#This Row],[Frecuencia]]="Annual", Tabla2[[#This Row],[Cosecha/Tarea]]/12,Tabla2[[#This Row],[Cosecha/Tarea]])</f>
        <v>5647</v>
      </c>
      <c r="F1865" s="2">
        <v>55471</v>
      </c>
      <c r="G1865" t="s">
        <v>18</v>
      </c>
      <c r="H1865">
        <f>F1865/Tabla2[[#This Row],[Cosecha Mensual]]</f>
        <v>9.8230919072073668</v>
      </c>
      <c r="I1865">
        <f>H1865*_xlfn.XLOOKUP(Tabla2[[#This Row],[Unidad de producción]],Tabla3[Medida],Tabla3[Equivalencia en Kg],"ELVIS",0)</f>
        <v>445.57544891092613</v>
      </c>
      <c r="J1865">
        <v>1133.0357142857099</v>
      </c>
      <c r="K1865" t="s">
        <v>18</v>
      </c>
      <c r="L1865">
        <f>J1865/_xlfn.XLOOKUP(Tabla2[[#This Row],[Unidad de precio]],Tabla3[Medida],Tabla3[Equivalencia en Kg],"ELVIS",0)</f>
        <v>24.978741496598545</v>
      </c>
      <c r="M1865">
        <v>8360.1905549999992</v>
      </c>
      <c r="N1865" s="2">
        <f>(Tabla2[[#This Row],[Productividad (kg/TAS)]]*Tabla2[[#This Row],[Precio por kg]]-Tabla2[[#This Row],[Costos (En RD$/Tarea)]])</f>
        <v>2769.7234005768769</v>
      </c>
      <c r="O1865" s="6">
        <f>IF(Tabla2[[#This Row],[Costos (En RD$/Tarea)]]=0,0,Tabla2[[#This Row],[Beneficio Neto  (En RD$/Tarea)]]/Tabla2[[#This Row],[Costos (En RD$/Tarea)]])</f>
        <v>0.331299075344686</v>
      </c>
      <c r="P1865" s="4">
        <f>Tabla2[[#This Row],[Rentabilidad (%)]]/12</f>
        <v>2.7608256278723833E-2</v>
      </c>
    </row>
    <row r="1866" spans="1:16" x14ac:dyDescent="0.35">
      <c r="A1866" s="1">
        <v>41244</v>
      </c>
      <c r="B1866" t="s">
        <v>23</v>
      </c>
      <c r="C1866" s="2">
        <v>2642</v>
      </c>
      <c r="D1866" s="5" t="s">
        <v>17</v>
      </c>
      <c r="E1866" s="2">
        <f>IF(Tabla2[[#This Row],[Frecuencia]]="Annual", Tabla2[[#This Row],[Cosecha/Tarea]]/12,Tabla2[[#This Row],[Cosecha/Tarea]])</f>
        <v>2642</v>
      </c>
      <c r="F1866" s="2">
        <v>88320</v>
      </c>
      <c r="G1866" t="s">
        <v>18</v>
      </c>
      <c r="H1866">
        <f>F1866/Tabla2[[#This Row],[Cosecha Mensual]]</f>
        <v>33.429220287660861</v>
      </c>
      <c r="I1866">
        <f>H1866*_xlfn.XLOOKUP(Tabla2[[#This Row],[Unidad de producción]],Tabla3[Medida],Tabla3[Equivalencia en Kg],"ELVIS",0)</f>
        <v>1516.3494322482966</v>
      </c>
      <c r="J1866">
        <v>1114.2857142857099</v>
      </c>
      <c r="K1866" t="s">
        <v>18</v>
      </c>
      <c r="L1866">
        <f>J1866/_xlfn.XLOOKUP(Tabla2[[#This Row],[Unidad de precio]],Tabla3[Medida],Tabla3[Equivalencia en Kg],"ELVIS",0)</f>
        <v>24.565381708238753</v>
      </c>
      <c r="M1866">
        <v>24344.842076238001</v>
      </c>
      <c r="N1866" s="2">
        <f>(Tabla2[[#This Row],[Productividad (kg/TAS)]]*Tabla2[[#This Row],[Precio por kg]]-Tabla2[[#This Row],[Costos (En RD$/Tarea)]])</f>
        <v>12904.860530012524</v>
      </c>
      <c r="O1866" s="6">
        <f>IF(Tabla2[[#This Row],[Costos (En RD$/Tarea)]]=0,0,Tabla2[[#This Row],[Beneficio Neto  (En RD$/Tarea)]]/Tabla2[[#This Row],[Costos (En RD$/Tarea)]])</f>
        <v>0.5300860235445285</v>
      </c>
      <c r="P1866" s="4">
        <f>Tabla2[[#This Row],[Rentabilidad (%)]]/12</f>
        <v>4.4173835295377377E-2</v>
      </c>
    </row>
    <row r="1867" spans="1:16" x14ac:dyDescent="0.35">
      <c r="A1867" s="1">
        <v>41244</v>
      </c>
      <c r="B1867" t="s">
        <v>24</v>
      </c>
      <c r="C1867" s="2">
        <v>11554</v>
      </c>
      <c r="D1867" s="5" t="s">
        <v>17</v>
      </c>
      <c r="E1867" s="2">
        <f>IF(Tabla2[[#This Row],[Frecuencia]]="Annual", Tabla2[[#This Row],[Cosecha/Tarea]]/12,Tabla2[[#This Row],[Cosecha/Tarea]])</f>
        <v>11554</v>
      </c>
      <c r="F1867" s="2">
        <v>83155</v>
      </c>
      <c r="G1867" t="s">
        <v>18</v>
      </c>
      <c r="H1867">
        <f>F1867/Tabla2[[#This Row],[Cosecha Mensual]]</f>
        <v>7.1970746061969884</v>
      </c>
      <c r="I1867">
        <f>H1867*_xlfn.XLOOKUP(Tabla2[[#This Row],[Unidad de producción]],Tabla3[Medida],Tabla3[Equivalencia en Kg],"ELVIS",0)</f>
        <v>326.45930413709539</v>
      </c>
      <c r="J1867">
        <v>1322.38095238095</v>
      </c>
      <c r="K1867" t="s">
        <v>18</v>
      </c>
      <c r="L1867">
        <f>J1867/_xlfn.XLOOKUP(Tabla2[[#This Row],[Unidad de precio]],Tabla3[Medida],Tabla3[Equivalencia en Kg],"ELVIS",0)</f>
        <v>29.15301923238426</v>
      </c>
      <c r="M1867">
        <v>8104.7130577283997</v>
      </c>
      <c r="N1867" s="2">
        <f>(Tabla2[[#This Row],[Productividad (kg/TAS)]]*Tabla2[[#This Row],[Precio por kg]]-Tabla2[[#This Row],[Costos (En RD$/Tarea)]])</f>
        <v>1412.5613143711244</v>
      </c>
      <c r="O1867" s="6">
        <f>IF(Tabla2[[#This Row],[Costos (En RD$/Tarea)]]=0,0,Tabla2[[#This Row],[Beneficio Neto  (En RD$/Tarea)]]/Tabla2[[#This Row],[Costos (En RD$/Tarea)]])</f>
        <v>0.17428887417848191</v>
      </c>
      <c r="P1867" s="4">
        <f>Tabla2[[#This Row],[Rentabilidad (%)]]/12</f>
        <v>1.4524072848206825E-2</v>
      </c>
    </row>
    <row r="1868" spans="1:16" x14ac:dyDescent="0.35">
      <c r="A1868" s="1">
        <v>41244</v>
      </c>
      <c r="B1868" t="s">
        <v>25</v>
      </c>
      <c r="C1868" s="2">
        <v>26874</v>
      </c>
      <c r="D1868" s="5" t="s">
        <v>17</v>
      </c>
      <c r="E1868" s="2">
        <f>IF(Tabla2[[#This Row],[Frecuencia]]="Annual", Tabla2[[#This Row],[Cosecha/Tarea]]/12,Tabla2[[#This Row],[Cosecha/Tarea]])</f>
        <v>26874</v>
      </c>
      <c r="F1868" s="2">
        <v>336547</v>
      </c>
      <c r="G1868" t="s">
        <v>18</v>
      </c>
      <c r="H1868">
        <f>F1868/Tabla2[[#This Row],[Cosecha Mensual]]</f>
        <v>12.523145047257572</v>
      </c>
      <c r="I1868">
        <f>H1868*_xlfn.XLOOKUP(Tabla2[[#This Row],[Unidad de producción]],Tabla3[Medida],Tabla3[Equivalencia en Kg],"ELVIS",0)</f>
        <v>568.04985934360343</v>
      </c>
      <c r="J1868">
        <v>440.91666666666703</v>
      </c>
      <c r="K1868" t="s">
        <v>18</v>
      </c>
      <c r="L1868">
        <f>J1868/_xlfn.XLOOKUP(Tabla2[[#This Row],[Unidad de precio]],Tabla3[Medida],Tabla3[Equivalencia en Kg],"ELVIS",0)</f>
        <v>9.7203850676072978</v>
      </c>
      <c r="M1868">
        <v>4628.4219376424999</v>
      </c>
      <c r="N1868" s="2">
        <f>(Tabla2[[#This Row],[Productividad (kg/TAS)]]*Tabla2[[#This Row],[Precio por kg]]-Tabla2[[#This Row],[Costos (En RD$/Tarea)]])</f>
        <v>893.24143277748863</v>
      </c>
      <c r="O1868" s="6">
        <f>IF(Tabla2[[#This Row],[Costos (En RD$/Tarea)]]=0,0,Tabla2[[#This Row],[Beneficio Neto  (En RD$/Tarea)]]/Tabla2[[#This Row],[Costos (En RD$/Tarea)]])</f>
        <v>0.19299049326355577</v>
      </c>
      <c r="P1868" s="4">
        <f>Tabla2[[#This Row],[Rentabilidad (%)]]/12</f>
        <v>1.6082541105296316E-2</v>
      </c>
    </row>
    <row r="1869" spans="1:16" x14ac:dyDescent="0.35">
      <c r="A1869" s="1">
        <v>41244</v>
      </c>
      <c r="B1869" t="s">
        <v>26</v>
      </c>
      <c r="C1869" s="2">
        <v>14644</v>
      </c>
      <c r="D1869" s="5" t="s">
        <v>17</v>
      </c>
      <c r="E1869" s="2">
        <f>IF(Tabla2[[#This Row],[Frecuencia]]="Annual", Tabla2[[#This Row],[Cosecha/Tarea]]/12,Tabla2[[#This Row],[Cosecha/Tarea]])</f>
        <v>14644</v>
      </c>
      <c r="F1869" s="2">
        <v>83547</v>
      </c>
      <c r="G1869" t="s">
        <v>18</v>
      </c>
      <c r="H1869">
        <f>F1869/Tabla2[[#This Row],[Cosecha Mensual]]</f>
        <v>5.7052034963124827</v>
      </c>
      <c r="I1869">
        <f>H1869*_xlfn.XLOOKUP(Tabla2[[#This Row],[Unidad de producción]],Tabla3[Medida],Tabla3[Equivalencia en Kg],"ELVIS",0)</f>
        <v>258.78803059273423</v>
      </c>
      <c r="J1869">
        <v>895.16666666666697</v>
      </c>
      <c r="K1869" t="s">
        <v>18</v>
      </c>
      <c r="L1869">
        <f>J1869/_xlfn.XLOOKUP(Tabla2[[#This Row],[Unidad de precio]],Tabla3[Medida],Tabla3[Equivalencia en Kg],"ELVIS",0)</f>
        <v>19.734714873603771</v>
      </c>
      <c r="M1869">
        <v>2035.7933205730001</v>
      </c>
      <c r="N1869" s="2">
        <f>(Tabla2[[#This Row],[Productividad (kg/TAS)]]*Tabla2[[#This Row],[Precio por kg]]-Tabla2[[#This Row],[Costos (En RD$/Tarea)]])</f>
        <v>3071.3146758760599</v>
      </c>
      <c r="O1869" s="6">
        <f>IF(Tabla2[[#This Row],[Costos (En RD$/Tarea)]]=0,0,Tabla2[[#This Row],[Beneficio Neto  (En RD$/Tarea)]]/Tabla2[[#This Row],[Costos (En RD$/Tarea)]])</f>
        <v>1.5086574088039542</v>
      </c>
      <c r="P1869" s="4">
        <f>Tabla2[[#This Row],[Rentabilidad (%)]]/12</f>
        <v>0.12572145073366284</v>
      </c>
    </row>
    <row r="1870" spans="1:16" x14ac:dyDescent="0.35">
      <c r="A1870" s="1">
        <v>41244</v>
      </c>
      <c r="B1870" t="s">
        <v>27</v>
      </c>
      <c r="C1870" s="2">
        <v>7547</v>
      </c>
      <c r="D1870" s="5" t="s">
        <v>17</v>
      </c>
      <c r="E1870" s="2">
        <f>IF(Tabla2[[#This Row],[Frecuencia]]="Annual", Tabla2[[#This Row],[Cosecha/Tarea]]/12,Tabla2[[#This Row],[Cosecha/Tarea]])</f>
        <v>7547</v>
      </c>
      <c r="F1870" s="2">
        <v>43233</v>
      </c>
      <c r="G1870" t="s">
        <v>18</v>
      </c>
      <c r="H1870">
        <f>F1870/Tabla2[[#This Row],[Cosecha Mensual]]</f>
        <v>5.7285013912813039</v>
      </c>
      <c r="I1870">
        <f>H1870*_xlfn.XLOOKUP(Tabla2[[#This Row],[Unidad de producción]],Tabla3[Medida],Tabla3[Equivalencia en Kg],"ELVIS",0)</f>
        <v>259.84482310851996</v>
      </c>
      <c r="J1870">
        <v>752.7</v>
      </c>
      <c r="K1870" t="s">
        <v>18</v>
      </c>
      <c r="L1870">
        <f>J1870/_xlfn.XLOOKUP(Tabla2[[#This Row],[Unidad de precio]],Tabla3[Medida],Tabla3[Equivalencia en Kg],"ELVIS",0)</f>
        <v>16.593915343915345</v>
      </c>
      <c r="M1870">
        <v>7766.2500132750001</v>
      </c>
      <c r="N1870" s="2">
        <f>(Tabla2[[#This Row],[Productividad (kg/TAS)]]*Tabla2[[#This Row],[Precio por kg]]-Tabla2[[#This Row],[Costos (En RD$/Tarea)]])</f>
        <v>-3454.407016057562</v>
      </c>
      <c r="O1870" s="6">
        <f>IF(Tabla2[[#This Row],[Costos (En RD$/Tarea)]]=0,0,Tabla2[[#This Row],[Beneficio Neto  (En RD$/Tarea)]]/Tabla2[[#This Row],[Costos (En RD$/Tarea)]])</f>
        <v>-0.4447972972995819</v>
      </c>
      <c r="P1870" s="4">
        <f>Tabla2[[#This Row],[Rentabilidad (%)]]/12</f>
        <v>-3.7066441441631827E-2</v>
      </c>
    </row>
    <row r="1871" spans="1:16" x14ac:dyDescent="0.35">
      <c r="A1871" s="1">
        <v>41244</v>
      </c>
      <c r="B1871" t="s">
        <v>28</v>
      </c>
      <c r="C1871" s="2">
        <v>45474</v>
      </c>
      <c r="D1871" s="5" t="s">
        <v>17</v>
      </c>
      <c r="E1871" s="2">
        <f>IF(Tabla2[[#This Row],[Frecuencia]]="Annual", Tabla2[[#This Row],[Cosecha/Tarea]]/12,Tabla2[[#This Row],[Cosecha/Tarea]])</f>
        <v>45474</v>
      </c>
      <c r="F1871" s="2">
        <v>69702</v>
      </c>
      <c r="G1871" t="s">
        <v>29</v>
      </c>
      <c r="H1871">
        <f>F1871/Tabla2[[#This Row],[Cosecha Mensual]]</f>
        <v>1.5327879667502309</v>
      </c>
      <c r="I1871">
        <f>H1871*_xlfn.XLOOKUP(Tabla2[[#This Row],[Unidad de producción]],Tabla3[Medida],Tabla3[Equivalencia en Kg],"ELVIS",0)</f>
        <v>861.94798522232486</v>
      </c>
      <c r="J1871">
        <v>5000</v>
      </c>
      <c r="K1871" t="s">
        <v>29</v>
      </c>
      <c r="L1871">
        <f>J1871/_xlfn.XLOOKUP(Tabla2[[#This Row],[Unidad de precio]],Tabla3[Medida],Tabla3[Equivalencia en Kg],"ELVIS",0)</f>
        <v>8.8914180033431727</v>
      </c>
      <c r="M1871">
        <v>6923.3397737333999</v>
      </c>
      <c r="N1871" s="2">
        <f>(Tabla2[[#This Row],[Productividad (kg/TAS)]]*Tabla2[[#This Row],[Precio por kg]]-Tabla2[[#This Row],[Costos (En RD$/Tarea)]])</f>
        <v>740.600060017754</v>
      </c>
      <c r="O1871" s="6">
        <f>IF(Tabla2[[#This Row],[Costos (En RD$/Tarea)]]=0,0,Tabla2[[#This Row],[Beneficio Neto  (En RD$/Tarea)]]/Tabla2[[#This Row],[Costos (En RD$/Tarea)]])</f>
        <v>0.10697150280382478</v>
      </c>
      <c r="P1871" s="4">
        <f>Tabla2[[#This Row],[Rentabilidad (%)]]/12</f>
        <v>8.9142919003187323E-3</v>
      </c>
    </row>
    <row r="1872" spans="1:16" x14ac:dyDescent="0.35">
      <c r="A1872" s="1">
        <v>41244</v>
      </c>
      <c r="B1872" t="s">
        <v>30</v>
      </c>
      <c r="C1872" s="2">
        <v>346957</v>
      </c>
      <c r="D1872" s="2" t="s">
        <v>31</v>
      </c>
      <c r="E1872" s="2">
        <f>IF(Tabla2[[#This Row],[Frecuencia]]="Annual", Tabla2[[#This Row],[Cosecha/Tarea]]/12,Tabla2[[#This Row],[Cosecha/Tarea]])</f>
        <v>28913.083333333332</v>
      </c>
      <c r="F1872" s="2">
        <v>2398414</v>
      </c>
      <c r="G1872" t="s">
        <v>32</v>
      </c>
      <c r="H1872">
        <f>F1872/Tabla2[[#This Row],[Cosecha Mensual]]</f>
        <v>82.952550316033395</v>
      </c>
      <c r="I1872">
        <f>H1872*_xlfn.XLOOKUP(Tabla2[[#This Row],[Unidad de producción]],Tabla3[Medida],Tabla3[Equivalencia en Kg],"ELVIS",0)</f>
        <v>2257.1388940992688</v>
      </c>
      <c r="J1872">
        <v>163.444444444444</v>
      </c>
      <c r="K1872" t="s">
        <v>32</v>
      </c>
      <c r="L1872">
        <f>J1872/_xlfn.XLOOKUP(Tabla2[[#This Row],[Unidad de precio]],Tabla3[Medida],Tabla3[Equivalencia en Kg],"ELVIS",0)</f>
        <v>6.0067785536363099</v>
      </c>
      <c r="M1872" s="2">
        <v>12463.806077028201</v>
      </c>
      <c r="N1872" s="2">
        <f>(Tabla2[[#This Row],[Productividad (kg/TAS)]]*Tabla2[[#This Row],[Precio por kg]]-Tabla2[[#This Row],[Costos (En RD$/Tarea)]])</f>
        <v>1094.3274246256642</v>
      </c>
      <c r="O1872" s="6">
        <f>IF(Tabla2[[#This Row],[Costos (En RD$/Tarea)]]=0,0,Tabla2[[#This Row],[Beneficio Neto  (En RD$/Tarea)]]/Tabla2[[#This Row],[Costos (En RD$/Tarea)]])</f>
        <v>8.7800421304901219E-2</v>
      </c>
      <c r="P1872" s="4">
        <f>Tabla2[[#This Row],[Rentabilidad (%)]]/12</f>
        <v>7.3167017754084346E-3</v>
      </c>
    </row>
    <row r="1873" spans="1:16" x14ac:dyDescent="0.35">
      <c r="A1873" s="1">
        <v>41244</v>
      </c>
      <c r="B1873" t="s">
        <v>33</v>
      </c>
      <c r="C1873" s="2">
        <v>687151</v>
      </c>
      <c r="D1873" s="2" t="s">
        <v>31</v>
      </c>
      <c r="E1873" s="8">
        <f>IF(Tabla2[[#This Row],[Frecuencia]]="Annual", Tabla2[[#This Row],[Cosecha/Tarea]]/12,Tabla2[[#This Row],[Cosecha/Tarea]])</f>
        <v>57262.583333333336</v>
      </c>
      <c r="F1873" s="2">
        <v>249100</v>
      </c>
      <c r="G1873" t="s">
        <v>34</v>
      </c>
      <c r="H1873">
        <f>F1873/Tabla2[[#This Row],[Cosecha Mensual]]</f>
        <v>4.3501355597241362</v>
      </c>
      <c r="I1873">
        <f>H1873*_xlfn.XLOOKUP(Tabla2[[#This Row],[Unidad de producción]],Tabla3[Medida],Tabla3[Equivalencia en Kg],"ELVIS",0)</f>
        <v>1775.5078287014062</v>
      </c>
      <c r="J1873">
        <v>6140.2777777777801</v>
      </c>
      <c r="K1873" t="s">
        <v>34</v>
      </c>
      <c r="L1873">
        <f>J1873/_xlfn.XLOOKUP(Tabla2[[#This Row],[Unidad de precio]],Tabla3[Medida],Tabla3[Equivalencia en Kg],"ELVIS",0)</f>
        <v>15.044169491064022</v>
      </c>
      <c r="M1873" s="2">
        <v>11933.7643424532</v>
      </c>
      <c r="N1873" s="2">
        <f>(Tabla2[[#This Row],[Productividad (kg/TAS)]]*Tabla2[[#This Row],[Precio por kg]]-Tabla2[[#This Row],[Costos (En RD$/Tarea)]])</f>
        <v>14777.276365241822</v>
      </c>
      <c r="O1873" s="6">
        <f>IF(Tabla2[[#This Row],[Costos (En RD$/Tarea)]]=0,0,Tabla2[[#This Row],[Beneficio Neto  (En RD$/Tarea)]]/Tabla2[[#This Row],[Costos (En RD$/Tarea)]])</f>
        <v>1.2382745243823112</v>
      </c>
      <c r="P1873" s="4">
        <f>Tabla2[[#This Row],[Rentabilidad (%)]]/12</f>
        <v>0.10318954369852594</v>
      </c>
    </row>
    <row r="1874" spans="1:16" x14ac:dyDescent="0.35">
      <c r="A1874" s="1">
        <v>41275</v>
      </c>
      <c r="B1874" t="s">
        <v>16</v>
      </c>
      <c r="C1874" s="2">
        <v>8051</v>
      </c>
      <c r="D1874" s="5" t="s">
        <v>17</v>
      </c>
      <c r="E1874" s="2">
        <f>IF(Tabla2[[#This Row],[Frecuencia]]="Annual", Tabla2[[#This Row],[Cosecha/Tarea]]/12,Tabla2[[#This Row],[Cosecha/Tarea]])</f>
        <v>8051</v>
      </c>
      <c r="F1874" s="2">
        <v>21905</v>
      </c>
      <c r="G1874" t="s">
        <v>18</v>
      </c>
      <c r="H1874">
        <f>F1874/Tabla2[[#This Row],[Cosecha Mensual]]</f>
        <v>2.720780027325798</v>
      </c>
      <c r="I1874">
        <f>H1874*_xlfn.XLOOKUP(Tabla2[[#This Row],[Unidad de producción]],Tabla3[Medida],Tabla3[Equivalencia en Kg],"ELVIS",0)</f>
        <v>123.4145820394982</v>
      </c>
      <c r="J1874">
        <v>1634.30849285714</v>
      </c>
      <c r="K1874" t="s">
        <v>19</v>
      </c>
      <c r="L1874">
        <f>J1874/_xlfn.XLOOKUP(Tabla2[[#This Row],[Unidad de precio]],Tabla3[Medida],Tabla3[Equivalencia en Kg],"ELVIS",0)</f>
        <v>14.857349935064908</v>
      </c>
      <c r="M1874">
        <v>7832.6079700315504</v>
      </c>
      <c r="N1874" s="2">
        <f>(Tabla2[[#This Row],[Productividad (kg/TAS)]]*Tabla2[[#This Row],[Precio por kg]]-Tabla2[[#This Row],[Costos (En RD$/Tarea)]])</f>
        <v>-5998.9943375809489</v>
      </c>
      <c r="O1874" s="6">
        <f>IF(Tabla2[[#This Row],[Costos (En RD$/Tarea)]]=0,0,Tabla2[[#This Row],[Beneficio Neto  (En RD$/Tarea)]]/Tabla2[[#This Row],[Costos (En RD$/Tarea)]])</f>
        <v>-0.76589998638177526</v>
      </c>
      <c r="P1874" s="4">
        <f>Tabla2[[#This Row],[Rentabilidad (%)]]/12</f>
        <v>-6.3824998865147933E-2</v>
      </c>
    </row>
    <row r="1875" spans="1:16" x14ac:dyDescent="0.35">
      <c r="A1875" s="1">
        <v>41275</v>
      </c>
      <c r="B1875" t="s">
        <v>20</v>
      </c>
      <c r="C1875" s="2">
        <v>31021</v>
      </c>
      <c r="D1875" s="5" t="s">
        <v>17</v>
      </c>
      <c r="E1875" s="2">
        <f>IF(Tabla2[[#This Row],[Frecuencia]]="Annual", Tabla2[[#This Row],[Cosecha/Tarea]]/12,Tabla2[[#This Row],[Cosecha/Tarea]])</f>
        <v>31021</v>
      </c>
      <c r="F1875" s="2">
        <v>51002</v>
      </c>
      <c r="G1875" t="s">
        <v>18</v>
      </c>
      <c r="H1875">
        <f>F1875/Tabla2[[#This Row],[Cosecha Mensual]]</f>
        <v>1.6441120531253022</v>
      </c>
      <c r="I1875">
        <f>H1875*_xlfn.XLOOKUP(Tabla2[[#This Row],[Unidad de producción]],Tabla3[Medida],Tabla3[Equivalencia en Kg],"ELVIS",0)</f>
        <v>74.576922729763709</v>
      </c>
      <c r="J1875">
        <v>776.71600000000001</v>
      </c>
      <c r="K1875" t="s">
        <v>18</v>
      </c>
      <c r="L1875">
        <f>J1875/_xlfn.XLOOKUP(Tabla2[[#This Row],[Unidad de precio]],Tabla3[Medida],Tabla3[Equivalencia en Kg],"ELVIS",0)</f>
        <v>17.123368606701941</v>
      </c>
      <c r="M1875">
        <v>2208.9263820000001</v>
      </c>
      <c r="N1875" s="2">
        <f>(Tabla2[[#This Row],[Productividad (kg/TAS)]]*Tabla2[[#This Row],[Precio por kg]]-Tabla2[[#This Row],[Costos (En RD$/Tarea)]])</f>
        <v>-931.91824454472771</v>
      </c>
      <c r="O1875" s="6">
        <f>IF(Tabla2[[#This Row],[Costos (En RD$/Tarea)]]=0,0,Tabla2[[#This Row],[Beneficio Neto  (En RD$/Tarea)]]/Tabla2[[#This Row],[Costos (En RD$/Tarea)]])</f>
        <v>-0.42188741650183598</v>
      </c>
      <c r="P1875" s="4">
        <f>Tabla2[[#This Row],[Rentabilidad (%)]]/12</f>
        <v>-3.5157284708486329E-2</v>
      </c>
    </row>
    <row r="1876" spans="1:16" x14ac:dyDescent="0.35">
      <c r="A1876" s="1">
        <v>41275</v>
      </c>
      <c r="B1876" t="s">
        <v>21</v>
      </c>
      <c r="C1876" s="2">
        <v>9520</v>
      </c>
      <c r="D1876" s="5" t="s">
        <v>17</v>
      </c>
      <c r="E1876" s="2">
        <f>IF(Tabla2[[#This Row],[Frecuencia]]="Annual", Tabla2[[#This Row],[Cosecha/Tarea]]/12,Tabla2[[#This Row],[Cosecha/Tarea]])</f>
        <v>9520</v>
      </c>
      <c r="F1876" s="2">
        <v>109971</v>
      </c>
      <c r="G1876" t="s">
        <v>18</v>
      </c>
      <c r="H1876">
        <f>F1876/Tabla2[[#This Row],[Cosecha Mensual]]</f>
        <v>11.551575630252101</v>
      </c>
      <c r="I1876">
        <f>H1876*_xlfn.XLOOKUP(Tabla2[[#This Row],[Unidad de producción]],Tabla3[Medida],Tabla3[Equivalencia en Kg],"ELVIS",0)</f>
        <v>523.97947058823524</v>
      </c>
      <c r="J1876">
        <v>553.5</v>
      </c>
      <c r="K1876" t="s">
        <v>18</v>
      </c>
      <c r="L1876">
        <f>J1876/_xlfn.XLOOKUP(Tabla2[[#This Row],[Unidad de precio]],Tabla3[Medida],Tabla3[Equivalencia en Kg],"ELVIS",0)</f>
        <v>12.202380952380953</v>
      </c>
      <c r="M1876">
        <v>4893.7504664999997</v>
      </c>
      <c r="N1876" s="2">
        <f>(Tabla2[[#This Row],[Productividad (kg/TAS)]]*Tabla2[[#This Row],[Precio por kg]]-Tabla2[[#This Row],[Costos (En RD$/Tarea)]])</f>
        <v>1500.0466448445377</v>
      </c>
      <c r="O1876" s="6">
        <f>IF(Tabla2[[#This Row],[Costos (En RD$/Tarea)]]=0,0,Tabla2[[#This Row],[Beneficio Neto  (En RD$/Tarea)]]/Tabla2[[#This Row],[Costos (En RD$/Tarea)]])</f>
        <v>0.30652291225575462</v>
      </c>
      <c r="P1876" s="4">
        <f>Tabla2[[#This Row],[Rentabilidad (%)]]/12</f>
        <v>2.5543576021312884E-2</v>
      </c>
    </row>
    <row r="1877" spans="1:16" x14ac:dyDescent="0.35">
      <c r="A1877" s="1">
        <v>41275</v>
      </c>
      <c r="B1877" t="s">
        <v>22</v>
      </c>
      <c r="C1877" s="2">
        <v>8214</v>
      </c>
      <c r="D1877" s="5" t="s">
        <v>17</v>
      </c>
      <c r="E1877" s="2">
        <f>IF(Tabla2[[#This Row],[Frecuencia]]="Annual", Tabla2[[#This Row],[Cosecha/Tarea]]/12,Tabla2[[#This Row],[Cosecha/Tarea]])</f>
        <v>8214</v>
      </c>
      <c r="F1877" s="2">
        <v>82410</v>
      </c>
      <c r="G1877" t="s">
        <v>18</v>
      </c>
      <c r="H1877">
        <f>F1877/Tabla2[[#This Row],[Cosecha Mensual]]</f>
        <v>10.032870708546385</v>
      </c>
      <c r="I1877">
        <f>H1877*_xlfn.XLOOKUP(Tabla2[[#This Row],[Unidad de producción]],Tabla3[Medida],Tabla3[Equivalencia en Kg],"ELVIS",0)</f>
        <v>455.09101533966401</v>
      </c>
      <c r="J1877">
        <v>1116.9000000000001</v>
      </c>
      <c r="K1877" t="s">
        <v>18</v>
      </c>
      <c r="L1877">
        <f>J1877/_xlfn.XLOOKUP(Tabla2[[#This Row],[Unidad de precio]],Tabla3[Medida],Tabla3[Equivalencia en Kg],"ELVIS",0)</f>
        <v>24.623015873015877</v>
      </c>
      <c r="M1877">
        <v>8667.0620736000001</v>
      </c>
      <c r="N1877" s="2">
        <f>(Tabla2[[#This Row],[Productividad (kg/TAS)]]*Tabla2[[#This Row],[Precio por kg]]-Tabla2[[#This Row],[Costos (En RD$/Tarea)]])</f>
        <v>2538.6512207754586</v>
      </c>
      <c r="O1877" s="6">
        <f>IF(Tabla2[[#This Row],[Costos (En RD$/Tarea)]]=0,0,Tabla2[[#This Row],[Beneficio Neto  (En RD$/Tarea)]]/Tabla2[[#This Row],[Costos (En RD$/Tarea)]])</f>
        <v>0.29290793110946189</v>
      </c>
      <c r="P1877" s="4">
        <f>Tabla2[[#This Row],[Rentabilidad (%)]]/12</f>
        <v>2.4408994259121825E-2</v>
      </c>
    </row>
    <row r="1878" spans="1:16" x14ac:dyDescent="0.35">
      <c r="A1878" s="1">
        <v>41275</v>
      </c>
      <c r="B1878" t="s">
        <v>23</v>
      </c>
      <c r="C1878" s="2">
        <v>3124</v>
      </c>
      <c r="D1878" s="5" t="s">
        <v>17</v>
      </c>
      <c r="E1878" s="2">
        <f>IF(Tabla2[[#This Row],[Frecuencia]]="Annual", Tabla2[[#This Row],[Cosecha/Tarea]]/12,Tabla2[[#This Row],[Cosecha/Tarea]])</f>
        <v>3124</v>
      </c>
      <c r="F1878" s="2">
        <v>127420</v>
      </c>
      <c r="G1878" t="s">
        <v>18</v>
      </c>
      <c r="H1878">
        <f>F1878/Tabla2[[#This Row],[Cosecha Mensual]]</f>
        <v>40.787451984635084</v>
      </c>
      <c r="I1878">
        <f>H1878*_xlfn.XLOOKUP(Tabla2[[#This Row],[Unidad de producción]],Tabla3[Medida],Tabla3[Equivalencia en Kg],"ELVIS",0)</f>
        <v>1850.1188220230474</v>
      </c>
      <c r="J1878">
        <v>1112.5</v>
      </c>
      <c r="K1878" t="s">
        <v>18</v>
      </c>
      <c r="L1878">
        <f>J1878/_xlfn.XLOOKUP(Tabla2[[#This Row],[Unidad de precio]],Tabla3[Medida],Tabla3[Equivalencia en Kg],"ELVIS",0)</f>
        <v>24.526014109347443</v>
      </c>
      <c r="M1878">
        <v>24550.120818416199</v>
      </c>
      <c r="N1878" s="2">
        <f>(Tabla2[[#This Row],[Productividad (kg/TAS)]]*Tabla2[[#This Row],[Precio por kg]]-Tabla2[[#This Row],[Costos (En RD$/Tarea)]])</f>
        <v>20825.919514490331</v>
      </c>
      <c r="O1878" s="6">
        <f>IF(Tabla2[[#This Row],[Costos (En RD$/Tarea)]]=0,0,Tabla2[[#This Row],[Beneficio Neto  (En RD$/Tarea)]]/Tabla2[[#This Row],[Costos (En RD$/Tarea)]])</f>
        <v>0.8483021191027228</v>
      </c>
      <c r="P1878" s="4">
        <f>Tabla2[[#This Row],[Rentabilidad (%)]]/12</f>
        <v>7.0691843258560233E-2</v>
      </c>
    </row>
    <row r="1879" spans="1:16" x14ac:dyDescent="0.35">
      <c r="A1879" s="1">
        <v>41275</v>
      </c>
      <c r="B1879" t="s">
        <v>24</v>
      </c>
      <c r="C1879" s="2">
        <v>9740</v>
      </c>
      <c r="D1879" s="5" t="s">
        <v>17</v>
      </c>
      <c r="E1879" s="2">
        <f>IF(Tabla2[[#This Row],[Frecuencia]]="Annual", Tabla2[[#This Row],[Cosecha/Tarea]]/12,Tabla2[[#This Row],[Cosecha/Tarea]])</f>
        <v>9740</v>
      </c>
      <c r="F1879" s="2">
        <v>85684</v>
      </c>
      <c r="G1879" t="s">
        <v>18</v>
      </c>
      <c r="H1879">
        <f>F1879/Tabla2[[#This Row],[Cosecha Mensual]]</f>
        <v>8.7971252566735121</v>
      </c>
      <c r="I1879">
        <f>H1879*_xlfn.XLOOKUP(Tabla2[[#This Row],[Unidad de producción]],Tabla3[Medida],Tabla3[Equivalencia en Kg],"ELVIS",0)</f>
        <v>399.03760164271051</v>
      </c>
      <c r="J1879">
        <v>1515.2083333333301</v>
      </c>
      <c r="K1879" t="s">
        <v>18</v>
      </c>
      <c r="L1879">
        <f>J1879/_xlfn.XLOOKUP(Tabla2[[#This Row],[Unidad de precio]],Tabla3[Medida],Tabla3[Equivalencia en Kg],"ELVIS",0)</f>
        <v>33.404063786008159</v>
      </c>
      <c r="M1879">
        <v>8436.0023040464603</v>
      </c>
      <c r="N1879" s="2">
        <f>(Tabla2[[#This Row],[Productividad (kg/TAS)]]*Tabla2[[#This Row],[Precio por kg]]-Tabla2[[#This Row],[Costos (En RD$/Tarea)]])</f>
        <v>4893.4751942423554</v>
      </c>
      <c r="O1879" s="6">
        <f>IF(Tabla2[[#This Row],[Costos (En RD$/Tarea)]]=0,0,Tabla2[[#This Row],[Beneficio Neto  (En RD$/Tarea)]]/Tabla2[[#This Row],[Costos (En RD$/Tarea)]])</f>
        <v>0.58007039565353413</v>
      </c>
      <c r="P1879" s="4">
        <f>Tabla2[[#This Row],[Rentabilidad (%)]]/12</f>
        <v>4.8339199637794511E-2</v>
      </c>
    </row>
    <row r="1880" spans="1:16" x14ac:dyDescent="0.35">
      <c r="A1880" s="1">
        <v>41275</v>
      </c>
      <c r="B1880" t="s">
        <v>25</v>
      </c>
      <c r="C1880" s="2">
        <v>37584</v>
      </c>
      <c r="D1880" s="5" t="s">
        <v>17</v>
      </c>
      <c r="E1880" s="2">
        <f>IF(Tabla2[[#This Row],[Frecuencia]]="Annual", Tabla2[[#This Row],[Cosecha/Tarea]]/12,Tabla2[[#This Row],[Cosecha/Tarea]])</f>
        <v>37584</v>
      </c>
      <c r="F1880" s="2">
        <v>341004</v>
      </c>
      <c r="G1880" t="s">
        <v>18</v>
      </c>
      <c r="H1880">
        <f>F1880/Tabla2[[#This Row],[Cosecha Mensual]]</f>
        <v>9.0731162196679431</v>
      </c>
      <c r="I1880">
        <f>H1880*_xlfn.XLOOKUP(Tabla2[[#This Row],[Unidad de producción]],Tabla3[Medida],Tabla3[Equivalencia en Kg],"ELVIS",0)</f>
        <v>411.55655172413788</v>
      </c>
      <c r="J1880">
        <v>455.32499999999999</v>
      </c>
      <c r="K1880" t="s">
        <v>18</v>
      </c>
      <c r="L1880">
        <f>J1880/_xlfn.XLOOKUP(Tabla2[[#This Row],[Unidad de precio]],Tabla3[Medida],Tabla3[Equivalencia en Kg],"ELVIS",0)</f>
        <v>10.0380291005291</v>
      </c>
      <c r="M1880">
        <v>4461.1940527534698</v>
      </c>
      <c r="N1880" s="2">
        <f>(Tabla2[[#This Row],[Productividad (kg/TAS)]]*Tabla2[[#This Row],[Precio por kg]]-Tabla2[[#This Row],[Costos (En RD$/Tarea)]])</f>
        <v>-329.97741003316423</v>
      </c>
      <c r="O1880" s="6">
        <f>IF(Tabla2[[#This Row],[Costos (En RD$/Tarea)]]=0,0,Tabla2[[#This Row],[Beneficio Neto  (En RD$/Tarea)]]/Tabla2[[#This Row],[Costos (En RD$/Tarea)]])</f>
        <v>-7.3966163796327269E-2</v>
      </c>
      <c r="P1880" s="4">
        <f>Tabla2[[#This Row],[Rentabilidad (%)]]/12</f>
        <v>-6.1638469830272722E-3</v>
      </c>
    </row>
    <row r="1881" spans="1:16" x14ac:dyDescent="0.35">
      <c r="A1881" s="1">
        <v>41275</v>
      </c>
      <c r="B1881" t="s">
        <v>26</v>
      </c>
      <c r="C1881" s="2">
        <v>16646</v>
      </c>
      <c r="D1881" s="5" t="s">
        <v>17</v>
      </c>
      <c r="E1881" s="2">
        <f>IF(Tabla2[[#This Row],[Frecuencia]]="Annual", Tabla2[[#This Row],[Cosecha/Tarea]]/12,Tabla2[[#This Row],[Cosecha/Tarea]])</f>
        <v>16646</v>
      </c>
      <c r="F1881" s="2">
        <v>93844</v>
      </c>
      <c r="G1881" t="s">
        <v>18</v>
      </c>
      <c r="H1881">
        <f>F1881/Tabla2[[#This Row],[Cosecha Mensual]]</f>
        <v>5.6376306620209062</v>
      </c>
      <c r="I1881">
        <f>H1881*_xlfn.XLOOKUP(Tabla2[[#This Row],[Unidad de producción]],Tabla3[Medida],Tabla3[Equivalencia en Kg],"ELVIS",0)</f>
        <v>255.72292682926832</v>
      </c>
      <c r="J1881">
        <v>795.85</v>
      </c>
      <c r="K1881" t="s">
        <v>18</v>
      </c>
      <c r="L1881">
        <f>J1881/_xlfn.XLOOKUP(Tabla2[[#This Row],[Unidad de precio]],Tabla3[Medida],Tabla3[Equivalencia en Kg],"ELVIS",0)</f>
        <v>17.545194003527339</v>
      </c>
      <c r="M1881">
        <v>1856.8216170000001</v>
      </c>
      <c r="N1881" s="2">
        <f>(Tabla2[[#This Row],[Productividad (kg/TAS)]]*Tabla2[[#This Row],[Precio por kg]]-Tabla2[[#This Row],[Costos (En RD$/Tarea)]])</f>
        <v>2629.8867453693388</v>
      </c>
      <c r="O1881" s="6">
        <f>IF(Tabla2[[#This Row],[Costos (En RD$/Tarea)]]=0,0,Tabla2[[#This Row],[Beneficio Neto  (En RD$/Tarea)]]/Tabla2[[#This Row],[Costos (En RD$/Tarea)]])</f>
        <v>1.4163378545852736</v>
      </c>
      <c r="P1881" s="4">
        <f>Tabla2[[#This Row],[Rentabilidad (%)]]/12</f>
        <v>0.1180281545487728</v>
      </c>
    </row>
    <row r="1882" spans="1:16" x14ac:dyDescent="0.35">
      <c r="A1882" s="1">
        <v>41275</v>
      </c>
      <c r="B1882" t="s">
        <v>27</v>
      </c>
      <c r="C1882" s="2">
        <v>6440</v>
      </c>
      <c r="D1882" s="5" t="s">
        <v>17</v>
      </c>
      <c r="E1882" s="2">
        <f>IF(Tabla2[[#This Row],[Frecuencia]]="Annual", Tabla2[[#This Row],[Cosecha/Tarea]]/12,Tabla2[[#This Row],[Cosecha/Tarea]])</f>
        <v>6440</v>
      </c>
      <c r="F1882" s="2">
        <v>41201</v>
      </c>
      <c r="G1882" t="s">
        <v>18</v>
      </c>
      <c r="H1882">
        <f>F1882/Tabla2[[#This Row],[Cosecha Mensual]]</f>
        <v>6.3976708074534159</v>
      </c>
      <c r="I1882">
        <f>H1882*_xlfn.XLOOKUP(Tabla2[[#This Row],[Unidad de producción]],Tabla3[Medida],Tabla3[Equivalencia en Kg],"ELVIS",0)</f>
        <v>290.19834782608694</v>
      </c>
      <c r="J1882">
        <v>530.34375</v>
      </c>
      <c r="K1882" t="s">
        <v>18</v>
      </c>
      <c r="L1882">
        <f>J1882/_xlfn.XLOOKUP(Tabla2[[#This Row],[Unidad de precio]],Tabla3[Medida],Tabla3[Equivalencia en Kg],"ELVIS",0)</f>
        <v>11.691881613756614</v>
      </c>
      <c r="M1882">
        <v>7498.499866956</v>
      </c>
      <c r="N1882" s="2">
        <f>(Tabla2[[#This Row],[Productividad (kg/TAS)]]*Tabla2[[#This Row],[Precio por kg]]-Tabla2[[#This Row],[Costos (En RD$/Tarea)]])</f>
        <v>-4105.5351396656279</v>
      </c>
      <c r="O1882" s="6">
        <f>IF(Tabla2[[#This Row],[Costos (En RD$/Tarea)]]=0,0,Tabla2[[#This Row],[Beneficio Neto  (En RD$/Tarea)]]/Tabla2[[#This Row],[Costos (En RD$/Tarea)]])</f>
        <v>-0.54751419784078237</v>
      </c>
      <c r="P1882" s="4">
        <f>Tabla2[[#This Row],[Rentabilidad (%)]]/12</f>
        <v>-4.5626183153398531E-2</v>
      </c>
    </row>
    <row r="1883" spans="1:16" x14ac:dyDescent="0.35">
      <c r="A1883" s="1">
        <v>41275</v>
      </c>
      <c r="B1883" t="s">
        <v>28</v>
      </c>
      <c r="C1883" s="2">
        <v>85478</v>
      </c>
      <c r="D1883" s="5" t="s">
        <v>17</v>
      </c>
      <c r="E1883" s="2">
        <f>IF(Tabla2[[#This Row],[Frecuencia]]="Annual", Tabla2[[#This Row],[Cosecha/Tarea]]/12,Tabla2[[#This Row],[Cosecha/Tarea]])</f>
        <v>85478</v>
      </c>
      <c r="F1883" s="2">
        <v>92182</v>
      </c>
      <c r="G1883" t="s">
        <v>29</v>
      </c>
      <c r="H1883">
        <f>F1883/Tabla2[[#This Row],[Cosecha Mensual]]</f>
        <v>1.0784295374248345</v>
      </c>
      <c r="I1883">
        <f>H1883*_xlfn.XLOOKUP(Tabla2[[#This Row],[Unidad de producción]],Tabla3[Medida],Tabla3[Equivalencia en Kg],"ELVIS",0)</f>
        <v>606.44406607548149</v>
      </c>
      <c r="J1883">
        <v>5156.25</v>
      </c>
      <c r="K1883" t="s">
        <v>29</v>
      </c>
      <c r="L1883">
        <f>J1883/_xlfn.XLOOKUP(Tabla2[[#This Row],[Unidad de precio]],Tabla3[Medida],Tabla3[Equivalencia en Kg],"ELVIS",0)</f>
        <v>9.1692748159476469</v>
      </c>
      <c r="M1883">
        <v>6492.5610346041303</v>
      </c>
      <c r="N1883" s="2">
        <f>(Tabla2[[#This Row],[Productividad (kg/TAS)]]*Tabla2[[#This Row],[Precio por kg]]-Tabla2[[#This Row],[Costos (En RD$/Tarea)]])</f>
        <v>-931.90873225732685</v>
      </c>
      <c r="O1883" s="6">
        <f>IF(Tabla2[[#This Row],[Costos (En RD$/Tarea)]]=0,0,Tabla2[[#This Row],[Beneficio Neto  (En RD$/Tarea)]]/Tabla2[[#This Row],[Costos (En RD$/Tarea)]])</f>
        <v>-0.14353484353715404</v>
      </c>
      <c r="P1883" s="4">
        <f>Tabla2[[#This Row],[Rentabilidad (%)]]/12</f>
        <v>-1.1961236961429504E-2</v>
      </c>
    </row>
    <row r="1884" spans="1:16" x14ac:dyDescent="0.35">
      <c r="A1884" s="1">
        <v>41275</v>
      </c>
      <c r="B1884" t="s">
        <v>30</v>
      </c>
      <c r="C1884" s="2">
        <v>349987</v>
      </c>
      <c r="D1884" s="2" t="s">
        <v>31</v>
      </c>
      <c r="E1884" s="2">
        <f>IF(Tabla2[[#This Row],[Frecuencia]]="Annual", Tabla2[[#This Row],[Cosecha/Tarea]]/12,Tabla2[[#This Row],[Cosecha/Tarea]])</f>
        <v>29165.583333333332</v>
      </c>
      <c r="F1884" s="2">
        <v>2645349</v>
      </c>
      <c r="G1884" t="s">
        <v>32</v>
      </c>
      <c r="H1884">
        <f>F1884/Tabla2[[#This Row],[Cosecha Mensual]]</f>
        <v>90.701048896101852</v>
      </c>
      <c r="I1884">
        <f>H1884*_xlfn.XLOOKUP(Tabla2[[#This Row],[Unidad de producción]],Tabla3[Medida],Tabla3[Equivalencia en Kg],"ELVIS",0)</f>
        <v>2467.9755404629313</v>
      </c>
      <c r="J1884">
        <v>166.1</v>
      </c>
      <c r="K1884" t="s">
        <v>32</v>
      </c>
      <c r="L1884">
        <f>J1884/_xlfn.XLOOKUP(Tabla2[[#This Row],[Unidad de precio]],Tabla3[Medida],Tabla3[Equivalencia en Kg],"ELVIS",0)</f>
        <v>6.1043733921352441</v>
      </c>
      <c r="M1884" s="2">
        <v>11852.2845542745</v>
      </c>
      <c r="N1884" s="2">
        <f>(Tabla2[[#This Row],[Productividad (kg/TAS)]]*Tabla2[[#This Row],[Precio por kg]]-Tabla2[[#This Row],[Costos (En RD$/Tarea)]])</f>
        <v>3213.159667368016</v>
      </c>
      <c r="O1884" s="6">
        <f>IF(Tabla2[[#This Row],[Costos (En RD$/Tarea)]]=0,0,Tabla2[[#This Row],[Beneficio Neto  (En RD$/Tarea)]]/Tabla2[[#This Row],[Costos (En RD$/Tarea)]])</f>
        <v>0.2711004492555148</v>
      </c>
      <c r="P1884" s="4">
        <f>Tabla2[[#This Row],[Rentabilidad (%)]]/12</f>
        <v>2.2591704104626232E-2</v>
      </c>
    </row>
    <row r="1885" spans="1:16" x14ac:dyDescent="0.35">
      <c r="A1885" s="1">
        <v>41275</v>
      </c>
      <c r="B1885" t="s">
        <v>33</v>
      </c>
      <c r="C1885" s="2">
        <v>694120</v>
      </c>
      <c r="D1885" s="2" t="s">
        <v>31</v>
      </c>
      <c r="E1885" s="8">
        <f>IF(Tabla2[[#This Row],[Frecuencia]]="Annual", Tabla2[[#This Row],[Cosecha/Tarea]]/12,Tabla2[[#This Row],[Cosecha/Tarea]])</f>
        <v>57843.333333333336</v>
      </c>
      <c r="F1885" s="2">
        <v>125567</v>
      </c>
      <c r="G1885" t="s">
        <v>34</v>
      </c>
      <c r="H1885">
        <f>F1885/Tabla2[[#This Row],[Cosecha Mensual]]</f>
        <v>2.1708119633492768</v>
      </c>
      <c r="I1885">
        <f>H1885*_xlfn.XLOOKUP(Tabla2[[#This Row],[Unidad de producción]],Tabla3[Medida],Tabla3[Equivalencia en Kg],"ELVIS",0)</f>
        <v>886.01690284100732</v>
      </c>
      <c r="J1885">
        <v>6101.0829999999996</v>
      </c>
      <c r="K1885" t="s">
        <v>34</v>
      </c>
      <c r="L1885">
        <f>J1885/_xlfn.XLOOKUP(Tabla2[[#This Row],[Unidad de precio]],Tabla3[Medida],Tabla3[Equivalencia en Kg],"ELVIS",0)</f>
        <v>14.948139164522846</v>
      </c>
      <c r="M1885" s="2">
        <v>11461.359791266201</v>
      </c>
      <c r="N1885" s="2">
        <f>(Tabla2[[#This Row],[Productividad (kg/TAS)]]*Tabla2[[#This Row],[Precio por kg]]-Tabla2[[#This Row],[Costos (En RD$/Tarea)]])</f>
        <v>1782.944174520695</v>
      </c>
      <c r="O1885" s="6">
        <f>IF(Tabla2[[#This Row],[Costos (En RD$/Tarea)]]=0,0,Tabla2[[#This Row],[Beneficio Neto  (En RD$/Tarea)]]/Tabla2[[#This Row],[Costos (En RD$/Tarea)]])</f>
        <v>0.15556131270561249</v>
      </c>
      <c r="P1885" s="4">
        <f>Tabla2[[#This Row],[Rentabilidad (%)]]/12</f>
        <v>1.2963442725467707E-2</v>
      </c>
    </row>
    <row r="1886" spans="1:16" x14ac:dyDescent="0.35">
      <c r="A1886" s="1">
        <v>41306</v>
      </c>
      <c r="B1886" t="s">
        <v>16</v>
      </c>
      <c r="C1886" s="2">
        <v>7418</v>
      </c>
      <c r="D1886" s="5" t="s">
        <v>17</v>
      </c>
      <c r="E1886" s="2">
        <f>IF(Tabla2[[#This Row],[Frecuencia]]="Annual", Tabla2[[#This Row],[Cosecha/Tarea]]/12,Tabla2[[#This Row],[Cosecha/Tarea]])</f>
        <v>7418</v>
      </c>
      <c r="F1886" s="2">
        <v>23694</v>
      </c>
      <c r="G1886" t="s">
        <v>18</v>
      </c>
      <c r="H1886">
        <f>F1886/Tabla2[[#This Row],[Cosecha Mensual]]</f>
        <v>3.1941224049609058</v>
      </c>
      <c r="I1886">
        <f>H1886*_xlfn.XLOOKUP(Tabla2[[#This Row],[Unidad de producción]],Tabla3[Medida],Tabla3[Equivalencia en Kg],"ELVIS",0)</f>
        <v>144.8853922890267</v>
      </c>
      <c r="J1886">
        <v>1595.7838833333301</v>
      </c>
      <c r="K1886" t="s">
        <v>19</v>
      </c>
      <c r="L1886">
        <f>J1886/_xlfn.XLOOKUP(Tabla2[[#This Row],[Unidad de precio]],Tabla3[Medida],Tabla3[Equivalencia en Kg],"ELVIS",0)</f>
        <v>14.507126212121182</v>
      </c>
      <c r="M1886">
        <v>7832.6079700315504</v>
      </c>
      <c r="N1886" s="2">
        <f>(Tabla2[[#This Row],[Productividad (kg/TAS)]]*Tabla2[[#This Row],[Precio por kg]]-Tabla2[[#This Row],[Costos (En RD$/Tarea)]])</f>
        <v>-5730.7372978019512</v>
      </c>
      <c r="O1886" s="6">
        <f>IF(Tabla2[[#This Row],[Costos (En RD$/Tarea)]]=0,0,Tabla2[[#This Row],[Beneficio Neto  (En RD$/Tarea)]]/Tabla2[[#This Row],[Costos (En RD$/Tarea)]])</f>
        <v>-0.73165123541589272</v>
      </c>
      <c r="P1886" s="4">
        <f>Tabla2[[#This Row],[Rentabilidad (%)]]/12</f>
        <v>-6.0970936284657724E-2</v>
      </c>
    </row>
    <row r="1887" spans="1:16" x14ac:dyDescent="0.35">
      <c r="A1887" s="1">
        <v>41306</v>
      </c>
      <c r="B1887" t="s">
        <v>20</v>
      </c>
      <c r="C1887" s="2">
        <v>30120</v>
      </c>
      <c r="D1887" s="5" t="s">
        <v>17</v>
      </c>
      <c r="E1887" s="2">
        <f>IF(Tabla2[[#This Row],[Frecuencia]]="Annual", Tabla2[[#This Row],[Cosecha/Tarea]]/12,Tabla2[[#This Row],[Cosecha/Tarea]])</f>
        <v>30120</v>
      </c>
      <c r="F1887" s="2">
        <v>72642</v>
      </c>
      <c r="G1887" t="s">
        <v>18</v>
      </c>
      <c r="H1887">
        <f>F1887/Tabla2[[#This Row],[Cosecha Mensual]]</f>
        <v>2.4117529880478088</v>
      </c>
      <c r="I1887">
        <f>H1887*_xlfn.XLOOKUP(Tabla2[[#This Row],[Unidad de producción]],Tabla3[Medida],Tabla3[Equivalencia en Kg],"ELVIS",0)</f>
        <v>109.39711553784861</v>
      </c>
      <c r="J1887">
        <v>753.92</v>
      </c>
      <c r="K1887" t="s">
        <v>18</v>
      </c>
      <c r="L1887">
        <f>J1887/_xlfn.XLOOKUP(Tabla2[[#This Row],[Unidad de precio]],Tabla3[Medida],Tabla3[Equivalencia en Kg],"ELVIS",0)</f>
        <v>16.620811287477952</v>
      </c>
      <c r="M1887">
        <v>2208.9263820000001</v>
      </c>
      <c r="N1887" s="2">
        <f>(Tabla2[[#This Row],[Productividad (kg/TAS)]]*Tabla2[[#This Row],[Precio por kg]]-Tabla2[[#This Row],[Costos (En RD$/Tarea)]])</f>
        <v>-390.6575692509964</v>
      </c>
      <c r="O1887" s="6">
        <f>IF(Tabla2[[#This Row],[Costos (En RD$/Tarea)]]=0,0,Tabla2[[#This Row],[Beneficio Neto  (En RD$/Tarea)]]/Tabla2[[#This Row],[Costos (En RD$/Tarea)]])</f>
        <v>-0.17685404657863169</v>
      </c>
      <c r="P1887" s="4">
        <f>Tabla2[[#This Row],[Rentabilidad (%)]]/12</f>
        <v>-1.4737837214885974E-2</v>
      </c>
    </row>
    <row r="1888" spans="1:16" x14ac:dyDescent="0.35">
      <c r="A1888" s="1">
        <v>41306</v>
      </c>
      <c r="B1888" t="s">
        <v>21</v>
      </c>
      <c r="C1888" s="2">
        <v>8902</v>
      </c>
      <c r="D1888" s="5" t="s">
        <v>17</v>
      </c>
      <c r="E1888" s="2">
        <f>IF(Tabla2[[#This Row],[Frecuencia]]="Annual", Tabla2[[#This Row],[Cosecha/Tarea]]/12,Tabla2[[#This Row],[Cosecha/Tarea]])</f>
        <v>8902</v>
      </c>
      <c r="F1888" s="2">
        <v>99010</v>
      </c>
      <c r="G1888" t="s">
        <v>18</v>
      </c>
      <c r="H1888">
        <f>F1888/Tabla2[[#This Row],[Cosecha Mensual]]</f>
        <v>11.122219725904291</v>
      </c>
      <c r="I1888">
        <f>H1888*_xlfn.XLOOKUP(Tabla2[[#This Row],[Unidad de producción]],Tabla3[Medida],Tabla3[Equivalencia en Kg],"ELVIS",0)</f>
        <v>504.50388676701863</v>
      </c>
      <c r="J1888">
        <v>499.32533333333299</v>
      </c>
      <c r="K1888" t="s">
        <v>18</v>
      </c>
      <c r="L1888">
        <f>J1888/_xlfn.XLOOKUP(Tabla2[[#This Row],[Unidad de precio]],Tabla3[Medida],Tabla3[Equivalencia en Kg],"ELVIS",0)</f>
        <v>11.008054085831857</v>
      </c>
      <c r="M1888">
        <v>4893.7504664999997</v>
      </c>
      <c r="N1888" s="2">
        <f>(Tabla2[[#This Row],[Productividad (kg/TAS)]]*Tabla2[[#This Row],[Precio por kg]]-Tabla2[[#This Row],[Costos (En RD$/Tarea)]])</f>
        <v>659.85560554373205</v>
      </c>
      <c r="O1888" s="6">
        <f>IF(Tabla2[[#This Row],[Costos (En RD$/Tarea)]]=0,0,Tabla2[[#This Row],[Beneficio Neto  (En RD$/Tarea)]]/Tabla2[[#This Row],[Costos (En RD$/Tarea)]])</f>
        <v>0.13483638163832645</v>
      </c>
      <c r="P1888" s="4">
        <f>Tabla2[[#This Row],[Rentabilidad (%)]]/12</f>
        <v>1.1236365136527204E-2</v>
      </c>
    </row>
    <row r="1889" spans="1:16" x14ac:dyDescent="0.35">
      <c r="A1889" s="1">
        <v>41306</v>
      </c>
      <c r="B1889" t="s">
        <v>22</v>
      </c>
      <c r="C1889" s="2">
        <v>10710</v>
      </c>
      <c r="D1889" s="5" t="s">
        <v>17</v>
      </c>
      <c r="E1889" s="2">
        <f>IF(Tabla2[[#This Row],[Frecuencia]]="Annual", Tabla2[[#This Row],[Cosecha/Tarea]]/12,Tabla2[[#This Row],[Cosecha/Tarea]])</f>
        <v>10710</v>
      </c>
      <c r="F1889" s="2">
        <v>84810</v>
      </c>
      <c r="G1889" t="s">
        <v>18</v>
      </c>
      <c r="H1889">
        <f>F1889/Tabla2[[#This Row],[Cosecha Mensual]]</f>
        <v>7.9187675070028014</v>
      </c>
      <c r="I1889">
        <f>H1889*_xlfn.XLOOKUP(Tabla2[[#This Row],[Unidad de producción]],Tabla3[Medida],Tabla3[Equivalencia en Kg],"ELVIS",0)</f>
        <v>359.19529411764705</v>
      </c>
      <c r="J1889">
        <v>1028.875</v>
      </c>
      <c r="K1889" t="s">
        <v>18</v>
      </c>
      <c r="L1889">
        <f>J1889/_xlfn.XLOOKUP(Tabla2[[#This Row],[Unidad de precio]],Tabla3[Medida],Tabla3[Equivalencia en Kg],"ELVIS",0)</f>
        <v>22.682429453262788</v>
      </c>
      <c r="M1889">
        <v>8667.0620736000001</v>
      </c>
      <c r="N1889" s="2">
        <f>(Tabla2[[#This Row],[Productividad (kg/TAS)]]*Tabla2[[#This Row],[Precio por kg]]-Tabla2[[#This Row],[Costos (En RD$/Tarea)]])</f>
        <v>-519.64015483249295</v>
      </c>
      <c r="O1889" s="6">
        <f>IF(Tabla2[[#This Row],[Costos (En RD$/Tarea)]]=0,0,Tabla2[[#This Row],[Beneficio Neto  (En RD$/Tarea)]]/Tabla2[[#This Row],[Costos (En RD$/Tarea)]])</f>
        <v>-5.9955743990264543E-2</v>
      </c>
      <c r="P1889" s="4">
        <f>Tabla2[[#This Row],[Rentabilidad (%)]]/12</f>
        <v>-4.9963119991887116E-3</v>
      </c>
    </row>
    <row r="1890" spans="1:16" x14ac:dyDescent="0.35">
      <c r="A1890" s="1">
        <v>41306</v>
      </c>
      <c r="B1890" t="s">
        <v>23</v>
      </c>
      <c r="C1890" s="2">
        <v>3769</v>
      </c>
      <c r="D1890" s="5" t="s">
        <v>17</v>
      </c>
      <c r="E1890" s="2">
        <f>IF(Tabla2[[#This Row],[Frecuencia]]="Annual", Tabla2[[#This Row],[Cosecha/Tarea]]/12,Tabla2[[#This Row],[Cosecha/Tarea]])</f>
        <v>3769</v>
      </c>
      <c r="F1890" s="2">
        <v>132785</v>
      </c>
      <c r="G1890" t="s">
        <v>18</v>
      </c>
      <c r="H1890">
        <f>F1890/Tabla2[[#This Row],[Cosecha Mensual]]</f>
        <v>35.230830459007692</v>
      </c>
      <c r="I1890">
        <f>H1890*_xlfn.XLOOKUP(Tabla2[[#This Row],[Unidad de producción]],Tabla3[Medida],Tabla3[Equivalencia en Kg],"ELVIS",0)</f>
        <v>1598.0704696205889</v>
      </c>
      <c r="J1890">
        <v>1031.25</v>
      </c>
      <c r="K1890" t="s">
        <v>18</v>
      </c>
      <c r="L1890">
        <f>J1890/_xlfn.XLOOKUP(Tabla2[[#This Row],[Unidad de precio]],Tabla3[Medida],Tabla3[Equivalencia en Kg],"ELVIS",0)</f>
        <v>22.734788359788361</v>
      </c>
      <c r="M1890">
        <v>24550.120818416199</v>
      </c>
      <c r="N1890" s="2">
        <f>(Tabla2[[#This Row],[Productividad (kg/TAS)]]*Tabla2[[#This Row],[Precio por kg]]-Tabla2[[#This Row],[Costos (En RD$/Tarea)]])</f>
        <v>11781.673092435489</v>
      </c>
      <c r="O1890" s="6">
        <f>IF(Tabla2[[#This Row],[Costos (En RD$/Tarea)]]=0,0,Tabla2[[#This Row],[Beneficio Neto  (En RD$/Tarea)]]/Tabla2[[#This Row],[Costos (En RD$/Tarea)]])</f>
        <v>0.47990285585875825</v>
      </c>
      <c r="P1890" s="4">
        <f>Tabla2[[#This Row],[Rentabilidad (%)]]/12</f>
        <v>3.9991904654896521E-2</v>
      </c>
    </row>
    <row r="1891" spans="1:16" x14ac:dyDescent="0.35">
      <c r="A1891" s="1">
        <v>41306</v>
      </c>
      <c r="B1891" t="s">
        <v>24</v>
      </c>
      <c r="C1891" s="2">
        <v>8120</v>
      </c>
      <c r="D1891" s="5" t="s">
        <v>17</v>
      </c>
      <c r="E1891" s="2">
        <f>IF(Tabla2[[#This Row],[Frecuencia]]="Annual", Tabla2[[#This Row],[Cosecha/Tarea]]/12,Tabla2[[#This Row],[Cosecha/Tarea]])</f>
        <v>8120</v>
      </c>
      <c r="F1891" s="2">
        <v>62310</v>
      </c>
      <c r="G1891" t="s">
        <v>18</v>
      </c>
      <c r="H1891">
        <f>F1891/Tabla2[[#This Row],[Cosecha Mensual]]</f>
        <v>7.6736453201970445</v>
      </c>
      <c r="I1891">
        <f>H1891*_xlfn.XLOOKUP(Tabla2[[#This Row],[Unidad de producción]],Tabla3[Medida],Tabla3[Equivalencia en Kg],"ELVIS",0)</f>
        <v>348.07655172413791</v>
      </c>
      <c r="J1891">
        <v>1547.2916666666699</v>
      </c>
      <c r="K1891" t="s">
        <v>18</v>
      </c>
      <c r="L1891">
        <f>J1891/_xlfn.XLOOKUP(Tabla2[[#This Row],[Unidad de precio]],Tabla3[Medida],Tabla3[Equivalencia en Kg],"ELVIS",0)</f>
        <v>34.111368312757271</v>
      </c>
      <c r="M1891">
        <v>8436.0023040464603</v>
      </c>
      <c r="N1891" s="2">
        <f>(Tabla2[[#This Row],[Productividad (kg/TAS)]]*Tabla2[[#This Row],[Precio por kg]]-Tabla2[[#This Row],[Costos (En RD$/Tarea)]])</f>
        <v>3437.3651528501159</v>
      </c>
      <c r="O1891" s="6">
        <f>IF(Tabla2[[#This Row],[Costos (En RD$/Tarea)]]=0,0,Tabla2[[#This Row],[Beneficio Neto  (En RD$/Tarea)]]/Tabla2[[#This Row],[Costos (En RD$/Tarea)]])</f>
        <v>0.40746375225636555</v>
      </c>
      <c r="P1891" s="4">
        <f>Tabla2[[#This Row],[Rentabilidad (%)]]/12</f>
        <v>3.395531268803046E-2</v>
      </c>
    </row>
    <row r="1892" spans="1:16" x14ac:dyDescent="0.35">
      <c r="A1892" s="1">
        <v>41306</v>
      </c>
      <c r="B1892" t="s">
        <v>25</v>
      </c>
      <c r="C1892" s="2">
        <v>70102</v>
      </c>
      <c r="D1892" s="5" t="s">
        <v>17</v>
      </c>
      <c r="E1892" s="2">
        <f>IF(Tabla2[[#This Row],[Frecuencia]]="Annual", Tabla2[[#This Row],[Cosecha/Tarea]]/12,Tabla2[[#This Row],[Cosecha/Tarea]])</f>
        <v>70102</v>
      </c>
      <c r="F1892" s="2">
        <v>537410</v>
      </c>
      <c r="G1892" t="s">
        <v>18</v>
      </c>
      <c r="H1892">
        <f>F1892/Tabla2[[#This Row],[Cosecha Mensual]]</f>
        <v>7.6661150894411003</v>
      </c>
      <c r="I1892">
        <f>H1892*_xlfn.XLOOKUP(Tabla2[[#This Row],[Unidad de producción]],Tabla3[Medida],Tabla3[Equivalencia en Kg],"ELVIS",0)</f>
        <v>347.73498045704832</v>
      </c>
      <c r="J1892">
        <v>449.90718500000003</v>
      </c>
      <c r="K1892" t="s">
        <v>18</v>
      </c>
      <c r="L1892">
        <f>J1892/_xlfn.XLOOKUP(Tabla2[[#This Row],[Unidad de precio]],Tabla3[Medida],Tabla3[Equivalencia en Kg],"ELVIS",0)</f>
        <v>9.9185887345679014</v>
      </c>
      <c r="M1892">
        <v>4461.1940527534698</v>
      </c>
      <c r="N1892" s="2">
        <f>(Tabla2[[#This Row],[Productividad (kg/TAS)]]*Tabla2[[#This Row],[Precio por kg]]-Tabla2[[#This Row],[Costos (En RD$/Tarea)]])</f>
        <v>-1012.1537929770011</v>
      </c>
      <c r="O1892" s="6">
        <f>IF(Tabla2[[#This Row],[Costos (En RD$/Tarea)]]=0,0,Tabla2[[#This Row],[Beneficio Neto  (En RD$/Tarea)]]/Tabla2[[#This Row],[Costos (En RD$/Tarea)]])</f>
        <v>-0.22687957103150333</v>
      </c>
      <c r="P1892" s="4">
        <f>Tabla2[[#This Row],[Rentabilidad (%)]]/12</f>
        <v>-1.8906630919291945E-2</v>
      </c>
    </row>
    <row r="1893" spans="1:16" x14ac:dyDescent="0.35">
      <c r="A1893" s="1">
        <v>41306</v>
      </c>
      <c r="B1893" t="s">
        <v>26</v>
      </c>
      <c r="C1893" s="2">
        <v>12131</v>
      </c>
      <c r="D1893" s="5" t="s">
        <v>17</v>
      </c>
      <c r="E1893" s="2">
        <f>IF(Tabla2[[#This Row],[Frecuencia]]="Annual", Tabla2[[#This Row],[Cosecha/Tarea]]/12,Tabla2[[#This Row],[Cosecha/Tarea]])</f>
        <v>12131</v>
      </c>
      <c r="F1893" s="2">
        <v>82668</v>
      </c>
      <c r="G1893" t="s">
        <v>18</v>
      </c>
      <c r="H1893">
        <f>F1893/Tabla2[[#This Row],[Cosecha Mensual]]</f>
        <v>6.8146072046822193</v>
      </c>
      <c r="I1893">
        <f>H1893*_xlfn.XLOOKUP(Tabla2[[#This Row],[Unidad de producción]],Tabla3[Medida],Tabla3[Equivalencia en Kg],"ELVIS",0)</f>
        <v>309.11058280438544</v>
      </c>
      <c r="J1893">
        <v>695.76333333333298</v>
      </c>
      <c r="K1893" t="s">
        <v>18</v>
      </c>
      <c r="L1893">
        <f>J1893/_xlfn.XLOOKUP(Tabla2[[#This Row],[Unidad de precio]],Tabla3[Medida],Tabla3[Equivalencia en Kg],"ELVIS",0)</f>
        <v>15.338697824808929</v>
      </c>
      <c r="M1893">
        <v>1856.8216170000001</v>
      </c>
      <c r="N1893" s="2">
        <f>(Tabla2[[#This Row],[Productividad (kg/TAS)]]*Tabla2[[#This Row],[Precio por kg]]-Tabla2[[#This Row],[Costos (En RD$/Tarea)]])</f>
        <v>2884.5322070870475</v>
      </c>
      <c r="O1893" s="6">
        <f>IF(Tabla2[[#This Row],[Costos (En RD$/Tarea)]]=0,0,Tabla2[[#This Row],[Beneficio Neto  (En RD$/Tarea)]]/Tabla2[[#This Row],[Costos (En RD$/Tarea)]])</f>
        <v>1.5534783636068834</v>
      </c>
      <c r="P1893" s="4">
        <f>Tabla2[[#This Row],[Rentabilidad (%)]]/12</f>
        <v>0.12945653030057361</v>
      </c>
    </row>
    <row r="1894" spans="1:16" x14ac:dyDescent="0.35">
      <c r="A1894" s="1">
        <v>41306</v>
      </c>
      <c r="B1894" t="s">
        <v>27</v>
      </c>
      <c r="C1894" s="2">
        <v>6310</v>
      </c>
      <c r="D1894" s="5" t="s">
        <v>17</v>
      </c>
      <c r="E1894" s="2">
        <f>IF(Tabla2[[#This Row],[Frecuencia]]="Annual", Tabla2[[#This Row],[Cosecha/Tarea]]/12,Tabla2[[#This Row],[Cosecha/Tarea]])</f>
        <v>6310</v>
      </c>
      <c r="F1894" s="2">
        <v>42010</v>
      </c>
      <c r="G1894" t="s">
        <v>18</v>
      </c>
      <c r="H1894">
        <f>F1894/Tabla2[[#This Row],[Cosecha Mensual]]</f>
        <v>6.6576862123613312</v>
      </c>
      <c r="I1894">
        <f>H1894*_xlfn.XLOOKUP(Tabla2[[#This Row],[Unidad de producción]],Tabla3[Medida],Tabla3[Equivalencia en Kg],"ELVIS",0)</f>
        <v>301.99264659271</v>
      </c>
      <c r="J1894">
        <v>526.12639999999999</v>
      </c>
      <c r="K1894" t="s">
        <v>18</v>
      </c>
      <c r="L1894">
        <f>J1894/_xlfn.XLOOKUP(Tabla2[[#This Row],[Unidad de precio]],Tabla3[Medida],Tabla3[Equivalencia en Kg],"ELVIS",0)</f>
        <v>11.598906525573192</v>
      </c>
      <c r="M1894">
        <v>7498.499866956</v>
      </c>
      <c r="N1894" s="2">
        <f>(Tabla2[[#This Row],[Productividad (kg/TAS)]]*Tabla2[[#This Row],[Precio por kg]]-Tabla2[[#This Row],[Costos (En RD$/Tarea)]])</f>
        <v>-3995.7153877166975</v>
      </c>
      <c r="O1894" s="6">
        <f>IF(Tabla2[[#This Row],[Costos (En RD$/Tarea)]]=0,0,Tabla2[[#This Row],[Beneficio Neto  (En RD$/Tarea)]]/Tabla2[[#This Row],[Costos (En RD$/Tarea)]])</f>
        <v>-0.53286863487519798</v>
      </c>
      <c r="P1894" s="4">
        <f>Tabla2[[#This Row],[Rentabilidad (%)]]/12</f>
        <v>-4.4405719572933162E-2</v>
      </c>
    </row>
    <row r="1895" spans="1:16" x14ac:dyDescent="0.35">
      <c r="A1895" s="1">
        <v>41306</v>
      </c>
      <c r="B1895" t="s">
        <v>28</v>
      </c>
      <c r="C1895" s="2">
        <v>84100</v>
      </c>
      <c r="D1895" s="5" t="s">
        <v>17</v>
      </c>
      <c r="E1895" s="2">
        <f>IF(Tabla2[[#This Row],[Frecuencia]]="Annual", Tabla2[[#This Row],[Cosecha/Tarea]]/12,Tabla2[[#This Row],[Cosecha/Tarea]])</f>
        <v>84100</v>
      </c>
      <c r="F1895" s="2">
        <v>94079</v>
      </c>
      <c r="G1895" t="s">
        <v>29</v>
      </c>
      <c r="H1895">
        <f>F1895/Tabla2[[#This Row],[Cosecha Mensual]]</f>
        <v>1.1186563614744351</v>
      </c>
      <c r="I1895">
        <f>H1895*_xlfn.XLOOKUP(Tabla2[[#This Row],[Unidad de producción]],Tabla3[Medida],Tabla3[Equivalencia en Kg],"ELVIS",0)</f>
        <v>629.06521831153384</v>
      </c>
      <c r="J1895">
        <v>6140</v>
      </c>
      <c r="K1895" t="s">
        <v>29</v>
      </c>
      <c r="L1895">
        <f>J1895/_xlfn.XLOOKUP(Tabla2[[#This Row],[Unidad de precio]],Tabla3[Medida],Tabla3[Equivalencia en Kg],"ELVIS",0)</f>
        <v>10.918661308105417</v>
      </c>
      <c r="M1895">
        <v>6492.5610346041303</v>
      </c>
      <c r="N1895" s="2">
        <f>(Tabla2[[#This Row],[Productividad (kg/TAS)]]*Tabla2[[#This Row],[Precio por kg]]-Tabla2[[#This Row],[Costos (En RD$/Tarea)]])</f>
        <v>375.98902484890186</v>
      </c>
      <c r="O1895" s="6">
        <f>IF(Tabla2[[#This Row],[Costos (En RD$/Tarea)]]=0,0,Tabla2[[#This Row],[Beneficio Neto  (En RD$/Tarea)]]/Tabla2[[#This Row],[Costos (En RD$/Tarea)]])</f>
        <v>5.7910741669573995E-2</v>
      </c>
      <c r="P1895" s="4">
        <f>Tabla2[[#This Row],[Rentabilidad (%)]]/12</f>
        <v>4.825895139131166E-3</v>
      </c>
    </row>
    <row r="1896" spans="1:16" x14ac:dyDescent="0.35">
      <c r="A1896" s="1">
        <v>41306</v>
      </c>
      <c r="B1896" t="s">
        <v>30</v>
      </c>
      <c r="C1896" s="2">
        <v>373687</v>
      </c>
      <c r="D1896" s="2" t="s">
        <v>31</v>
      </c>
      <c r="E1896" s="2">
        <f>IF(Tabla2[[#This Row],[Frecuencia]]="Annual", Tabla2[[#This Row],[Cosecha/Tarea]]/12,Tabla2[[#This Row],[Cosecha/Tarea]])</f>
        <v>31140.583333333332</v>
      </c>
      <c r="F1896" s="2">
        <v>2634477</v>
      </c>
      <c r="G1896" t="s">
        <v>32</v>
      </c>
      <c r="H1896">
        <f>F1896/Tabla2[[#This Row],[Cosecha Mensual]]</f>
        <v>84.599474961665777</v>
      </c>
      <c r="I1896">
        <f>H1896*_xlfn.XLOOKUP(Tabla2[[#This Row],[Unidad de producción]],Tabla3[Medida],Tabla3[Equivalencia en Kg],"ELVIS",0)</f>
        <v>2301.9517137069261</v>
      </c>
      <c r="J1896">
        <v>175.32</v>
      </c>
      <c r="K1896" t="s">
        <v>32</v>
      </c>
      <c r="L1896">
        <f>J1896/_xlfn.XLOOKUP(Tabla2[[#This Row],[Unidad de precio]],Tabla3[Medida],Tabla3[Equivalencia en Kg],"ELVIS",0)</f>
        <v>6.4432194046306499</v>
      </c>
      <c r="M1896" s="2">
        <v>11852.2845542745</v>
      </c>
      <c r="N1896" s="2">
        <f>(Tabla2[[#This Row],[Productividad (kg/TAS)]]*Tabla2[[#This Row],[Precio por kg]]-Tabla2[[#This Row],[Costos (En RD$/Tarea)]])</f>
        <v>2979.6953960047449</v>
      </c>
      <c r="O1896" s="6">
        <f>IF(Tabla2[[#This Row],[Costos (En RD$/Tarea)]]=0,0,Tabla2[[#This Row],[Beneficio Neto  (En RD$/Tarea)]]/Tabla2[[#This Row],[Costos (En RD$/Tarea)]])</f>
        <v>0.25140262051252593</v>
      </c>
      <c r="P1896" s="4">
        <f>Tabla2[[#This Row],[Rentabilidad (%)]]/12</f>
        <v>2.0950218376043828E-2</v>
      </c>
    </row>
    <row r="1897" spans="1:16" x14ac:dyDescent="0.35">
      <c r="A1897" s="1">
        <v>41306</v>
      </c>
      <c r="B1897" t="s">
        <v>33</v>
      </c>
      <c r="C1897" s="2">
        <v>721041</v>
      </c>
      <c r="D1897" s="2" t="s">
        <v>31</v>
      </c>
      <c r="E1897" s="8">
        <f>IF(Tabla2[[#This Row],[Frecuencia]]="Annual", Tabla2[[#This Row],[Cosecha/Tarea]]/12,Tabla2[[#This Row],[Cosecha/Tarea]])</f>
        <v>60086.75</v>
      </c>
      <c r="F1897" s="2">
        <v>144874</v>
      </c>
      <c r="G1897" t="s">
        <v>34</v>
      </c>
      <c r="H1897">
        <f>F1897/Tabla2[[#This Row],[Cosecha Mensual]]</f>
        <v>2.4110806458994705</v>
      </c>
      <c r="I1897">
        <f>H1897*_xlfn.XLOOKUP(Tabla2[[#This Row],[Unidad de producción]],Tabla3[Medida],Tabla3[Equivalencia en Kg],"ELVIS",0)</f>
        <v>984.08256562386885</v>
      </c>
      <c r="J1897">
        <v>5157.6108333333304</v>
      </c>
      <c r="K1897" t="s">
        <v>34</v>
      </c>
      <c r="L1897">
        <f>J1897/_xlfn.XLOOKUP(Tabla2[[#This Row],[Unidad de precio]],Tabla3[Medida],Tabla3[Equivalencia en Kg],"ELVIS",0)</f>
        <v>12.636557229776628</v>
      </c>
      <c r="M1897" s="2">
        <v>11461.359791266201</v>
      </c>
      <c r="N1897" s="2">
        <f>(Tabla2[[#This Row],[Productividad (kg/TAS)]]*Tabla2[[#This Row],[Precio por kg]]-Tabla2[[#This Row],[Costos (En RD$/Tarea)]])</f>
        <v>974.05586806523206</v>
      </c>
      <c r="O1897" s="6">
        <f>IF(Tabla2[[#This Row],[Costos (En RD$/Tarea)]]=0,0,Tabla2[[#This Row],[Beneficio Neto  (En RD$/Tarea)]]/Tabla2[[#This Row],[Costos (En RD$/Tarea)]])</f>
        <v>8.498606498746189E-2</v>
      </c>
      <c r="P1897" s="4">
        <f>Tabla2[[#This Row],[Rentabilidad (%)]]/12</f>
        <v>7.0821720822884906E-3</v>
      </c>
    </row>
    <row r="1898" spans="1:16" x14ac:dyDescent="0.35">
      <c r="A1898" s="1">
        <v>41334</v>
      </c>
      <c r="B1898" t="s">
        <v>16</v>
      </c>
      <c r="C1898" s="2">
        <v>20079</v>
      </c>
      <c r="D1898" s="5" t="s">
        <v>17</v>
      </c>
      <c r="E1898" s="2">
        <f>IF(Tabla2[[#This Row],[Frecuencia]]="Annual", Tabla2[[#This Row],[Cosecha/Tarea]]/12,Tabla2[[#This Row],[Cosecha/Tarea]])</f>
        <v>20079</v>
      </c>
      <c r="F1898" s="2">
        <v>88051</v>
      </c>
      <c r="G1898" t="s">
        <v>18</v>
      </c>
      <c r="H1898">
        <f>F1898/Tabla2[[#This Row],[Cosecha Mensual]]</f>
        <v>4.3852283480252998</v>
      </c>
      <c r="I1898">
        <f>H1898*_xlfn.XLOOKUP(Tabla2[[#This Row],[Unidad de producción]],Tabla3[Medida],Tabla3[Equivalencia en Kg],"ELVIS",0)</f>
        <v>198.91395786642761</v>
      </c>
      <c r="J1898">
        <v>1859.3422116357101</v>
      </c>
      <c r="K1898" t="s">
        <v>19</v>
      </c>
      <c r="L1898">
        <f>J1898/_xlfn.XLOOKUP(Tabla2[[#This Row],[Unidad de precio]],Tabla3[Medida],Tabla3[Equivalencia en Kg],"ELVIS",0)</f>
        <v>16.903111014870092</v>
      </c>
      <c r="M1898">
        <v>7832.6079700315504</v>
      </c>
      <c r="N1898" s="2">
        <f>(Tabla2[[#This Row],[Productividad (kg/TAS)]]*Tabla2[[#This Row],[Precio por kg]]-Tabla2[[#This Row],[Costos (En RD$/Tarea)]])</f>
        <v>-4470.343257808132</v>
      </c>
      <c r="O1898" s="6">
        <f>IF(Tabla2[[#This Row],[Costos (En RD$/Tarea)]]=0,0,Tabla2[[#This Row],[Beneficio Neto  (En RD$/Tarea)]]/Tabla2[[#This Row],[Costos (En RD$/Tarea)]])</f>
        <v>-0.57073496783091582</v>
      </c>
      <c r="P1898" s="4">
        <f>Tabla2[[#This Row],[Rentabilidad (%)]]/12</f>
        <v>-4.7561247319242987E-2</v>
      </c>
    </row>
    <row r="1899" spans="1:16" x14ac:dyDescent="0.35">
      <c r="A1899" s="1">
        <v>41334</v>
      </c>
      <c r="B1899" t="s">
        <v>20</v>
      </c>
      <c r="C1899" s="2">
        <v>17905</v>
      </c>
      <c r="D1899" s="5" t="s">
        <v>17</v>
      </c>
      <c r="E1899" s="2">
        <f>IF(Tabla2[[#This Row],[Frecuencia]]="Annual", Tabla2[[#This Row],[Cosecha/Tarea]]/12,Tabla2[[#This Row],[Cosecha/Tarea]])</f>
        <v>17905</v>
      </c>
      <c r="F1899" s="2">
        <v>33848</v>
      </c>
      <c r="G1899" t="s">
        <v>18</v>
      </c>
      <c r="H1899">
        <f>F1899/Tabla2[[#This Row],[Cosecha Mensual]]</f>
        <v>1.8904216699246021</v>
      </c>
      <c r="I1899">
        <f>H1899*_xlfn.XLOOKUP(Tabla2[[#This Row],[Unidad de producción]],Tabla3[Medida],Tabla3[Equivalencia en Kg],"ELVIS",0)</f>
        <v>85.749526947779955</v>
      </c>
      <c r="J1899">
        <v>764.93799999999999</v>
      </c>
      <c r="K1899" t="s">
        <v>18</v>
      </c>
      <c r="L1899">
        <f>J1899/_xlfn.XLOOKUP(Tabla2[[#This Row],[Unidad de precio]],Tabla3[Medida],Tabla3[Equivalencia en Kg],"ELVIS",0)</f>
        <v>16.863712522045855</v>
      </c>
      <c r="M1899">
        <v>2208.9263820000001</v>
      </c>
      <c r="N1899" s="2">
        <f>(Tabla2[[#This Row],[Productividad (kg/TAS)]]*Tabla2[[#This Row],[Precio por kg]]-Tabla2[[#This Row],[Costos (En RD$/Tarea)]])</f>
        <v>-762.87101065121487</v>
      </c>
      <c r="O1899" s="6">
        <f>IF(Tabla2[[#This Row],[Costos (En RD$/Tarea)]]=0,0,Tabla2[[#This Row],[Beneficio Neto  (En RD$/Tarea)]]/Tabla2[[#This Row],[Costos (En RD$/Tarea)]])</f>
        <v>-0.34535827760837295</v>
      </c>
      <c r="P1899" s="4">
        <f>Tabla2[[#This Row],[Rentabilidad (%)]]/12</f>
        <v>-2.8779856467364414E-2</v>
      </c>
    </row>
    <row r="1900" spans="1:16" x14ac:dyDescent="0.35">
      <c r="A1900" s="1">
        <v>41334</v>
      </c>
      <c r="B1900" t="s">
        <v>21</v>
      </c>
      <c r="C1900" s="2">
        <v>8286</v>
      </c>
      <c r="D1900" s="5" t="s">
        <v>17</v>
      </c>
      <c r="E1900" s="2">
        <f>IF(Tabla2[[#This Row],[Frecuencia]]="Annual", Tabla2[[#This Row],[Cosecha/Tarea]]/12,Tabla2[[#This Row],[Cosecha/Tarea]])</f>
        <v>8286</v>
      </c>
      <c r="F1900" s="2">
        <v>90803</v>
      </c>
      <c r="G1900" t="s">
        <v>18</v>
      </c>
      <c r="H1900">
        <f>F1900/Tabla2[[#This Row],[Cosecha Mensual]]</f>
        <v>10.958604875693942</v>
      </c>
      <c r="I1900">
        <f>H1900*_xlfn.XLOOKUP(Tabla2[[#This Row],[Unidad de producción]],Tabla3[Medida],Tabla3[Equivalencia en Kg],"ELVIS",0)</f>
        <v>497.08231716147719</v>
      </c>
      <c r="J1900">
        <v>506.21600000000001</v>
      </c>
      <c r="K1900" t="s">
        <v>18</v>
      </c>
      <c r="L1900">
        <f>J1900/_xlfn.XLOOKUP(Tabla2[[#This Row],[Unidad de precio]],Tabla3[Medida],Tabla3[Equivalencia en Kg],"ELVIS",0)</f>
        <v>11.159964726631394</v>
      </c>
      <c r="M1900">
        <v>4893.7504664999997</v>
      </c>
      <c r="N1900" s="2">
        <f>(Tabla2[[#This Row],[Productividad (kg/TAS)]]*Tabla2[[#This Row],[Precio por kg]]-Tabla2[[#This Row],[Costos (En RD$/Tarea)]])</f>
        <v>653.67065925428506</v>
      </c>
      <c r="O1900" s="6">
        <f>IF(Tabla2[[#This Row],[Costos (En RD$/Tarea)]]=0,0,Tabla2[[#This Row],[Beneficio Neto  (En RD$/Tarea)]]/Tabla2[[#This Row],[Costos (En RD$/Tarea)]])</f>
        <v>0.13357253577373121</v>
      </c>
      <c r="P1900" s="4">
        <f>Tabla2[[#This Row],[Rentabilidad (%)]]/12</f>
        <v>1.1131044647810935E-2</v>
      </c>
    </row>
    <row r="1901" spans="1:16" x14ac:dyDescent="0.35">
      <c r="A1901" s="1">
        <v>41334</v>
      </c>
      <c r="B1901" t="s">
        <v>22</v>
      </c>
      <c r="C1901" s="2">
        <v>5029</v>
      </c>
      <c r="D1901" s="5" t="s">
        <v>17</v>
      </c>
      <c r="E1901" s="2">
        <f>IF(Tabla2[[#This Row],[Frecuencia]]="Annual", Tabla2[[#This Row],[Cosecha/Tarea]]/12,Tabla2[[#This Row],[Cosecha/Tarea]])</f>
        <v>5029</v>
      </c>
      <c r="F1901" s="2">
        <v>47026</v>
      </c>
      <c r="G1901" t="s">
        <v>18</v>
      </c>
      <c r="H1901">
        <f>F1901/Tabla2[[#This Row],[Cosecha Mensual]]</f>
        <v>9.3509644064426336</v>
      </c>
      <c r="I1901">
        <f>H1901*_xlfn.XLOOKUP(Tabla2[[#This Row],[Unidad de producción]],Tabla3[Medida],Tabla3[Equivalencia en Kg],"ELVIS",0)</f>
        <v>424.15974547623784</v>
      </c>
      <c r="J1901">
        <v>1106.9000000000001</v>
      </c>
      <c r="K1901" t="s">
        <v>18</v>
      </c>
      <c r="L1901">
        <f>J1901/_xlfn.XLOOKUP(Tabla2[[#This Row],[Unidad de precio]],Tabla3[Medida],Tabla3[Equivalencia en Kg],"ELVIS",0)</f>
        <v>24.402557319223988</v>
      </c>
      <c r="M1901">
        <v>8667.0620736000001</v>
      </c>
      <c r="N1901" s="2">
        <f>(Tabla2[[#This Row],[Productividad (kg/TAS)]]*Tabla2[[#This Row],[Precio por kg]]-Tabla2[[#This Row],[Costos (En RD$/Tarea)]])</f>
        <v>1683.5204278913516</v>
      </c>
      <c r="O1901" s="6">
        <f>IF(Tabla2[[#This Row],[Costos (En RD$/Tarea)]]=0,0,Tabla2[[#This Row],[Beneficio Neto  (En RD$/Tarea)]]/Tabla2[[#This Row],[Costos (En RD$/Tarea)]])</f>
        <v>0.19424349492308124</v>
      </c>
      <c r="P1901" s="4">
        <f>Tabla2[[#This Row],[Rentabilidad (%)]]/12</f>
        <v>1.6186957910256771E-2</v>
      </c>
    </row>
    <row r="1902" spans="1:16" x14ac:dyDescent="0.35">
      <c r="A1902" s="1">
        <v>41334</v>
      </c>
      <c r="B1902" t="s">
        <v>23</v>
      </c>
      <c r="C1902" s="2">
        <v>1911</v>
      </c>
      <c r="D1902" s="5" t="s">
        <v>17</v>
      </c>
      <c r="E1902" s="2">
        <f>IF(Tabla2[[#This Row],[Frecuencia]]="Annual", Tabla2[[#This Row],[Cosecha/Tarea]]/12,Tabla2[[#This Row],[Cosecha/Tarea]])</f>
        <v>1911</v>
      </c>
      <c r="F1902" s="2">
        <v>66565</v>
      </c>
      <c r="G1902" t="s">
        <v>18</v>
      </c>
      <c r="H1902">
        <f>F1902/Tabla2[[#This Row],[Cosecha Mensual]]</f>
        <v>34.832548403976972</v>
      </c>
      <c r="I1902">
        <f>H1902*_xlfn.XLOOKUP(Tabla2[[#This Row],[Unidad de producción]],Tabla3[Medida],Tabla3[Equivalencia en Kg],"ELVIS",0)</f>
        <v>1580.0043956043955</v>
      </c>
      <c r="J1902">
        <v>1187.5</v>
      </c>
      <c r="K1902" t="s">
        <v>18</v>
      </c>
      <c r="L1902">
        <f>J1902/_xlfn.XLOOKUP(Tabla2[[#This Row],[Unidad de precio]],Tabla3[Medida],Tabla3[Equivalencia en Kg],"ELVIS",0)</f>
        <v>26.179453262786595</v>
      </c>
      <c r="M1902">
        <v>24550.120818416199</v>
      </c>
      <c r="N1902" s="2">
        <f>(Tabla2[[#This Row],[Productividad (kg/TAS)]]*Tabla2[[#This Row],[Precio por kg]]-Tabla2[[#This Row],[Costos (En RD$/Tarea)]])</f>
        <v>16813.530411306452</v>
      </c>
      <c r="O1902" s="6">
        <f>IF(Tabla2[[#This Row],[Costos (En RD$/Tarea)]]=0,0,Tabla2[[#This Row],[Beneficio Neto  (En RD$/Tarea)]]/Tabla2[[#This Row],[Costos (En RD$/Tarea)]])</f>
        <v>0.68486548541520142</v>
      </c>
      <c r="P1902" s="4">
        <f>Tabla2[[#This Row],[Rentabilidad (%)]]/12</f>
        <v>5.7072123784600116E-2</v>
      </c>
    </row>
    <row r="1903" spans="1:16" x14ac:dyDescent="0.35">
      <c r="A1903" s="1">
        <v>41334</v>
      </c>
      <c r="B1903" t="s">
        <v>24</v>
      </c>
      <c r="C1903" s="2">
        <v>5427</v>
      </c>
      <c r="D1903" s="5" t="s">
        <v>17</v>
      </c>
      <c r="E1903" s="2">
        <f>IF(Tabla2[[#This Row],[Frecuencia]]="Annual", Tabla2[[#This Row],[Cosecha/Tarea]]/12,Tabla2[[#This Row],[Cosecha/Tarea]])</f>
        <v>5427</v>
      </c>
      <c r="F1903" s="2">
        <v>44806</v>
      </c>
      <c r="G1903" t="s">
        <v>18</v>
      </c>
      <c r="H1903">
        <f>F1903/Tabla2[[#This Row],[Cosecha Mensual]]</f>
        <v>8.2561267735397088</v>
      </c>
      <c r="I1903">
        <f>H1903*_xlfn.XLOOKUP(Tabla2[[#This Row],[Unidad de producción]],Tabla3[Medida],Tabla3[Equivalencia en Kg],"ELVIS",0)</f>
        <v>374.49791044776117</v>
      </c>
      <c r="J1903">
        <v>1426.875</v>
      </c>
      <c r="K1903" t="s">
        <v>18</v>
      </c>
      <c r="L1903">
        <f>J1903/_xlfn.XLOOKUP(Tabla2[[#This Row],[Unidad de precio]],Tabla3[Medida],Tabla3[Equivalencia en Kg],"ELVIS",0)</f>
        <v>31.456679894179896</v>
      </c>
      <c r="M1903">
        <v>8436.0023040464603</v>
      </c>
      <c r="N1903" s="2">
        <f>(Tabla2[[#This Row],[Productividad (kg/TAS)]]*Tabla2[[#This Row],[Precio por kg]]-Tabla2[[#This Row],[Costos (En RD$/Tarea)]])</f>
        <v>3344.4585859480121</v>
      </c>
      <c r="O1903" s="6">
        <f>IF(Tabla2[[#This Row],[Costos (En RD$/Tarea)]]=0,0,Tabla2[[#This Row],[Beneficio Neto  (En RD$/Tarea)]]/Tabla2[[#This Row],[Costos (En RD$/Tarea)]])</f>
        <v>0.3964506487087836</v>
      </c>
      <c r="P1903" s="4">
        <f>Tabla2[[#This Row],[Rentabilidad (%)]]/12</f>
        <v>3.3037554059065298E-2</v>
      </c>
    </row>
    <row r="1904" spans="1:16" x14ac:dyDescent="0.35">
      <c r="A1904" s="1">
        <v>41334</v>
      </c>
      <c r="B1904" t="s">
        <v>25</v>
      </c>
      <c r="C1904" s="2">
        <v>17203</v>
      </c>
      <c r="D1904" s="5" t="s">
        <v>17</v>
      </c>
      <c r="E1904" s="2">
        <f>IF(Tabla2[[#This Row],[Frecuencia]]="Annual", Tabla2[[#This Row],[Cosecha/Tarea]]/12,Tabla2[[#This Row],[Cosecha/Tarea]])</f>
        <v>17203</v>
      </c>
      <c r="F1904" s="2">
        <v>183796</v>
      </c>
      <c r="G1904" t="s">
        <v>18</v>
      </c>
      <c r="H1904">
        <f>F1904/Tabla2[[#This Row],[Cosecha Mensual]]</f>
        <v>10.683950473754578</v>
      </c>
      <c r="I1904">
        <f>H1904*_xlfn.XLOOKUP(Tabla2[[#This Row],[Unidad de producción]],Tabla3[Medida],Tabla3[Equivalencia en Kg],"ELVIS",0)</f>
        <v>484.62399348950765</v>
      </c>
      <c r="J1904">
        <v>514.80975000000001</v>
      </c>
      <c r="K1904" t="s">
        <v>18</v>
      </c>
      <c r="L1904">
        <f>J1904/_xlfn.XLOOKUP(Tabla2[[#This Row],[Unidad de precio]],Tabla3[Medida],Tabla3[Equivalencia en Kg],"ELVIS",0)</f>
        <v>11.349421296296297</v>
      </c>
      <c r="M1904">
        <v>4461.1940527534698</v>
      </c>
      <c r="N1904" s="2">
        <f>(Tabla2[[#This Row],[Productividad (kg/TAS)]]*Tabla2[[#This Row],[Precio por kg]]-Tabla2[[#This Row],[Costos (En RD$/Tarea)]])</f>
        <v>1039.0078196525064</v>
      </c>
      <c r="O1904" s="6">
        <f>IF(Tabla2[[#This Row],[Costos (En RD$/Tarea)]]=0,0,Tabla2[[#This Row],[Beneficio Neto  (En RD$/Tarea)]]/Tabla2[[#This Row],[Costos (En RD$/Tarea)]])</f>
        <v>0.23289904168396933</v>
      </c>
      <c r="P1904" s="4">
        <f>Tabla2[[#This Row],[Rentabilidad (%)]]/12</f>
        <v>1.9408253473664112E-2</v>
      </c>
    </row>
    <row r="1905" spans="1:16" x14ac:dyDescent="0.35">
      <c r="A1905" s="1">
        <v>41334</v>
      </c>
      <c r="B1905" t="s">
        <v>26</v>
      </c>
      <c r="C1905" s="2">
        <v>12677</v>
      </c>
      <c r="D1905" s="5" t="s">
        <v>17</v>
      </c>
      <c r="E1905" s="2">
        <f>IF(Tabla2[[#This Row],[Frecuencia]]="Annual", Tabla2[[#This Row],[Cosecha/Tarea]]/12,Tabla2[[#This Row],[Cosecha/Tarea]])</f>
        <v>12677</v>
      </c>
      <c r="F1905" s="2">
        <v>65703</v>
      </c>
      <c r="G1905" t="s">
        <v>18</v>
      </c>
      <c r="H1905">
        <f>F1905/Tabla2[[#This Row],[Cosecha Mensual]]</f>
        <v>5.1828508322158235</v>
      </c>
      <c r="I1905">
        <f>H1905*_xlfn.XLOOKUP(Tabla2[[#This Row],[Unidad de producción]],Tabla3[Medida],Tabla3[Equivalencia en Kg],"ELVIS",0)</f>
        <v>235.09411374930974</v>
      </c>
      <c r="J1905">
        <v>571.66600000000005</v>
      </c>
      <c r="K1905" t="s">
        <v>18</v>
      </c>
      <c r="L1905">
        <f>J1905/_xlfn.XLOOKUP(Tabla2[[#This Row],[Unidad de precio]],Tabla3[Medida],Tabla3[Equivalencia en Kg],"ELVIS",0)</f>
        <v>12.602865961199296</v>
      </c>
      <c r="M1905">
        <v>1856.8216170000001</v>
      </c>
      <c r="N1905" s="2">
        <f>(Tabla2[[#This Row],[Productividad (kg/TAS)]]*Tabla2[[#This Row],[Precio por kg]]-Tabla2[[#This Row],[Costos (En RD$/Tarea)]])</f>
        <v>1106.0379868494911</v>
      </c>
      <c r="O1905" s="6">
        <f>IF(Tabla2[[#This Row],[Costos (En RD$/Tarea)]]=0,0,Tabla2[[#This Row],[Beneficio Neto  (En RD$/Tarea)]]/Tabla2[[#This Row],[Costos (En RD$/Tarea)]])</f>
        <v>0.595661950896757</v>
      </c>
      <c r="P1905" s="4">
        <f>Tabla2[[#This Row],[Rentabilidad (%)]]/12</f>
        <v>4.9638495908063081E-2</v>
      </c>
    </row>
    <row r="1906" spans="1:16" x14ac:dyDescent="0.35">
      <c r="A1906" s="1">
        <v>41334</v>
      </c>
      <c r="B1906" t="s">
        <v>27</v>
      </c>
      <c r="C1906" s="2">
        <v>4407</v>
      </c>
      <c r="D1906" s="5" t="s">
        <v>17</v>
      </c>
      <c r="E1906" s="2">
        <f>IF(Tabla2[[#This Row],[Frecuencia]]="Annual", Tabla2[[#This Row],[Cosecha/Tarea]]/12,Tabla2[[#This Row],[Cosecha/Tarea]])</f>
        <v>4407</v>
      </c>
      <c r="F1906" s="2">
        <v>50377</v>
      </c>
      <c r="G1906" t="s">
        <v>18</v>
      </c>
      <c r="H1906">
        <f>F1906/Tabla2[[#This Row],[Cosecha Mensual]]</f>
        <v>11.431132289539368</v>
      </c>
      <c r="I1906">
        <f>H1906*_xlfn.XLOOKUP(Tabla2[[#This Row],[Unidad de producción]],Tabla3[Medida],Tabla3[Equivalencia en Kg],"ELVIS",0)</f>
        <v>518.51616065350572</v>
      </c>
      <c r="J1906">
        <v>602.21875</v>
      </c>
      <c r="K1906" t="s">
        <v>18</v>
      </c>
      <c r="L1906">
        <f>J1906/_xlfn.XLOOKUP(Tabla2[[#This Row],[Unidad de precio]],Tabla3[Medida],Tabla3[Equivalencia en Kg],"ELVIS",0)</f>
        <v>13.276427469135802</v>
      </c>
      <c r="M1906">
        <v>7498.499866956</v>
      </c>
      <c r="N1906" s="2">
        <f>(Tabla2[[#This Row],[Productividad (kg/TAS)]]*Tabla2[[#This Row],[Precio por kg]]-Tabla2[[#This Row],[Costos (En RD$/Tarea)]])</f>
        <v>-614.45766846496372</v>
      </c>
      <c r="O1906" s="6">
        <f>IF(Tabla2[[#This Row],[Costos (En RD$/Tarea)]]=0,0,Tabla2[[#This Row],[Beneficio Neto  (En RD$/Tarea)]]/Tabla2[[#This Row],[Costos (En RD$/Tarea)]])</f>
        <v>-8.194407939816388E-2</v>
      </c>
      <c r="P1906" s="4">
        <f>Tabla2[[#This Row],[Rentabilidad (%)]]/12</f>
        <v>-6.8286732831803233E-3</v>
      </c>
    </row>
    <row r="1907" spans="1:16" x14ac:dyDescent="0.35">
      <c r="A1907" s="1">
        <v>41334</v>
      </c>
      <c r="B1907" t="s">
        <v>28</v>
      </c>
      <c r="C1907" s="2">
        <v>54277</v>
      </c>
      <c r="D1907" s="5" t="s">
        <v>17</v>
      </c>
      <c r="E1907" s="2">
        <f>IF(Tabla2[[#This Row],[Frecuencia]]="Annual", Tabla2[[#This Row],[Cosecha/Tarea]]/12,Tabla2[[#This Row],[Cosecha/Tarea]])</f>
        <v>54277</v>
      </c>
      <c r="F1907" s="2">
        <v>54078</v>
      </c>
      <c r="G1907" t="s">
        <v>29</v>
      </c>
      <c r="H1907">
        <f>F1907/Tabla2[[#This Row],[Cosecha Mensual]]</f>
        <v>0.99633362197615938</v>
      </c>
      <c r="I1907">
        <f>H1907*_xlfn.XLOOKUP(Tabla2[[#This Row],[Unidad de producción]],Tabla3[Medida],Tabla3[Equivalencia en Kg],"ELVIS",0)</f>
        <v>560.27824898207348</v>
      </c>
      <c r="J1907">
        <v>10000</v>
      </c>
      <c r="K1907" t="s">
        <v>29</v>
      </c>
      <c r="L1907">
        <f>J1907/_xlfn.XLOOKUP(Tabla2[[#This Row],[Unidad de precio]],Tabla3[Medida],Tabla3[Equivalencia en Kg],"ELVIS",0)</f>
        <v>17.782836006686345</v>
      </c>
      <c r="M1907">
        <v>6492.5610346041303</v>
      </c>
      <c r="N1907" s="2">
        <f>(Tabla2[[#This Row],[Productividad (kg/TAS)]]*Tabla2[[#This Row],[Precio por kg]]-Tabla2[[#This Row],[Costos (En RD$/Tarea)]])</f>
        <v>3470.7751851574631</v>
      </c>
      <c r="O1907" s="6">
        <f>IF(Tabla2[[#This Row],[Costos (En RD$/Tarea)]]=0,0,Tabla2[[#This Row],[Beneficio Neto  (En RD$/Tarea)]]/Tabla2[[#This Row],[Costos (En RD$/Tarea)]])</f>
        <v>0.53457721331519004</v>
      </c>
      <c r="P1907" s="4">
        <f>Tabla2[[#This Row],[Rentabilidad (%)]]/12</f>
        <v>4.454810110959917E-2</v>
      </c>
    </row>
    <row r="1908" spans="1:16" x14ac:dyDescent="0.35">
      <c r="A1908" s="1">
        <v>41334</v>
      </c>
      <c r="B1908" t="s">
        <v>30</v>
      </c>
      <c r="C1908" s="2">
        <v>376742</v>
      </c>
      <c r="D1908" s="2" t="s">
        <v>31</v>
      </c>
      <c r="E1908" s="2">
        <f>IF(Tabla2[[#This Row],[Frecuencia]]="Annual", Tabla2[[#This Row],[Cosecha/Tarea]]/12,Tabla2[[#This Row],[Cosecha/Tarea]])</f>
        <v>31395.166666666668</v>
      </c>
      <c r="F1908" s="2">
        <v>2960511</v>
      </c>
      <c r="G1908" t="s">
        <v>32</v>
      </c>
      <c r="H1908">
        <f>F1908/Tabla2[[#This Row],[Cosecha Mensual]]</f>
        <v>94.298304940781748</v>
      </c>
      <c r="I1908">
        <f>H1908*_xlfn.XLOOKUP(Tabla2[[#This Row],[Unidad de producción]],Tabla3[Medida],Tabla3[Equivalencia en Kg],"ELVIS",0)</f>
        <v>2565.8568774386713</v>
      </c>
      <c r="J1908">
        <v>159.27166666666699</v>
      </c>
      <c r="K1908" t="s">
        <v>32</v>
      </c>
      <c r="L1908">
        <f>J1908/_xlfn.XLOOKUP(Tabla2[[#This Row],[Unidad de precio]],Tabla3[Medida],Tabla3[Equivalencia en Kg],"ELVIS",0)</f>
        <v>5.8534239862795658</v>
      </c>
      <c r="M1908" s="2">
        <v>11852.2845542745</v>
      </c>
      <c r="N1908" s="2">
        <f>(Tabla2[[#This Row],[Productividad (kg/TAS)]]*Tabla2[[#This Row],[Precio por kg]]-Tabla2[[#This Row],[Costos (En RD$/Tarea)]])</f>
        <v>3166.7636374854064</v>
      </c>
      <c r="O1908" s="6">
        <f>IF(Tabla2[[#This Row],[Costos (En RD$/Tarea)]]=0,0,Tabla2[[#This Row],[Beneficio Neto  (En RD$/Tarea)]]/Tabla2[[#This Row],[Costos (En RD$/Tarea)]])</f>
        <v>0.26718592715050199</v>
      </c>
      <c r="P1908" s="4">
        <f>Tabla2[[#This Row],[Rentabilidad (%)]]/12</f>
        <v>2.2265493929208499E-2</v>
      </c>
    </row>
    <row r="1909" spans="1:16" x14ac:dyDescent="0.35">
      <c r="A1909" s="1">
        <v>41334</v>
      </c>
      <c r="B1909" t="s">
        <v>33</v>
      </c>
      <c r="C1909" s="2">
        <v>710732</v>
      </c>
      <c r="D1909" s="2" t="s">
        <v>31</v>
      </c>
      <c r="E1909" s="8">
        <f>IF(Tabla2[[#This Row],[Frecuencia]]="Annual", Tabla2[[#This Row],[Cosecha/Tarea]]/12,Tabla2[[#This Row],[Cosecha/Tarea]])</f>
        <v>59227.666666666664</v>
      </c>
      <c r="F1909" s="2">
        <v>144329</v>
      </c>
      <c r="G1909" t="s">
        <v>34</v>
      </c>
      <c r="H1909">
        <f>F1909/Tabla2[[#This Row],[Cosecha Mensual]]</f>
        <v>2.4368510212006775</v>
      </c>
      <c r="I1909">
        <f>H1909*_xlfn.XLOOKUP(Tabla2[[#This Row],[Unidad de producción]],Tabla3[Medida],Tabla3[Equivalencia en Kg],"ELVIS",0)</f>
        <v>994.60074430305644</v>
      </c>
      <c r="J1909">
        <v>5139.57</v>
      </c>
      <c r="K1909" t="s">
        <v>34</v>
      </c>
      <c r="L1909">
        <f>J1909/_xlfn.XLOOKUP(Tabla2[[#This Row],[Unidad de precio]],Tabla3[Medida],Tabla3[Equivalencia en Kg],"ELVIS",0)</f>
        <v>12.592355751561925</v>
      </c>
      <c r="M1909" s="2">
        <v>11461.359791266201</v>
      </c>
      <c r="N1909" s="2">
        <f>(Tabla2[[#This Row],[Productividad (kg/TAS)]]*Tabla2[[#This Row],[Precio por kg]]-Tabla2[[#This Row],[Costos (En RD$/Tarea)]])</f>
        <v>1063.0066117661645</v>
      </c>
      <c r="O1909" s="6">
        <f>IF(Tabla2[[#This Row],[Costos (En RD$/Tarea)]]=0,0,Tabla2[[#This Row],[Beneficio Neto  (En RD$/Tarea)]]/Tabla2[[#This Row],[Costos (En RD$/Tarea)]])</f>
        <v>9.2746989111728087E-2</v>
      </c>
      <c r="P1909" s="4">
        <f>Tabla2[[#This Row],[Rentabilidad (%)]]/12</f>
        <v>7.7289157593106736E-3</v>
      </c>
    </row>
    <row r="1910" spans="1:16" x14ac:dyDescent="0.35">
      <c r="A1910" s="1">
        <v>41365</v>
      </c>
      <c r="B1910" t="s">
        <v>16</v>
      </c>
      <c r="C1910" s="2">
        <v>368764</v>
      </c>
      <c r="D1910" s="5" t="s">
        <v>17</v>
      </c>
      <c r="E1910" s="2">
        <f>IF(Tabla2[[#This Row],[Frecuencia]]="Annual", Tabla2[[#This Row],[Cosecha/Tarea]]/12,Tabla2[[#This Row],[Cosecha/Tarea]])</f>
        <v>368764</v>
      </c>
      <c r="F1910" s="2">
        <v>1785543</v>
      </c>
      <c r="G1910" t="s">
        <v>18</v>
      </c>
      <c r="H1910">
        <f>F1910/Tabla2[[#This Row],[Cosecha Mensual]]</f>
        <v>4.8419666778752806</v>
      </c>
      <c r="I1910">
        <f>H1910*_xlfn.XLOOKUP(Tabla2[[#This Row],[Unidad de producción]],Tabla3[Medida],Tabla3[Equivalencia en Kg],"ELVIS",0)</f>
        <v>219.63160850842272</v>
      </c>
      <c r="J1910">
        <v>1859.3422116357101</v>
      </c>
      <c r="K1910" t="s">
        <v>19</v>
      </c>
      <c r="L1910">
        <f>J1910/_xlfn.XLOOKUP(Tabla2[[#This Row],[Unidad de precio]],Tabla3[Medida],Tabla3[Equivalencia en Kg],"ELVIS",0)</f>
        <v>16.903111014870092</v>
      </c>
      <c r="M1910">
        <v>7832.6079700315504</v>
      </c>
      <c r="N1910" s="2">
        <f>(Tabla2[[#This Row],[Productividad (kg/TAS)]]*Tabla2[[#This Row],[Precio por kg]]-Tabla2[[#This Row],[Costos (En RD$/Tarea)]])</f>
        <v>-4120.1505090391947</v>
      </c>
      <c r="O1910" s="6">
        <f>IF(Tabla2[[#This Row],[Costos (En RD$/Tarea)]]=0,0,Tabla2[[#This Row],[Beneficio Neto  (En RD$/Tarea)]]/Tabla2[[#This Row],[Costos (En RD$/Tarea)]])</f>
        <v>-0.52602537045175246</v>
      </c>
      <c r="P1910" s="4">
        <f>Tabla2[[#This Row],[Rentabilidad (%)]]/12</f>
        <v>-4.3835447537646038E-2</v>
      </c>
    </row>
    <row r="1911" spans="1:16" x14ac:dyDescent="0.35">
      <c r="A1911" s="1">
        <v>41365</v>
      </c>
      <c r="B1911" t="s">
        <v>20</v>
      </c>
      <c r="C1911" s="2">
        <v>32783</v>
      </c>
      <c r="D1911" s="5" t="s">
        <v>17</v>
      </c>
      <c r="E1911" s="2">
        <f>IF(Tabla2[[#This Row],[Frecuencia]]="Annual", Tabla2[[#This Row],[Cosecha/Tarea]]/12,Tabla2[[#This Row],[Cosecha/Tarea]])</f>
        <v>32783</v>
      </c>
      <c r="F1911" s="2">
        <v>84868</v>
      </c>
      <c r="G1911" t="s">
        <v>18</v>
      </c>
      <c r="H1911">
        <f>F1911/Tabla2[[#This Row],[Cosecha Mensual]]</f>
        <v>2.5887807705213066</v>
      </c>
      <c r="I1911">
        <f>H1911*_xlfn.XLOOKUP(Tabla2[[#This Row],[Unidad de producción]],Tabla3[Medida],Tabla3[Equivalencia en Kg],"ELVIS",0)</f>
        <v>117.42709575084646</v>
      </c>
      <c r="J1911">
        <v>759.92261904761904</v>
      </c>
      <c r="K1911" t="s">
        <v>18</v>
      </c>
      <c r="L1911">
        <f>J1911/_xlfn.XLOOKUP(Tabla2[[#This Row],[Unidad de precio]],Tabla3[Medida],Tabla3[Equivalencia en Kg],"ELVIS",0)</f>
        <v>16.753144158898127</v>
      </c>
      <c r="M1911">
        <v>2208.9263820000001</v>
      </c>
      <c r="N1911" s="2">
        <f>(Tabla2[[#This Row],[Productividad (kg/TAS)]]*Tabla2[[#This Row],[Precio por kg]]-Tabla2[[#This Row],[Costos (En RD$/Tarea)]])</f>
        <v>-241.65331872533557</v>
      </c>
      <c r="O1911" s="6">
        <f>IF(Tabla2[[#This Row],[Costos (En RD$/Tarea)]]=0,0,Tabla2[[#This Row],[Beneficio Neto  (En RD$/Tarea)]]/Tabla2[[#This Row],[Costos (En RD$/Tarea)]])</f>
        <v>-0.10939853889858406</v>
      </c>
      <c r="P1911" s="4">
        <f>Tabla2[[#This Row],[Rentabilidad (%)]]/12</f>
        <v>-9.1165449082153387E-3</v>
      </c>
    </row>
    <row r="1912" spans="1:16" x14ac:dyDescent="0.35">
      <c r="A1912" s="1">
        <v>41365</v>
      </c>
      <c r="B1912" t="s">
        <v>21</v>
      </c>
      <c r="C1912" s="2">
        <v>11082</v>
      </c>
      <c r="D1912" s="5" t="s">
        <v>17</v>
      </c>
      <c r="E1912" s="2">
        <f>IF(Tabla2[[#This Row],[Frecuencia]]="Annual", Tabla2[[#This Row],[Cosecha/Tarea]]/12,Tabla2[[#This Row],[Cosecha/Tarea]])</f>
        <v>11082</v>
      </c>
      <c r="F1912" s="2">
        <v>120544</v>
      </c>
      <c r="G1912" t="s">
        <v>18</v>
      </c>
      <c r="H1912">
        <f>F1912/Tabla2[[#This Row],[Cosecha Mensual]]</f>
        <v>10.877458942429165</v>
      </c>
      <c r="I1912">
        <f>H1912*_xlfn.XLOOKUP(Tabla2[[#This Row],[Unidad de producción]],Tabla3[Medida],Tabla3[Equivalencia en Kg],"ELVIS",0)</f>
        <v>493.40153762858694</v>
      </c>
      <c r="J1912">
        <v>409.782642857143</v>
      </c>
      <c r="K1912" t="s">
        <v>18</v>
      </c>
      <c r="L1912">
        <f>J1912/_xlfn.XLOOKUP(Tabla2[[#This Row],[Unidad de precio]],Tabla3[Medida],Tabla3[Equivalencia en Kg],"ELVIS",0)</f>
        <v>9.0340088813303137</v>
      </c>
      <c r="M1912">
        <v>4893.7504664999997</v>
      </c>
      <c r="N1912" s="2">
        <f>(Tabla2[[#This Row],[Productividad (kg/TAS)]]*Tabla2[[#This Row],[Precio por kg]]-Tabla2[[#This Row],[Costos (En RD$/Tarea)]])</f>
        <v>-436.35659350131209</v>
      </c>
      <c r="O1912" s="6">
        <f>IF(Tabla2[[#This Row],[Costos (En RD$/Tarea)]]=0,0,Tabla2[[#This Row],[Beneficio Neto  (En RD$/Tarea)]]/Tabla2[[#This Row],[Costos (En RD$/Tarea)]])</f>
        <v>-8.9166089789084288E-2</v>
      </c>
      <c r="P1912" s="4">
        <f>Tabla2[[#This Row],[Rentabilidad (%)]]/12</f>
        <v>-7.4305074824236907E-3</v>
      </c>
    </row>
    <row r="1913" spans="1:16" x14ac:dyDescent="0.35">
      <c r="A1913" s="1">
        <v>41365</v>
      </c>
      <c r="B1913" t="s">
        <v>22</v>
      </c>
      <c r="C1913" s="2">
        <v>3852</v>
      </c>
      <c r="D1913" s="5" t="s">
        <v>17</v>
      </c>
      <c r="E1913" s="2">
        <f>IF(Tabla2[[#This Row],[Frecuencia]]="Annual", Tabla2[[#This Row],[Cosecha/Tarea]]/12,Tabla2[[#This Row],[Cosecha/Tarea]])</f>
        <v>3852</v>
      </c>
      <c r="F1913" s="2">
        <v>35126</v>
      </c>
      <c r="G1913" t="s">
        <v>18</v>
      </c>
      <c r="H1913">
        <f>F1913/Tabla2[[#This Row],[Cosecha Mensual]]</f>
        <v>9.1188992731048799</v>
      </c>
      <c r="I1913">
        <f>H1913*_xlfn.XLOOKUP(Tabla2[[#This Row],[Unidad de producción]],Tabla3[Medida],Tabla3[Equivalencia en Kg],"ELVIS",0)</f>
        <v>413.63327102803737</v>
      </c>
      <c r="J1913">
        <v>1102.0340000000001</v>
      </c>
      <c r="K1913" t="s">
        <v>18</v>
      </c>
      <c r="L1913">
        <f>J1913/_xlfn.XLOOKUP(Tabla2[[#This Row],[Unidad de precio]],Tabla3[Medida],Tabla3[Equivalencia en Kg],"ELVIS",0)</f>
        <v>24.295282186948857</v>
      </c>
      <c r="M1913">
        <v>8667.0620736000001</v>
      </c>
      <c r="N1913" s="2">
        <f>(Tabla2[[#This Row],[Productividad (kg/TAS)]]*Tabla2[[#This Row],[Precio por kg]]-Tabla2[[#This Row],[Costos (En RD$/Tarea)]])</f>
        <v>1382.2749679368644</v>
      </c>
      <c r="O1913" s="6">
        <f>IF(Tabla2[[#This Row],[Costos (En RD$/Tarea)]]=0,0,Tabla2[[#This Row],[Beneficio Neto  (En RD$/Tarea)]]/Tabla2[[#This Row],[Costos (En RD$/Tarea)]])</f>
        <v>0.15948598916203618</v>
      </c>
      <c r="P1913" s="4">
        <f>Tabla2[[#This Row],[Rentabilidad (%)]]/12</f>
        <v>1.3290499096836349E-2</v>
      </c>
    </row>
    <row r="1914" spans="1:16" x14ac:dyDescent="0.35">
      <c r="A1914" s="1">
        <v>41365</v>
      </c>
      <c r="B1914" t="s">
        <v>23</v>
      </c>
      <c r="C1914" s="2">
        <v>3861</v>
      </c>
      <c r="D1914" s="5" t="s">
        <v>17</v>
      </c>
      <c r="E1914" s="2">
        <f>IF(Tabla2[[#This Row],[Frecuencia]]="Annual", Tabla2[[#This Row],[Cosecha/Tarea]]/12,Tabla2[[#This Row],[Cosecha/Tarea]])</f>
        <v>3861</v>
      </c>
      <c r="F1914" s="2">
        <v>95804</v>
      </c>
      <c r="G1914" t="s">
        <v>18</v>
      </c>
      <c r="H1914">
        <f>F1914/Tabla2[[#This Row],[Cosecha Mensual]]</f>
        <v>24.813260813260815</v>
      </c>
      <c r="I1914">
        <f>H1914*_xlfn.XLOOKUP(Tabla2[[#This Row],[Unidad de producción]],Tabla3[Medida],Tabla3[Equivalencia en Kg],"ELVIS",0)</f>
        <v>1125.5295104895106</v>
      </c>
      <c r="J1914">
        <v>950.625</v>
      </c>
      <c r="K1914" t="s">
        <v>18</v>
      </c>
      <c r="L1914">
        <f>J1914/_xlfn.XLOOKUP(Tabla2[[#This Row],[Unidad de precio]],Tabla3[Medida],Tabla3[Equivalencia en Kg],"ELVIS",0)</f>
        <v>20.957341269841269</v>
      </c>
      <c r="M1914">
        <v>24550.120818416199</v>
      </c>
      <c r="N1914" s="2">
        <f>(Tabla2[[#This Row],[Productividad (kg/TAS)]]*Tabla2[[#This Row],[Precio por kg]]-Tabla2[[#This Row],[Costos (En RD$/Tarea)]])</f>
        <v>-962.01475781013869</v>
      </c>
      <c r="O1914" s="6">
        <f>IF(Tabla2[[#This Row],[Costos (En RD$/Tarea)]]=0,0,Tabla2[[#This Row],[Beneficio Neto  (En RD$/Tarea)]]/Tabla2[[#This Row],[Costos (En RD$/Tarea)]])</f>
        <v>-3.9185744336072116E-2</v>
      </c>
      <c r="P1914" s="4">
        <f>Tabla2[[#This Row],[Rentabilidad (%)]]/12</f>
        <v>-3.2654786946726762E-3</v>
      </c>
    </row>
    <row r="1915" spans="1:16" x14ac:dyDescent="0.35">
      <c r="A1915" s="1">
        <v>41365</v>
      </c>
      <c r="B1915" t="s">
        <v>24</v>
      </c>
      <c r="C1915" s="2">
        <v>7715</v>
      </c>
      <c r="D1915" s="5" t="s">
        <v>17</v>
      </c>
      <c r="E1915" s="2">
        <f>IF(Tabla2[[#This Row],[Frecuencia]]="Annual", Tabla2[[#This Row],[Cosecha/Tarea]]/12,Tabla2[[#This Row],[Cosecha/Tarea]])</f>
        <v>7715</v>
      </c>
      <c r="F1915" s="2">
        <v>64225</v>
      </c>
      <c r="G1915" t="s">
        <v>18</v>
      </c>
      <c r="H1915">
        <f>F1915/Tabla2[[#This Row],[Cosecha Mensual]]</f>
        <v>8.3246921581335069</v>
      </c>
      <c r="I1915">
        <f>H1915*_xlfn.XLOOKUP(Tabla2[[#This Row],[Unidad de producción]],Tabla3[Medida],Tabla3[Equivalencia en Kg],"ELVIS",0)</f>
        <v>377.60803629293588</v>
      </c>
      <c r="J1915">
        <v>1486.67014285714</v>
      </c>
      <c r="K1915" t="s">
        <v>18</v>
      </c>
      <c r="L1915">
        <f>J1915/_xlfn.XLOOKUP(Tabla2[[#This Row],[Unidad de precio]],Tabla3[Medida],Tabla3[Equivalencia en Kg],"ELVIS",0)</f>
        <v>32.774914965986333</v>
      </c>
      <c r="M1915">
        <v>8436.0023040464603</v>
      </c>
      <c r="N1915" s="2">
        <f>(Tabla2[[#This Row],[Productividad (kg/TAS)]]*Tabla2[[#This Row],[Precio por kg]]-Tabla2[[#This Row],[Costos (En RD$/Tarea)]])</f>
        <v>3940.0689759275938</v>
      </c>
      <c r="O1915" s="6">
        <f>IF(Tabla2[[#This Row],[Costos (En RD$/Tarea)]]=0,0,Tabla2[[#This Row],[Beneficio Neto  (En RD$/Tarea)]]/Tabla2[[#This Row],[Costos (En RD$/Tarea)]])</f>
        <v>0.46705404217797308</v>
      </c>
      <c r="P1915" s="4">
        <f>Tabla2[[#This Row],[Rentabilidad (%)]]/12</f>
        <v>3.8921170181497759E-2</v>
      </c>
    </row>
    <row r="1916" spans="1:16" x14ac:dyDescent="0.35">
      <c r="A1916" s="1">
        <v>41365</v>
      </c>
      <c r="B1916" t="s">
        <v>25</v>
      </c>
      <c r="C1916" s="2">
        <v>23879</v>
      </c>
      <c r="D1916" s="5" t="s">
        <v>17</v>
      </c>
      <c r="E1916" s="2">
        <f>IF(Tabla2[[#This Row],[Frecuencia]]="Annual", Tabla2[[#This Row],[Cosecha/Tarea]]/12,Tabla2[[#This Row],[Cosecha/Tarea]])</f>
        <v>23879</v>
      </c>
      <c r="F1916" s="2">
        <v>266648</v>
      </c>
      <c r="G1916" t="s">
        <v>18</v>
      </c>
      <c r="H1916">
        <f>F1916/Tabla2[[#This Row],[Cosecha Mensual]]</f>
        <v>11.166631768499519</v>
      </c>
      <c r="I1916">
        <f>H1916*_xlfn.XLOOKUP(Tabla2[[#This Row],[Unidad de producción]],Tabla3[Medida],Tabla3[Equivalencia en Kg],"ELVIS",0)</f>
        <v>506.51841701913816</v>
      </c>
      <c r="J1916">
        <v>554.41049999999996</v>
      </c>
      <c r="K1916" t="s">
        <v>18</v>
      </c>
      <c r="L1916">
        <f>J1916/_xlfn.XLOOKUP(Tabla2[[#This Row],[Unidad de precio]],Tabla3[Medida],Tabla3[Equivalencia en Kg],"ELVIS",0)</f>
        <v>12.222453703703703</v>
      </c>
      <c r="M1916">
        <v>4461.1940527534698</v>
      </c>
      <c r="N1916" s="2">
        <f>(Tabla2[[#This Row],[Productividad (kg/TAS)]]*Tabla2[[#This Row],[Precio por kg]]-Tabla2[[#This Row],[Costos (En RD$/Tarea)]])</f>
        <v>1729.7038493362325</v>
      </c>
      <c r="O1916" s="6">
        <f>IF(Tabla2[[#This Row],[Costos (En RD$/Tarea)]]=0,0,Tabla2[[#This Row],[Beneficio Neto  (En RD$/Tarea)]]/Tabla2[[#This Row],[Costos (En RD$/Tarea)]])</f>
        <v>0.38772217233380629</v>
      </c>
      <c r="P1916" s="4">
        <f>Tabla2[[#This Row],[Rentabilidad (%)]]/12</f>
        <v>3.2310181027817193E-2</v>
      </c>
    </row>
    <row r="1917" spans="1:16" x14ac:dyDescent="0.35">
      <c r="A1917" s="1">
        <v>41365</v>
      </c>
      <c r="B1917" t="s">
        <v>26</v>
      </c>
      <c r="C1917" s="2">
        <v>12718</v>
      </c>
      <c r="D1917" s="5" t="s">
        <v>17</v>
      </c>
      <c r="E1917" s="2">
        <f>IF(Tabla2[[#This Row],[Frecuencia]]="Annual", Tabla2[[#This Row],[Cosecha/Tarea]]/12,Tabla2[[#This Row],[Cosecha/Tarea]])</f>
        <v>12718</v>
      </c>
      <c r="F1917" s="2">
        <v>73611</v>
      </c>
      <c r="G1917" t="s">
        <v>18</v>
      </c>
      <c r="H1917">
        <f>F1917/Tabla2[[#This Row],[Cosecha Mensual]]</f>
        <v>5.7879383550872783</v>
      </c>
      <c r="I1917">
        <f>H1917*_xlfn.XLOOKUP(Tabla2[[#This Row],[Unidad de producción]],Tabla3[Medida],Tabla3[Equivalencia en Kg],"ELVIS",0)</f>
        <v>262.54088378675891</v>
      </c>
      <c r="J1917">
        <v>700.87142857142896</v>
      </c>
      <c r="K1917" t="s">
        <v>18</v>
      </c>
      <c r="L1917">
        <f>J1917/_xlfn.XLOOKUP(Tabla2[[#This Row],[Unidad de precio]],Tabla3[Medida],Tabla3[Equivalencia en Kg],"ELVIS",0)</f>
        <v>15.451310153691114</v>
      </c>
      <c r="M1917">
        <v>1856.8216170000001</v>
      </c>
      <c r="N1917" s="2">
        <f>(Tabla2[[#This Row],[Productividad (kg/TAS)]]*Tabla2[[#This Row],[Precio por kg]]-Tabla2[[#This Row],[Costos (En RD$/Tarea)]])</f>
        <v>2199.7790064133869</v>
      </c>
      <c r="O1917" s="6">
        <f>IF(Tabla2[[#This Row],[Costos (En RD$/Tarea)]]=0,0,Tabla2[[#This Row],[Beneficio Neto  (En RD$/Tarea)]]/Tabla2[[#This Row],[Costos (En RD$/Tarea)]])</f>
        <v>1.1847013123250314</v>
      </c>
      <c r="P1917" s="4">
        <f>Tabla2[[#This Row],[Rentabilidad (%)]]/12</f>
        <v>9.8725109360419283E-2</v>
      </c>
    </row>
    <row r="1918" spans="1:16" x14ac:dyDescent="0.35">
      <c r="A1918" s="1">
        <v>41365</v>
      </c>
      <c r="B1918" t="s">
        <v>27</v>
      </c>
      <c r="C1918" s="2">
        <v>7677</v>
      </c>
      <c r="D1918" s="5" t="s">
        <v>17</v>
      </c>
      <c r="E1918" s="2">
        <f>IF(Tabla2[[#This Row],[Frecuencia]]="Annual", Tabla2[[#This Row],[Cosecha/Tarea]]/12,Tabla2[[#This Row],[Cosecha/Tarea]])</f>
        <v>7677</v>
      </c>
      <c r="F1918" s="2">
        <v>77621</v>
      </c>
      <c r="G1918" t="s">
        <v>18</v>
      </c>
      <c r="H1918">
        <f>F1918/Tabla2[[#This Row],[Cosecha Mensual]]</f>
        <v>10.110850592679432</v>
      </c>
      <c r="I1918">
        <f>H1918*_xlfn.XLOOKUP(Tabla2[[#This Row],[Unidad de producción]],Tabla3[Medida],Tabla3[Equivalencia en Kg],"ELVIS",0)</f>
        <v>458.62818288393902</v>
      </c>
      <c r="J1918">
        <v>548.07696428571398</v>
      </c>
      <c r="K1918" t="s">
        <v>18</v>
      </c>
      <c r="L1918">
        <f>J1918/_xlfn.XLOOKUP(Tabla2[[#This Row],[Unidad de precio]],Tabla3[Medida],Tabla3[Equivalencia en Kg],"ELVIS",0)</f>
        <v>12.082825491307627</v>
      </c>
      <c r="M1918">
        <v>7498.499866956</v>
      </c>
      <c r="N1918" s="2">
        <f>(Tabla2[[#This Row],[Productividad (kg/TAS)]]*Tabla2[[#This Row],[Precio por kg]]-Tabla2[[#This Row],[Costos (En RD$/Tarea)]])</f>
        <v>-1956.9755677738449</v>
      </c>
      <c r="O1918" s="6">
        <f>IF(Tabla2[[#This Row],[Costos (En RD$/Tarea)]]=0,0,Tabla2[[#This Row],[Beneficio Neto  (En RD$/Tarea)]]/Tabla2[[#This Row],[Costos (En RD$/Tarea)]])</f>
        <v>-0.26098227678815378</v>
      </c>
      <c r="P1918" s="4">
        <f>Tabla2[[#This Row],[Rentabilidad (%)]]/12</f>
        <v>-2.1748523065679481E-2</v>
      </c>
    </row>
    <row r="1919" spans="1:16" x14ac:dyDescent="0.35">
      <c r="A1919" s="1">
        <v>41365</v>
      </c>
      <c r="B1919" t="s">
        <v>28</v>
      </c>
      <c r="C1919" s="2">
        <v>9519</v>
      </c>
      <c r="D1919" s="5" t="s">
        <v>17</v>
      </c>
      <c r="E1919" s="2">
        <f>IF(Tabla2[[#This Row],[Frecuencia]]="Annual", Tabla2[[#This Row],[Cosecha/Tarea]]/12,Tabla2[[#This Row],[Cosecha/Tarea]])</f>
        <v>9519</v>
      </c>
      <c r="F1919" s="2">
        <v>11037</v>
      </c>
      <c r="G1919" t="s">
        <v>29</v>
      </c>
      <c r="H1919">
        <f>F1919/Tabla2[[#This Row],[Cosecha Mensual]]</f>
        <v>1.1594705326189725</v>
      </c>
      <c r="I1919">
        <f>H1919*_xlfn.XLOOKUP(Tabla2[[#This Row],[Unidad de producción]],Tabla3[Medida],Tabla3[Equivalencia en Kg],"ELVIS",0)</f>
        <v>652.01665931295304</v>
      </c>
      <c r="J1919">
        <v>5500</v>
      </c>
      <c r="K1919" t="s">
        <v>29</v>
      </c>
      <c r="L1919">
        <f>J1919/_xlfn.XLOOKUP(Tabla2[[#This Row],[Unidad de precio]],Tabla3[Medida],Tabla3[Equivalencia en Kg],"ELVIS",0)</f>
        <v>9.7805598036774892</v>
      </c>
      <c r="M1919">
        <v>6492.5610346041303</v>
      </c>
      <c r="N1919" s="2">
        <f>(Tabla2[[#This Row],[Productividad (kg/TAS)]]*Tabla2[[#This Row],[Precio por kg]]-Tabla2[[#This Row],[Costos (En RD$/Tarea)]])</f>
        <v>-115.47310519978237</v>
      </c>
      <c r="O1919" s="6">
        <f>IF(Tabla2[[#This Row],[Costos (En RD$/Tarea)]]=0,0,Tabla2[[#This Row],[Beneficio Neto  (En RD$/Tarea)]]/Tabla2[[#This Row],[Costos (En RD$/Tarea)]])</f>
        <v>-1.7785447773895759E-2</v>
      </c>
      <c r="P1919" s="4">
        <f>Tabla2[[#This Row],[Rentabilidad (%)]]/12</f>
        <v>-1.4821206478246465E-3</v>
      </c>
    </row>
    <row r="1920" spans="1:16" x14ac:dyDescent="0.35">
      <c r="A1920" s="1">
        <v>41365</v>
      </c>
      <c r="B1920" t="s">
        <v>30</v>
      </c>
      <c r="C1920" s="2">
        <v>371631</v>
      </c>
      <c r="D1920" s="2" t="s">
        <v>31</v>
      </c>
      <c r="E1920" s="2">
        <f>IF(Tabla2[[#This Row],[Frecuencia]]="Annual", Tabla2[[#This Row],[Cosecha/Tarea]]/12,Tabla2[[#This Row],[Cosecha/Tarea]])</f>
        <v>30969.25</v>
      </c>
      <c r="F1920" s="2">
        <v>3006548</v>
      </c>
      <c r="G1920" t="s">
        <v>32</v>
      </c>
      <c r="H1920">
        <f>F1920/Tabla2[[#This Row],[Cosecha Mensual]]</f>
        <v>97.081718155912725</v>
      </c>
      <c r="I1920">
        <f>H1920*_xlfn.XLOOKUP(Tabla2[[#This Row],[Unidad de producción]],Tabla3[Medida],Tabla3[Equivalencia en Kg],"ELVIS",0)</f>
        <v>2641.5935510223853</v>
      </c>
      <c r="J1920">
        <v>170.958333333333</v>
      </c>
      <c r="K1920" t="s">
        <v>32</v>
      </c>
      <c r="L1920">
        <f>J1920/_xlfn.XLOOKUP(Tabla2[[#This Row],[Unidad de precio]],Tabla3[Medida],Tabla3[Equivalencia en Kg],"ELVIS",0)</f>
        <v>6.2829229449956996</v>
      </c>
      <c r="M1920" s="2">
        <v>11852.2845542745</v>
      </c>
      <c r="N1920" s="2">
        <f>(Tabla2[[#This Row],[Productividad (kg/TAS)]]*Tabla2[[#This Row],[Precio por kg]]-Tabla2[[#This Row],[Costos (En RD$/Tarea)]])</f>
        <v>4744.6441787967142</v>
      </c>
      <c r="O1920" s="6">
        <f>IF(Tabla2[[#This Row],[Costos (En RD$/Tarea)]]=0,0,Tabla2[[#This Row],[Beneficio Neto  (En RD$/Tarea)]]/Tabla2[[#This Row],[Costos (En RD$/Tarea)]])</f>
        <v>0.40031473738837708</v>
      </c>
      <c r="P1920" s="4">
        <f>Tabla2[[#This Row],[Rentabilidad (%)]]/12</f>
        <v>3.3359561449031426E-2</v>
      </c>
    </row>
    <row r="1921" spans="1:16" x14ac:dyDescent="0.35">
      <c r="A1921" s="1">
        <v>41365</v>
      </c>
      <c r="B1921" t="s">
        <v>33</v>
      </c>
      <c r="C1921" s="2">
        <v>722902</v>
      </c>
      <c r="D1921" s="2" t="s">
        <v>31</v>
      </c>
      <c r="E1921" s="8">
        <f>IF(Tabla2[[#This Row],[Frecuencia]]="Annual", Tabla2[[#This Row],[Cosecha/Tarea]]/12,Tabla2[[#This Row],[Cosecha/Tarea]])</f>
        <v>60241.833333333336</v>
      </c>
      <c r="F1921" s="2">
        <v>307366</v>
      </c>
      <c r="G1921" t="s">
        <v>34</v>
      </c>
      <c r="H1921">
        <f>F1921/Tabla2[[#This Row],[Cosecha Mensual]]</f>
        <v>5.1022019582184033</v>
      </c>
      <c r="I1921">
        <f>H1921*_xlfn.XLOOKUP(Tabla2[[#This Row],[Unidad de producción]],Tabla3[Medida],Tabla3[Equivalencia en Kg],"ELVIS",0)</f>
        <v>2082.463729246841</v>
      </c>
      <c r="J1921">
        <v>4901.3616666666703</v>
      </c>
      <c r="K1921" t="s">
        <v>34</v>
      </c>
      <c r="L1921">
        <f>J1921/_xlfn.XLOOKUP(Tabla2[[#This Row],[Unidad de precio]],Tabla3[Medida],Tabla3[Equivalencia en Kg],"ELVIS",0)</f>
        <v>12.008726366940268</v>
      </c>
      <c r="M1921" s="2">
        <v>11461.359791266201</v>
      </c>
      <c r="N1921" s="2">
        <f>(Tabla2[[#This Row],[Productividad (kg/TAS)]]*Tabla2[[#This Row],[Precio por kg]]-Tabla2[[#This Row],[Costos (En RD$/Tarea)]])</f>
        <v>13546.377302337096</v>
      </c>
      <c r="O1921" s="6">
        <f>IF(Tabla2[[#This Row],[Costos (En RD$/Tarea)]]=0,0,Tabla2[[#This Row],[Beneficio Neto  (En RD$/Tarea)]]/Tabla2[[#This Row],[Costos (En RD$/Tarea)]])</f>
        <v>1.1819171153373724</v>
      </c>
      <c r="P1921" s="4">
        <f>Tabla2[[#This Row],[Rentabilidad (%)]]/12</f>
        <v>9.8493092944781035E-2</v>
      </c>
    </row>
    <row r="1922" spans="1:16" x14ac:dyDescent="0.35">
      <c r="A1922" s="1">
        <v>41395</v>
      </c>
      <c r="B1922" t="s">
        <v>16</v>
      </c>
      <c r="C1922" s="2">
        <v>544969</v>
      </c>
      <c r="D1922" s="5" t="s">
        <v>17</v>
      </c>
      <c r="E1922" s="2">
        <f>IF(Tabla2[[#This Row],[Frecuencia]]="Annual", Tabla2[[#This Row],[Cosecha/Tarea]]/12,Tabla2[[#This Row],[Cosecha/Tarea]])</f>
        <v>544969</v>
      </c>
      <c r="F1922" s="2">
        <v>2737124</v>
      </c>
      <c r="G1922" t="s">
        <v>18</v>
      </c>
      <c r="H1922">
        <f>F1922/Tabla2[[#This Row],[Cosecha Mensual]]</f>
        <v>5.022531556840848</v>
      </c>
      <c r="I1922">
        <f>H1922*_xlfn.XLOOKUP(Tabla2[[#This Row],[Unidad de producción]],Tabla3[Medida],Tabla3[Equivalencia en Kg],"ELVIS",0)</f>
        <v>227.82203141830087</v>
      </c>
      <c r="J1922">
        <v>1909.08575</v>
      </c>
      <c r="K1922" t="s">
        <v>19</v>
      </c>
      <c r="L1922">
        <f>J1922/_xlfn.XLOOKUP(Tabla2[[#This Row],[Unidad de precio]],Tabla3[Medida],Tabla3[Equivalencia en Kg],"ELVIS",0)</f>
        <v>17.355325000000001</v>
      </c>
      <c r="M1922">
        <v>7832.6079700315504</v>
      </c>
      <c r="N1922" s="2">
        <f>(Tabla2[[#This Row],[Productividad (kg/TAS)]]*Tabla2[[#This Row],[Precio por kg]]-Tabla2[[#This Row],[Costos (En RD$/Tarea)]])</f>
        <v>-3878.6825726067277</v>
      </c>
      <c r="O1922" s="6">
        <f>IF(Tabla2[[#This Row],[Costos (En RD$/Tarea)]]=0,0,Tabla2[[#This Row],[Beneficio Neto  (En RD$/Tarea)]]/Tabla2[[#This Row],[Costos (En RD$/Tarea)]])</f>
        <v>-0.49519682172872798</v>
      </c>
      <c r="P1922" s="4">
        <f>Tabla2[[#This Row],[Rentabilidad (%)]]/12</f>
        <v>-4.1266401810727334E-2</v>
      </c>
    </row>
    <row r="1923" spans="1:16" x14ac:dyDescent="0.35">
      <c r="A1923" s="1">
        <v>41395</v>
      </c>
      <c r="B1923" t="s">
        <v>20</v>
      </c>
      <c r="C1923" s="2">
        <v>37475</v>
      </c>
      <c r="D1923" s="5" t="s">
        <v>17</v>
      </c>
      <c r="E1923" s="2">
        <f>IF(Tabla2[[#This Row],[Frecuencia]]="Annual", Tabla2[[#This Row],[Cosecha/Tarea]]/12,Tabla2[[#This Row],[Cosecha/Tarea]])</f>
        <v>37475</v>
      </c>
      <c r="F1923" s="2">
        <v>94428</v>
      </c>
      <c r="G1923" t="s">
        <v>18</v>
      </c>
      <c r="H1923">
        <f>F1923/Tabla2[[#This Row],[Cosecha Mensual]]</f>
        <v>2.5197598398932621</v>
      </c>
      <c r="I1923">
        <f>H1923*_xlfn.XLOOKUP(Tabla2[[#This Row],[Unidad de producción]],Tabla3[Medida],Tabla3[Equivalencia en Kg],"ELVIS",0)</f>
        <v>114.29630633755836</v>
      </c>
      <c r="J1923">
        <v>706.80499999999995</v>
      </c>
      <c r="K1923" t="s">
        <v>18</v>
      </c>
      <c r="L1923">
        <f>J1923/_xlfn.XLOOKUP(Tabla2[[#This Row],[Unidad de precio]],Tabla3[Medida],Tabla3[Equivalencia en Kg],"ELVIS",0)</f>
        <v>15.582120811287478</v>
      </c>
      <c r="M1923">
        <v>2208.9263820000001</v>
      </c>
      <c r="N1923" s="2">
        <f>(Tabla2[[#This Row],[Productividad (kg/TAS)]]*Tabla2[[#This Row],[Precio por kg]]-Tabla2[[#This Row],[Costos (En RD$/Tarea)]])</f>
        <v>-427.947528364243</v>
      </c>
      <c r="O1923" s="6">
        <f>IF(Tabla2[[#This Row],[Costos (En RD$/Tarea)]]=0,0,Tabla2[[#This Row],[Beneficio Neto  (En RD$/Tarea)]]/Tabla2[[#This Row],[Costos (En RD$/Tarea)]])</f>
        <v>-0.19373553227100848</v>
      </c>
      <c r="P1923" s="4">
        <f>Tabla2[[#This Row],[Rentabilidad (%)]]/12</f>
        <v>-1.6144627689250707E-2</v>
      </c>
    </row>
    <row r="1924" spans="1:16" x14ac:dyDescent="0.35">
      <c r="A1924" s="1">
        <v>41395</v>
      </c>
      <c r="B1924" t="s">
        <v>21</v>
      </c>
      <c r="C1924" s="2">
        <v>9564</v>
      </c>
      <c r="D1924" s="5" t="s">
        <v>17</v>
      </c>
      <c r="E1924" s="2">
        <f>IF(Tabla2[[#This Row],[Frecuencia]]="Annual", Tabla2[[#This Row],[Cosecha/Tarea]]/12,Tabla2[[#This Row],[Cosecha/Tarea]])</f>
        <v>9564</v>
      </c>
      <c r="F1924" s="2">
        <v>95421</v>
      </c>
      <c r="G1924" t="s">
        <v>18</v>
      </c>
      <c r="H1924">
        <f>F1924/Tabla2[[#This Row],[Cosecha Mensual]]</f>
        <v>9.9771016311166871</v>
      </c>
      <c r="I1924">
        <f>H1924*_xlfn.XLOOKUP(Tabla2[[#This Row],[Unidad de producción]],Tabla3[Medida],Tabla3[Equivalencia en Kg],"ELVIS",0)</f>
        <v>452.56132998745295</v>
      </c>
      <c r="J1924">
        <v>466.83375000000001</v>
      </c>
      <c r="K1924" t="s">
        <v>18</v>
      </c>
      <c r="L1924">
        <f>J1924/_xlfn.XLOOKUP(Tabla2[[#This Row],[Unidad de precio]],Tabla3[Medida],Tabla3[Equivalencia en Kg],"ELVIS",0)</f>
        <v>10.291749338624339</v>
      </c>
      <c r="M1924">
        <v>4893.7504664999997</v>
      </c>
      <c r="N1924" s="2">
        <f>(Tabla2[[#This Row],[Productividad (kg/TAS)]]*Tabla2[[#This Row],[Precio por kg]]-Tabla2[[#This Row],[Costos (En RD$/Tarea)]])</f>
        <v>-236.10269791467999</v>
      </c>
      <c r="O1924" s="6">
        <f>IF(Tabla2[[#This Row],[Costos (En RD$/Tarea)]]=0,0,Tabla2[[#This Row],[Beneficio Neto  (En RD$/Tarea)]]/Tabla2[[#This Row],[Costos (En RD$/Tarea)]])</f>
        <v>-4.8245757426929076E-2</v>
      </c>
      <c r="P1924" s="4">
        <f>Tabla2[[#This Row],[Rentabilidad (%)]]/12</f>
        <v>-4.020479785577423E-3</v>
      </c>
    </row>
    <row r="1925" spans="1:16" x14ac:dyDescent="0.35">
      <c r="A1925" s="1">
        <v>41395</v>
      </c>
      <c r="B1925" t="s">
        <v>22</v>
      </c>
      <c r="C1925" s="2">
        <v>5487</v>
      </c>
      <c r="D1925" s="5" t="s">
        <v>17</v>
      </c>
      <c r="E1925" s="2">
        <f>IF(Tabla2[[#This Row],[Frecuencia]]="Annual", Tabla2[[#This Row],[Cosecha/Tarea]]/12,Tabla2[[#This Row],[Cosecha/Tarea]])</f>
        <v>5487</v>
      </c>
      <c r="F1925" s="2">
        <v>50214</v>
      </c>
      <c r="G1925" t="s">
        <v>18</v>
      </c>
      <c r="H1925">
        <f>F1925/Tabla2[[#This Row],[Cosecha Mensual]]</f>
        <v>9.1514488791689441</v>
      </c>
      <c r="I1925">
        <f>H1925*_xlfn.XLOOKUP(Tabla2[[#This Row],[Unidad de producción]],Tabla3[Medida],Tabla3[Equivalencia en Kg],"ELVIS",0)</f>
        <v>415.10972115910329</v>
      </c>
      <c r="J1925">
        <v>1060.55666666667</v>
      </c>
      <c r="K1925" t="s">
        <v>18</v>
      </c>
      <c r="L1925">
        <f>J1925/_xlfn.XLOOKUP(Tabla2[[#This Row],[Unidad de precio]],Tabla3[Medida],Tabla3[Equivalencia en Kg],"ELVIS",0)</f>
        <v>23.380878894767857</v>
      </c>
      <c r="M1925">
        <v>8667.0620736000001</v>
      </c>
      <c r="N1925" s="2">
        <f>(Tabla2[[#This Row],[Productividad (kg/TAS)]]*Tabla2[[#This Row],[Precio por kg]]-Tabla2[[#This Row],[Costos (En RD$/Tarea)]])</f>
        <v>1038.5680448618477</v>
      </c>
      <c r="O1925" s="6">
        <f>IF(Tabla2[[#This Row],[Costos (En RD$/Tarea)]]=0,0,Tabla2[[#This Row],[Beneficio Neto  (En RD$/Tarea)]]/Tabla2[[#This Row],[Costos (En RD$/Tarea)]])</f>
        <v>0.1198293073295669</v>
      </c>
      <c r="P1925" s="4">
        <f>Tabla2[[#This Row],[Rentabilidad (%)]]/12</f>
        <v>9.9857756107972415E-3</v>
      </c>
    </row>
    <row r="1926" spans="1:16" x14ac:dyDescent="0.35">
      <c r="A1926" s="1">
        <v>41395</v>
      </c>
      <c r="B1926" t="s">
        <v>23</v>
      </c>
      <c r="C1926" s="2">
        <v>3636</v>
      </c>
      <c r="D1926" s="5" t="s">
        <v>17</v>
      </c>
      <c r="E1926" s="2">
        <f>IF(Tabla2[[#This Row],[Frecuencia]]="Annual", Tabla2[[#This Row],[Cosecha/Tarea]]/12,Tabla2[[#This Row],[Cosecha/Tarea]])</f>
        <v>3636</v>
      </c>
      <c r="F1926" s="2">
        <v>139565</v>
      </c>
      <c r="G1926" t="s">
        <v>18</v>
      </c>
      <c r="H1926">
        <f>F1926/Tabla2[[#This Row],[Cosecha Mensual]]</f>
        <v>38.384213421342132</v>
      </c>
      <c r="I1926">
        <f>H1926*_xlfn.XLOOKUP(Tabla2[[#This Row],[Unidad de producción]],Tabla3[Medida],Tabla3[Equivalencia en Kg],"ELVIS",0)</f>
        <v>1741.1079207920791</v>
      </c>
      <c r="J1926">
        <v>792</v>
      </c>
      <c r="K1926" t="s">
        <v>18</v>
      </c>
      <c r="L1926">
        <f>J1926/_xlfn.XLOOKUP(Tabla2[[#This Row],[Unidad de precio]],Tabla3[Medida],Tabla3[Equivalencia en Kg],"ELVIS",0)</f>
        <v>17.460317460317462</v>
      </c>
      <c r="M1926">
        <v>24550.120818416199</v>
      </c>
      <c r="N1926" s="2">
        <f>(Tabla2[[#This Row],[Productividad (kg/TAS)]]*Tabla2[[#This Row],[Precio por kg]]-Tabla2[[#This Row],[Costos (En RD$/Tarea)]])</f>
        <v>5850.1762112867727</v>
      </c>
      <c r="O1926" s="6">
        <f>IF(Tabla2[[#This Row],[Costos (En RD$/Tarea)]]=0,0,Tabla2[[#This Row],[Beneficio Neto  (En RD$/Tarea)]]/Tabla2[[#This Row],[Costos (En RD$/Tarea)]])</f>
        <v>0.23829521062471842</v>
      </c>
      <c r="P1926" s="4">
        <f>Tabla2[[#This Row],[Rentabilidad (%)]]/12</f>
        <v>1.9857934218726534E-2</v>
      </c>
    </row>
    <row r="1927" spans="1:16" x14ac:dyDescent="0.35">
      <c r="A1927" s="1">
        <v>41395</v>
      </c>
      <c r="B1927" t="s">
        <v>24</v>
      </c>
      <c r="C1927" s="2">
        <v>4734</v>
      </c>
      <c r="D1927" s="5" t="s">
        <v>17</v>
      </c>
      <c r="E1927" s="2">
        <f>IF(Tabla2[[#This Row],[Frecuencia]]="Annual", Tabla2[[#This Row],[Cosecha/Tarea]]/12,Tabla2[[#This Row],[Cosecha/Tarea]])</f>
        <v>4734</v>
      </c>
      <c r="F1927" s="2">
        <v>40024</v>
      </c>
      <c r="G1927" t="s">
        <v>18</v>
      </c>
      <c r="H1927">
        <f>F1927/Tabla2[[#This Row],[Cosecha Mensual]]</f>
        <v>8.4545838614279685</v>
      </c>
      <c r="I1927">
        <f>H1927*_xlfn.XLOOKUP(Tabla2[[#This Row],[Unidad de producción]],Tabla3[Medida],Tabla3[Equivalencia en Kg],"ELVIS",0)</f>
        <v>383.49992395437266</v>
      </c>
      <c r="J1927">
        <v>1487.5</v>
      </c>
      <c r="K1927" t="s">
        <v>18</v>
      </c>
      <c r="L1927">
        <f>J1927/_xlfn.XLOOKUP(Tabla2[[#This Row],[Unidad de precio]],Tabla3[Medida],Tabla3[Equivalencia en Kg],"ELVIS",0)</f>
        <v>32.793209876543209</v>
      </c>
      <c r="M1927">
        <v>8436.0023040464603</v>
      </c>
      <c r="N1927" s="2">
        <f>(Tabla2[[#This Row],[Productividad (kg/TAS)]]*Tabla2[[#This Row],[Precio por kg]]-Tabla2[[#This Row],[Costos (En RD$/Tarea)]])</f>
        <v>4140.191189827643</v>
      </c>
      <c r="O1927" s="6">
        <f>IF(Tabla2[[#This Row],[Costos (En RD$/Tarea)]]=0,0,Tabla2[[#This Row],[Beneficio Neto  (En RD$/Tarea)]]/Tabla2[[#This Row],[Costos (En RD$/Tarea)]])</f>
        <v>0.49077644132953063</v>
      </c>
      <c r="P1927" s="4">
        <f>Tabla2[[#This Row],[Rentabilidad (%)]]/12</f>
        <v>4.0898036777460886E-2</v>
      </c>
    </row>
    <row r="1928" spans="1:16" x14ac:dyDescent="0.35">
      <c r="A1928" s="1">
        <v>41395</v>
      </c>
      <c r="B1928" t="s">
        <v>25</v>
      </c>
      <c r="C1928" s="2">
        <v>22014</v>
      </c>
      <c r="D1928" s="5" t="s">
        <v>17</v>
      </c>
      <c r="E1928" s="2">
        <f>IF(Tabla2[[#This Row],[Frecuencia]]="Annual", Tabla2[[#This Row],[Cosecha/Tarea]]/12,Tabla2[[#This Row],[Cosecha/Tarea]])</f>
        <v>22014</v>
      </c>
      <c r="F1928" s="2">
        <v>356100</v>
      </c>
      <c r="G1928" t="s">
        <v>18</v>
      </c>
      <c r="H1928">
        <f>F1928/Tabla2[[#This Row],[Cosecha Mensual]]</f>
        <v>16.17606977378032</v>
      </c>
      <c r="I1928">
        <f>H1928*_xlfn.XLOOKUP(Tabla2[[#This Row],[Unidad de producción]],Tabla3[Medida],Tabla3[Equivalencia en Kg],"ELVIS",0)</f>
        <v>733.74652493867529</v>
      </c>
      <c r="J1928">
        <v>733.30499999999995</v>
      </c>
      <c r="K1928" t="s">
        <v>18</v>
      </c>
      <c r="L1928">
        <f>J1928/_xlfn.XLOOKUP(Tabla2[[#This Row],[Unidad de precio]],Tabla3[Medida],Tabla3[Equivalencia en Kg],"ELVIS",0)</f>
        <v>16.166335978835978</v>
      </c>
      <c r="M1928">
        <v>4461.1940527534698</v>
      </c>
      <c r="N1928" s="2">
        <f>(Tabla2[[#This Row],[Productividad (kg/TAS)]]*Tabla2[[#This Row],[Precio por kg]]-Tabla2[[#This Row],[Costos (En RD$/Tarea)]])</f>
        <v>7400.7987927085069</v>
      </c>
      <c r="O1928" s="6">
        <f>IF(Tabla2[[#This Row],[Costos (En RD$/Tarea)]]=0,0,Tabla2[[#This Row],[Beneficio Neto  (En RD$/Tarea)]]/Tabla2[[#This Row],[Costos (En RD$/Tarea)]])</f>
        <v>1.6589277904512356</v>
      </c>
      <c r="P1928" s="4">
        <f>Tabla2[[#This Row],[Rentabilidad (%)]]/12</f>
        <v>0.13824398253760298</v>
      </c>
    </row>
    <row r="1929" spans="1:16" x14ac:dyDescent="0.35">
      <c r="A1929" s="1">
        <v>41395</v>
      </c>
      <c r="B1929" t="s">
        <v>26</v>
      </c>
      <c r="C1929" s="2">
        <v>12999</v>
      </c>
      <c r="D1929" s="5" t="s">
        <v>17</v>
      </c>
      <c r="E1929" s="2">
        <f>IF(Tabla2[[#This Row],[Frecuencia]]="Annual", Tabla2[[#This Row],[Cosecha/Tarea]]/12,Tabla2[[#This Row],[Cosecha/Tarea]])</f>
        <v>12999</v>
      </c>
      <c r="F1929" s="2">
        <v>89812</v>
      </c>
      <c r="G1929" t="s">
        <v>18</v>
      </c>
      <c r="H1929">
        <f>F1929/Tabla2[[#This Row],[Cosecha Mensual]]</f>
        <v>6.9091468574505734</v>
      </c>
      <c r="I1929">
        <f>H1929*_xlfn.XLOOKUP(Tabla2[[#This Row],[Unidad de producción]],Tabla3[Medida],Tabla3[Equivalencia en Kg],"ELVIS",0)</f>
        <v>313.39890145395799</v>
      </c>
      <c r="J1929">
        <v>679.20749999999998</v>
      </c>
      <c r="K1929" t="s">
        <v>18</v>
      </c>
      <c r="L1929">
        <f>J1929/_xlfn.XLOOKUP(Tabla2[[#This Row],[Unidad de precio]],Tabla3[Medida],Tabla3[Equivalencia en Kg],"ELVIS",0)</f>
        <v>14.973710317460318</v>
      </c>
      <c r="M1929">
        <v>1856.8216170000001</v>
      </c>
      <c r="N1929" s="2">
        <f>(Tabla2[[#This Row],[Productividad (kg/TAS)]]*Tabla2[[#This Row],[Precio por kg]]-Tabla2[[#This Row],[Costos (En RD$/Tarea)]])</f>
        <v>2835.9227471818599</v>
      </c>
      <c r="O1929" s="6">
        <f>IF(Tabla2[[#This Row],[Costos (En RD$/Tarea)]]=0,0,Tabla2[[#This Row],[Beneficio Neto  (En RD$/Tarea)]]/Tabla2[[#This Row],[Costos (En RD$/Tarea)]])</f>
        <v>1.5272995107433951</v>
      </c>
      <c r="P1929" s="4">
        <f>Tabla2[[#This Row],[Rentabilidad (%)]]/12</f>
        <v>0.12727495922861626</v>
      </c>
    </row>
    <row r="1930" spans="1:16" x14ac:dyDescent="0.35">
      <c r="A1930" s="1">
        <v>41395</v>
      </c>
      <c r="B1930" t="s">
        <v>27</v>
      </c>
      <c r="C1930" s="2">
        <v>7291</v>
      </c>
      <c r="D1930" s="5" t="s">
        <v>17</v>
      </c>
      <c r="E1930" s="2">
        <f>IF(Tabla2[[#This Row],[Frecuencia]]="Annual", Tabla2[[#This Row],[Cosecha/Tarea]]/12,Tabla2[[#This Row],[Cosecha/Tarea]])</f>
        <v>7291</v>
      </c>
      <c r="F1930" s="2">
        <v>54210</v>
      </c>
      <c r="G1930" t="s">
        <v>18</v>
      </c>
      <c r="H1930">
        <f>F1930/Tabla2[[#This Row],[Cosecha Mensual]]</f>
        <v>7.435194074886847</v>
      </c>
      <c r="I1930">
        <f>H1930*_xlfn.XLOOKUP(Tabla2[[#This Row],[Unidad de producción]],Tabla3[Medida],Tabla3[Equivalencia en Kg],"ELVIS",0)</f>
        <v>337.26040323686738</v>
      </c>
      <c r="J1930">
        <v>546.88800000000003</v>
      </c>
      <c r="K1930" t="s">
        <v>18</v>
      </c>
      <c r="L1930">
        <f>J1930/_xlfn.XLOOKUP(Tabla2[[#This Row],[Unidad de precio]],Tabla3[Medida],Tabla3[Equivalencia en Kg],"ELVIS",0)</f>
        <v>12.056613756613757</v>
      </c>
      <c r="M1930">
        <v>7498.499866956</v>
      </c>
      <c r="N1930" s="2">
        <f>(Tabla2[[#This Row],[Productividad (kg/TAS)]]*Tabla2[[#This Row],[Precio por kg]]-Tabla2[[#This Row],[Costos (En RD$/Tarea)]])</f>
        <v>-3432.281449729282</v>
      </c>
      <c r="O1930" s="6">
        <f>IF(Tabla2[[#This Row],[Costos (En RD$/Tarea)]]=0,0,Tabla2[[#This Row],[Beneficio Neto  (En RD$/Tarea)]]/Tabla2[[#This Row],[Costos (En RD$/Tarea)]])</f>
        <v>-0.45772908056643191</v>
      </c>
      <c r="P1930" s="4">
        <f>Tabla2[[#This Row],[Rentabilidad (%)]]/12</f>
        <v>-3.8144090047202657E-2</v>
      </c>
    </row>
    <row r="1931" spans="1:16" x14ac:dyDescent="0.35">
      <c r="A1931" s="1">
        <v>41395</v>
      </c>
      <c r="B1931" t="s">
        <v>28</v>
      </c>
      <c r="C1931" s="2">
        <v>4559</v>
      </c>
      <c r="D1931" s="5" t="s">
        <v>17</v>
      </c>
      <c r="E1931" s="2">
        <f>IF(Tabla2[[#This Row],[Frecuencia]]="Annual", Tabla2[[#This Row],[Cosecha/Tarea]]/12,Tabla2[[#This Row],[Cosecha/Tarea]])</f>
        <v>4559</v>
      </c>
      <c r="F1931" s="2">
        <v>7005</v>
      </c>
      <c r="G1931" t="s">
        <v>29</v>
      </c>
      <c r="H1931">
        <f>F1931/Tabla2[[#This Row],[Cosecha Mensual]]</f>
        <v>1.5365211669225707</v>
      </c>
      <c r="I1931">
        <f>H1931*_xlfn.XLOOKUP(Tabla2[[#This Row],[Unidad de producción]],Tabla3[Medida],Tabla3[Equivalencia en Kg],"ELVIS",0)</f>
        <v>864.04731300723847</v>
      </c>
      <c r="J1931">
        <v>5000</v>
      </c>
      <c r="K1931" t="s">
        <v>29</v>
      </c>
      <c r="L1931">
        <f>J1931/_xlfn.XLOOKUP(Tabla2[[#This Row],[Unidad de precio]],Tabla3[Medida],Tabla3[Equivalencia en Kg],"ELVIS",0)</f>
        <v>8.8914180033431727</v>
      </c>
      <c r="M1931">
        <v>6492.5610346041303</v>
      </c>
      <c r="N1931" s="2">
        <f>(Tabla2[[#This Row],[Productividad (kg/TAS)]]*Tabla2[[#This Row],[Precio por kg]]-Tabla2[[#This Row],[Costos (En RD$/Tarea)]])</f>
        <v>1190.0448000087235</v>
      </c>
      <c r="O1931" s="6">
        <f>IF(Tabla2[[#This Row],[Costos (En RD$/Tarea)]]=0,0,Tabla2[[#This Row],[Beneficio Neto  (En RD$/Tarea)]]/Tabla2[[#This Row],[Costos (En RD$/Tarea)]])</f>
        <v>0.18329358687057518</v>
      </c>
      <c r="P1931" s="4">
        <f>Tabla2[[#This Row],[Rentabilidad (%)]]/12</f>
        <v>1.5274465572547932E-2</v>
      </c>
    </row>
    <row r="1932" spans="1:16" x14ac:dyDescent="0.35">
      <c r="A1932" s="1">
        <v>41395</v>
      </c>
      <c r="B1932" t="s">
        <v>30</v>
      </c>
      <c r="C1932" s="2">
        <v>369870</v>
      </c>
      <c r="D1932" s="2" t="s">
        <v>31</v>
      </c>
      <c r="E1932" s="2">
        <f>IF(Tabla2[[#This Row],[Frecuencia]]="Annual", Tabla2[[#This Row],[Cosecha/Tarea]]/12,Tabla2[[#This Row],[Cosecha/Tarea]])</f>
        <v>30822.5</v>
      </c>
      <c r="F1932" s="2">
        <v>3312016</v>
      </c>
      <c r="G1932" t="s">
        <v>32</v>
      </c>
      <c r="H1932">
        <f>F1932/Tabla2[[#This Row],[Cosecha Mensual]]</f>
        <v>107.45448941519993</v>
      </c>
      <c r="I1932">
        <f>H1932*_xlfn.XLOOKUP(Tabla2[[#This Row],[Unidad de producción]],Tabla3[Medida],Tabla3[Equivalencia en Kg],"ELVIS",0)</f>
        <v>2923.8366569875902</v>
      </c>
      <c r="J1932">
        <v>155.26333333333301</v>
      </c>
      <c r="K1932" t="s">
        <v>32</v>
      </c>
      <c r="L1932">
        <f>J1932/_xlfn.XLOOKUP(Tabla2[[#This Row],[Unidad de precio]],Tabla3[Medida],Tabla3[Equivalencia en Kg],"ELVIS",0)</f>
        <v>5.7061129486708193</v>
      </c>
      <c r="M1932" s="2">
        <v>11852.2845542745</v>
      </c>
      <c r="N1932" s="2">
        <f>(Tabla2[[#This Row],[Productividad (kg/TAS)]]*Tabla2[[#This Row],[Precio por kg]]-Tabla2[[#This Row],[Costos (En RD$/Tarea)]])</f>
        <v>4831.4576539607897</v>
      </c>
      <c r="O1932" s="6">
        <f>IF(Tabla2[[#This Row],[Costos (En RD$/Tarea)]]=0,0,Tabla2[[#This Row],[Beneficio Neto  (En RD$/Tarea)]]/Tabla2[[#This Row],[Costos (En RD$/Tarea)]])</f>
        <v>0.40763935693885572</v>
      </c>
      <c r="P1932" s="4">
        <f>Tabla2[[#This Row],[Rentabilidad (%)]]/12</f>
        <v>3.3969946411571313E-2</v>
      </c>
    </row>
    <row r="1933" spans="1:16" x14ac:dyDescent="0.35">
      <c r="A1933" s="1">
        <v>41395</v>
      </c>
      <c r="B1933" t="s">
        <v>33</v>
      </c>
      <c r="C1933" s="2">
        <v>725984</v>
      </c>
      <c r="D1933" s="2" t="s">
        <v>31</v>
      </c>
      <c r="E1933" s="2">
        <f>IF(Tabla2[[#This Row],[Frecuencia]]="Annual", Tabla2[[#This Row],[Cosecha/Tarea]]/12,Tabla2[[#This Row],[Cosecha/Tarea]])</f>
        <v>60498.666666666664</v>
      </c>
      <c r="F1933" s="2">
        <v>155508</v>
      </c>
      <c r="G1933" t="s">
        <v>34</v>
      </c>
      <c r="H1933">
        <f>F1933/Tabla2[[#This Row],[Cosecha Mensual]]</f>
        <v>2.5704368140344691</v>
      </c>
      <c r="I1933">
        <f>H1933*_xlfn.XLOOKUP(Tabla2[[#This Row],[Unidad de producción]],Tabla3[Medida],Tabla3[Equivalencia en Kg],"ELVIS",0)</f>
        <v>1049.1237856481685</v>
      </c>
      <c r="J1933">
        <v>4352</v>
      </c>
      <c r="K1933" t="s">
        <v>34</v>
      </c>
      <c r="L1933">
        <f>J1933/_xlfn.XLOOKUP(Tabla2[[#This Row],[Unidad de precio]],Tabla3[Medida],Tabla3[Equivalencia en Kg],"ELVIS",0)</f>
        <v>10.662746539262526</v>
      </c>
      <c r="M1933" s="2">
        <v>11461.359791266201</v>
      </c>
      <c r="N1933" s="2">
        <f>(Tabla2[[#This Row],[Productividad (kg/TAS)]]*Tabla2[[#This Row],[Precio por kg]]-Tabla2[[#This Row],[Costos (En RD$/Tarea)]])</f>
        <v>-274.81877658819212</v>
      </c>
      <c r="O1933" s="6">
        <f>IF(Tabla2[[#This Row],[Costos (En RD$/Tarea)]]=0,0,Tabla2[[#This Row],[Beneficio Neto  (En RD$/Tarea)]]/Tabla2[[#This Row],[Costos (En RD$/Tarea)]])</f>
        <v>-2.3977850935070537E-2</v>
      </c>
      <c r="P1933" s="4">
        <f>Tabla2[[#This Row],[Rentabilidad (%)]]/12</f>
        <v>-1.9981542445892115E-3</v>
      </c>
    </row>
    <row r="1934" spans="1:16" x14ac:dyDescent="0.35">
      <c r="A1934" s="1">
        <v>41426</v>
      </c>
      <c r="B1934" t="s">
        <v>16</v>
      </c>
      <c r="C1934" s="2">
        <v>222691</v>
      </c>
      <c r="D1934" s="5" t="s">
        <v>17</v>
      </c>
      <c r="E1934" s="2">
        <f>IF(Tabla2[[#This Row],[Frecuencia]]="Annual", Tabla2[[#This Row],[Cosecha/Tarea]]/12,Tabla2[[#This Row],[Cosecha/Tarea]])</f>
        <v>222691</v>
      </c>
      <c r="F1934" s="2">
        <v>1097561</v>
      </c>
      <c r="G1934" t="s">
        <v>18</v>
      </c>
      <c r="H1934">
        <f>F1934/Tabla2[[#This Row],[Cosecha Mensual]]</f>
        <v>4.9286275601618383</v>
      </c>
      <c r="I1934">
        <f>H1934*_xlfn.XLOOKUP(Tabla2[[#This Row],[Unidad de producción]],Tabla3[Medida],Tabla3[Equivalencia en Kg],"ELVIS",0)</f>
        <v>223.56254612894099</v>
      </c>
      <c r="J1934">
        <v>1946.2739999999999</v>
      </c>
      <c r="K1934" t="s">
        <v>19</v>
      </c>
      <c r="L1934">
        <f>J1934/_xlfn.XLOOKUP(Tabla2[[#This Row],[Unidad de precio]],Tabla3[Medida],Tabla3[Equivalencia en Kg],"ELVIS",0)</f>
        <v>17.6934</v>
      </c>
      <c r="M1934">
        <v>7832.6079700315504</v>
      </c>
      <c r="N1934" s="2">
        <f>(Tabla2[[#This Row],[Productividad (kg/TAS)]]*Tabla2[[#This Row],[Precio por kg]]-Tabla2[[#This Row],[Costos (En RD$/Tarea)]])</f>
        <v>-3877.0264163537458</v>
      </c>
      <c r="O1934" s="6">
        <f>IF(Tabla2[[#This Row],[Costos (En RD$/Tarea)]]=0,0,Tabla2[[#This Row],[Beneficio Neto  (En RD$/Tarea)]]/Tabla2[[#This Row],[Costos (En RD$/Tarea)]])</f>
        <v>-0.49498537794661629</v>
      </c>
      <c r="P1934" s="4">
        <f>Tabla2[[#This Row],[Rentabilidad (%)]]/12</f>
        <v>-4.1248781495551355E-2</v>
      </c>
    </row>
    <row r="1935" spans="1:16" x14ac:dyDescent="0.35">
      <c r="A1935" s="1">
        <v>41426</v>
      </c>
      <c r="B1935" t="s">
        <v>20</v>
      </c>
      <c r="C1935" s="2">
        <v>35420</v>
      </c>
      <c r="D1935" s="5" t="s">
        <v>17</v>
      </c>
      <c r="E1935" s="2">
        <f>IF(Tabla2[[#This Row],[Frecuencia]]="Annual", Tabla2[[#This Row],[Cosecha/Tarea]]/12,Tabla2[[#This Row],[Cosecha/Tarea]])</f>
        <v>35420</v>
      </c>
      <c r="F1935" s="2">
        <v>94439</v>
      </c>
      <c r="G1935" t="s">
        <v>18</v>
      </c>
      <c r="H1935">
        <f>F1935/Tabla2[[#This Row],[Cosecha Mensual]]</f>
        <v>2.6662619988706946</v>
      </c>
      <c r="I1935">
        <f>H1935*_xlfn.XLOOKUP(Tabla2[[#This Row],[Unidad de producción]],Tabla3[Medida],Tabla3[Equivalencia en Kg],"ELVIS",0)</f>
        <v>120.94164426877471</v>
      </c>
      <c r="J1935">
        <v>807.869795918367</v>
      </c>
      <c r="K1935" t="s">
        <v>18</v>
      </c>
      <c r="L1935">
        <f>J1935/_xlfn.XLOOKUP(Tabla2[[#This Row],[Unidad de precio]],Tabla3[Medida],Tabla3[Equivalencia en Kg],"ELVIS",0)</f>
        <v>17.810180686031018</v>
      </c>
      <c r="M1935">
        <v>2208.9263820000001</v>
      </c>
      <c r="N1935" s="2">
        <f>(Tabla2[[#This Row],[Productividad (kg/TAS)]]*Tabla2[[#This Row],[Precio por kg]]-Tabla2[[#This Row],[Costos (En RD$/Tarea)]])</f>
        <v>-54.93384510743499</v>
      </c>
      <c r="O1935" s="6">
        <f>IF(Tabla2[[#This Row],[Costos (En RD$/Tarea)]]=0,0,Tabla2[[#This Row],[Beneficio Neto  (En RD$/Tarea)]]/Tabla2[[#This Row],[Costos (En RD$/Tarea)]])</f>
        <v>-2.4869024859804037E-2</v>
      </c>
      <c r="P1935" s="4">
        <f>Tabla2[[#This Row],[Rentabilidad (%)]]/12</f>
        <v>-2.0724187383170029E-3</v>
      </c>
    </row>
    <row r="1936" spans="1:16" x14ac:dyDescent="0.35">
      <c r="A1936" s="1">
        <v>41426</v>
      </c>
      <c r="B1936" t="s">
        <v>21</v>
      </c>
      <c r="C1936" s="2">
        <v>8951</v>
      </c>
      <c r="D1936" s="5" t="s">
        <v>17</v>
      </c>
      <c r="E1936" s="2">
        <f>IF(Tabla2[[#This Row],[Frecuencia]]="Annual", Tabla2[[#This Row],[Cosecha/Tarea]]/12,Tabla2[[#This Row],[Cosecha/Tarea]])</f>
        <v>8951</v>
      </c>
      <c r="F1936" s="2">
        <v>98801</v>
      </c>
      <c r="G1936" t="s">
        <v>18</v>
      </c>
      <c r="H1936">
        <f>F1936/Tabla2[[#This Row],[Cosecha Mensual]]</f>
        <v>11.037984582728187</v>
      </c>
      <c r="I1936">
        <f>H1936*_xlfn.XLOOKUP(Tabla2[[#This Row],[Unidad de producción]],Tabla3[Medida],Tabla3[Equivalencia en Kg],"ELVIS",0)</f>
        <v>500.68298067255057</v>
      </c>
      <c r="J1936">
        <v>327.45048809523797</v>
      </c>
      <c r="K1936" t="s">
        <v>18</v>
      </c>
      <c r="L1936">
        <f>J1936/_xlfn.XLOOKUP(Tabla2[[#This Row],[Unidad de precio]],Tabla3[Medida],Tabla3[Equivalencia en Kg],"ELVIS",0)</f>
        <v>7.2189261043923718</v>
      </c>
      <c r="M1936">
        <v>4893.7504664999997</v>
      </c>
      <c r="N1936" s="2">
        <f>(Tabla2[[#This Row],[Productividad (kg/TAS)]]*Tabla2[[#This Row],[Precio por kg]]-Tabla2[[#This Row],[Costos (En RD$/Tarea)]])</f>
        <v>-1279.3570272979432</v>
      </c>
      <c r="O1936" s="6">
        <f>IF(Tabla2[[#This Row],[Costos (En RD$/Tarea)]]=0,0,Tabla2[[#This Row],[Beneficio Neto  (En RD$/Tarea)]]/Tabla2[[#This Row],[Costos (En RD$/Tarea)]])</f>
        <v>-0.26142669840968347</v>
      </c>
      <c r="P1936" s="4">
        <f>Tabla2[[#This Row],[Rentabilidad (%)]]/12</f>
        <v>-2.1785558200806954E-2</v>
      </c>
    </row>
    <row r="1937" spans="1:16" x14ac:dyDescent="0.35">
      <c r="A1937" s="1">
        <v>41426</v>
      </c>
      <c r="B1937" t="s">
        <v>22</v>
      </c>
      <c r="C1937" s="2">
        <v>5221</v>
      </c>
      <c r="D1937" s="5" t="s">
        <v>17</v>
      </c>
      <c r="E1937" s="2">
        <f>IF(Tabla2[[#This Row],[Frecuencia]]="Annual", Tabla2[[#This Row],[Cosecha/Tarea]]/12,Tabla2[[#This Row],[Cosecha/Tarea]])</f>
        <v>5221</v>
      </c>
      <c r="F1937" s="2">
        <v>41331</v>
      </c>
      <c r="G1937" t="s">
        <v>18</v>
      </c>
      <c r="H1937">
        <f>F1937/Tabla2[[#This Row],[Cosecha Mensual]]</f>
        <v>7.9162995594713657</v>
      </c>
      <c r="I1937">
        <f>H1937*_xlfn.XLOOKUP(Tabla2[[#This Row],[Unidad de producción]],Tabla3[Medida],Tabla3[Equivalencia en Kg],"ELVIS",0)</f>
        <v>359.08334801762112</v>
      </c>
      <c r="J1937">
        <v>1267.44114285714</v>
      </c>
      <c r="K1937" t="s">
        <v>18</v>
      </c>
      <c r="L1937">
        <f>J1937/_xlfn.XLOOKUP(Tabla2[[#This Row],[Unidad de precio]],Tabla3[Medida],Tabla3[Equivalencia en Kg],"ELVIS",0)</f>
        <v>27.94182413706217</v>
      </c>
      <c r="M1937">
        <v>8667.0620736000001</v>
      </c>
      <c r="N1937" s="2">
        <f>(Tabla2[[#This Row],[Productividad (kg/TAS)]]*Tabla2[[#This Row],[Precio por kg]]-Tabla2[[#This Row],[Costos (En RD$/Tarea)]])</f>
        <v>1366.3816872558618</v>
      </c>
      <c r="O1937" s="6">
        <f>IF(Tabla2[[#This Row],[Costos (En RD$/Tarea)]]=0,0,Tabla2[[#This Row],[Beneficio Neto  (En RD$/Tarea)]]/Tabla2[[#This Row],[Costos (En RD$/Tarea)]])</f>
        <v>0.15765223274653598</v>
      </c>
      <c r="P1937" s="4">
        <f>Tabla2[[#This Row],[Rentabilidad (%)]]/12</f>
        <v>1.3137686062211331E-2</v>
      </c>
    </row>
    <row r="1938" spans="1:16" x14ac:dyDescent="0.35">
      <c r="A1938" s="1">
        <v>41426</v>
      </c>
      <c r="B1938" t="s">
        <v>23</v>
      </c>
      <c r="C1938" s="2">
        <v>3068</v>
      </c>
      <c r="D1938" s="5" t="s">
        <v>17</v>
      </c>
      <c r="E1938" s="2">
        <f>IF(Tabla2[[#This Row],[Frecuencia]]="Annual", Tabla2[[#This Row],[Cosecha/Tarea]]/12,Tabla2[[#This Row],[Cosecha/Tarea]])</f>
        <v>3068</v>
      </c>
      <c r="F1938" s="2">
        <v>114770</v>
      </c>
      <c r="G1938" t="s">
        <v>18</v>
      </c>
      <c r="H1938">
        <f>F1938/Tabla2[[#This Row],[Cosecha Mensual]]</f>
        <v>37.408735332464147</v>
      </c>
      <c r="I1938">
        <f>H1938*_xlfn.XLOOKUP(Tabla2[[#This Row],[Unidad de producción]],Tabla3[Medida],Tabla3[Equivalencia en Kg],"ELVIS",0)</f>
        <v>1696.8602346805737</v>
      </c>
      <c r="J1938">
        <v>772.44346666666695</v>
      </c>
      <c r="K1938" t="s">
        <v>18</v>
      </c>
      <c r="L1938">
        <f>J1938/_xlfn.XLOOKUP(Tabla2[[#This Row],[Unidad de precio]],Tabla3[Medida],Tabla3[Equivalencia en Kg],"ELVIS",0)</f>
        <v>17.029176954732517</v>
      </c>
      <c r="M1938">
        <v>24550.120818416199</v>
      </c>
      <c r="N1938" s="2">
        <f>(Tabla2[[#This Row],[Productividad (kg/TAS)]]*Tabla2[[#This Row],[Precio por kg]]-Tabla2[[#This Row],[Costos (En RD$/Tarea)]])</f>
        <v>4346.0123854082376</v>
      </c>
      <c r="O1938" s="6">
        <f>IF(Tabla2[[#This Row],[Costos (En RD$/Tarea)]]=0,0,Tabla2[[#This Row],[Beneficio Neto  (En RD$/Tarea)]]/Tabla2[[#This Row],[Costos (En RD$/Tarea)]])</f>
        <v>0.17702610987348338</v>
      </c>
      <c r="P1938" s="4">
        <f>Tabla2[[#This Row],[Rentabilidad (%)]]/12</f>
        <v>1.4752175822790281E-2</v>
      </c>
    </row>
    <row r="1939" spans="1:16" x14ac:dyDescent="0.35">
      <c r="A1939" s="1">
        <v>41426</v>
      </c>
      <c r="B1939" t="s">
        <v>24</v>
      </c>
      <c r="C1939" s="2">
        <v>7865</v>
      </c>
      <c r="D1939" s="5" t="s">
        <v>17</v>
      </c>
      <c r="E1939" s="2">
        <f>IF(Tabla2[[#This Row],[Frecuencia]]="Annual", Tabla2[[#This Row],[Cosecha/Tarea]]/12,Tabla2[[#This Row],[Cosecha/Tarea]])</f>
        <v>7865</v>
      </c>
      <c r="F1939" s="2">
        <v>61328</v>
      </c>
      <c r="G1939" t="s">
        <v>18</v>
      </c>
      <c r="H1939">
        <f>F1939/Tabla2[[#This Row],[Cosecha Mensual]]</f>
        <v>7.7975842339478705</v>
      </c>
      <c r="I1939">
        <f>H1939*_xlfn.XLOOKUP(Tabla2[[#This Row],[Unidad de producción]],Tabla3[Medida],Tabla3[Equivalencia en Kg],"ELVIS",0)</f>
        <v>353.69842085187543</v>
      </c>
      <c r="J1939">
        <v>1703.54714285714</v>
      </c>
      <c r="K1939" t="s">
        <v>18</v>
      </c>
      <c r="L1939">
        <f>J1939/_xlfn.XLOOKUP(Tabla2[[#This Row],[Unidad de precio]],Tabla3[Medida],Tabla3[Equivalencia en Kg],"ELVIS",0)</f>
        <v>37.556153943058639</v>
      </c>
      <c r="M1939">
        <v>8436.0023040464603</v>
      </c>
      <c r="N1939" s="2">
        <f>(Tabla2[[#This Row],[Productividad (kg/TAS)]]*Tabla2[[#This Row],[Precio por kg]]-Tabla2[[#This Row],[Costos (En RD$/Tarea)]])</f>
        <v>4847.5500388833152</v>
      </c>
      <c r="O1939" s="6">
        <f>IF(Tabla2[[#This Row],[Costos (En RD$/Tarea)]]=0,0,Tabla2[[#This Row],[Beneficio Neto  (En RD$/Tarea)]]/Tabla2[[#This Row],[Costos (En RD$/Tarea)]])</f>
        <v>0.57462644795131368</v>
      </c>
      <c r="P1939" s="4">
        <f>Tabla2[[#This Row],[Rentabilidad (%)]]/12</f>
        <v>4.788553732927614E-2</v>
      </c>
    </row>
    <row r="1940" spans="1:16" x14ac:dyDescent="0.35">
      <c r="A1940" s="1">
        <v>41426</v>
      </c>
      <c r="B1940" t="s">
        <v>25</v>
      </c>
      <c r="C1940" s="2">
        <v>26483</v>
      </c>
      <c r="D1940" s="5" t="s">
        <v>17</v>
      </c>
      <c r="E1940" s="2">
        <f>IF(Tabla2[[#This Row],[Frecuencia]]="Annual", Tabla2[[#This Row],[Cosecha/Tarea]]/12,Tabla2[[#This Row],[Cosecha/Tarea]])</f>
        <v>26483</v>
      </c>
      <c r="F1940" s="2">
        <v>277289</v>
      </c>
      <c r="G1940" t="s">
        <v>18</v>
      </c>
      <c r="H1940">
        <f>F1940/Tabla2[[#This Row],[Cosecha Mensual]]</f>
        <v>10.470452743269266</v>
      </c>
      <c r="I1940">
        <f>H1940*_xlfn.XLOOKUP(Tabla2[[#This Row],[Unidad de producción]],Tabla3[Medida],Tabla3[Equivalencia en Kg],"ELVIS",0)</f>
        <v>474.93973643469394</v>
      </c>
      <c r="J1940">
        <v>593.96971428571396</v>
      </c>
      <c r="K1940" t="s">
        <v>18</v>
      </c>
      <c r="L1940">
        <f>J1940/_xlfn.XLOOKUP(Tabla2[[#This Row],[Unidad de precio]],Tabla3[Medida],Tabla3[Equivalencia en Kg],"ELVIS",0)</f>
        <v>13.09457042076089</v>
      </c>
      <c r="M1940">
        <v>4461.1940527534698</v>
      </c>
      <c r="N1940" s="2">
        <f>(Tabla2[[#This Row],[Productividad (kg/TAS)]]*Tabla2[[#This Row],[Precio por kg]]-Tabla2[[#This Row],[Costos (En RD$/Tarea)]])</f>
        <v>1757.9377716082463</v>
      </c>
      <c r="O1940" s="6">
        <f>IF(Tabla2[[#This Row],[Costos (En RD$/Tarea)]]=0,0,Tabla2[[#This Row],[Beneficio Neto  (En RD$/Tarea)]]/Tabla2[[#This Row],[Costos (En RD$/Tarea)]])</f>
        <v>0.39405095380758853</v>
      </c>
      <c r="P1940" s="4">
        <f>Tabla2[[#This Row],[Rentabilidad (%)]]/12</f>
        <v>3.2837579483965713E-2</v>
      </c>
    </row>
    <row r="1941" spans="1:16" x14ac:dyDescent="0.35">
      <c r="A1941" s="1">
        <v>41426</v>
      </c>
      <c r="B1941" t="s">
        <v>26</v>
      </c>
      <c r="C1941" s="2">
        <v>18030</v>
      </c>
      <c r="D1941" s="5" t="s">
        <v>17</v>
      </c>
      <c r="E1941" s="2">
        <f>IF(Tabla2[[#This Row],[Frecuencia]]="Annual", Tabla2[[#This Row],[Cosecha/Tarea]]/12,Tabla2[[#This Row],[Cosecha/Tarea]])</f>
        <v>18030</v>
      </c>
      <c r="F1941" s="2">
        <v>149438</v>
      </c>
      <c r="G1941" t="s">
        <v>18</v>
      </c>
      <c r="H1941">
        <f>F1941/Tabla2[[#This Row],[Cosecha Mensual]]</f>
        <v>8.2882972823072656</v>
      </c>
      <c r="I1941">
        <f>H1941*_xlfn.XLOOKUP(Tabla2[[#This Row],[Unidad de producción]],Tabla3[Medida],Tabla3[Equivalencia en Kg],"ELVIS",0)</f>
        <v>375.95716472545757</v>
      </c>
      <c r="J1941">
        <v>755.357142857143</v>
      </c>
      <c r="K1941" t="s">
        <v>18</v>
      </c>
      <c r="L1941">
        <f>J1941/_xlfn.XLOOKUP(Tabla2[[#This Row],[Unidad de precio]],Tabla3[Medida],Tabla3[Equivalencia en Kg],"ELVIS",0)</f>
        <v>16.652494331065764</v>
      </c>
      <c r="M1941">
        <v>1856.8216170000001</v>
      </c>
      <c r="N1941" s="2">
        <f>(Tabla2[[#This Row],[Productividad (kg/TAS)]]*Tabla2[[#This Row],[Precio por kg]]-Tabla2[[#This Row],[Costos (En RD$/Tarea)]])</f>
        <v>4403.8029373142399</v>
      </c>
      <c r="O1941" s="6">
        <f>IF(Tabla2[[#This Row],[Costos (En RD$/Tarea)]]=0,0,Tabla2[[#This Row],[Beneficio Neto  (En RD$/Tarea)]]/Tabla2[[#This Row],[Costos (En RD$/Tarea)]])</f>
        <v>2.3716887486635931</v>
      </c>
      <c r="P1941" s="4">
        <f>Tabla2[[#This Row],[Rentabilidad (%)]]/12</f>
        <v>0.19764072905529942</v>
      </c>
    </row>
    <row r="1942" spans="1:16" x14ac:dyDescent="0.35">
      <c r="A1942" s="1">
        <v>41426</v>
      </c>
      <c r="B1942" t="s">
        <v>27</v>
      </c>
      <c r="C1942" s="2">
        <v>7158</v>
      </c>
      <c r="D1942" s="5" t="s">
        <v>17</v>
      </c>
      <c r="E1942" s="2">
        <f>IF(Tabla2[[#This Row],[Frecuencia]]="Annual", Tabla2[[#This Row],[Cosecha/Tarea]]/12,Tabla2[[#This Row],[Cosecha/Tarea]])</f>
        <v>7158</v>
      </c>
      <c r="F1942" s="2">
        <v>38839</v>
      </c>
      <c r="G1942" t="s">
        <v>18</v>
      </c>
      <c r="H1942">
        <f>F1942/Tabla2[[#This Row],[Cosecha Mensual]]</f>
        <v>5.4259569712210114</v>
      </c>
      <c r="I1942">
        <f>H1942*_xlfn.XLOOKUP(Tabla2[[#This Row],[Unidad de producción]],Tabla3[Medida],Tabla3[Equivalencia en Kg],"ELVIS",0)</f>
        <v>246.12140821458507</v>
      </c>
      <c r="J1942">
        <v>483.60202380952398</v>
      </c>
      <c r="K1942" t="s">
        <v>18</v>
      </c>
      <c r="L1942">
        <f>J1942/_xlfn.XLOOKUP(Tabla2[[#This Row],[Unidad de precio]],Tabla3[Medida],Tabla3[Equivalencia en Kg],"ELVIS",0)</f>
        <v>10.661420277987743</v>
      </c>
      <c r="M1942">
        <v>7498.499866956</v>
      </c>
      <c r="N1942" s="2">
        <f>(Tabla2[[#This Row],[Productividad (kg/TAS)]]*Tabla2[[#This Row],[Precio por kg]]-Tabla2[[#This Row],[Costos (En RD$/Tarea)]])</f>
        <v>-4874.4960945701241</v>
      </c>
      <c r="O1942" s="6">
        <f>IF(Tabla2[[#This Row],[Costos (En RD$/Tarea)]]=0,0,Tabla2[[#This Row],[Beneficio Neto  (En RD$/Tarea)]]/Tabla2[[#This Row],[Costos (En RD$/Tarea)]])</f>
        <v>-0.65006283670828624</v>
      </c>
      <c r="P1942" s="4">
        <f>Tabla2[[#This Row],[Rentabilidad (%)]]/12</f>
        <v>-5.4171903059023856E-2</v>
      </c>
    </row>
    <row r="1943" spans="1:16" x14ac:dyDescent="0.35">
      <c r="A1943" s="1">
        <v>41426</v>
      </c>
      <c r="B1943" t="s">
        <v>28</v>
      </c>
      <c r="C1943" s="2">
        <v>4329</v>
      </c>
      <c r="D1943" s="5" t="s">
        <v>17</v>
      </c>
      <c r="E1943" s="2">
        <f>IF(Tabla2[[#This Row],[Frecuencia]]="Annual", Tabla2[[#This Row],[Cosecha/Tarea]]/12,Tabla2[[#This Row],[Cosecha/Tarea]])</f>
        <v>4329</v>
      </c>
      <c r="F1943" s="2">
        <v>8508</v>
      </c>
      <c r="G1943" t="s">
        <v>29</v>
      </c>
      <c r="H1943">
        <f>F1943/Tabla2[[#This Row],[Cosecha Mensual]]</f>
        <v>1.9653499653499653</v>
      </c>
      <c r="I1943">
        <f>H1943*_xlfn.XLOOKUP(Tabla2[[#This Row],[Unidad de producción]],Tabla3[Medida],Tabla3[Equivalencia en Kg],"ELVIS",0)</f>
        <v>1105.1948995148996</v>
      </c>
      <c r="J1943">
        <v>5500</v>
      </c>
      <c r="K1943" t="s">
        <v>29</v>
      </c>
      <c r="L1943">
        <f>J1943/_xlfn.XLOOKUP(Tabla2[[#This Row],[Unidad de precio]],Tabla3[Medida],Tabla3[Equivalencia en Kg],"ELVIS",0)</f>
        <v>9.7805598036774892</v>
      </c>
      <c r="M1943">
        <v>6492.5610346041303</v>
      </c>
      <c r="N1943" s="2">
        <f>(Tabla2[[#This Row],[Productividad (kg/TAS)]]*Tabla2[[#This Row],[Precio por kg]]-Tabla2[[#This Row],[Costos (En RD$/Tarea)]])</f>
        <v>4316.8637748206784</v>
      </c>
      <c r="O1943" s="6">
        <f>IF(Tabla2[[#This Row],[Costos (En RD$/Tarea)]]=0,0,Tabla2[[#This Row],[Beneficio Neto  (En RD$/Tarea)]]/Tabla2[[#This Row],[Costos (En RD$/Tarea)]])</f>
        <v>0.66489383031019744</v>
      </c>
      <c r="P1943" s="4">
        <f>Tabla2[[#This Row],[Rentabilidad (%)]]/12</f>
        <v>5.5407819192516451E-2</v>
      </c>
    </row>
    <row r="1944" spans="1:16" x14ac:dyDescent="0.35">
      <c r="A1944" s="1">
        <v>41426</v>
      </c>
      <c r="B1944" t="s">
        <v>30</v>
      </c>
      <c r="C1944" s="2">
        <v>375334</v>
      </c>
      <c r="D1944" s="2" t="s">
        <v>31</v>
      </c>
      <c r="E1944" s="2">
        <f>IF(Tabla2[[#This Row],[Frecuencia]]="Annual", Tabla2[[#This Row],[Cosecha/Tarea]]/12,Tabla2[[#This Row],[Cosecha/Tarea]])</f>
        <v>31277.833333333332</v>
      </c>
      <c r="F1944" s="2">
        <v>3515433</v>
      </c>
      <c r="G1944" t="s">
        <v>32</v>
      </c>
      <c r="H1944">
        <f>F1944/Tabla2[[#This Row],[Cosecha Mensual]]</f>
        <v>112.39375063276975</v>
      </c>
      <c r="I1944">
        <f>H1944*_xlfn.XLOOKUP(Tabla2[[#This Row],[Unidad de producción]],Tabla3[Medida],Tabla3[Equivalencia en Kg],"ELVIS",0)</f>
        <v>3058.2339547176653</v>
      </c>
      <c r="J1944">
        <v>126.90306122449</v>
      </c>
      <c r="K1944" t="s">
        <v>32</v>
      </c>
      <c r="L1944">
        <f>J1944/_xlfn.XLOOKUP(Tabla2[[#This Row],[Unidad de precio]],Tabla3[Medida],Tabla3[Equivalencia en Kg],"ELVIS",0)</f>
        <v>4.6638390747699372</v>
      </c>
      <c r="M1944" s="2">
        <v>11852.2845542745</v>
      </c>
      <c r="N1944" s="2">
        <f>(Tabla2[[#This Row],[Productividad (kg/TAS)]]*Tabla2[[#This Row],[Precio por kg]]-Tabla2[[#This Row],[Costos (En RD$/Tarea)]])</f>
        <v>2410.826463525942</v>
      </c>
      <c r="O1944" s="6">
        <f>IF(Tabla2[[#This Row],[Costos (En RD$/Tarea)]]=0,0,Tabla2[[#This Row],[Beneficio Neto  (En RD$/Tarea)]]/Tabla2[[#This Row],[Costos (En RD$/Tarea)]])</f>
        <v>0.20340605665398767</v>
      </c>
      <c r="P1944" s="4">
        <f>Tabla2[[#This Row],[Rentabilidad (%)]]/12</f>
        <v>1.6950504721165639E-2</v>
      </c>
    </row>
    <row r="1945" spans="1:16" x14ac:dyDescent="0.35">
      <c r="A1945" s="1">
        <v>41426</v>
      </c>
      <c r="B1945" t="s">
        <v>33</v>
      </c>
      <c r="C1945" s="2">
        <v>743075</v>
      </c>
      <c r="D1945" s="2" t="s">
        <v>31</v>
      </c>
      <c r="E1945" s="8">
        <f>IF(Tabla2[[#This Row],[Frecuencia]]="Annual", Tabla2[[#This Row],[Cosecha/Tarea]]/12,Tabla2[[#This Row],[Cosecha/Tarea]])</f>
        <v>61922.916666666664</v>
      </c>
      <c r="F1945" s="2">
        <v>174229</v>
      </c>
      <c r="G1945" t="s">
        <v>34</v>
      </c>
      <c r="H1945">
        <f>F1945/Tabla2[[#This Row],[Cosecha Mensual]]</f>
        <v>2.8136433065302966</v>
      </c>
      <c r="I1945">
        <f>H1945*_xlfn.XLOOKUP(Tabla2[[#This Row],[Unidad de producción]],Tabla3[Medida],Tabla3[Equivalencia en Kg],"ELVIS",0)</f>
        <v>1148.3885155603405</v>
      </c>
      <c r="J1945">
        <v>4392.7334693877601</v>
      </c>
      <c r="K1945" t="s">
        <v>34</v>
      </c>
      <c r="L1945">
        <f>J1945/_xlfn.XLOOKUP(Tabla2[[#This Row],[Unidad de precio]],Tabla3[Medida],Tabla3[Equivalencia en Kg],"ELVIS",0)</f>
        <v>10.762546782770453</v>
      </c>
      <c r="M1945" s="2">
        <v>11461.359791266201</v>
      </c>
      <c r="N1945" s="2">
        <f>(Tabla2[[#This Row],[Productividad (kg/TAS)]]*Tabla2[[#This Row],[Precio por kg]]-Tabla2[[#This Row],[Costos (En RD$/Tarea)]])</f>
        <v>898.22533224827748</v>
      </c>
      <c r="O1945" s="6">
        <f>IF(Tabla2[[#This Row],[Costos (En RD$/Tarea)]]=0,0,Tabla2[[#This Row],[Beneficio Neto  (En RD$/Tarea)]]/Tabla2[[#This Row],[Costos (En RD$/Tarea)]])</f>
        <v>7.8369874832194361E-2</v>
      </c>
      <c r="P1945" s="4">
        <f>Tabla2[[#This Row],[Rentabilidad (%)]]/12</f>
        <v>6.5308229026828637E-3</v>
      </c>
    </row>
    <row r="1946" spans="1:16" x14ac:dyDescent="0.35">
      <c r="A1946" s="1">
        <v>41456</v>
      </c>
      <c r="B1946" t="s">
        <v>16</v>
      </c>
      <c r="C1946" s="2">
        <v>87491</v>
      </c>
      <c r="D1946" s="5" t="s">
        <v>17</v>
      </c>
      <c r="E1946" s="2">
        <f>IF(Tabla2[[#This Row],[Frecuencia]]="Annual", Tabla2[[#This Row],[Cosecha/Tarea]]/12,Tabla2[[#This Row],[Cosecha/Tarea]])</f>
        <v>87491</v>
      </c>
      <c r="F1946" s="2">
        <v>385104</v>
      </c>
      <c r="G1946" t="s">
        <v>18</v>
      </c>
      <c r="H1946">
        <f>F1946/Tabla2[[#This Row],[Cosecha Mensual]]</f>
        <v>4.4016413116777722</v>
      </c>
      <c r="I1946">
        <f>H1946*_xlfn.XLOOKUP(Tabla2[[#This Row],[Unidad de producción]],Tabla3[Medida],Tabla3[Equivalencia en Kg],"ELVIS",0)</f>
        <v>199.65844989770375</v>
      </c>
      <c r="J1946">
        <v>1877.2940000000001</v>
      </c>
      <c r="K1946" t="s">
        <v>19</v>
      </c>
      <c r="L1946">
        <f>J1946/_xlfn.XLOOKUP(Tabla2[[#This Row],[Unidad de precio]],Tabla3[Medida],Tabla3[Equivalencia en Kg],"ELVIS",0)</f>
        <v>17.06630909090909</v>
      </c>
      <c r="M1946">
        <v>7832.6079700315504</v>
      </c>
      <c r="N1946" s="2">
        <f>(Tabla2[[#This Row],[Productividad (kg/TAS)]]*Tabla2[[#This Row],[Precio por kg]]-Tabla2[[#This Row],[Costos (En RD$/Tarea)]])</f>
        <v>-4425.1751514655516</v>
      </c>
      <c r="O1946" s="6">
        <f>IF(Tabla2[[#This Row],[Costos (En RD$/Tarea)]]=0,0,Tabla2[[#This Row],[Beneficio Neto  (En RD$/Tarea)]]/Tabla2[[#This Row],[Costos (En RD$/Tarea)]])</f>
        <v>-0.56496829260404391</v>
      </c>
      <c r="P1946" s="4">
        <f>Tabla2[[#This Row],[Rentabilidad (%)]]/12</f>
        <v>-4.7080691050336992E-2</v>
      </c>
    </row>
    <row r="1947" spans="1:16" x14ac:dyDescent="0.35">
      <c r="A1947" s="1">
        <v>41456</v>
      </c>
      <c r="B1947" t="s">
        <v>20</v>
      </c>
      <c r="C1947" s="2">
        <v>34574</v>
      </c>
      <c r="D1947" s="5" t="s">
        <v>17</v>
      </c>
      <c r="E1947" s="2">
        <f>IF(Tabla2[[#This Row],[Frecuencia]]="Annual", Tabla2[[#This Row],[Cosecha/Tarea]]/12,Tabla2[[#This Row],[Cosecha/Tarea]])</f>
        <v>34574</v>
      </c>
      <c r="F1947" s="2">
        <v>87477</v>
      </c>
      <c r="G1947" t="s">
        <v>18</v>
      </c>
      <c r="H1947">
        <f>F1947/Tabla2[[#This Row],[Cosecha Mensual]]</f>
        <v>2.530138254179441</v>
      </c>
      <c r="I1947">
        <f>H1947*_xlfn.XLOOKUP(Tabla2[[#This Row],[Unidad de producción]],Tabla3[Medida],Tabla3[Equivalencia en Kg],"ELVIS",0)</f>
        <v>114.76707120957944</v>
      </c>
      <c r="J1947">
        <v>768.61166666666702</v>
      </c>
      <c r="K1947" t="s">
        <v>18</v>
      </c>
      <c r="L1947">
        <f>J1947/_xlfn.XLOOKUP(Tabla2[[#This Row],[Unidad de precio]],Tabla3[Medida],Tabla3[Equivalencia en Kg],"ELVIS",0)</f>
        <v>16.944701646090543</v>
      </c>
      <c r="M1947">
        <v>2208.9263820000001</v>
      </c>
      <c r="N1947" s="2">
        <f>(Tabla2[[#This Row],[Productividad (kg/TAS)]]*Tabla2[[#This Row],[Precio por kg]]-Tabla2[[#This Row],[Costos (En RD$/Tarea)]])</f>
        <v>-264.23260155804883</v>
      </c>
      <c r="O1947" s="6">
        <f>IF(Tabla2[[#This Row],[Costos (En RD$/Tarea)]]=0,0,Tabla2[[#This Row],[Beneficio Neto  (En RD$/Tarea)]]/Tabla2[[#This Row],[Costos (En RD$/Tarea)]])</f>
        <v>-0.1196203747264805</v>
      </c>
      <c r="P1947" s="4">
        <f>Tabla2[[#This Row],[Rentabilidad (%)]]/12</f>
        <v>-9.9683645605400419E-3</v>
      </c>
    </row>
    <row r="1948" spans="1:16" x14ac:dyDescent="0.35">
      <c r="A1948" s="1">
        <v>41456</v>
      </c>
      <c r="B1948" t="s">
        <v>21</v>
      </c>
      <c r="C1948" s="2">
        <v>5586</v>
      </c>
      <c r="D1948" s="5" t="s">
        <v>17</v>
      </c>
      <c r="E1948" s="2">
        <f>IF(Tabla2[[#This Row],[Frecuencia]]="Annual", Tabla2[[#This Row],[Cosecha/Tarea]]/12,Tabla2[[#This Row],[Cosecha/Tarea]])</f>
        <v>5586</v>
      </c>
      <c r="F1948" s="2">
        <v>61945</v>
      </c>
      <c r="G1948" t="s">
        <v>18</v>
      </c>
      <c r="H1948">
        <f>F1948/Tabla2[[#This Row],[Cosecha Mensual]]</f>
        <v>11.089330469029717</v>
      </c>
      <c r="I1948">
        <f>H1948*_xlfn.XLOOKUP(Tabla2[[#This Row],[Unidad de producción]],Tabla3[Medida],Tabla3[Equivalencia en Kg],"ELVIS",0)</f>
        <v>503.01203007518797</v>
      </c>
      <c r="J1948">
        <v>391.36407000000003</v>
      </c>
      <c r="K1948" t="s">
        <v>18</v>
      </c>
      <c r="L1948">
        <f>J1948/_xlfn.XLOOKUP(Tabla2[[#This Row],[Unidad de precio]],Tabla3[Medida],Tabla3[Equivalencia en Kg],"ELVIS",0)</f>
        <v>8.6279556878306884</v>
      </c>
      <c r="M1948">
        <v>4893.7504664999997</v>
      </c>
      <c r="N1948" s="2">
        <f>(Tabla2[[#This Row],[Productividad (kg/TAS)]]*Tabla2[[#This Row],[Precio por kg]]-Tabla2[[#This Row],[Costos (En RD$/Tarea)]])</f>
        <v>-553.78496056552012</v>
      </c>
      <c r="O1948" s="6">
        <f>IF(Tabla2[[#This Row],[Costos (En RD$/Tarea)]]=0,0,Tabla2[[#This Row],[Beneficio Neto  (En RD$/Tarea)]]/Tabla2[[#This Row],[Costos (En RD$/Tarea)]])</f>
        <v>-0.11316166697841175</v>
      </c>
      <c r="P1948" s="4">
        <f>Tabla2[[#This Row],[Rentabilidad (%)]]/12</f>
        <v>-9.4301389148676463E-3</v>
      </c>
    </row>
    <row r="1949" spans="1:16" x14ac:dyDescent="0.35">
      <c r="A1949" s="1">
        <v>41456</v>
      </c>
      <c r="B1949" t="s">
        <v>22</v>
      </c>
      <c r="C1949" s="2">
        <v>3113</v>
      </c>
      <c r="D1949" s="5" t="s">
        <v>17</v>
      </c>
      <c r="E1949" s="2">
        <f>IF(Tabla2[[#This Row],[Frecuencia]]="Annual", Tabla2[[#This Row],[Cosecha/Tarea]]/12,Tabla2[[#This Row],[Cosecha/Tarea]])</f>
        <v>3113</v>
      </c>
      <c r="F1949" s="2">
        <v>28403</v>
      </c>
      <c r="G1949" t="s">
        <v>18</v>
      </c>
      <c r="H1949">
        <f>F1949/Tabla2[[#This Row],[Cosecha Mensual]]</f>
        <v>9.1239961451975589</v>
      </c>
      <c r="I1949">
        <f>H1949*_xlfn.XLOOKUP(Tabla2[[#This Row],[Unidad de producción]],Tabla3[Medida],Tabla3[Equivalencia en Kg],"ELVIS",0)</f>
        <v>413.86446514616125</v>
      </c>
      <c r="J1949">
        <v>1221.5</v>
      </c>
      <c r="K1949" t="s">
        <v>18</v>
      </c>
      <c r="L1949">
        <f>J1949/_xlfn.XLOOKUP(Tabla2[[#This Row],[Unidad de precio]],Tabla3[Medida],Tabla3[Equivalencia en Kg],"ELVIS",0)</f>
        <v>26.929012345679013</v>
      </c>
      <c r="M1949">
        <v>8667.0620736000001</v>
      </c>
      <c r="N1949" s="2">
        <f>(Tabla2[[#This Row],[Productividad (kg/TAS)]]*Tabla2[[#This Row],[Precio por kg]]-Tabla2[[#This Row],[Costos (En RD$/Tarea)]])</f>
        <v>2477.899217758817</v>
      </c>
      <c r="O1949" s="6">
        <f>IF(Tabla2[[#This Row],[Costos (En RD$/Tarea)]]=0,0,Tabla2[[#This Row],[Beneficio Neto  (En RD$/Tarea)]]/Tabla2[[#This Row],[Costos (En RD$/Tarea)]])</f>
        <v>0.28589840440932512</v>
      </c>
      <c r="P1949" s="4">
        <f>Tabla2[[#This Row],[Rentabilidad (%)]]/12</f>
        <v>2.3824867034110426E-2</v>
      </c>
    </row>
    <row r="1950" spans="1:16" x14ac:dyDescent="0.35">
      <c r="A1950" s="1">
        <v>41456</v>
      </c>
      <c r="B1950" t="s">
        <v>23</v>
      </c>
      <c r="C1950" s="2">
        <v>4841</v>
      </c>
      <c r="D1950" s="5" t="s">
        <v>17</v>
      </c>
      <c r="E1950" s="2">
        <f>IF(Tabla2[[#This Row],[Frecuencia]]="Annual", Tabla2[[#This Row],[Cosecha/Tarea]]/12,Tabla2[[#This Row],[Cosecha/Tarea]])</f>
        <v>4841</v>
      </c>
      <c r="F1950" s="2">
        <v>187685</v>
      </c>
      <c r="G1950" t="s">
        <v>18</v>
      </c>
      <c r="H1950">
        <f>F1950/Tabla2[[#This Row],[Cosecha Mensual]]</f>
        <v>38.769882255732284</v>
      </c>
      <c r="I1950">
        <f>H1950*_xlfn.XLOOKUP(Tabla2[[#This Row],[Unidad de producción]],Tabla3[Medida],Tabla3[Equivalencia en Kg],"ELVIS",0)</f>
        <v>1758.6018591200163</v>
      </c>
      <c r="J1950">
        <v>880</v>
      </c>
      <c r="K1950" t="s">
        <v>18</v>
      </c>
      <c r="L1950">
        <f>J1950/_xlfn.XLOOKUP(Tabla2[[#This Row],[Unidad de precio]],Tabla3[Medida],Tabla3[Equivalencia en Kg],"ELVIS",0)</f>
        <v>19.400352733686066</v>
      </c>
      <c r="M1950">
        <v>24550.120818416199</v>
      </c>
      <c r="N1950" s="2">
        <f>(Tabla2[[#This Row],[Productividad (kg/TAS)]]*Tabla2[[#This Row],[Precio por kg]]-Tabla2[[#This Row],[Costos (En RD$/Tarea)]])</f>
        <v>9567.3755666282123</v>
      </c>
      <c r="O1950" s="6">
        <f>IF(Tabla2[[#This Row],[Costos (En RD$/Tarea)]]=0,0,Tabla2[[#This Row],[Beneficio Neto  (En RD$/Tarea)]]/Tabla2[[#This Row],[Costos (En RD$/Tarea)]])</f>
        <v>0.3897078811706407</v>
      </c>
      <c r="P1950" s="4">
        <f>Tabla2[[#This Row],[Rentabilidad (%)]]/12</f>
        <v>3.2475656764220061E-2</v>
      </c>
    </row>
    <row r="1951" spans="1:16" x14ac:dyDescent="0.35">
      <c r="A1951" s="1">
        <v>41456</v>
      </c>
      <c r="B1951" t="s">
        <v>24</v>
      </c>
      <c r="C1951" s="2">
        <v>5771</v>
      </c>
      <c r="D1951" s="5" t="s">
        <v>17</v>
      </c>
      <c r="E1951" s="2">
        <f>IF(Tabla2[[#This Row],[Frecuencia]]="Annual", Tabla2[[#This Row],[Cosecha/Tarea]]/12,Tabla2[[#This Row],[Cosecha/Tarea]])</f>
        <v>5771</v>
      </c>
      <c r="F1951" s="2">
        <v>46142</v>
      </c>
      <c r="G1951" t="s">
        <v>18</v>
      </c>
      <c r="H1951">
        <f>F1951/Tabla2[[#This Row],[Cosecha Mensual]]</f>
        <v>7.9954947149540807</v>
      </c>
      <c r="I1951">
        <f>H1951*_xlfn.XLOOKUP(Tabla2[[#This Row],[Unidad de producción]],Tabla3[Medida],Tabla3[Equivalencia en Kg],"ELVIS",0)</f>
        <v>362.6756402703171</v>
      </c>
      <c r="J1951">
        <v>1773.5</v>
      </c>
      <c r="K1951" t="s">
        <v>18</v>
      </c>
      <c r="L1951">
        <f>J1951/_xlfn.XLOOKUP(Tabla2[[#This Row],[Unidad de precio]],Tabla3[Medida],Tabla3[Equivalencia en Kg],"ELVIS",0)</f>
        <v>39.098324514991184</v>
      </c>
      <c r="M1951">
        <v>8436.0023040464603</v>
      </c>
      <c r="N1951" s="2">
        <f>(Tabla2[[#This Row],[Productividad (kg/TAS)]]*Tabla2[[#This Row],[Precio por kg]]-Tabla2[[#This Row],[Costos (En RD$/Tarea)]])</f>
        <v>5744.0075729246018</v>
      </c>
      <c r="O1951" s="6">
        <f>IF(Tabla2[[#This Row],[Costos (En RD$/Tarea)]]=0,0,Tabla2[[#This Row],[Beneficio Neto  (En RD$/Tarea)]]/Tabla2[[#This Row],[Costos (En RD$/Tarea)]])</f>
        <v>0.68089212945916322</v>
      </c>
      <c r="P1951" s="4">
        <f>Tabla2[[#This Row],[Rentabilidad (%)]]/12</f>
        <v>5.6741010788263602E-2</v>
      </c>
    </row>
    <row r="1952" spans="1:16" x14ac:dyDescent="0.35">
      <c r="A1952" s="1">
        <v>41456</v>
      </c>
      <c r="B1952" t="s">
        <v>25</v>
      </c>
      <c r="C1952" s="2">
        <v>21822</v>
      </c>
      <c r="D1952" s="5" t="s">
        <v>17</v>
      </c>
      <c r="E1952" s="2">
        <f>IF(Tabla2[[#This Row],[Frecuencia]]="Annual", Tabla2[[#This Row],[Cosecha/Tarea]]/12,Tabla2[[#This Row],[Cosecha/Tarea]])</f>
        <v>21822</v>
      </c>
      <c r="F1952" s="2">
        <v>224379</v>
      </c>
      <c r="G1952" t="s">
        <v>18</v>
      </c>
      <c r="H1952">
        <f>F1952/Tabla2[[#This Row],[Cosecha Mensual]]</f>
        <v>10.282238108331041</v>
      </c>
      <c r="I1952">
        <f>H1952*_xlfn.XLOOKUP(Tabla2[[#This Row],[Unidad de producción]],Tabla3[Medida],Tabla3[Equivalencia en Kg],"ELVIS",0)</f>
        <v>466.40232059389604</v>
      </c>
      <c r="J1952">
        <v>553.46666666666704</v>
      </c>
      <c r="K1952" t="s">
        <v>18</v>
      </c>
      <c r="L1952">
        <f>J1952/_xlfn.XLOOKUP(Tabla2[[#This Row],[Unidad de precio]],Tabla3[Medida],Tabla3[Equivalencia en Kg],"ELVIS",0)</f>
        <v>12.201646090534988</v>
      </c>
      <c r="M1952">
        <v>4461.1940527534698</v>
      </c>
      <c r="N1952" s="2">
        <f>(Tabla2[[#This Row],[Productividad (kg/TAS)]]*Tabla2[[#This Row],[Precio por kg]]-Tabla2[[#This Row],[Costos (En RD$/Tarea)]])</f>
        <v>1229.6819989374881</v>
      </c>
      <c r="O1952" s="6">
        <f>IF(Tabla2[[#This Row],[Costos (En RD$/Tarea)]]=0,0,Tabla2[[#This Row],[Beneficio Neto  (En RD$/Tarea)]]/Tabla2[[#This Row],[Costos (En RD$/Tarea)]])</f>
        <v>0.27563965709550847</v>
      </c>
      <c r="P1952" s="4">
        <f>Tabla2[[#This Row],[Rentabilidad (%)]]/12</f>
        <v>2.2969971424625705E-2</v>
      </c>
    </row>
    <row r="1953" spans="1:16" x14ac:dyDescent="0.35">
      <c r="A1953" s="1">
        <v>41456</v>
      </c>
      <c r="B1953" t="s">
        <v>26</v>
      </c>
      <c r="C1953" s="2">
        <v>8258</v>
      </c>
      <c r="D1953" s="5" t="s">
        <v>17</v>
      </c>
      <c r="E1953" s="2">
        <f>IF(Tabla2[[#This Row],[Frecuencia]]="Annual", Tabla2[[#This Row],[Cosecha/Tarea]]/12,Tabla2[[#This Row],[Cosecha/Tarea]])</f>
        <v>8258</v>
      </c>
      <c r="F1953" s="2">
        <v>56151</v>
      </c>
      <c r="G1953" t="s">
        <v>18</v>
      </c>
      <c r="H1953">
        <f>F1953/Tabla2[[#This Row],[Cosecha Mensual]]</f>
        <v>6.799588278033422</v>
      </c>
      <c r="I1953">
        <f>H1953*_xlfn.XLOOKUP(Tabla2[[#This Row],[Unidad de producción]],Tabla3[Medida],Tabla3[Equivalencia en Kg],"ELVIS",0)</f>
        <v>308.429324291596</v>
      </c>
      <c r="J1953">
        <v>875.5</v>
      </c>
      <c r="K1953" t="s">
        <v>18</v>
      </c>
      <c r="L1953">
        <f>J1953/_xlfn.XLOOKUP(Tabla2[[#This Row],[Unidad de precio]],Tabla3[Medida],Tabla3[Equivalencia en Kg],"ELVIS",0)</f>
        <v>19.301146384479718</v>
      </c>
      <c r="M1953">
        <v>1856.8216170000001</v>
      </c>
      <c r="N1953" s="2">
        <f>(Tabla2[[#This Row],[Productividad (kg/TAS)]]*Tabla2[[#This Row],[Precio por kg]]-Tabla2[[#This Row],[Costos (En RD$/Tarea)]])</f>
        <v>4096.2179204182612</v>
      </c>
      <c r="O1953" s="6">
        <f>IF(Tabla2[[#This Row],[Costos (En RD$/Tarea)]]=0,0,Tabla2[[#This Row],[Beneficio Neto  (En RD$/Tarea)]]/Tabla2[[#This Row],[Costos (En RD$/Tarea)]])</f>
        <v>2.2060373936384763</v>
      </c>
      <c r="P1953" s="4">
        <f>Tabla2[[#This Row],[Rentabilidad (%)]]/12</f>
        <v>0.18383644946987301</v>
      </c>
    </row>
    <row r="1954" spans="1:16" x14ac:dyDescent="0.35">
      <c r="A1954" s="1">
        <v>41456</v>
      </c>
      <c r="B1954" t="s">
        <v>27</v>
      </c>
      <c r="C1954" s="2">
        <v>5668</v>
      </c>
      <c r="D1954" s="5" t="s">
        <v>17</v>
      </c>
      <c r="E1954" s="2">
        <f>IF(Tabla2[[#This Row],[Frecuencia]]="Annual", Tabla2[[#This Row],[Cosecha/Tarea]]/12,Tabla2[[#This Row],[Cosecha/Tarea]])</f>
        <v>5668</v>
      </c>
      <c r="F1954" s="2">
        <v>49417</v>
      </c>
      <c r="G1954" t="s">
        <v>18</v>
      </c>
      <c r="H1954">
        <f>F1954/Tabla2[[#This Row],[Cosecha Mensual]]</f>
        <v>8.7185956245589278</v>
      </c>
      <c r="I1954">
        <f>H1954*_xlfn.XLOOKUP(Tabla2[[#This Row],[Unidad de producción]],Tabla3[Medida],Tabla3[Equivalencia en Kg],"ELVIS",0)</f>
        <v>395.47549752999294</v>
      </c>
      <c r="J1954">
        <v>565.09166666666704</v>
      </c>
      <c r="K1954" t="s">
        <v>18</v>
      </c>
      <c r="L1954">
        <f>J1954/_xlfn.XLOOKUP(Tabla2[[#This Row],[Unidad de precio]],Tabla3[Medida],Tabla3[Equivalencia en Kg],"ELVIS",0)</f>
        <v>12.457929159318056</v>
      </c>
      <c r="M1954">
        <v>7498.499866956</v>
      </c>
      <c r="N1954" s="2">
        <f>(Tabla2[[#This Row],[Productividad (kg/TAS)]]*Tabla2[[#This Row],[Precio por kg]]-Tabla2[[#This Row],[Costos (En RD$/Tarea)]])</f>
        <v>-2571.6941344812849</v>
      </c>
      <c r="O1954" s="6">
        <f>IF(Tabla2[[#This Row],[Costos (En RD$/Tarea)]]=0,0,Tabla2[[#This Row],[Beneficio Neto  (En RD$/Tarea)]]/Tabla2[[#This Row],[Costos (En RD$/Tarea)]])</f>
        <v>-0.34296114957794333</v>
      </c>
      <c r="P1954" s="4">
        <f>Tabla2[[#This Row],[Rentabilidad (%)]]/12</f>
        <v>-2.8580095798161943E-2</v>
      </c>
    </row>
    <row r="1955" spans="1:16" x14ac:dyDescent="0.35">
      <c r="A1955" s="1">
        <v>41456</v>
      </c>
      <c r="B1955" t="s">
        <v>28</v>
      </c>
      <c r="C1955" s="2">
        <v>57184</v>
      </c>
      <c r="D1955" s="5" t="s">
        <v>17</v>
      </c>
      <c r="E1955" s="2">
        <f>IF(Tabla2[[#This Row],[Frecuencia]]="Annual", Tabla2[[#This Row],[Cosecha/Tarea]]/12,Tabla2[[#This Row],[Cosecha/Tarea]])</f>
        <v>57184</v>
      </c>
      <c r="F1955" s="2">
        <v>70330</v>
      </c>
      <c r="G1955" t="s">
        <v>29</v>
      </c>
      <c r="H1955">
        <f>F1955/Tabla2[[#This Row],[Cosecha Mensual]]</f>
        <v>1.2298894795747062</v>
      </c>
      <c r="I1955">
        <f>H1955*_xlfn.XLOOKUP(Tabla2[[#This Row],[Unidad de producción]],Tabla3[Medida],Tabla3[Equivalencia en Kg],"ELVIS",0)</f>
        <v>691.61604994404036</v>
      </c>
      <c r="J1955">
        <v>5062.5</v>
      </c>
      <c r="K1955" t="s">
        <v>29</v>
      </c>
      <c r="L1955">
        <f>J1955/_xlfn.XLOOKUP(Tabla2[[#This Row],[Unidad de precio]],Tabla3[Medida],Tabla3[Equivalencia en Kg],"ELVIS",0)</f>
        <v>9.002560728384962</v>
      </c>
      <c r="M1955">
        <v>6492.5610346041303</v>
      </c>
      <c r="N1955" s="2">
        <f>(Tabla2[[#This Row],[Productividad (kg/TAS)]]*Tabla2[[#This Row],[Precio por kg]]-Tabla2[[#This Row],[Costos (En RD$/Tarea)]])</f>
        <v>-266.24554425717997</v>
      </c>
      <c r="O1955" s="6">
        <f>IF(Tabla2[[#This Row],[Costos (En RD$/Tarea)]]=0,0,Tabla2[[#This Row],[Beneficio Neto  (En RD$/Tarea)]]/Tabla2[[#This Row],[Costos (En RD$/Tarea)]])</f>
        <v>-4.1007784576554809E-2</v>
      </c>
      <c r="P1955" s="4">
        <f>Tabla2[[#This Row],[Rentabilidad (%)]]/12</f>
        <v>-3.4173153813795674E-3</v>
      </c>
    </row>
    <row r="1956" spans="1:16" x14ac:dyDescent="0.35">
      <c r="A1956" s="1">
        <v>41456</v>
      </c>
      <c r="B1956" t="s">
        <v>30</v>
      </c>
      <c r="C1956" s="2">
        <v>376872</v>
      </c>
      <c r="D1956" s="2" t="s">
        <v>31</v>
      </c>
      <c r="E1956" s="2">
        <f>IF(Tabla2[[#This Row],[Frecuencia]]="Annual", Tabla2[[#This Row],[Cosecha/Tarea]]/12,Tabla2[[#This Row],[Cosecha/Tarea]])</f>
        <v>31406</v>
      </c>
      <c r="F1956" s="2">
        <v>3493838</v>
      </c>
      <c r="G1956" t="s">
        <v>32</v>
      </c>
      <c r="H1956">
        <f>F1956/Tabla2[[#This Row],[Cosecha Mensual]]</f>
        <v>111.24746863656627</v>
      </c>
      <c r="I1956">
        <f>H1956*_xlfn.XLOOKUP(Tabla2[[#This Row],[Unidad de producción]],Tabla3[Medida],Tabla3[Equivalencia en Kg],"ELVIS",0)</f>
        <v>3027.0436216009684</v>
      </c>
      <c r="J1956">
        <v>142.38833333333301</v>
      </c>
      <c r="K1956" t="s">
        <v>32</v>
      </c>
      <c r="L1956">
        <f>J1956/_xlfn.XLOOKUP(Tabla2[[#This Row],[Unidad de precio]],Tabla3[Medida],Tabla3[Equivalencia en Kg],"ELVIS",0)</f>
        <v>5.2329413205929072</v>
      </c>
      <c r="M1956" s="2">
        <v>11852.2845542745</v>
      </c>
      <c r="N1956" s="2">
        <f>(Tabla2[[#This Row],[Productividad (kg/TAS)]]*Tabla2[[#This Row],[Precio por kg]]-Tabla2[[#This Row],[Costos (En RD$/Tarea)]])</f>
        <v>3988.0570924384083</v>
      </c>
      <c r="O1956" s="6">
        <f>IF(Tabla2[[#This Row],[Costos (En RD$/Tarea)]]=0,0,Tabla2[[#This Row],[Beneficio Neto  (En RD$/Tarea)]]/Tabla2[[#This Row],[Costos (En RD$/Tarea)]])</f>
        <v>0.33648003253517267</v>
      </c>
      <c r="P1956" s="4">
        <f>Tabla2[[#This Row],[Rentabilidad (%)]]/12</f>
        <v>2.8040002711264389E-2</v>
      </c>
    </row>
    <row r="1957" spans="1:16" x14ac:dyDescent="0.35">
      <c r="A1957" s="1">
        <v>41456</v>
      </c>
      <c r="B1957" t="s">
        <v>33</v>
      </c>
      <c r="C1957" s="2">
        <v>755524</v>
      </c>
      <c r="D1957" s="2" t="s">
        <v>31</v>
      </c>
      <c r="E1957" s="8">
        <f>IF(Tabla2[[#This Row],[Frecuencia]]="Annual", Tabla2[[#This Row],[Cosecha/Tarea]]/12,Tabla2[[#This Row],[Cosecha/Tarea]])</f>
        <v>62960.333333333336</v>
      </c>
      <c r="F1957" s="2">
        <v>198219</v>
      </c>
      <c r="G1957" t="s">
        <v>34</v>
      </c>
      <c r="H1957">
        <f>F1957/Tabla2[[#This Row],[Cosecha Mensual]]</f>
        <v>3.1483156061223734</v>
      </c>
      <c r="I1957">
        <f>H1957*_xlfn.XLOOKUP(Tabla2[[#This Row],[Unidad de producción]],Tabla3[Medida],Tabla3[Equivalencia en Kg],"ELVIS",0)</f>
        <v>1284.9850146388467</v>
      </c>
      <c r="J1957">
        <v>4450.6949999999997</v>
      </c>
      <c r="K1957" t="s">
        <v>34</v>
      </c>
      <c r="L1957">
        <f>J1957/_xlfn.XLOOKUP(Tabla2[[#This Row],[Unidad de precio]],Tabla3[Medida],Tabla3[Equivalencia en Kg],"ELVIS",0)</f>
        <v>10.904557148107314</v>
      </c>
      <c r="M1957" s="2">
        <v>11461.359791266201</v>
      </c>
      <c r="N1957" s="2">
        <f>(Tabla2[[#This Row],[Productividad (kg/TAS)]]*Tabla2[[#This Row],[Precio por kg]]-Tabla2[[#This Row],[Costos (En RD$/Tarea)]])</f>
        <v>2550.832735324615</v>
      </c>
      <c r="O1957" s="6">
        <f>IF(Tabla2[[#This Row],[Costos (En RD$/Tarea)]]=0,0,Tabla2[[#This Row],[Beneficio Neto  (En RD$/Tarea)]]/Tabla2[[#This Row],[Costos (En RD$/Tarea)]])</f>
        <v>0.22255934564312374</v>
      </c>
      <c r="P1957" s="4">
        <f>Tabla2[[#This Row],[Rentabilidad (%)]]/12</f>
        <v>1.8546612136926977E-2</v>
      </c>
    </row>
    <row r="1958" spans="1:16" x14ac:dyDescent="0.35">
      <c r="A1958" s="1">
        <v>41487</v>
      </c>
      <c r="B1958" t="s">
        <v>16</v>
      </c>
      <c r="C1958" s="2">
        <v>37378</v>
      </c>
      <c r="D1958" s="5" t="s">
        <v>17</v>
      </c>
      <c r="E1958" s="2">
        <f>IF(Tabla2[[#This Row],[Frecuencia]]="Annual", Tabla2[[#This Row],[Cosecha/Tarea]]/12,Tabla2[[#This Row],[Cosecha/Tarea]])</f>
        <v>37378</v>
      </c>
      <c r="F1958" s="2">
        <v>146833</v>
      </c>
      <c r="G1958" t="s">
        <v>18</v>
      </c>
      <c r="H1958">
        <f>F1958/Tabla2[[#This Row],[Cosecha Mensual]]</f>
        <v>3.9283268232650221</v>
      </c>
      <c r="I1958">
        <f>H1958*_xlfn.XLOOKUP(Tabla2[[#This Row],[Unidad de producción]],Tabla3[Medida],Tabla3[Equivalencia en Kg],"ELVIS",0)</f>
        <v>178.1889047033014</v>
      </c>
      <c r="J1958">
        <v>2260.5558955000001</v>
      </c>
      <c r="K1958" t="s">
        <v>19</v>
      </c>
      <c r="L1958">
        <f>J1958/_xlfn.XLOOKUP(Tabla2[[#This Row],[Unidad de precio]],Tabla3[Medida],Tabla3[Equivalencia en Kg],"ELVIS",0)</f>
        <v>20.550508140909091</v>
      </c>
      <c r="M1958">
        <v>7832.6079700315504</v>
      </c>
      <c r="N1958" s="2">
        <f>(Tabla2[[#This Row],[Productividad (kg/TAS)]]*Tabla2[[#This Row],[Precio por kg]]-Tabla2[[#This Row],[Costos (En RD$/Tarea)]])</f>
        <v>-4170.7354333066805</v>
      </c>
      <c r="O1958" s="6">
        <f>IF(Tabla2[[#This Row],[Costos (En RD$/Tarea)]]=0,0,Tabla2[[#This Row],[Beneficio Neto  (En RD$/Tarea)]]/Tabla2[[#This Row],[Costos (En RD$/Tarea)]])</f>
        <v>-0.53248361838922476</v>
      </c>
      <c r="P1958" s="4">
        <f>Tabla2[[#This Row],[Rentabilidad (%)]]/12</f>
        <v>-4.437363486576873E-2</v>
      </c>
    </row>
    <row r="1959" spans="1:16" x14ac:dyDescent="0.35">
      <c r="A1959" s="1">
        <v>41487</v>
      </c>
      <c r="B1959" t="s">
        <v>20</v>
      </c>
      <c r="C1959" s="2">
        <v>43738</v>
      </c>
      <c r="D1959" s="5" t="s">
        <v>17</v>
      </c>
      <c r="E1959" s="2">
        <f>IF(Tabla2[[#This Row],[Frecuencia]]="Annual", Tabla2[[#This Row],[Cosecha/Tarea]]/12,Tabla2[[#This Row],[Cosecha/Tarea]])</f>
        <v>43738</v>
      </c>
      <c r="F1959" s="2">
        <v>87537</v>
      </c>
      <c r="G1959" t="s">
        <v>18</v>
      </c>
      <c r="H1959">
        <f>F1959/Tabla2[[#This Row],[Cosecha Mensual]]</f>
        <v>2.0013946682518635</v>
      </c>
      <c r="I1959">
        <f>H1959*_xlfn.XLOOKUP(Tabla2[[#This Row],[Unidad de producción]],Tabla3[Medida],Tabla3[Equivalencia en Kg],"ELVIS",0)</f>
        <v>90.783262151904523</v>
      </c>
      <c r="J1959">
        <v>786.270625</v>
      </c>
      <c r="K1959" t="s">
        <v>18</v>
      </c>
      <c r="L1959">
        <f>J1959/_xlfn.XLOOKUP(Tabla2[[#This Row],[Unidad de precio]],Tabla3[Medida],Tabla3[Equivalencia en Kg],"ELVIS",0)</f>
        <v>17.334008487654319</v>
      </c>
      <c r="M1959">
        <v>2208.9263820000001</v>
      </c>
      <c r="N1959" s="2">
        <f>(Tabla2[[#This Row],[Productividad (kg/TAS)]]*Tabla2[[#This Row],[Precio por kg]]-Tabla2[[#This Row],[Costos (En RD$/Tarea)]])</f>
        <v>-635.28854532193986</v>
      </c>
      <c r="O1959" s="6">
        <f>IF(Tabla2[[#This Row],[Costos (En RD$/Tarea)]]=0,0,Tabla2[[#This Row],[Beneficio Neto  (En RD$/Tarea)]]/Tabla2[[#This Row],[Costos (En RD$/Tarea)]])</f>
        <v>-0.28760059660600307</v>
      </c>
      <c r="P1959" s="4">
        <f>Tabla2[[#This Row],[Rentabilidad (%)]]/12</f>
        <v>-2.3966716383833589E-2</v>
      </c>
    </row>
    <row r="1960" spans="1:16" x14ac:dyDescent="0.35">
      <c r="A1960" s="1">
        <v>41487</v>
      </c>
      <c r="B1960" t="s">
        <v>21</v>
      </c>
      <c r="C1960" s="2">
        <v>5716</v>
      </c>
      <c r="D1960" s="5" t="s">
        <v>17</v>
      </c>
      <c r="E1960" s="2">
        <f>IF(Tabla2[[#This Row],[Frecuencia]]="Annual", Tabla2[[#This Row],[Cosecha/Tarea]]/12,Tabla2[[#This Row],[Cosecha/Tarea]])</f>
        <v>5716</v>
      </c>
      <c r="F1960" s="2">
        <v>70708</v>
      </c>
      <c r="G1960" t="s">
        <v>18</v>
      </c>
      <c r="H1960">
        <f>F1960/Tabla2[[#This Row],[Cosecha Mensual]]</f>
        <v>12.370188943317006</v>
      </c>
      <c r="I1960">
        <f>H1960*_xlfn.XLOOKUP(Tabla2[[#This Row],[Unidad de producción]],Tabla3[Medida],Tabla3[Equivalencia en Kg],"ELVIS",0)</f>
        <v>561.11177046885939</v>
      </c>
      <c r="J1960">
        <v>524.400107142857</v>
      </c>
      <c r="K1960" t="s">
        <v>18</v>
      </c>
      <c r="L1960">
        <f>J1960/_xlfn.XLOOKUP(Tabla2[[#This Row],[Unidad de precio]],Tabla3[Medida],Tabla3[Equivalencia en Kg],"ELVIS",0)</f>
        <v>11.56084892290249</v>
      </c>
      <c r="M1960">
        <v>4893.7504664999997</v>
      </c>
      <c r="N1960" s="2">
        <f>(Tabla2[[#This Row],[Productividad (kg/TAS)]]*Tabla2[[#This Row],[Precio por kg]]-Tabla2[[#This Row],[Costos (En RD$/Tarea)]])</f>
        <v>1593.1779407528229</v>
      </c>
      <c r="O1960" s="6">
        <f>IF(Tabla2[[#This Row],[Costos (En RD$/Tarea)]]=0,0,Tabla2[[#This Row],[Beneficio Neto  (En RD$/Tarea)]]/Tabla2[[#This Row],[Costos (En RD$/Tarea)]])</f>
        <v>0.32555357116364386</v>
      </c>
      <c r="P1960" s="4">
        <f>Tabla2[[#This Row],[Rentabilidad (%)]]/12</f>
        <v>2.712946426363699E-2</v>
      </c>
    </row>
    <row r="1961" spans="1:16" x14ac:dyDescent="0.35">
      <c r="A1961" s="1">
        <v>41487</v>
      </c>
      <c r="B1961" t="s">
        <v>22</v>
      </c>
      <c r="C1961" s="2">
        <v>4681</v>
      </c>
      <c r="D1961" s="5" t="s">
        <v>17</v>
      </c>
      <c r="E1961" s="2">
        <f>IF(Tabla2[[#This Row],[Frecuencia]]="Annual", Tabla2[[#This Row],[Cosecha/Tarea]]/12,Tabla2[[#This Row],[Cosecha/Tarea]])</f>
        <v>4681</v>
      </c>
      <c r="F1961" s="2">
        <v>37636</v>
      </c>
      <c r="G1961" t="s">
        <v>18</v>
      </c>
      <c r="H1961">
        <f>F1961/Tabla2[[#This Row],[Cosecha Mensual]]</f>
        <v>8.0401623584704129</v>
      </c>
      <c r="I1961">
        <f>H1961*_xlfn.XLOOKUP(Tabla2[[#This Row],[Unidad de producción]],Tabla3[Medida],Tabla3[Equivalencia en Kg],"ELVIS",0)</f>
        <v>364.70176458021791</v>
      </c>
      <c r="J1961">
        <v>1019.8125</v>
      </c>
      <c r="K1961" t="s">
        <v>18</v>
      </c>
      <c r="L1961">
        <f>J1961/_xlfn.XLOOKUP(Tabla2[[#This Row],[Unidad de precio]],Tabla3[Medida],Tabla3[Equivalencia en Kg],"ELVIS",0)</f>
        <v>22.482638888888889</v>
      </c>
      <c r="M1961">
        <v>8667.0620736000001</v>
      </c>
      <c r="N1961" s="2">
        <f>(Tabla2[[#This Row],[Productividad (kg/TAS)]]*Tabla2[[#This Row],[Precio por kg]]-Tabla2[[#This Row],[Costos (En RD$/Tarea)]])</f>
        <v>-467.60399840239188</v>
      </c>
      <c r="O1961" s="6">
        <f>IF(Tabla2[[#This Row],[Costos (En RD$/Tarea)]]=0,0,Tabla2[[#This Row],[Beneficio Neto  (En RD$/Tarea)]]/Tabla2[[#This Row],[Costos (En RD$/Tarea)]])</f>
        <v>-5.3951846015585905E-2</v>
      </c>
      <c r="P1961" s="4">
        <f>Tabla2[[#This Row],[Rentabilidad (%)]]/12</f>
        <v>-4.4959871679654921E-3</v>
      </c>
    </row>
    <row r="1962" spans="1:16" x14ac:dyDescent="0.35">
      <c r="A1962" s="1">
        <v>41487</v>
      </c>
      <c r="B1962" t="s">
        <v>23</v>
      </c>
      <c r="C1962" s="2">
        <v>3578</v>
      </c>
      <c r="D1962" s="5" t="s">
        <v>17</v>
      </c>
      <c r="E1962" s="2">
        <f>IF(Tabla2[[#This Row],[Frecuencia]]="Annual", Tabla2[[#This Row],[Cosecha/Tarea]]/12,Tabla2[[#This Row],[Cosecha/Tarea]])</f>
        <v>3578</v>
      </c>
      <c r="F1962" s="2">
        <v>134472</v>
      </c>
      <c r="G1962" t="s">
        <v>18</v>
      </c>
      <c r="H1962">
        <f>F1962/Tabla2[[#This Row],[Cosecha Mensual]]</f>
        <v>37.583007266629401</v>
      </c>
      <c r="I1962">
        <f>H1962*_xlfn.XLOOKUP(Tabla2[[#This Row],[Unidad de producción]],Tabla3[Medida],Tabla3[Equivalencia en Kg],"ELVIS",0)</f>
        <v>1704.7652096143097</v>
      </c>
      <c r="J1962">
        <v>787.5</v>
      </c>
      <c r="K1962" t="s">
        <v>18</v>
      </c>
      <c r="L1962">
        <f>J1962/_xlfn.XLOOKUP(Tabla2[[#This Row],[Unidad de precio]],Tabla3[Medida],Tabla3[Equivalencia en Kg],"ELVIS",0)</f>
        <v>17.361111111111111</v>
      </c>
      <c r="M1962">
        <v>24550.120818416199</v>
      </c>
      <c r="N1962" s="2">
        <f>(Tabla2[[#This Row],[Productividad (kg/TAS)]]*Tabla2[[#This Row],[Precio por kg]]-Tabla2[[#This Row],[Costos (En RD$/Tarea)]])</f>
        <v>5046.4974040544548</v>
      </c>
      <c r="O1962" s="6">
        <f>IF(Tabla2[[#This Row],[Costos (En RD$/Tarea)]]=0,0,Tabla2[[#This Row],[Beneficio Neto  (En RD$/Tarea)]]/Tabla2[[#This Row],[Costos (En RD$/Tarea)]])</f>
        <v>0.20555896410370575</v>
      </c>
      <c r="P1962" s="4">
        <f>Tabla2[[#This Row],[Rentabilidad (%)]]/12</f>
        <v>1.7129913675308812E-2</v>
      </c>
    </row>
    <row r="1963" spans="1:16" x14ac:dyDescent="0.35">
      <c r="A1963" s="1">
        <v>41487</v>
      </c>
      <c r="B1963" t="s">
        <v>24</v>
      </c>
      <c r="C1963" s="2">
        <v>4392</v>
      </c>
      <c r="D1963" s="5" t="s">
        <v>17</v>
      </c>
      <c r="E1963" s="2">
        <f>IF(Tabla2[[#This Row],[Frecuencia]]="Annual", Tabla2[[#This Row],[Cosecha/Tarea]]/12,Tabla2[[#This Row],[Cosecha/Tarea]])</f>
        <v>4392</v>
      </c>
      <c r="F1963" s="2">
        <v>50468</v>
      </c>
      <c r="G1963" t="s">
        <v>18</v>
      </c>
      <c r="H1963">
        <f>F1963/Tabla2[[#This Row],[Cosecha Mensual]]</f>
        <v>11.490892531876138</v>
      </c>
      <c r="I1963">
        <f>H1963*_xlfn.XLOOKUP(Tabla2[[#This Row],[Unidad de producción]],Tabla3[Medida],Tabla3[Equivalencia en Kg],"ELVIS",0)</f>
        <v>521.2268852459016</v>
      </c>
      <c r="J1963">
        <v>1821</v>
      </c>
      <c r="K1963" t="s">
        <v>18</v>
      </c>
      <c r="L1963">
        <f>J1963/_xlfn.XLOOKUP(Tabla2[[#This Row],[Unidad de precio]],Tabla3[Medida],Tabla3[Equivalencia en Kg],"ELVIS",0)</f>
        <v>40.145502645502646</v>
      </c>
      <c r="M1963">
        <v>8436.0023040464603</v>
      </c>
      <c r="N1963" s="2">
        <f>(Tabla2[[#This Row],[Productividad (kg/TAS)]]*Tabla2[[#This Row],[Precio por kg]]-Tabla2[[#This Row],[Costos (En RD$/Tarea)]])</f>
        <v>12488.912996499987</v>
      </c>
      <c r="O1963" s="6">
        <f>IF(Tabla2[[#This Row],[Costos (En RD$/Tarea)]]=0,0,Tabla2[[#This Row],[Beneficio Neto  (En RD$/Tarea)]]/Tabla2[[#This Row],[Costos (En RD$/Tarea)]])</f>
        <v>1.4804302495874715</v>
      </c>
      <c r="P1963" s="4">
        <f>Tabla2[[#This Row],[Rentabilidad (%)]]/12</f>
        <v>0.12336918746562263</v>
      </c>
    </row>
    <row r="1964" spans="1:16" x14ac:dyDescent="0.35">
      <c r="A1964" s="1">
        <v>41487</v>
      </c>
      <c r="B1964" t="s">
        <v>25</v>
      </c>
      <c r="C1964" s="2">
        <v>29111</v>
      </c>
      <c r="D1964" s="5" t="s">
        <v>17</v>
      </c>
      <c r="E1964" s="2">
        <f>IF(Tabla2[[#This Row],[Frecuencia]]="Annual", Tabla2[[#This Row],[Cosecha/Tarea]]/12,Tabla2[[#This Row],[Cosecha/Tarea]])</f>
        <v>29111</v>
      </c>
      <c r="F1964" s="2">
        <v>322849</v>
      </c>
      <c r="G1964" t="s">
        <v>18</v>
      </c>
      <c r="H1964">
        <f>F1964/Tabla2[[#This Row],[Cosecha Mensual]]</f>
        <v>11.090275153721961</v>
      </c>
      <c r="I1964">
        <f>H1964*_xlfn.XLOOKUP(Tabla2[[#This Row],[Unidad de producción]],Tabla3[Medida],Tabla3[Equivalencia en Kg],"ELVIS",0)</f>
        <v>503.05488097282819</v>
      </c>
      <c r="J1964">
        <v>471.59974999999997</v>
      </c>
      <c r="K1964" t="s">
        <v>18</v>
      </c>
      <c r="L1964">
        <f>J1964/_xlfn.XLOOKUP(Tabla2[[#This Row],[Unidad de precio]],Tabla3[Medida],Tabla3[Equivalencia en Kg],"ELVIS",0)</f>
        <v>10.396819885361552</v>
      </c>
      <c r="M1964">
        <v>4461.1940527534698</v>
      </c>
      <c r="N1964" s="2">
        <f>(Tabla2[[#This Row],[Productividad (kg/TAS)]]*Tabla2[[#This Row],[Precio por kg]]-Tabla2[[#This Row],[Costos (En RD$/Tarea)]])</f>
        <v>768.976937173019</v>
      </c>
      <c r="O1964" s="6">
        <f>IF(Tabla2[[#This Row],[Costos (En RD$/Tarea)]]=0,0,Tabla2[[#This Row],[Beneficio Neto  (En RD$/Tarea)]]/Tabla2[[#This Row],[Costos (En RD$/Tarea)]])</f>
        <v>0.17237020584173038</v>
      </c>
      <c r="P1964" s="4">
        <f>Tabla2[[#This Row],[Rentabilidad (%)]]/12</f>
        <v>1.4364183820144198E-2</v>
      </c>
    </row>
    <row r="1965" spans="1:16" x14ac:dyDescent="0.35">
      <c r="A1965" s="1">
        <v>41487</v>
      </c>
      <c r="B1965" t="s">
        <v>26</v>
      </c>
      <c r="C1965" s="2">
        <v>10329</v>
      </c>
      <c r="D1965" s="5" t="s">
        <v>17</v>
      </c>
      <c r="E1965" s="2">
        <f>IF(Tabla2[[#This Row],[Frecuencia]]="Annual", Tabla2[[#This Row],[Cosecha/Tarea]]/12,Tabla2[[#This Row],[Cosecha/Tarea]])</f>
        <v>10329</v>
      </c>
      <c r="F1965" s="2">
        <v>66535</v>
      </c>
      <c r="G1965" t="s">
        <v>18</v>
      </c>
      <c r="H1965">
        <f>F1965/Tabla2[[#This Row],[Cosecha Mensual]]</f>
        <v>6.4415722722431985</v>
      </c>
      <c r="I1965">
        <f>H1965*_xlfn.XLOOKUP(Tabla2[[#This Row],[Unidad de producción]],Tabla3[Medida],Tabla3[Equivalencia en Kg],"ELVIS",0)</f>
        <v>292.18971826895148</v>
      </c>
      <c r="J1965">
        <v>684.65499999999997</v>
      </c>
      <c r="K1965" t="s">
        <v>18</v>
      </c>
      <c r="L1965">
        <f>J1965/_xlfn.XLOOKUP(Tabla2[[#This Row],[Unidad de precio]],Tabla3[Medida],Tabla3[Equivalencia en Kg],"ELVIS",0)</f>
        <v>15.093805114638448</v>
      </c>
      <c r="M1965">
        <v>1856.8216170000001</v>
      </c>
      <c r="N1965" s="2">
        <f>(Tabla2[[#This Row],[Productividad (kg/TAS)]]*Tabla2[[#This Row],[Precio por kg]]-Tabla2[[#This Row],[Costos (En RD$/Tarea)]])</f>
        <v>2553.433047052667</v>
      </c>
      <c r="O1965" s="6">
        <f>IF(Tabla2[[#This Row],[Costos (En RD$/Tarea)]]=0,0,Tabla2[[#This Row],[Beneficio Neto  (En RD$/Tarea)]]/Tabla2[[#This Row],[Costos (En RD$/Tarea)]])</f>
        <v>1.3751633563907755</v>
      </c>
      <c r="P1965" s="4">
        <f>Tabla2[[#This Row],[Rentabilidad (%)]]/12</f>
        <v>0.11459694636589796</v>
      </c>
    </row>
    <row r="1966" spans="1:16" x14ac:dyDescent="0.35">
      <c r="A1966" s="1">
        <v>41487</v>
      </c>
      <c r="B1966" t="s">
        <v>27</v>
      </c>
      <c r="C1966" s="2">
        <v>4954</v>
      </c>
      <c r="D1966" s="5" t="s">
        <v>17</v>
      </c>
      <c r="E1966" s="2">
        <f>IF(Tabla2[[#This Row],[Frecuencia]]="Annual", Tabla2[[#This Row],[Cosecha/Tarea]]/12,Tabla2[[#This Row],[Cosecha/Tarea]])</f>
        <v>4954</v>
      </c>
      <c r="F1966" s="2">
        <v>44324</v>
      </c>
      <c r="G1966" t="s">
        <v>18</v>
      </c>
      <c r="H1966">
        <f>F1966/Tabla2[[#This Row],[Cosecha Mensual]]</f>
        <v>8.9471134436818733</v>
      </c>
      <c r="I1966">
        <f>H1966*_xlfn.XLOOKUP(Tabla2[[#This Row],[Unidad de producción]],Tabla3[Medida],Tabla3[Equivalencia en Kg],"ELVIS",0)</f>
        <v>405.84106580540976</v>
      </c>
      <c r="J1966">
        <v>699.26287500000001</v>
      </c>
      <c r="K1966" t="s">
        <v>18</v>
      </c>
      <c r="L1966">
        <f>J1966/_xlfn.XLOOKUP(Tabla2[[#This Row],[Unidad de precio]],Tabla3[Medida],Tabla3[Equivalencia en Kg],"ELVIS",0)</f>
        <v>15.415848214285715</v>
      </c>
      <c r="M1966">
        <v>7498.499866956</v>
      </c>
      <c r="N1966" s="2">
        <f>(Tabla2[[#This Row],[Productividad (kg/TAS)]]*Tabla2[[#This Row],[Precio por kg]]-Tabla2[[#This Row],[Costos (En RD$/Tarea)]])</f>
        <v>-1242.1155973758623</v>
      </c>
      <c r="O1966" s="6">
        <f>IF(Tabla2[[#This Row],[Costos (En RD$/Tarea)]]=0,0,Tabla2[[#This Row],[Beneficio Neto  (En RD$/Tarea)]]/Tabla2[[#This Row],[Costos (En RD$/Tarea)]])</f>
        <v>-0.16564854563104719</v>
      </c>
      <c r="P1966" s="4">
        <f>Tabla2[[#This Row],[Rentabilidad (%)]]/12</f>
        <v>-1.3804045469253933E-2</v>
      </c>
    </row>
    <row r="1967" spans="1:16" x14ac:dyDescent="0.35">
      <c r="A1967" s="1">
        <v>41487</v>
      </c>
      <c r="B1967" t="s">
        <v>28</v>
      </c>
      <c r="C1967" s="2">
        <v>70345</v>
      </c>
      <c r="D1967" s="5" t="s">
        <v>17</v>
      </c>
      <c r="E1967" s="2">
        <f>IF(Tabla2[[#This Row],[Frecuencia]]="Annual", Tabla2[[#This Row],[Cosecha/Tarea]]/12,Tabla2[[#This Row],[Cosecha/Tarea]])</f>
        <v>70345</v>
      </c>
      <c r="F1967" s="2">
        <v>165120</v>
      </c>
      <c r="G1967" t="s">
        <v>29</v>
      </c>
      <c r="H1967">
        <f>F1967/Tabla2[[#This Row],[Cosecha Mensual]]</f>
        <v>2.3472883644893026</v>
      </c>
      <c r="I1967">
        <f>H1967*_xlfn.XLOOKUP(Tabla2[[#This Row],[Unidad de producción]],Tabla3[Medida],Tabla3[Equivalencia en Kg],"ELVIS",0)</f>
        <v>1319.9741388869145</v>
      </c>
      <c r="J1967">
        <v>4483.5535714285697</v>
      </c>
      <c r="K1967" t="s">
        <v>29</v>
      </c>
      <c r="L1967">
        <f>J1967/_xlfn.XLOOKUP(Tabla2[[#This Row],[Unidad de precio]],Tabla3[Medida],Tabla3[Equivalencia en Kg],"ELVIS",0)</f>
        <v>7.9730297887907131</v>
      </c>
      <c r="M1967">
        <v>6492.5610346041303</v>
      </c>
      <c r="N1967" s="2">
        <f>(Tabla2[[#This Row],[Productividad (kg/TAS)]]*Tabla2[[#This Row],[Precio por kg]]-Tabla2[[#This Row],[Costos (En RD$/Tarea)]])</f>
        <v>4031.6320951746093</v>
      </c>
      <c r="O1967" s="6">
        <f>IF(Tabla2[[#This Row],[Costos (En RD$/Tarea)]]=0,0,Tabla2[[#This Row],[Beneficio Neto  (En RD$/Tarea)]]/Tabla2[[#This Row],[Costos (En RD$/Tarea)]])</f>
        <v>0.62096175510507612</v>
      </c>
      <c r="P1967" s="4">
        <f>Tabla2[[#This Row],[Rentabilidad (%)]]/12</f>
        <v>5.1746812925423012E-2</v>
      </c>
    </row>
    <row r="1968" spans="1:16" x14ac:dyDescent="0.35">
      <c r="A1968" s="1">
        <v>41487</v>
      </c>
      <c r="B1968" t="s">
        <v>30</v>
      </c>
      <c r="C1968" s="2">
        <v>397890</v>
      </c>
      <c r="D1968" s="2" t="s">
        <v>31</v>
      </c>
      <c r="E1968" s="2">
        <f>IF(Tabla2[[#This Row],[Frecuencia]]="Annual", Tabla2[[#This Row],[Cosecha/Tarea]]/12,Tabla2[[#This Row],[Cosecha/Tarea]])</f>
        <v>33157.5</v>
      </c>
      <c r="F1968" s="2">
        <v>3356233</v>
      </c>
      <c r="G1968" t="s">
        <v>32</v>
      </c>
      <c r="H1968">
        <f>F1968/Tabla2[[#This Row],[Cosecha Mensual]]</f>
        <v>101.22093040790168</v>
      </c>
      <c r="I1968">
        <f>H1968*_xlfn.XLOOKUP(Tabla2[[#This Row],[Unidad de producción]],Tabla3[Medida],Tabla3[Equivalencia en Kg],"ELVIS",0)</f>
        <v>2754.2215163990045</v>
      </c>
      <c r="J1968">
        <v>140.96464285714299</v>
      </c>
      <c r="K1968" t="s">
        <v>32</v>
      </c>
      <c r="L1968">
        <f>J1968/_xlfn.XLOOKUP(Tabla2[[#This Row],[Unidad de precio]],Tabla3[Medida],Tabla3[Equivalencia en Kg],"ELVIS",0)</f>
        <v>5.1806189951173458</v>
      </c>
      <c r="M1968" s="2">
        <v>11852.2845542745</v>
      </c>
      <c r="N1968" s="2">
        <f>(Tabla2[[#This Row],[Productividad (kg/TAS)]]*Tabla2[[#This Row],[Precio por kg]]-Tabla2[[#This Row],[Costos (En RD$/Tarea)]])</f>
        <v>2416.2877503430827</v>
      </c>
      <c r="O1968" s="6">
        <f>IF(Tabla2[[#This Row],[Costos (En RD$/Tarea)]]=0,0,Tabla2[[#This Row],[Beneficio Neto  (En RD$/Tarea)]]/Tabla2[[#This Row],[Costos (En RD$/Tarea)]])</f>
        <v>0.2038668359064712</v>
      </c>
      <c r="P1968" s="4">
        <f>Tabla2[[#This Row],[Rentabilidad (%)]]/12</f>
        <v>1.6988902992205932E-2</v>
      </c>
    </row>
    <row r="1969" spans="1:16" x14ac:dyDescent="0.35">
      <c r="A1969" s="1">
        <v>41487</v>
      </c>
      <c r="B1969" t="s">
        <v>33</v>
      </c>
      <c r="C1969" s="2">
        <v>775538</v>
      </c>
      <c r="D1969" s="2" t="s">
        <v>31</v>
      </c>
      <c r="E1969" s="8">
        <f>IF(Tabla2[[#This Row],[Frecuencia]]="Annual", Tabla2[[#This Row],[Cosecha/Tarea]]/12,Tabla2[[#This Row],[Cosecha/Tarea]])</f>
        <v>64628.166666666664</v>
      </c>
      <c r="F1969" s="2">
        <v>235605</v>
      </c>
      <c r="G1969" t="s">
        <v>34</v>
      </c>
      <c r="H1969">
        <f>F1969/Tabla2[[#This Row],[Cosecha Mensual]]</f>
        <v>3.6455467043523337</v>
      </c>
      <c r="I1969">
        <f>H1969*_xlfn.XLOOKUP(Tabla2[[#This Row],[Unidad de producción]],Tabla3[Medida],Tabla3[Equivalencia en Kg],"ELVIS",0)</f>
        <v>1487.929887381405</v>
      </c>
      <c r="J1969">
        <v>4343.4171428571399</v>
      </c>
      <c r="K1969" t="s">
        <v>34</v>
      </c>
      <c r="L1969">
        <f>J1969/_xlfn.XLOOKUP(Tabla2[[#This Row],[Unidad de precio]],Tabla3[Medida],Tabla3[Equivalencia en Kg],"ELVIS",0)</f>
        <v>10.641717855830308</v>
      </c>
      <c r="M1969" s="2">
        <v>11461.359791266201</v>
      </c>
      <c r="N1969" s="2">
        <f>(Tabla2[[#This Row],[Productividad (kg/TAS)]]*Tabla2[[#This Row],[Precio por kg]]-Tabla2[[#This Row],[Costos (En RD$/Tarea)]])</f>
        <v>4372.7702595040755</v>
      </c>
      <c r="O1969" s="6">
        <f>IF(Tabla2[[#This Row],[Costos (En RD$/Tarea)]]=0,0,Tabla2[[#This Row],[Beneficio Neto  (En RD$/Tarea)]]/Tabla2[[#This Row],[Costos (En RD$/Tarea)]])</f>
        <v>0.38152281571652774</v>
      </c>
      <c r="P1969" s="4">
        <f>Tabla2[[#This Row],[Rentabilidad (%)]]/12</f>
        <v>3.1793567976377314E-2</v>
      </c>
    </row>
    <row r="1970" spans="1:16" x14ac:dyDescent="0.35">
      <c r="A1970" s="1">
        <v>41518</v>
      </c>
      <c r="B1970" t="s">
        <v>16</v>
      </c>
      <c r="C1970" s="2">
        <v>168161</v>
      </c>
      <c r="D1970" s="5" t="s">
        <v>17</v>
      </c>
      <c r="E1970" s="2">
        <f>IF(Tabla2[[#This Row],[Frecuencia]]="Annual", Tabla2[[#This Row],[Cosecha/Tarea]]/12,Tabla2[[#This Row],[Cosecha/Tarea]])</f>
        <v>168161</v>
      </c>
      <c r="F1970" s="2">
        <v>737298</v>
      </c>
      <c r="G1970" t="s">
        <v>18</v>
      </c>
      <c r="H1970">
        <f>F1970/Tabla2[[#This Row],[Cosecha Mensual]]</f>
        <v>4.3844767811799406</v>
      </c>
      <c r="I1970">
        <f>H1970*_xlfn.XLOOKUP(Tabla2[[#This Row],[Unidad de producción]],Tabla3[Medida],Tabla3[Equivalencia en Kg],"ELVIS",0)</f>
        <v>198.87986679432211</v>
      </c>
      <c r="J1970">
        <v>1880.61931966667</v>
      </c>
      <c r="K1970" t="s">
        <v>19</v>
      </c>
      <c r="L1970">
        <f>J1970/_xlfn.XLOOKUP(Tabla2[[#This Row],[Unidad de precio]],Tabla3[Medida],Tabla3[Equivalencia en Kg],"ELVIS",0)</f>
        <v>17.096539269697001</v>
      </c>
      <c r="M1970">
        <v>7832.6079700315504</v>
      </c>
      <c r="N1970" s="2">
        <f>(Tabla2[[#This Row],[Productividad (kg/TAS)]]*Tabla2[[#This Row],[Precio por kg]]-Tabla2[[#This Row],[Costos (En RD$/Tarea)]])</f>
        <v>-4432.450517430314</v>
      </c>
      <c r="O1970" s="6">
        <f>IF(Tabla2[[#This Row],[Costos (En RD$/Tarea)]]=0,0,Tabla2[[#This Row],[Beneficio Neto  (En RD$/Tarea)]]/Tabla2[[#This Row],[Costos (En RD$/Tarea)]])</f>
        <v>-0.56589714873888419</v>
      </c>
      <c r="P1970" s="4">
        <f>Tabla2[[#This Row],[Rentabilidad (%)]]/12</f>
        <v>-4.7158095728240347E-2</v>
      </c>
    </row>
    <row r="1971" spans="1:16" x14ac:dyDescent="0.35">
      <c r="A1971" s="1">
        <v>41518</v>
      </c>
      <c r="B1971" t="s">
        <v>20</v>
      </c>
      <c r="C1971" s="2">
        <v>55653</v>
      </c>
      <c r="D1971" s="5" t="s">
        <v>17</v>
      </c>
      <c r="E1971" s="2">
        <f>IF(Tabla2[[#This Row],[Frecuencia]]="Annual", Tabla2[[#This Row],[Cosecha/Tarea]]/12,Tabla2[[#This Row],[Cosecha/Tarea]])</f>
        <v>55653</v>
      </c>
      <c r="F1971" s="2">
        <v>106427</v>
      </c>
      <c r="G1971" t="s">
        <v>18</v>
      </c>
      <c r="H1971">
        <f>F1971/Tabla2[[#This Row],[Cosecha Mensual]]</f>
        <v>1.912331770075288</v>
      </c>
      <c r="I1971">
        <f>H1971*_xlfn.XLOOKUP(Tabla2[[#This Row],[Unidad de producción]],Tabla3[Medida],Tabla3[Equivalencia en Kg],"ELVIS",0)</f>
        <v>86.743369090615062</v>
      </c>
      <c r="J1971">
        <v>721.97166666666703</v>
      </c>
      <c r="K1971" t="s">
        <v>18</v>
      </c>
      <c r="L1971">
        <f>J1971/_xlfn.XLOOKUP(Tabla2[[#This Row],[Unidad de precio]],Tabla3[Medida],Tabla3[Equivalencia en Kg],"ELVIS",0)</f>
        <v>15.916482951205182</v>
      </c>
      <c r="M1971">
        <v>2208.9263820000001</v>
      </c>
      <c r="N1971" s="2">
        <f>(Tabla2[[#This Row],[Productividad (kg/TAS)]]*Tabla2[[#This Row],[Precio por kg]]-Tabla2[[#This Row],[Costos (En RD$/Tarea)]])</f>
        <v>-828.277026739127</v>
      </c>
      <c r="O1971" s="6">
        <f>IF(Tabla2[[#This Row],[Costos (En RD$/Tarea)]]=0,0,Tabla2[[#This Row],[Beneficio Neto  (En RD$/Tarea)]]/Tabla2[[#This Row],[Costos (En RD$/Tarea)]])</f>
        <v>-0.3749681444744169</v>
      </c>
      <c r="P1971" s="4">
        <f>Tabla2[[#This Row],[Rentabilidad (%)]]/12</f>
        <v>-3.1247345372868076E-2</v>
      </c>
    </row>
    <row r="1972" spans="1:16" x14ac:dyDescent="0.35">
      <c r="A1972" s="1">
        <v>41518</v>
      </c>
      <c r="B1972" t="s">
        <v>21</v>
      </c>
      <c r="C1972" s="2">
        <v>6597</v>
      </c>
      <c r="D1972" s="5" t="s">
        <v>17</v>
      </c>
      <c r="E1972" s="2">
        <f>IF(Tabla2[[#This Row],[Frecuencia]]="Annual", Tabla2[[#This Row],[Cosecha/Tarea]]/12,Tabla2[[#This Row],[Cosecha/Tarea]])</f>
        <v>6597</v>
      </c>
      <c r="F1972" s="2">
        <v>72103</v>
      </c>
      <c r="G1972" t="s">
        <v>18</v>
      </c>
      <c r="H1972">
        <f>F1972/Tabla2[[#This Row],[Cosecha Mensual]]</f>
        <v>10.92966499924208</v>
      </c>
      <c r="I1972">
        <f>H1972*_xlfn.XLOOKUP(Tabla2[[#This Row],[Unidad de producción]],Tabla3[Medida],Tabla3[Equivalencia en Kg],"ELVIS",0)</f>
        <v>495.76960436562075</v>
      </c>
      <c r="J1972">
        <v>417.35</v>
      </c>
      <c r="K1972" t="s">
        <v>18</v>
      </c>
      <c r="L1972">
        <f>J1972/_xlfn.XLOOKUP(Tabla2[[#This Row],[Unidad de precio]],Tabla3[Medida],Tabla3[Equivalencia en Kg],"ELVIS",0)</f>
        <v>9.2008377425044099</v>
      </c>
      <c r="M1972">
        <v>4893.7504664999997</v>
      </c>
      <c r="N1972" s="2">
        <f>(Tabla2[[#This Row],[Productividad (kg/TAS)]]*Tabla2[[#This Row],[Precio por kg]]-Tabla2[[#This Row],[Costos (En RD$/Tarea)]])</f>
        <v>-332.2547790663175</v>
      </c>
      <c r="O1972" s="6">
        <f>IF(Tabla2[[#This Row],[Costos (En RD$/Tarea)]]=0,0,Tabla2[[#This Row],[Beneficio Neto  (En RD$/Tarea)]]/Tabla2[[#This Row],[Costos (En RD$/Tarea)]])</f>
        <v>-6.7893690399777454E-2</v>
      </c>
      <c r="P1972" s="4">
        <f>Tabla2[[#This Row],[Rentabilidad (%)]]/12</f>
        <v>-5.6578075333147881E-3</v>
      </c>
    </row>
    <row r="1973" spans="1:16" x14ac:dyDescent="0.35">
      <c r="A1973" s="1">
        <v>41518</v>
      </c>
      <c r="B1973" t="s">
        <v>22</v>
      </c>
      <c r="C1973" s="2">
        <v>4068</v>
      </c>
      <c r="D1973" s="5" t="s">
        <v>17</v>
      </c>
      <c r="E1973" s="2">
        <f>IF(Tabla2[[#This Row],[Frecuencia]]="Annual", Tabla2[[#This Row],[Cosecha/Tarea]]/12,Tabla2[[#This Row],[Cosecha/Tarea]])</f>
        <v>4068</v>
      </c>
      <c r="F1973" s="2">
        <v>35797</v>
      </c>
      <c r="G1973" t="s">
        <v>18</v>
      </c>
      <c r="H1973">
        <f>F1973/Tabla2[[#This Row],[Cosecha Mensual]]</f>
        <v>8.7996558505408071</v>
      </c>
      <c r="I1973">
        <f>H1973*_xlfn.XLOOKUP(Tabla2[[#This Row],[Unidad de producción]],Tabla3[Medida],Tabla3[Equivalencia en Kg],"ELVIS",0)</f>
        <v>399.15238938053102</v>
      </c>
      <c r="J1973">
        <v>1041.5</v>
      </c>
      <c r="K1973" t="s">
        <v>18</v>
      </c>
      <c r="L1973">
        <f>J1973/_xlfn.XLOOKUP(Tabla2[[#This Row],[Unidad de precio]],Tabla3[Medida],Tabla3[Equivalencia en Kg],"ELVIS",0)</f>
        <v>22.960758377425044</v>
      </c>
      <c r="M1973">
        <v>8667.0620736000001</v>
      </c>
      <c r="N1973" s="2">
        <f>(Tabla2[[#This Row],[Productividad (kg/TAS)]]*Tabla2[[#This Row],[Precio por kg]]-Tabla2[[#This Row],[Costos (En RD$/Tarea)]])</f>
        <v>497.77949473824992</v>
      </c>
      <c r="O1973" s="6">
        <f>IF(Tabla2[[#This Row],[Costos (En RD$/Tarea)]]=0,0,Tabla2[[#This Row],[Beneficio Neto  (En RD$/Tarea)]]/Tabla2[[#This Row],[Costos (En RD$/Tarea)]])</f>
        <v>5.7433475208916951E-2</v>
      </c>
      <c r="P1973" s="4">
        <f>Tabla2[[#This Row],[Rentabilidad (%)]]/12</f>
        <v>4.7861229340764129E-3</v>
      </c>
    </row>
    <row r="1974" spans="1:16" x14ac:dyDescent="0.35">
      <c r="A1974" s="1">
        <v>41518</v>
      </c>
      <c r="B1974" t="s">
        <v>23</v>
      </c>
      <c r="C1974" s="2">
        <v>3024</v>
      </c>
      <c r="D1974" s="5" t="s">
        <v>17</v>
      </c>
      <c r="E1974" s="2">
        <f>IF(Tabla2[[#This Row],[Frecuencia]]="Annual", Tabla2[[#This Row],[Cosecha/Tarea]]/12,Tabla2[[#This Row],[Cosecha/Tarea]])</f>
        <v>3024</v>
      </c>
      <c r="F1974" s="2">
        <v>104935</v>
      </c>
      <c r="G1974" t="s">
        <v>18</v>
      </c>
      <c r="H1974">
        <f>F1974/Tabla2[[#This Row],[Cosecha Mensual]]</f>
        <v>34.700727513227513</v>
      </c>
      <c r="I1974">
        <f>H1974*_xlfn.XLOOKUP(Tabla2[[#This Row],[Unidad de producción]],Tabla3[Medida],Tabla3[Equivalencia en Kg],"ELVIS",0)</f>
        <v>1574.0249999999999</v>
      </c>
      <c r="J1974">
        <v>717.2</v>
      </c>
      <c r="K1974" t="s">
        <v>18</v>
      </c>
      <c r="L1974">
        <f>J1974/_xlfn.XLOOKUP(Tabla2[[#This Row],[Unidad de precio]],Tabla3[Medida],Tabla3[Equivalencia en Kg],"ELVIS",0)</f>
        <v>15.811287477954146</v>
      </c>
      <c r="M1974">
        <v>24550.120818416199</v>
      </c>
      <c r="N1974" s="2">
        <f>(Tabla2[[#This Row],[Productividad (kg/TAS)]]*Tabla2[[#This Row],[Precio por kg]]-Tabla2[[#This Row],[Costos (En RD$/Tarea)]])</f>
        <v>337.24095407057393</v>
      </c>
      <c r="O1974" s="6">
        <f>IF(Tabla2[[#This Row],[Costos (En RD$/Tarea)]]=0,0,Tabla2[[#This Row],[Beneficio Neto  (En RD$/Tarea)]]/Tabla2[[#This Row],[Costos (En RD$/Tarea)]])</f>
        <v>1.37368348027678E-2</v>
      </c>
      <c r="P1974" s="4">
        <f>Tabla2[[#This Row],[Rentabilidad (%)]]/12</f>
        <v>1.1447362335639834E-3</v>
      </c>
    </row>
    <row r="1975" spans="1:16" x14ac:dyDescent="0.35">
      <c r="A1975" s="1">
        <v>41518</v>
      </c>
      <c r="B1975" t="s">
        <v>24</v>
      </c>
      <c r="C1975" s="2">
        <v>5255</v>
      </c>
      <c r="D1975" s="5" t="s">
        <v>17</v>
      </c>
      <c r="E1975" s="2">
        <f>IF(Tabla2[[#This Row],[Frecuencia]]="Annual", Tabla2[[#This Row],[Cosecha/Tarea]]/12,Tabla2[[#This Row],[Cosecha/Tarea]])</f>
        <v>5255</v>
      </c>
      <c r="F1975" s="2">
        <v>44451</v>
      </c>
      <c r="G1975" t="s">
        <v>18</v>
      </c>
      <c r="H1975">
        <f>F1975/Tabla2[[#This Row],[Cosecha Mensual]]</f>
        <v>8.4588011417697437</v>
      </c>
      <c r="I1975">
        <f>H1975*_xlfn.XLOOKUP(Tabla2[[#This Row],[Unidad de producción]],Tabla3[Medida],Tabla3[Equivalencia en Kg],"ELVIS",0)</f>
        <v>383.69121979067558</v>
      </c>
      <c r="J1975">
        <v>1771.1666666666699</v>
      </c>
      <c r="K1975" t="s">
        <v>18</v>
      </c>
      <c r="L1975">
        <f>J1975/_xlfn.XLOOKUP(Tabla2[[#This Row],[Unidad de precio]],Tabla3[Medida],Tabla3[Equivalencia en Kg],"ELVIS",0)</f>
        <v>39.046884185773145</v>
      </c>
      <c r="M1975">
        <v>8436.0023040464603</v>
      </c>
      <c r="N1975" s="2">
        <f>(Tabla2[[#This Row],[Productividad (kg/TAS)]]*Tabla2[[#This Row],[Precio por kg]]-Tabla2[[#This Row],[Costos (En RD$/Tarea)]])</f>
        <v>6545.9443182180785</v>
      </c>
      <c r="O1975" s="6">
        <f>IF(Tabla2[[#This Row],[Costos (En RD$/Tarea)]]=0,0,Tabla2[[#This Row],[Beneficio Neto  (En RD$/Tarea)]]/Tabla2[[#This Row],[Costos (En RD$/Tarea)]])</f>
        <v>0.77595335827234357</v>
      </c>
      <c r="P1975" s="4">
        <f>Tabla2[[#This Row],[Rentabilidad (%)]]/12</f>
        <v>6.4662779856028627E-2</v>
      </c>
    </row>
    <row r="1976" spans="1:16" x14ac:dyDescent="0.35">
      <c r="A1976" s="1">
        <v>41518</v>
      </c>
      <c r="B1976" t="s">
        <v>25</v>
      </c>
      <c r="C1976" s="2">
        <v>26856</v>
      </c>
      <c r="D1976" s="5" t="s">
        <v>17</v>
      </c>
      <c r="E1976" s="2">
        <f>IF(Tabla2[[#This Row],[Frecuencia]]="Annual", Tabla2[[#This Row],[Cosecha/Tarea]]/12,Tabla2[[#This Row],[Cosecha/Tarea]])</f>
        <v>26856</v>
      </c>
      <c r="F1976" s="2">
        <v>315416</v>
      </c>
      <c r="G1976" t="s">
        <v>18</v>
      </c>
      <c r="H1976">
        <f>F1976/Tabla2[[#This Row],[Cosecha Mensual]]</f>
        <v>11.74471254095919</v>
      </c>
      <c r="I1976">
        <f>H1976*_xlfn.XLOOKUP(Tabla2[[#This Row],[Unidad de producción]],Tabla3[Medida],Tabla3[Equivalencia en Kg],"ELVIS",0)</f>
        <v>532.7401608579089</v>
      </c>
      <c r="J1976">
        <v>500.082333333333</v>
      </c>
      <c r="K1976" t="s">
        <v>18</v>
      </c>
      <c r="L1976">
        <f>J1976/_xlfn.XLOOKUP(Tabla2[[#This Row],[Unidad de precio]],Tabla3[Medida],Tabla3[Equivalencia en Kg],"ELVIS",0)</f>
        <v>11.024742798353902</v>
      </c>
      <c r="M1976">
        <v>4461.1940527534698</v>
      </c>
      <c r="N1976" s="2">
        <f>(Tabla2[[#This Row],[Productividad (kg/TAS)]]*Tabla2[[#This Row],[Precio por kg]]-Tabla2[[#This Row],[Costos (En RD$/Tarea)]])</f>
        <v>1412.1291990586606</v>
      </c>
      <c r="O1976" s="6">
        <f>IF(Tabla2[[#This Row],[Costos (En RD$/Tarea)]]=0,0,Tabla2[[#This Row],[Beneficio Neto  (En RD$/Tarea)]]/Tabla2[[#This Row],[Costos (En RD$/Tarea)]])</f>
        <v>0.31653615206159613</v>
      </c>
      <c r="P1976" s="4">
        <f>Tabla2[[#This Row],[Rentabilidad (%)]]/12</f>
        <v>2.6378012671799678E-2</v>
      </c>
    </row>
    <row r="1977" spans="1:16" x14ac:dyDescent="0.35">
      <c r="A1977" s="1">
        <v>41518</v>
      </c>
      <c r="B1977" t="s">
        <v>26</v>
      </c>
      <c r="C1977" s="2">
        <v>9587</v>
      </c>
      <c r="D1977" s="5" t="s">
        <v>17</v>
      </c>
      <c r="E1977" s="2">
        <f>IF(Tabla2[[#This Row],[Frecuencia]]="Annual", Tabla2[[#This Row],[Cosecha/Tarea]]/12,Tabla2[[#This Row],[Cosecha/Tarea]])</f>
        <v>9587</v>
      </c>
      <c r="F1977" s="2">
        <v>63408</v>
      </c>
      <c r="G1977" t="s">
        <v>18</v>
      </c>
      <c r="H1977">
        <f>F1977/Tabla2[[#This Row],[Cosecha Mensual]]</f>
        <v>6.6139563992907062</v>
      </c>
      <c r="I1977">
        <f>H1977*_xlfn.XLOOKUP(Tabla2[[#This Row],[Unidad de producción]],Tabla3[Medida],Tabla3[Equivalencia en Kg],"ELVIS",0)</f>
        <v>300.00906227182645</v>
      </c>
      <c r="J1977">
        <v>702.61166666666702</v>
      </c>
      <c r="K1977" t="s">
        <v>18</v>
      </c>
      <c r="L1977">
        <f>J1977/_xlfn.XLOOKUP(Tabla2[[#This Row],[Unidad de precio]],Tabla3[Medida],Tabla3[Equivalencia en Kg],"ELVIS",0)</f>
        <v>15.489675191064087</v>
      </c>
      <c r="M1977">
        <v>1856.8216170000001</v>
      </c>
      <c r="N1977" s="2">
        <f>(Tabla2[[#This Row],[Productividad (kg/TAS)]]*Tabla2[[#This Row],[Precio por kg]]-Tabla2[[#This Row],[Costos (En RD$/Tarea)]])</f>
        <v>2790.2213119663106</v>
      </c>
      <c r="O1977" s="6">
        <f>IF(Tabla2[[#This Row],[Costos (En RD$/Tarea)]]=0,0,Tabla2[[#This Row],[Beneficio Neto  (En RD$/Tarea)]]/Tabla2[[#This Row],[Costos (En RD$/Tarea)]])</f>
        <v>1.5026867882302937</v>
      </c>
      <c r="P1977" s="4">
        <f>Tabla2[[#This Row],[Rentabilidad (%)]]/12</f>
        <v>0.12522389901919115</v>
      </c>
    </row>
    <row r="1978" spans="1:16" x14ac:dyDescent="0.35">
      <c r="A1978" s="1">
        <v>41518</v>
      </c>
      <c r="B1978" t="s">
        <v>27</v>
      </c>
      <c r="C1978" s="2">
        <v>3675</v>
      </c>
      <c r="D1978" s="5" t="s">
        <v>17</v>
      </c>
      <c r="E1978" s="2">
        <f>IF(Tabla2[[#This Row],[Frecuencia]]="Annual", Tabla2[[#This Row],[Cosecha/Tarea]]/12,Tabla2[[#This Row],[Cosecha/Tarea]])</f>
        <v>3675</v>
      </c>
      <c r="F1978" s="2">
        <v>38761</v>
      </c>
      <c r="G1978" t="s">
        <v>18</v>
      </c>
      <c r="H1978">
        <f>F1978/Tabla2[[#This Row],[Cosecha Mensual]]</f>
        <v>10.547210884353742</v>
      </c>
      <c r="I1978">
        <f>H1978*_xlfn.XLOOKUP(Tabla2[[#This Row],[Unidad de producción]],Tabla3[Medida],Tabla3[Equivalencia en Kg],"ELVIS",0)</f>
        <v>478.42148571428572</v>
      </c>
      <c r="J1978">
        <v>761.875</v>
      </c>
      <c r="K1978" t="s">
        <v>18</v>
      </c>
      <c r="L1978">
        <f>J1978/_xlfn.XLOOKUP(Tabla2[[#This Row],[Unidad de precio]],Tabla3[Medida],Tabla3[Equivalencia en Kg],"ELVIS",0)</f>
        <v>16.796186067019402</v>
      </c>
      <c r="M1978">
        <v>7498.499866956</v>
      </c>
      <c r="N1978" s="2">
        <f>(Tabla2[[#This Row],[Productividad (kg/TAS)]]*Tabla2[[#This Row],[Precio por kg]]-Tabla2[[#This Row],[Costos (En RD$/Tarea)]])</f>
        <v>537.15642556100738</v>
      </c>
      <c r="O1978" s="6">
        <f>IF(Tabla2[[#This Row],[Costos (En RD$/Tarea)]]=0,0,Tabla2[[#This Row],[Beneficio Neto  (En RD$/Tarea)]]/Tabla2[[#This Row],[Costos (En RD$/Tarea)]])</f>
        <v>7.1635185049228375E-2</v>
      </c>
      <c r="P1978" s="4">
        <f>Tabla2[[#This Row],[Rentabilidad (%)]]/12</f>
        <v>5.9695987541023643E-3</v>
      </c>
    </row>
    <row r="1979" spans="1:16" x14ac:dyDescent="0.35">
      <c r="A1979" s="1">
        <v>41518</v>
      </c>
      <c r="B1979" t="s">
        <v>28</v>
      </c>
      <c r="C1979" s="2">
        <v>76310</v>
      </c>
      <c r="D1979" s="5" t="s">
        <v>17</v>
      </c>
      <c r="E1979" s="2">
        <f>IF(Tabla2[[#This Row],[Frecuencia]]="Annual", Tabla2[[#This Row],[Cosecha/Tarea]]/12,Tabla2[[#This Row],[Cosecha/Tarea]])</f>
        <v>76310</v>
      </c>
      <c r="F1979" s="2">
        <v>121272</v>
      </c>
      <c r="G1979" t="s">
        <v>29</v>
      </c>
      <c r="H1979">
        <f>F1979/Tabla2[[#This Row],[Cosecha Mensual]]</f>
        <v>1.5892019394574761</v>
      </c>
      <c r="I1979">
        <f>H1979*_xlfn.XLOOKUP(Tabla2[[#This Row],[Unidad de producción]],Tabla3[Medida],Tabla3[Equivalencia en Kg],"ELVIS",0)</f>
        <v>893.67181863451719</v>
      </c>
      <c r="J1979">
        <v>4839.0625</v>
      </c>
      <c r="K1979" t="s">
        <v>29</v>
      </c>
      <c r="L1979">
        <f>J1979/_xlfn.XLOOKUP(Tabla2[[#This Row],[Unidad de precio]],Tabla3[Medida],Tabla3[Equivalencia en Kg],"ELVIS",0)</f>
        <v>8.6052254863605651</v>
      </c>
      <c r="M1979">
        <v>6492.5610346041303</v>
      </c>
      <c r="N1979" s="2">
        <f>(Tabla2[[#This Row],[Productividad (kg/TAS)]]*Tabla2[[#This Row],[Precio por kg]]-Tabla2[[#This Row],[Costos (En RD$/Tarea)]])</f>
        <v>1197.6864755518136</v>
      </c>
      <c r="O1979" s="6">
        <f>IF(Tabla2[[#This Row],[Costos (En RD$/Tarea)]]=0,0,Tabla2[[#This Row],[Beneficio Neto  (En RD$/Tarea)]]/Tabla2[[#This Row],[Costos (En RD$/Tarea)]])</f>
        <v>0.18447057627465799</v>
      </c>
      <c r="P1979" s="4">
        <f>Tabla2[[#This Row],[Rentabilidad (%)]]/12</f>
        <v>1.5372548022888165E-2</v>
      </c>
    </row>
    <row r="1980" spans="1:16" x14ac:dyDescent="0.35">
      <c r="A1980" s="1">
        <v>41518</v>
      </c>
      <c r="B1980" t="s">
        <v>30</v>
      </c>
      <c r="C1980" s="2">
        <v>388284</v>
      </c>
      <c r="D1980" s="2" t="s">
        <v>31</v>
      </c>
      <c r="E1980" s="2">
        <f>IF(Tabla2[[#This Row],[Frecuencia]]="Annual", Tabla2[[#This Row],[Cosecha/Tarea]]/12,Tabla2[[#This Row],[Cosecha/Tarea]])</f>
        <v>32357</v>
      </c>
      <c r="F1980" s="2">
        <v>3501715</v>
      </c>
      <c r="G1980" t="s">
        <v>32</v>
      </c>
      <c r="H1980">
        <f>F1980/Tabla2[[#This Row],[Cosecha Mensual]]</f>
        <v>108.22125042494669</v>
      </c>
      <c r="I1980">
        <f>H1980*_xlfn.XLOOKUP(Tabla2[[#This Row],[Unidad de producción]],Tabla3[Medida],Tabla3[Equivalencia en Kg],"ELVIS",0)</f>
        <v>2944.7002240627994</v>
      </c>
      <c r="J1980">
        <v>139.02833333333299</v>
      </c>
      <c r="K1980" t="s">
        <v>32</v>
      </c>
      <c r="L1980">
        <f>J1980/_xlfn.XLOOKUP(Tabla2[[#This Row],[Unidad de precio]],Tabla3[Medida],Tabla3[Equivalencia en Kg],"ELVIS",0)</f>
        <v>5.1094573073624767</v>
      </c>
      <c r="M1980" s="2">
        <v>11852.2845542745</v>
      </c>
      <c r="N1980" s="2">
        <f>(Tabla2[[#This Row],[Productividad (kg/TAS)]]*Tabla2[[#This Row],[Precio por kg]]-Tabla2[[#This Row],[Costos (En RD$/Tarea)]])</f>
        <v>3193.5355235550924</v>
      </c>
      <c r="O1980" s="6">
        <f>IF(Tabla2[[#This Row],[Costos (En RD$/Tarea)]]=0,0,Tabla2[[#This Row],[Beneficio Neto  (En RD$/Tarea)]]/Tabla2[[#This Row],[Costos (En RD$/Tarea)]])</f>
        <v>0.26944472257066687</v>
      </c>
      <c r="P1980" s="4">
        <f>Tabla2[[#This Row],[Rentabilidad (%)]]/12</f>
        <v>2.2453726880888907E-2</v>
      </c>
    </row>
    <row r="1981" spans="1:16" x14ac:dyDescent="0.35">
      <c r="A1981" s="1">
        <v>41518</v>
      </c>
      <c r="B1981" t="s">
        <v>33</v>
      </c>
      <c r="C1981" s="2">
        <v>724032</v>
      </c>
      <c r="D1981" s="2" t="s">
        <v>31</v>
      </c>
      <c r="E1981" s="8">
        <f>IF(Tabla2[[#This Row],[Frecuencia]]="Annual", Tabla2[[#This Row],[Cosecha/Tarea]]/12,Tabla2[[#This Row],[Cosecha/Tarea]])</f>
        <v>60336</v>
      </c>
      <c r="F1981" s="2">
        <v>186407</v>
      </c>
      <c r="G1981" t="s">
        <v>34</v>
      </c>
      <c r="H1981">
        <f>F1981/Tabla2[[#This Row],[Cosecha Mensual]]</f>
        <v>3.0894822328294884</v>
      </c>
      <c r="I1981">
        <f>H1981*_xlfn.XLOOKUP(Tabla2[[#This Row],[Unidad de producción]],Tabla3[Medida],Tabla3[Equivalencia en Kg],"ELVIS",0)</f>
        <v>1260.9721733293557</v>
      </c>
      <c r="J1981">
        <v>4052</v>
      </c>
      <c r="K1981" t="s">
        <v>34</v>
      </c>
      <c r="L1981">
        <f>J1981/_xlfn.XLOOKUP(Tabla2[[#This Row],[Unidad de precio]],Tabla3[Medida],Tabla3[Equivalencia en Kg],"ELVIS",0)</f>
        <v>9.9277226509861585</v>
      </c>
      <c r="M1981" s="2">
        <v>11461.359791266201</v>
      </c>
      <c r="N1981" s="2">
        <f>(Tabla2[[#This Row],[Productividad (kg/TAS)]]*Tabla2[[#This Row],[Precio por kg]]-Tabla2[[#This Row],[Costos (En RD$/Tarea)]])</f>
        <v>1057.222216158887</v>
      </c>
      <c r="O1981" s="6">
        <f>IF(Tabla2[[#This Row],[Costos (En RD$/Tarea)]]=0,0,Tabla2[[#This Row],[Beneficio Neto  (En RD$/Tarea)]]/Tabla2[[#This Row],[Costos (En RD$/Tarea)]])</f>
        <v>9.2242302432955017E-2</v>
      </c>
      <c r="P1981" s="4">
        <f>Tabla2[[#This Row],[Rentabilidad (%)]]/12</f>
        <v>7.6868585360795848E-3</v>
      </c>
    </row>
    <row r="1982" spans="1:16" x14ac:dyDescent="0.35">
      <c r="A1982" s="1">
        <v>41548</v>
      </c>
      <c r="B1982" t="s">
        <v>16</v>
      </c>
      <c r="C1982" s="2">
        <v>603633</v>
      </c>
      <c r="D1982" s="5" t="s">
        <v>17</v>
      </c>
      <c r="E1982" s="2">
        <f>IF(Tabla2[[#This Row],[Frecuencia]]="Annual", Tabla2[[#This Row],[Cosecha/Tarea]]/12,Tabla2[[#This Row],[Cosecha/Tarea]])</f>
        <v>603633</v>
      </c>
      <c r="F1982" s="2">
        <v>2825583</v>
      </c>
      <c r="G1982" t="s">
        <v>18</v>
      </c>
      <c r="H1982">
        <f>F1982/Tabla2[[#This Row],[Cosecha Mensual]]</f>
        <v>4.6809617764436338</v>
      </c>
      <c r="I1982">
        <f>H1982*_xlfn.XLOOKUP(Tabla2[[#This Row],[Unidad de producción]],Tabla3[Medida],Tabla3[Equivalencia en Kg],"ELVIS",0)</f>
        <v>212.32842617948322</v>
      </c>
      <c r="J1982">
        <v>1923.70726666667</v>
      </c>
      <c r="K1982" t="s">
        <v>19</v>
      </c>
      <c r="L1982">
        <f>J1982/_xlfn.XLOOKUP(Tabla2[[#This Row],[Unidad de precio]],Tabla3[Medida],Tabla3[Equivalencia en Kg],"ELVIS",0)</f>
        <v>17.488247878787909</v>
      </c>
      <c r="M1982">
        <v>7832.6079700315504</v>
      </c>
      <c r="N1982" s="2">
        <f>(Tabla2[[#This Row],[Productividad (kg/TAS)]]*Tabla2[[#This Row],[Precio por kg]]-Tabla2[[#This Row],[Costos (En RD$/Tarea)]])</f>
        <v>-4119.3558212918279</v>
      </c>
      <c r="O1982" s="6">
        <f>IF(Tabla2[[#This Row],[Costos (En RD$/Tarea)]]=0,0,Tabla2[[#This Row],[Beneficio Neto  (En RD$/Tarea)]]/Tabla2[[#This Row],[Costos (En RD$/Tarea)]])</f>
        <v>-0.52592391155703844</v>
      </c>
      <c r="P1982" s="4">
        <f>Tabla2[[#This Row],[Rentabilidad (%)]]/12</f>
        <v>-4.3826992629753203E-2</v>
      </c>
    </row>
    <row r="1983" spans="1:16" x14ac:dyDescent="0.35">
      <c r="A1983" s="1">
        <v>41548</v>
      </c>
      <c r="B1983" t="s">
        <v>20</v>
      </c>
      <c r="C1983" s="2">
        <v>47962</v>
      </c>
      <c r="D1983" s="5" t="s">
        <v>17</v>
      </c>
      <c r="E1983" s="2">
        <f>IF(Tabla2[[#This Row],[Frecuencia]]="Annual", Tabla2[[#This Row],[Cosecha/Tarea]]/12,Tabla2[[#This Row],[Cosecha/Tarea]])</f>
        <v>47962</v>
      </c>
      <c r="F1983" s="2">
        <v>107844</v>
      </c>
      <c r="G1983" t="s">
        <v>18</v>
      </c>
      <c r="H1983">
        <f>F1983/Tabla2[[#This Row],[Cosecha Mensual]]</f>
        <v>2.2485300863183353</v>
      </c>
      <c r="I1983">
        <f>H1983*_xlfn.XLOOKUP(Tabla2[[#This Row],[Unidad de producción]],Tabla3[Medida],Tabla3[Equivalencia en Kg],"ELVIS",0)</f>
        <v>101.99332471539968</v>
      </c>
      <c r="J1983">
        <v>657.88184000000001</v>
      </c>
      <c r="K1983" t="s">
        <v>18</v>
      </c>
      <c r="L1983">
        <f>J1983/_xlfn.XLOOKUP(Tabla2[[#This Row],[Unidad de precio]],Tabla3[Medida],Tabla3[Equivalencia en Kg],"ELVIS",0)</f>
        <v>14.503567901234568</v>
      </c>
      <c r="M1983">
        <v>2208.9263820000001</v>
      </c>
      <c r="N1983" s="2">
        <f>(Tabla2[[#This Row],[Productividad (kg/TAS)]]*Tabla2[[#This Row],[Precio por kg]]-Tabla2[[#This Row],[Costos (En RD$/Tarea)]])</f>
        <v>-729.65927151753499</v>
      </c>
      <c r="O1983" s="6">
        <f>IF(Tabla2[[#This Row],[Costos (En RD$/Tarea)]]=0,0,Tabla2[[#This Row],[Beneficio Neto  (En RD$/Tarea)]]/Tabla2[[#This Row],[Costos (En RD$/Tarea)]])</f>
        <v>-0.33032303722901296</v>
      </c>
      <c r="P1983" s="4">
        <f>Tabla2[[#This Row],[Rentabilidad (%)]]/12</f>
        <v>-2.7526919769084415E-2</v>
      </c>
    </row>
    <row r="1984" spans="1:16" x14ac:dyDescent="0.35">
      <c r="A1984" s="1">
        <v>41548</v>
      </c>
      <c r="B1984" t="s">
        <v>21</v>
      </c>
      <c r="C1984" s="2">
        <v>7511</v>
      </c>
      <c r="D1984" s="5" t="s">
        <v>17</v>
      </c>
      <c r="E1984" s="2">
        <f>IF(Tabla2[[#This Row],[Frecuencia]]="Annual", Tabla2[[#This Row],[Cosecha/Tarea]]/12,Tabla2[[#This Row],[Cosecha/Tarea]])</f>
        <v>7511</v>
      </c>
      <c r="F1984" s="2">
        <v>75394</v>
      </c>
      <c r="G1984" t="s">
        <v>18</v>
      </c>
      <c r="H1984">
        <f>F1984/Tabla2[[#This Row],[Cosecha Mensual]]</f>
        <v>10.037811210225003</v>
      </c>
      <c r="I1984">
        <f>H1984*_xlfn.XLOOKUP(Tabla2[[#This Row],[Unidad de producción]],Tabla3[Medida],Tabla3[Equivalencia en Kg],"ELVIS",0)</f>
        <v>455.31511649580614</v>
      </c>
      <c r="J1984">
        <v>425.48399999999998</v>
      </c>
      <c r="K1984" t="s">
        <v>18</v>
      </c>
      <c r="L1984">
        <f>J1984/_xlfn.XLOOKUP(Tabla2[[#This Row],[Unidad de precio]],Tabla3[Medida],Tabla3[Equivalencia en Kg],"ELVIS",0)</f>
        <v>9.3801587301587297</v>
      </c>
      <c r="M1984">
        <v>4893.7504664999997</v>
      </c>
      <c r="N1984" s="2">
        <f>(Tabla2[[#This Row],[Productividad (kg/TAS)]]*Tabla2[[#This Row],[Precio por kg]]-Tabla2[[#This Row],[Costos (En RD$/Tarea)]])</f>
        <v>-622.82240152862505</v>
      </c>
      <c r="O1984" s="6">
        <f>IF(Tabla2[[#This Row],[Costos (En RD$/Tarea)]]=0,0,Tabla2[[#This Row],[Beneficio Neto  (En RD$/Tarea)]]/Tabla2[[#This Row],[Costos (En RD$/Tarea)]])</f>
        <v>-0.12726893326338037</v>
      </c>
      <c r="P1984" s="4">
        <f>Tabla2[[#This Row],[Rentabilidad (%)]]/12</f>
        <v>-1.0605744438615032E-2</v>
      </c>
    </row>
    <row r="1985" spans="1:16" x14ac:dyDescent="0.35">
      <c r="A1985" s="1">
        <v>41548</v>
      </c>
      <c r="B1985" t="s">
        <v>22</v>
      </c>
      <c r="C1985" s="2">
        <v>2717</v>
      </c>
      <c r="D1985" s="5" t="s">
        <v>17</v>
      </c>
      <c r="E1985" s="2">
        <f>IF(Tabla2[[#This Row],[Frecuencia]]="Annual", Tabla2[[#This Row],[Cosecha/Tarea]]/12,Tabla2[[#This Row],[Cosecha/Tarea]])</f>
        <v>2717</v>
      </c>
      <c r="F1985" s="2">
        <v>22981</v>
      </c>
      <c r="G1985" t="s">
        <v>18</v>
      </c>
      <c r="H1985">
        <f>F1985/Tabla2[[#This Row],[Cosecha Mensual]]</f>
        <v>8.4582259845417749</v>
      </c>
      <c r="I1985">
        <f>H1985*_xlfn.XLOOKUP(Tabla2[[#This Row],[Unidad de producción]],Tabla3[Medida],Tabla3[Equivalencia en Kg],"ELVIS",0)</f>
        <v>383.66513065881492</v>
      </c>
      <c r="J1985">
        <v>1024</v>
      </c>
      <c r="K1985" t="s">
        <v>18</v>
      </c>
      <c r="L1985">
        <f>J1985/_xlfn.XLOOKUP(Tabla2[[#This Row],[Unidad de precio]],Tabla3[Medida],Tabla3[Equivalencia en Kg],"ELVIS",0)</f>
        <v>22.57495590828924</v>
      </c>
      <c r="M1985">
        <v>8667.0620736000001</v>
      </c>
      <c r="N1985" s="2">
        <f>(Tabla2[[#This Row],[Productividad (kg/TAS)]]*Tabla2[[#This Row],[Precio por kg]]-Tabla2[[#This Row],[Costos (En RD$/Tarea)]])</f>
        <v>-5.8386654292226012</v>
      </c>
      <c r="O1985" s="6">
        <f>IF(Tabla2[[#This Row],[Costos (En RD$/Tarea)]]=0,0,Tabla2[[#This Row],[Beneficio Neto  (En RD$/Tarea)]]/Tabla2[[#This Row],[Costos (En RD$/Tarea)]])</f>
        <v>-6.7366142986413624E-4</v>
      </c>
      <c r="P1985" s="4">
        <f>Tabla2[[#This Row],[Rentabilidad (%)]]/12</f>
        <v>-5.613845248867802E-5</v>
      </c>
    </row>
    <row r="1986" spans="1:16" x14ac:dyDescent="0.35">
      <c r="A1986" s="1">
        <v>41548</v>
      </c>
      <c r="B1986" t="s">
        <v>23</v>
      </c>
      <c r="C1986" s="2">
        <v>3016</v>
      </c>
      <c r="D1986" s="5" t="s">
        <v>17</v>
      </c>
      <c r="E1986" s="2">
        <f>IF(Tabla2[[#This Row],[Frecuencia]]="Annual", Tabla2[[#This Row],[Cosecha/Tarea]]/12,Tabla2[[#This Row],[Cosecha/Tarea]])</f>
        <v>3016</v>
      </c>
      <c r="F1986" s="2">
        <v>120989</v>
      </c>
      <c r="G1986" t="s">
        <v>18</v>
      </c>
      <c r="H1986">
        <f>F1986/Tabla2[[#This Row],[Cosecha Mensual]]</f>
        <v>40.115716180371351</v>
      </c>
      <c r="I1986">
        <f>H1986*_xlfn.XLOOKUP(Tabla2[[#This Row],[Unidad de producción]],Tabla3[Medida],Tabla3[Equivalencia en Kg],"ELVIS",0)</f>
        <v>1819.6488859416445</v>
      </c>
      <c r="J1986">
        <v>800</v>
      </c>
      <c r="K1986" t="s">
        <v>18</v>
      </c>
      <c r="L1986">
        <f>J1986/_xlfn.XLOOKUP(Tabla2[[#This Row],[Unidad de precio]],Tabla3[Medida],Tabla3[Equivalencia en Kg],"ELVIS",0)</f>
        <v>17.636684303350972</v>
      </c>
      <c r="M1986">
        <v>24550.120818416199</v>
      </c>
      <c r="N1986" s="2">
        <f>(Tabla2[[#This Row],[Productividad (kg/TAS)]]*Tabla2[[#This Row],[Precio por kg]]-Tabla2[[#This Row],[Costos (En RD$/Tarea)]])</f>
        <v>7542.4521258808854</v>
      </c>
      <c r="O1986" s="6">
        <f>IF(Tabla2[[#This Row],[Costos (En RD$/Tarea)]]=0,0,Tabla2[[#This Row],[Beneficio Neto  (En RD$/Tarea)]]/Tabla2[[#This Row],[Costos (En RD$/Tarea)]])</f>
        <v>0.30722668053930463</v>
      </c>
      <c r="P1986" s="4">
        <f>Tabla2[[#This Row],[Rentabilidad (%)]]/12</f>
        <v>2.5602223378275387E-2</v>
      </c>
    </row>
    <row r="1987" spans="1:16" x14ac:dyDescent="0.35">
      <c r="A1987" s="1">
        <v>41548</v>
      </c>
      <c r="B1987" t="s">
        <v>24</v>
      </c>
      <c r="C1987" s="2">
        <v>5029</v>
      </c>
      <c r="D1987" s="5" t="s">
        <v>17</v>
      </c>
      <c r="E1987" s="2">
        <f>IF(Tabla2[[#This Row],[Frecuencia]]="Annual", Tabla2[[#This Row],[Cosecha/Tarea]]/12,Tabla2[[#This Row],[Cosecha/Tarea]])</f>
        <v>5029</v>
      </c>
      <c r="F1987" s="2">
        <v>34236</v>
      </c>
      <c r="G1987" t="s">
        <v>18</v>
      </c>
      <c r="H1987">
        <f>F1987/Tabla2[[#This Row],[Cosecha Mensual]]</f>
        <v>6.8077152515410617</v>
      </c>
      <c r="I1987">
        <f>H1987*_xlfn.XLOOKUP(Tabla2[[#This Row],[Unidad de producción]],Tabla3[Medida],Tabla3[Equivalencia en Kg],"ELVIS",0)</f>
        <v>308.79796380990257</v>
      </c>
      <c r="J1987">
        <v>1757.84666666667</v>
      </c>
      <c r="K1987" t="s">
        <v>18</v>
      </c>
      <c r="L1987">
        <f>J1987/_xlfn.XLOOKUP(Tabla2[[#This Row],[Unidad de precio]],Tabla3[Medida],Tabla3[Equivalencia en Kg],"ELVIS",0)</f>
        <v>38.753233392122354</v>
      </c>
      <c r="M1987">
        <v>8436.0023040464603</v>
      </c>
      <c r="N1987" s="2">
        <f>(Tabla2[[#This Row],[Productividad (kg/TAS)]]*Tabla2[[#This Row],[Precio por kg]]-Tabla2[[#This Row],[Costos (En RD$/Tarea)]])</f>
        <v>3530.9172584908465</v>
      </c>
      <c r="O1987" s="6">
        <f>IF(Tabla2[[#This Row],[Costos (En RD$/Tarea)]]=0,0,Tabla2[[#This Row],[Beneficio Neto  (En RD$/Tarea)]]/Tabla2[[#This Row],[Costos (En RD$/Tarea)]])</f>
        <v>0.41855337768188933</v>
      </c>
      <c r="P1987" s="4">
        <f>Tabla2[[#This Row],[Rentabilidad (%)]]/12</f>
        <v>3.4879448140157442E-2</v>
      </c>
    </row>
    <row r="1988" spans="1:16" x14ac:dyDescent="0.35">
      <c r="A1988" s="1">
        <v>41548</v>
      </c>
      <c r="B1988" t="s">
        <v>25</v>
      </c>
      <c r="C1988" s="2">
        <v>25318</v>
      </c>
      <c r="D1988" s="5" t="s">
        <v>17</v>
      </c>
      <c r="E1988" s="2">
        <f>IF(Tabla2[[#This Row],[Frecuencia]]="Annual", Tabla2[[#This Row],[Cosecha/Tarea]]/12,Tabla2[[#This Row],[Cosecha/Tarea]])</f>
        <v>25318</v>
      </c>
      <c r="F1988" s="2">
        <v>288680</v>
      </c>
      <c r="G1988" t="s">
        <v>18</v>
      </c>
      <c r="H1988">
        <f>F1988/Tabla2[[#This Row],[Cosecha Mensual]]</f>
        <v>11.402164467967454</v>
      </c>
      <c r="I1988">
        <f>H1988*_xlfn.XLOOKUP(Tabla2[[#This Row],[Unidad de producción]],Tabla3[Medida],Tabla3[Equivalencia en Kg],"ELVIS",0)</f>
        <v>517.20218026700365</v>
      </c>
      <c r="J1988">
        <v>423.840666666667</v>
      </c>
      <c r="K1988" t="s">
        <v>18</v>
      </c>
      <c r="L1988">
        <f>J1988/_xlfn.XLOOKUP(Tabla2[[#This Row],[Unidad de precio]],Tabla3[Medida],Tabla3[Equivalencia en Kg],"ELVIS",0)</f>
        <v>9.3439300411522712</v>
      </c>
      <c r="M1988">
        <v>4461.1940527534698</v>
      </c>
      <c r="N1988" s="2">
        <f>(Tabla2[[#This Row],[Productividad (kg/TAS)]]*Tabla2[[#This Row],[Precio por kg]]-Tabla2[[#This Row],[Costos (En RD$/Tarea)]])</f>
        <v>371.50693679283813</v>
      </c>
      <c r="O1988" s="6">
        <f>IF(Tabla2[[#This Row],[Costos (En RD$/Tarea)]]=0,0,Tabla2[[#This Row],[Beneficio Neto  (En RD$/Tarea)]]/Tabla2[[#This Row],[Costos (En RD$/Tarea)]])</f>
        <v>8.3275224614706531E-2</v>
      </c>
      <c r="P1988" s="4">
        <f>Tabla2[[#This Row],[Rentabilidad (%)]]/12</f>
        <v>6.9396020512255442E-3</v>
      </c>
    </row>
    <row r="1989" spans="1:16" x14ac:dyDescent="0.35">
      <c r="A1989" s="1">
        <v>41548</v>
      </c>
      <c r="B1989" t="s">
        <v>26</v>
      </c>
      <c r="C1989" s="2">
        <v>10602</v>
      </c>
      <c r="D1989" s="5" t="s">
        <v>17</v>
      </c>
      <c r="E1989" s="2">
        <f>IF(Tabla2[[#This Row],[Frecuencia]]="Annual", Tabla2[[#This Row],[Cosecha/Tarea]]/12,Tabla2[[#This Row],[Cosecha/Tarea]])</f>
        <v>10602</v>
      </c>
      <c r="F1989" s="2">
        <v>64514</v>
      </c>
      <c r="G1989" t="s">
        <v>18</v>
      </c>
      <c r="H1989">
        <f>F1989/Tabla2[[#This Row],[Cosecha Mensual]]</f>
        <v>6.0850782871156381</v>
      </c>
      <c r="I1989">
        <f>H1989*_xlfn.XLOOKUP(Tabla2[[#This Row],[Unidad de producción]],Tabla3[Medida],Tabla3[Equivalencia en Kg],"ELVIS",0)</f>
        <v>276.01915110356532</v>
      </c>
      <c r="J1989">
        <v>620.18399999999997</v>
      </c>
      <c r="K1989" t="s">
        <v>18</v>
      </c>
      <c r="L1989">
        <f>J1989/_xlfn.XLOOKUP(Tabla2[[#This Row],[Unidad de precio]],Tabla3[Medida],Tabla3[Equivalencia en Kg],"ELVIS",0)</f>
        <v>13.672486772486772</v>
      </c>
      <c r="M1989">
        <v>1856.8216170000001</v>
      </c>
      <c r="N1989" s="2">
        <f>(Tabla2[[#This Row],[Productividad (kg/TAS)]]*Tabla2[[#This Row],[Precio por kg]]-Tabla2[[#This Row],[Costos (En RD$/Tarea)]])</f>
        <v>1917.0465754165243</v>
      </c>
      <c r="O1989" s="6">
        <f>IF(Tabla2[[#This Row],[Costos (En RD$/Tarea)]]=0,0,Tabla2[[#This Row],[Beneficio Neto  (En RD$/Tarea)]]/Tabla2[[#This Row],[Costos (En RD$/Tarea)]])</f>
        <v>1.0324344341239562</v>
      </c>
      <c r="P1989" s="4">
        <f>Tabla2[[#This Row],[Rentabilidad (%)]]/12</f>
        <v>8.6036202843663021E-2</v>
      </c>
    </row>
    <row r="1990" spans="1:16" x14ac:dyDescent="0.35">
      <c r="A1990" s="1">
        <v>41548</v>
      </c>
      <c r="B1990" t="s">
        <v>27</v>
      </c>
      <c r="C1990" s="2">
        <v>2545</v>
      </c>
      <c r="D1990" s="5" t="s">
        <v>17</v>
      </c>
      <c r="E1990" s="2">
        <f>IF(Tabla2[[#This Row],[Frecuencia]]="Annual", Tabla2[[#This Row],[Cosecha/Tarea]]/12,Tabla2[[#This Row],[Cosecha/Tarea]])</f>
        <v>2545</v>
      </c>
      <c r="F1990" s="2">
        <v>27176</v>
      </c>
      <c r="G1990" t="s">
        <v>18</v>
      </c>
      <c r="H1990">
        <f>F1990/Tabla2[[#This Row],[Cosecha Mensual]]</f>
        <v>10.678192534381139</v>
      </c>
      <c r="I1990">
        <f>H1990*_xlfn.XLOOKUP(Tabla2[[#This Row],[Unidad de producción]],Tabla3[Medida],Tabla3[Equivalencia en Kg],"ELVIS",0)</f>
        <v>484.3628133595285</v>
      </c>
      <c r="J1990">
        <v>827.43</v>
      </c>
      <c r="K1990" t="s">
        <v>18</v>
      </c>
      <c r="L1990">
        <f>J1990/_xlfn.XLOOKUP(Tabla2[[#This Row],[Unidad de precio]],Tabla3[Medida],Tabla3[Equivalencia en Kg],"ELVIS",0)</f>
        <v>18.241402116402117</v>
      </c>
      <c r="M1990">
        <v>7498.499866956</v>
      </c>
      <c r="N1990" s="2">
        <f>(Tabla2[[#This Row],[Productividad (kg/TAS)]]*Tabla2[[#This Row],[Precio por kg]]-Tabla2[[#This Row],[Costos (En RD$/Tarea)]])</f>
        <v>1336.9569817669862</v>
      </c>
      <c r="O1990" s="6">
        <f>IF(Tabla2[[#This Row],[Costos (En RD$/Tarea)]]=0,0,Tabla2[[#This Row],[Beneficio Neto  (En RD$/Tarea)]]/Tabla2[[#This Row],[Costos (En RD$/Tarea)]])</f>
        <v>0.17829659338378051</v>
      </c>
      <c r="P1990" s="4">
        <f>Tabla2[[#This Row],[Rentabilidad (%)]]/12</f>
        <v>1.4858049448648375E-2</v>
      </c>
    </row>
    <row r="1991" spans="1:16" x14ac:dyDescent="0.35">
      <c r="A1991" s="1">
        <v>41548</v>
      </c>
      <c r="B1991" t="s">
        <v>28</v>
      </c>
      <c r="C1991" s="2">
        <v>66909</v>
      </c>
      <c r="D1991" s="5" t="s">
        <v>17</v>
      </c>
      <c r="E1991" s="2">
        <f>IF(Tabla2[[#This Row],[Frecuencia]]="Annual", Tabla2[[#This Row],[Cosecha/Tarea]]/12,Tabla2[[#This Row],[Cosecha/Tarea]])</f>
        <v>66909</v>
      </c>
      <c r="F1991" s="2">
        <v>91932</v>
      </c>
      <c r="G1991" t="s">
        <v>29</v>
      </c>
      <c r="H1991">
        <f>F1991/Tabla2[[#This Row],[Cosecha Mensual]]</f>
        <v>1.3739855624803838</v>
      </c>
      <c r="I1991">
        <f>H1991*_xlfn.XLOOKUP(Tabla2[[#This Row],[Unidad de producción]],Tabla3[Medida],Tabla3[Equivalencia en Kg],"ELVIS",0)</f>
        <v>772.64704120521913</v>
      </c>
      <c r="J1991">
        <v>4835.8</v>
      </c>
      <c r="K1991" t="s">
        <v>29</v>
      </c>
      <c r="L1991">
        <f>J1991/_xlfn.XLOOKUP(Tabla2[[#This Row],[Unidad de precio]],Tabla3[Medida],Tabla3[Equivalencia en Kg],"ELVIS",0)</f>
        <v>8.5994238361133828</v>
      </c>
      <c r="M1991">
        <v>6492.5610346041303</v>
      </c>
      <c r="N1991" s="2">
        <f>(Tabla2[[#This Row],[Productividad (kg/TAS)]]*Tabla2[[#This Row],[Precio por kg]]-Tabla2[[#This Row],[Costos (En RD$/Tarea)]])</f>
        <v>151.75834843851044</v>
      </c>
      <c r="O1991" s="6">
        <f>IF(Tabla2[[#This Row],[Costos (En RD$/Tarea)]]=0,0,Tabla2[[#This Row],[Beneficio Neto  (En RD$/Tarea)]]/Tabla2[[#This Row],[Costos (En RD$/Tarea)]])</f>
        <v>2.3374188957126004E-2</v>
      </c>
      <c r="P1991" s="4">
        <f>Tabla2[[#This Row],[Rentabilidad (%)]]/12</f>
        <v>1.9478490797605003E-3</v>
      </c>
    </row>
    <row r="1992" spans="1:16" x14ac:dyDescent="0.35">
      <c r="A1992" s="1">
        <v>41548</v>
      </c>
      <c r="B1992" t="s">
        <v>30</v>
      </c>
      <c r="C1992" s="2">
        <v>381977</v>
      </c>
      <c r="D1992" s="2" t="s">
        <v>31</v>
      </c>
      <c r="E1992" s="2">
        <f>IF(Tabla2[[#This Row],[Frecuencia]]="Annual", Tabla2[[#This Row],[Cosecha/Tarea]]/12,Tabla2[[#This Row],[Cosecha/Tarea]])</f>
        <v>31831.416666666668</v>
      </c>
      <c r="F1992" s="2">
        <v>3978941</v>
      </c>
      <c r="G1992" t="s">
        <v>32</v>
      </c>
      <c r="H1992">
        <f>F1992/Tabla2[[#This Row],[Cosecha Mensual]]</f>
        <v>125.00043719909837</v>
      </c>
      <c r="I1992">
        <f>H1992*_xlfn.XLOOKUP(Tabla2[[#This Row],[Unidad de producción]],Tabla3[Medida],Tabla3[Equivalencia en Kg],"ELVIS",0)</f>
        <v>3401.2618961874668</v>
      </c>
      <c r="J1992">
        <v>133.93</v>
      </c>
      <c r="K1992" t="s">
        <v>32</v>
      </c>
      <c r="L1992">
        <f>J1992/_xlfn.XLOOKUP(Tabla2[[#This Row],[Unidad de precio]],Tabla3[Medida],Tabla3[Equivalencia en Kg],"ELVIS",0)</f>
        <v>4.9220874678427053</v>
      </c>
      <c r="M1992" s="2">
        <v>11852.2845542745</v>
      </c>
      <c r="N1992" s="2">
        <f>(Tabla2[[#This Row],[Productividad (kg/TAS)]]*Tabla2[[#This Row],[Precio por kg]]-Tabla2[[#This Row],[Costos (En RD$/Tarea)]])</f>
        <v>4889.0239998007473</v>
      </c>
      <c r="O1992" s="6">
        <f>IF(Tabla2[[#This Row],[Costos (En RD$/Tarea)]]=0,0,Tabla2[[#This Row],[Beneficio Neto  (En RD$/Tarea)]]/Tabla2[[#This Row],[Costos (En RD$/Tarea)]])</f>
        <v>0.4124963400442096</v>
      </c>
      <c r="P1992" s="4">
        <f>Tabla2[[#This Row],[Rentabilidad (%)]]/12</f>
        <v>3.4374695003684133E-2</v>
      </c>
    </row>
    <row r="1993" spans="1:16" x14ac:dyDescent="0.35">
      <c r="A1993" s="1">
        <v>41548</v>
      </c>
      <c r="B1993" t="s">
        <v>33</v>
      </c>
      <c r="C1993" s="2">
        <v>652483</v>
      </c>
      <c r="D1993" s="2" t="s">
        <v>31</v>
      </c>
      <c r="E1993" s="8">
        <f>IF(Tabla2[[#This Row],[Frecuencia]]="Annual", Tabla2[[#This Row],[Cosecha/Tarea]]/12,Tabla2[[#This Row],[Cosecha/Tarea]])</f>
        <v>54373.583333333336</v>
      </c>
      <c r="F1993" s="2">
        <v>164569</v>
      </c>
      <c r="G1993" t="s">
        <v>34</v>
      </c>
      <c r="H1993">
        <f>F1993/Tabla2[[#This Row],[Cosecha Mensual]]</f>
        <v>3.0266351767019217</v>
      </c>
      <c r="I1993">
        <f>H1993*_xlfn.XLOOKUP(Tabla2[[#This Row],[Unidad de producción]],Tabla3[Medida],Tabla3[Equivalencia en Kg],"ELVIS",0)</f>
        <v>1235.3211473708893</v>
      </c>
      <c r="J1993">
        <v>3914.1666666666702</v>
      </c>
      <c r="K1993" t="s">
        <v>34</v>
      </c>
      <c r="L1993">
        <f>J1993/_xlfn.XLOOKUP(Tabla2[[#This Row],[Unidad de precio]],Tabla3[Medida],Tabla3[Equivalencia en Kg],"ELVIS",0)</f>
        <v>9.5900200089836343</v>
      </c>
      <c r="M1993" s="2">
        <v>11461.359791266201</v>
      </c>
      <c r="N1993" s="2">
        <f>(Tabla2[[#This Row],[Productividad (kg/TAS)]]*Tabla2[[#This Row],[Precio por kg]]-Tabla2[[#This Row],[Costos (En RD$/Tarea)]])</f>
        <v>385.39472954124903</v>
      </c>
      <c r="O1993" s="6">
        <f>IF(Tabla2[[#This Row],[Costos (En RD$/Tarea)]]=0,0,Tabla2[[#This Row],[Beneficio Neto  (En RD$/Tarea)]]/Tabla2[[#This Row],[Costos (En RD$/Tarea)]])</f>
        <v>3.3625567695285859E-2</v>
      </c>
      <c r="P1993" s="4">
        <f>Tabla2[[#This Row],[Rentabilidad (%)]]/12</f>
        <v>2.8021306412738217E-3</v>
      </c>
    </row>
    <row r="1994" spans="1:16" x14ac:dyDescent="0.35">
      <c r="A1994" s="1">
        <v>41579</v>
      </c>
      <c r="B1994" t="s">
        <v>16</v>
      </c>
      <c r="C1994" s="2">
        <v>383186</v>
      </c>
      <c r="D1994" s="5" t="s">
        <v>17</v>
      </c>
      <c r="E1994" s="2">
        <f>IF(Tabla2[[#This Row],[Frecuencia]]="Annual", Tabla2[[#This Row],[Cosecha/Tarea]]/12,Tabla2[[#This Row],[Cosecha/Tarea]])</f>
        <v>383186</v>
      </c>
      <c r="F1994" s="2">
        <v>1604849</v>
      </c>
      <c r="G1994" t="s">
        <v>18</v>
      </c>
      <c r="H1994">
        <f>F1994/Tabla2[[#This Row],[Cosecha Mensual]]</f>
        <v>4.1881723236235144</v>
      </c>
      <c r="I1994">
        <f>H1994*_xlfn.XLOOKUP(Tabla2[[#This Row],[Unidad de producción]],Tabla3[Medida],Tabla3[Equivalencia en Kg],"ELVIS",0)</f>
        <v>189.9754965995626</v>
      </c>
      <c r="J1994">
        <v>1719.9873333333301</v>
      </c>
      <c r="K1994" t="s">
        <v>19</v>
      </c>
      <c r="L1994">
        <f>J1994/_xlfn.XLOOKUP(Tabla2[[#This Row],[Unidad de precio]],Tabla3[Medida],Tabla3[Equivalencia en Kg],"ELVIS",0)</f>
        <v>15.636248484848455</v>
      </c>
      <c r="M1994">
        <v>7832.6079700315504</v>
      </c>
      <c r="N1994" s="2">
        <f>(Tabla2[[#This Row],[Productividad (kg/TAS)]]*Tabla2[[#This Row],[Precio por kg]]-Tabla2[[#This Row],[Costos (En RD$/Tarea)]])</f>
        <v>-4862.1038991683072</v>
      </c>
      <c r="O1994" s="6">
        <f>IF(Tabla2[[#This Row],[Costos (En RD$/Tarea)]]=0,0,Tabla2[[#This Row],[Beneficio Neto  (En RD$/Tarea)]]/Tabla2[[#This Row],[Costos (En RD$/Tarea)]])</f>
        <v>-0.62075159611859421</v>
      </c>
      <c r="P1994" s="4">
        <f>Tabla2[[#This Row],[Rentabilidad (%)]]/12</f>
        <v>-5.1729299676549517E-2</v>
      </c>
    </row>
    <row r="1995" spans="1:16" x14ac:dyDescent="0.35">
      <c r="A1995" s="1">
        <v>41579</v>
      </c>
      <c r="B1995" t="s">
        <v>20</v>
      </c>
      <c r="C1995" s="2">
        <v>33979</v>
      </c>
      <c r="D1995" s="5" t="s">
        <v>17</v>
      </c>
      <c r="E1995" s="2">
        <f>IF(Tabla2[[#This Row],[Frecuencia]]="Annual", Tabla2[[#This Row],[Cosecha/Tarea]]/12,Tabla2[[#This Row],[Cosecha/Tarea]])</f>
        <v>33979</v>
      </c>
      <c r="F1995" s="2">
        <v>71671</v>
      </c>
      <c r="G1995" t="s">
        <v>18</v>
      </c>
      <c r="H1995">
        <f>F1995/Tabla2[[#This Row],[Cosecha Mensual]]</f>
        <v>2.1092733747314516</v>
      </c>
      <c r="I1995">
        <f>H1995*_xlfn.XLOOKUP(Tabla2[[#This Row],[Unidad de producción]],Tabla3[Medida],Tabla3[Equivalencia en Kg],"ELVIS",0)</f>
        <v>95.676640277818649</v>
      </c>
      <c r="J1995">
        <v>641.45899999999995</v>
      </c>
      <c r="K1995" t="s">
        <v>18</v>
      </c>
      <c r="L1995">
        <f>J1995/_xlfn.XLOOKUP(Tabla2[[#This Row],[Unidad de precio]],Tabla3[Medida],Tabla3[Equivalencia en Kg],"ELVIS",0)</f>
        <v>14.141512345679011</v>
      </c>
      <c r="M1995">
        <v>2208.9263820000001</v>
      </c>
      <c r="N1995" s="2">
        <f>(Tabla2[[#This Row],[Productividad (kg/TAS)]]*Tabla2[[#This Row],[Precio por kg]]-Tabla2[[#This Row],[Costos (En RD$/Tarea)]])</f>
        <v>-855.91399231813784</v>
      </c>
      <c r="O1995" s="6">
        <f>IF(Tabla2[[#This Row],[Costos (En RD$/Tarea)]]=0,0,Tabla2[[#This Row],[Beneficio Neto  (En RD$/Tarea)]]/Tabla2[[#This Row],[Costos (En RD$/Tarea)]])</f>
        <v>-0.38747963684655645</v>
      </c>
      <c r="P1995" s="4">
        <f>Tabla2[[#This Row],[Rentabilidad (%)]]/12</f>
        <v>-3.2289969737213035E-2</v>
      </c>
    </row>
    <row r="1996" spans="1:16" x14ac:dyDescent="0.35">
      <c r="A1996" s="1">
        <v>41579</v>
      </c>
      <c r="B1996" t="s">
        <v>21</v>
      </c>
      <c r="C1996" s="2">
        <v>9092</v>
      </c>
      <c r="D1996" s="5" t="s">
        <v>17</v>
      </c>
      <c r="E1996" s="2">
        <f>IF(Tabla2[[#This Row],[Frecuencia]]="Annual", Tabla2[[#This Row],[Cosecha/Tarea]]/12,Tabla2[[#This Row],[Cosecha/Tarea]])</f>
        <v>9092</v>
      </c>
      <c r="F1996" s="2">
        <v>106896</v>
      </c>
      <c r="G1996" t="s">
        <v>18</v>
      </c>
      <c r="H1996">
        <f>F1996/Tabla2[[#This Row],[Cosecha Mensual]]</f>
        <v>11.757149142102948</v>
      </c>
      <c r="I1996">
        <f>H1996*_xlfn.XLOOKUP(Tabla2[[#This Row],[Unidad de producción]],Tabla3[Medida],Tabla3[Equivalencia en Kg],"ELVIS",0)</f>
        <v>533.30428508578973</v>
      </c>
      <c r="J1996">
        <v>359.084</v>
      </c>
      <c r="K1996" t="s">
        <v>18</v>
      </c>
      <c r="L1996">
        <f>J1996/_xlfn.XLOOKUP(Tabla2[[#This Row],[Unidad de precio]],Tabla3[Medida],Tabla3[Equivalencia en Kg],"ELVIS",0)</f>
        <v>7.9163139329806</v>
      </c>
      <c r="M1996">
        <v>4893.7504664999997</v>
      </c>
      <c r="N1996" s="2">
        <f>(Tabla2[[#This Row],[Productividad (kg/TAS)]]*Tabla2[[#This Row],[Precio por kg]]-Tabla2[[#This Row],[Costos (En RD$/Tarea)]])</f>
        <v>-671.94632395710414</v>
      </c>
      <c r="O1996" s="6">
        <f>IF(Tabla2[[#This Row],[Costos (En RD$/Tarea)]]=0,0,Tabla2[[#This Row],[Beneficio Neto  (En RD$/Tarea)]]/Tabla2[[#This Row],[Costos (En RD$/Tarea)]])</f>
        <v>-0.1373070262893234</v>
      </c>
      <c r="P1996" s="4">
        <f>Tabla2[[#This Row],[Rentabilidad (%)]]/12</f>
        <v>-1.144225219077695E-2</v>
      </c>
    </row>
    <row r="1997" spans="1:16" x14ac:dyDescent="0.35">
      <c r="A1997" s="1">
        <v>41579</v>
      </c>
      <c r="B1997" t="s">
        <v>22</v>
      </c>
      <c r="C1997" s="2">
        <v>6850</v>
      </c>
      <c r="D1997" s="5" t="s">
        <v>17</v>
      </c>
      <c r="E1997" s="2">
        <f>IF(Tabla2[[#This Row],[Frecuencia]]="Annual", Tabla2[[#This Row],[Cosecha/Tarea]]/12,Tabla2[[#This Row],[Cosecha/Tarea]])</f>
        <v>6850</v>
      </c>
      <c r="F1997" s="2">
        <v>58724</v>
      </c>
      <c r="G1997" t="s">
        <v>18</v>
      </c>
      <c r="H1997">
        <f>F1997/Tabla2[[#This Row],[Cosecha Mensual]]</f>
        <v>8.5728467153284669</v>
      </c>
      <c r="I1997">
        <f>H1997*_xlfn.XLOOKUP(Tabla2[[#This Row],[Unidad de producción]],Tabla3[Medida],Tabla3[Equivalencia en Kg],"ELVIS",0)</f>
        <v>388.86432700729927</v>
      </c>
      <c r="J1997">
        <v>935.46333333333303</v>
      </c>
      <c r="K1997" t="s">
        <v>18</v>
      </c>
      <c r="L1997">
        <f>J1997/_xlfn.XLOOKUP(Tabla2[[#This Row],[Unidad de precio]],Tabla3[Medida],Tabla3[Equivalencia en Kg],"ELVIS",0)</f>
        <v>20.623089359200463</v>
      </c>
      <c r="M1997">
        <v>8667.0620736000001</v>
      </c>
      <c r="N1997" s="2">
        <f>(Tabla2[[#This Row],[Productividad (kg/TAS)]]*Tabla2[[#This Row],[Precio por kg]]-Tabla2[[#This Row],[Costos (En RD$/Tarea)]])</f>
        <v>-647.47830912311747</v>
      </c>
      <c r="O1997" s="6">
        <f>IF(Tabla2[[#This Row],[Costos (En RD$/Tarea)]]=0,0,Tabla2[[#This Row],[Beneficio Neto  (En RD$/Tarea)]]/Tabla2[[#This Row],[Costos (En RD$/Tarea)]])</f>
        <v>-7.4705627307706274E-2</v>
      </c>
      <c r="P1997" s="4">
        <f>Tabla2[[#This Row],[Rentabilidad (%)]]/12</f>
        <v>-6.2254689423088564E-3</v>
      </c>
    </row>
    <row r="1998" spans="1:16" x14ac:dyDescent="0.35">
      <c r="A1998" s="1">
        <v>41579</v>
      </c>
      <c r="B1998" t="s">
        <v>23</v>
      </c>
      <c r="C1998" s="2">
        <v>3574</v>
      </c>
      <c r="D1998" s="5" t="s">
        <v>17</v>
      </c>
      <c r="E1998" s="2">
        <f>IF(Tabla2[[#This Row],[Frecuencia]]="Annual", Tabla2[[#This Row],[Cosecha/Tarea]]/12,Tabla2[[#This Row],[Cosecha/Tarea]])</f>
        <v>3574</v>
      </c>
      <c r="F1998" s="2">
        <v>110702</v>
      </c>
      <c r="G1998" t="s">
        <v>18</v>
      </c>
      <c r="H1998">
        <f>F1998/Tabla2[[#This Row],[Cosecha Mensual]]</f>
        <v>30.974258533855625</v>
      </c>
      <c r="I1998">
        <f>H1998*_xlfn.XLOOKUP(Tabla2[[#This Row],[Unidad de producción]],Tabla3[Medida],Tabla3[Equivalencia en Kg],"ELVIS",0)</f>
        <v>1404.9923670956912</v>
      </c>
      <c r="J1998">
        <v>800</v>
      </c>
      <c r="K1998" t="s">
        <v>18</v>
      </c>
      <c r="L1998">
        <f>J1998/_xlfn.XLOOKUP(Tabla2[[#This Row],[Unidad de precio]],Tabla3[Medida],Tabla3[Equivalencia en Kg],"ELVIS",0)</f>
        <v>17.636684303350972</v>
      </c>
      <c r="M1998">
        <v>24550.120818416199</v>
      </c>
      <c r="N1998" s="2">
        <f>(Tabla2[[#This Row],[Productividad (kg/TAS)]]*Tabla2[[#This Row],[Precio por kg]]-Tabla2[[#This Row],[Costos (En RD$/Tarea)]])</f>
        <v>229.28600866830311</v>
      </c>
      <c r="O1998" s="6">
        <f>IF(Tabla2[[#This Row],[Costos (En RD$/Tarea)]]=0,0,Tabla2[[#This Row],[Beneficio Neto  (En RD$/Tarea)]]/Tabla2[[#This Row],[Costos (En RD$/Tarea)]])</f>
        <v>9.3395063252114385E-3</v>
      </c>
      <c r="P1998" s="4">
        <f>Tabla2[[#This Row],[Rentabilidad (%)]]/12</f>
        <v>7.7829219376761988E-4</v>
      </c>
    </row>
    <row r="1999" spans="1:16" x14ac:dyDescent="0.35">
      <c r="A1999" s="1">
        <v>41579</v>
      </c>
      <c r="B1999" t="s">
        <v>24</v>
      </c>
      <c r="C1999" s="2">
        <v>6102</v>
      </c>
      <c r="D1999" s="5" t="s">
        <v>17</v>
      </c>
      <c r="E1999" s="2">
        <f>IF(Tabla2[[#This Row],[Frecuencia]]="Annual", Tabla2[[#This Row],[Cosecha/Tarea]]/12,Tabla2[[#This Row],[Cosecha/Tarea]])</f>
        <v>6102</v>
      </c>
      <c r="F1999" s="2">
        <v>48824</v>
      </c>
      <c r="G1999" t="s">
        <v>18</v>
      </c>
      <c r="H1999">
        <f>F1999/Tabla2[[#This Row],[Cosecha Mensual]]</f>
        <v>8.0013110455588325</v>
      </c>
      <c r="I1999">
        <f>H1999*_xlfn.XLOOKUP(Tabla2[[#This Row],[Unidad de producción]],Tabla3[Medida],Tabla3[Equivalencia en Kg],"ELVIS",0)</f>
        <v>362.93946902654864</v>
      </c>
      <c r="J1999">
        <v>1670</v>
      </c>
      <c r="K1999" t="s">
        <v>18</v>
      </c>
      <c r="L1999">
        <f>J1999/_xlfn.XLOOKUP(Tabla2[[#This Row],[Unidad de precio]],Tabla3[Medida],Tabla3[Equivalencia en Kg],"ELVIS",0)</f>
        <v>36.816578483245152</v>
      </c>
      <c r="M1999">
        <v>8436.0023040464603</v>
      </c>
      <c r="N1999" s="2">
        <f>(Tabla2[[#This Row],[Productividad (kg/TAS)]]*Tabla2[[#This Row],[Precio por kg]]-Tabla2[[#This Row],[Costos (En RD$/Tarea)]])</f>
        <v>4926.1871420367897</v>
      </c>
      <c r="O1999" s="6">
        <f>IF(Tabla2[[#This Row],[Costos (En RD$/Tarea)]]=0,0,Tabla2[[#This Row],[Beneficio Neto  (En RD$/Tarea)]]/Tabla2[[#This Row],[Costos (En RD$/Tarea)]])</f>
        <v>0.58394805554686335</v>
      </c>
      <c r="P1999" s="4">
        <f>Tabla2[[#This Row],[Rentabilidad (%)]]/12</f>
        <v>4.8662337962238615E-2</v>
      </c>
    </row>
    <row r="2000" spans="1:16" x14ac:dyDescent="0.35">
      <c r="A2000" s="1">
        <v>41579</v>
      </c>
      <c r="B2000" t="s">
        <v>25</v>
      </c>
      <c r="C2000" s="2">
        <v>45315</v>
      </c>
      <c r="D2000" s="5" t="s">
        <v>17</v>
      </c>
      <c r="E2000" s="2">
        <f>IF(Tabla2[[#This Row],[Frecuencia]]="Annual", Tabla2[[#This Row],[Cosecha/Tarea]]/12,Tabla2[[#This Row],[Cosecha/Tarea]])</f>
        <v>45315</v>
      </c>
      <c r="F2000" s="2">
        <v>416050</v>
      </c>
      <c r="G2000" t="s">
        <v>18</v>
      </c>
      <c r="H2000">
        <f>F2000/Tabla2[[#This Row],[Cosecha Mensual]]</f>
        <v>9.1812865497076022</v>
      </c>
      <c r="I2000">
        <f>H2000*_xlfn.XLOOKUP(Tabla2[[#This Row],[Unidad de producción]],Tabla3[Medida],Tabla3[Equivalencia en Kg],"ELVIS",0)</f>
        <v>416.46315789473681</v>
      </c>
      <c r="J2000">
        <v>362.93880000000001</v>
      </c>
      <c r="K2000" t="s">
        <v>18</v>
      </c>
      <c r="L2000">
        <f>J2000/_xlfn.XLOOKUP(Tabla2[[#This Row],[Unidad de precio]],Tabla3[Medida],Tabla3[Equivalencia en Kg],"ELVIS",0)</f>
        <v>8.0012962962962959</v>
      </c>
      <c r="M2000">
        <v>4461.1940527534698</v>
      </c>
      <c r="N2000" s="2">
        <f>(Tabla2[[#This Row],[Productividad (kg/TAS)]]*Tabla2[[#This Row],[Precio por kg]]-Tabla2[[#This Row],[Costos (En RD$/Tarea)]])</f>
        <v>-1128.9489299464526</v>
      </c>
      <c r="O2000" s="6">
        <f>IF(Tabla2[[#This Row],[Costos (En RD$/Tarea)]]=0,0,Tabla2[[#This Row],[Beneficio Neto  (En RD$/Tarea)]]/Tabla2[[#This Row],[Costos (En RD$/Tarea)]])</f>
        <v>-0.25305981237235353</v>
      </c>
      <c r="P2000" s="4">
        <f>Tabla2[[#This Row],[Rentabilidad (%)]]/12</f>
        <v>-2.1088317697696129E-2</v>
      </c>
    </row>
    <row r="2001" spans="1:16" x14ac:dyDescent="0.35">
      <c r="A2001" s="1">
        <v>41579</v>
      </c>
      <c r="B2001" t="s">
        <v>26</v>
      </c>
      <c r="C2001" s="2">
        <v>12052</v>
      </c>
      <c r="D2001" s="5" t="s">
        <v>17</v>
      </c>
      <c r="E2001" s="2">
        <f>IF(Tabla2[[#This Row],[Frecuencia]]="Annual", Tabla2[[#This Row],[Cosecha/Tarea]]/12,Tabla2[[#This Row],[Cosecha/Tarea]])</f>
        <v>12052</v>
      </c>
      <c r="F2001" s="2">
        <v>63891</v>
      </c>
      <c r="G2001" t="s">
        <v>18</v>
      </c>
      <c r="H2001">
        <f>F2001/Tabla2[[#This Row],[Cosecha Mensual]]</f>
        <v>5.3012777962163957</v>
      </c>
      <c r="I2001">
        <f>H2001*_xlfn.XLOOKUP(Tabla2[[#This Row],[Unidad de producción]],Tabla3[Medida],Tabla3[Equivalencia en Kg],"ELVIS",0)</f>
        <v>240.4659608363757</v>
      </c>
      <c r="J2001">
        <v>658.76599999999996</v>
      </c>
      <c r="K2001" t="s">
        <v>18</v>
      </c>
      <c r="L2001">
        <f>J2001/_xlfn.XLOOKUP(Tabla2[[#This Row],[Unidad de precio]],Tabla3[Medida],Tabla3[Equivalencia en Kg],"ELVIS",0)</f>
        <v>14.523059964726631</v>
      </c>
      <c r="M2001">
        <v>1856.8216170000001</v>
      </c>
      <c r="N2001" s="2">
        <f>(Tabla2[[#This Row],[Productividad (kg/TAS)]]*Tabla2[[#This Row],[Precio por kg]]-Tabla2[[#This Row],[Costos (En RD$/Tarea)]])</f>
        <v>1635.4799517022898</v>
      </c>
      <c r="O2001" s="6">
        <f>IF(Tabla2[[#This Row],[Costos (En RD$/Tarea)]]=0,0,Tabla2[[#This Row],[Beneficio Neto  (En RD$/Tarea)]]/Tabla2[[#This Row],[Costos (En RD$/Tarea)]])</f>
        <v>0.88079540690864855</v>
      </c>
      <c r="P2001" s="4">
        <f>Tabla2[[#This Row],[Rentabilidad (%)]]/12</f>
        <v>7.3399617242387374E-2</v>
      </c>
    </row>
    <row r="2002" spans="1:16" x14ac:dyDescent="0.35">
      <c r="A2002" s="1">
        <v>41579</v>
      </c>
      <c r="B2002" t="s">
        <v>27</v>
      </c>
      <c r="C2002" s="2">
        <v>8275</v>
      </c>
      <c r="D2002" s="5" t="s">
        <v>17</v>
      </c>
      <c r="E2002" s="2">
        <f>IF(Tabla2[[#This Row],[Frecuencia]]="Annual", Tabla2[[#This Row],[Cosecha/Tarea]]/12,Tabla2[[#This Row],[Cosecha/Tarea]])</f>
        <v>8275</v>
      </c>
      <c r="F2002" s="2">
        <v>27695</v>
      </c>
      <c r="G2002" t="s">
        <v>18</v>
      </c>
      <c r="H2002">
        <f>F2002/Tabla2[[#This Row],[Cosecha Mensual]]</f>
        <v>3.3468277945619334</v>
      </c>
      <c r="I2002">
        <f>H2002*_xlfn.XLOOKUP(Tabla2[[#This Row],[Unidad de producción]],Tabla3[Medida],Tabla3[Equivalencia en Kg],"ELVIS",0)</f>
        <v>151.81210876132928</v>
      </c>
      <c r="J2002">
        <v>827.2</v>
      </c>
      <c r="K2002" t="s">
        <v>18</v>
      </c>
      <c r="L2002">
        <f>J2002/_xlfn.XLOOKUP(Tabla2[[#This Row],[Unidad de precio]],Tabla3[Medida],Tabla3[Equivalencia en Kg],"ELVIS",0)</f>
        <v>18.236331569664905</v>
      </c>
      <c r="M2002">
        <v>7498.499866956</v>
      </c>
      <c r="N2002" s="2">
        <f>(Tabla2[[#This Row],[Productividad (kg/TAS)]]*Tabla2[[#This Row],[Precio por kg]]-Tabla2[[#This Row],[Costos (En RD$/Tarea)]])</f>
        <v>-4730.0039152943682</v>
      </c>
      <c r="O2002" s="6">
        <f>IF(Tabla2[[#This Row],[Costos (En RD$/Tarea)]]=0,0,Tabla2[[#This Row],[Beneficio Neto  (En RD$/Tarea)]]/Tabla2[[#This Row],[Costos (En RD$/Tarea)]])</f>
        <v>-0.63079335856739882</v>
      </c>
      <c r="P2002" s="4">
        <f>Tabla2[[#This Row],[Rentabilidad (%)]]/12</f>
        <v>-5.2566113213949904E-2</v>
      </c>
    </row>
    <row r="2003" spans="1:16" x14ac:dyDescent="0.35">
      <c r="A2003" s="1">
        <v>41579</v>
      </c>
      <c r="B2003" t="s">
        <v>28</v>
      </c>
      <c r="C2003" s="2">
        <v>52546</v>
      </c>
      <c r="D2003" s="5" t="s">
        <v>17</v>
      </c>
      <c r="E2003" s="2">
        <f>IF(Tabla2[[#This Row],[Frecuencia]]="Annual", Tabla2[[#This Row],[Cosecha/Tarea]]/12,Tabla2[[#This Row],[Cosecha/Tarea]])</f>
        <v>52546</v>
      </c>
      <c r="F2003" s="2">
        <v>53210</v>
      </c>
      <c r="G2003" t="s">
        <v>29</v>
      </c>
      <c r="H2003">
        <f>F2003/Tabla2[[#This Row],[Cosecha Mensual]]</f>
        <v>1.0126365470254635</v>
      </c>
      <c r="I2003">
        <f>H2003*_xlfn.XLOOKUP(Tabla2[[#This Row],[Unidad de producción]],Tabla3[Medida],Tabla3[Equivalencia en Kg],"ELVIS",0)</f>
        <v>569.44603585429911</v>
      </c>
      <c r="J2003">
        <v>5917.85</v>
      </c>
      <c r="K2003" t="s">
        <v>29</v>
      </c>
      <c r="L2003">
        <f>J2003/_xlfn.XLOOKUP(Tabla2[[#This Row],[Unidad de precio]],Tabla3[Medida],Tabla3[Equivalencia en Kg],"ELVIS",0)</f>
        <v>10.523615606216879</v>
      </c>
      <c r="M2003">
        <v>6492.5610346041303</v>
      </c>
      <c r="N2003" s="2">
        <f>(Tabla2[[#This Row],[Productividad (kg/TAS)]]*Tabla2[[#This Row],[Precio por kg]]-Tabla2[[#This Row],[Costos (En RD$/Tarea)]])</f>
        <v>-499.92984478949165</v>
      </c>
      <c r="O2003" s="6">
        <f>IF(Tabla2[[#This Row],[Costos (En RD$/Tarea)]]=0,0,Tabla2[[#This Row],[Beneficio Neto  (En RD$/Tarea)]]/Tabla2[[#This Row],[Costos (En RD$/Tarea)]])</f>
        <v>-7.7000407408564897E-2</v>
      </c>
      <c r="P2003" s="4">
        <f>Tabla2[[#This Row],[Rentabilidad (%)]]/12</f>
        <v>-6.4167006173804081E-3</v>
      </c>
    </row>
    <row r="2004" spans="1:16" x14ac:dyDescent="0.35">
      <c r="A2004" s="1">
        <v>41579</v>
      </c>
      <c r="B2004" t="s">
        <v>30</v>
      </c>
      <c r="C2004" s="2">
        <v>399641</v>
      </c>
      <c r="D2004" s="2" t="s">
        <v>31</v>
      </c>
      <c r="E2004" s="2">
        <f>IF(Tabla2[[#This Row],[Frecuencia]]="Annual", Tabla2[[#This Row],[Cosecha/Tarea]]/12,Tabla2[[#This Row],[Cosecha/Tarea]])</f>
        <v>33303.416666666664</v>
      </c>
      <c r="F2004" s="2">
        <v>3468960</v>
      </c>
      <c r="G2004" t="s">
        <v>32</v>
      </c>
      <c r="H2004">
        <f>F2004/Tabla2[[#This Row],[Cosecha Mensual]]</f>
        <v>104.16228565137212</v>
      </c>
      <c r="I2004">
        <f>H2004*_xlfn.XLOOKUP(Tabla2[[#This Row],[Unidad de producción]],Tabla3[Medida],Tabla3[Equivalencia en Kg],"ELVIS",0)</f>
        <v>2834.2557925738352</v>
      </c>
      <c r="J2004">
        <v>132.6</v>
      </c>
      <c r="K2004" t="s">
        <v>32</v>
      </c>
      <c r="L2004">
        <f>J2004/_xlfn.XLOOKUP(Tabla2[[#This Row],[Unidad de precio]],Tabla3[Medida],Tabla3[Equivalencia en Kg],"ELVIS",0)</f>
        <v>4.8732083792723264</v>
      </c>
      <c r="M2004" s="2">
        <v>11852.2845542745</v>
      </c>
      <c r="N2004" s="2">
        <f>(Tabla2[[#This Row],[Productividad (kg/TAS)]]*Tabla2[[#This Row],[Precio por kg]]-Tabla2[[#This Row],[Costos (En RD$/Tarea)]])</f>
        <v>1959.6345230974421</v>
      </c>
      <c r="O2004" s="6">
        <f>IF(Tabla2[[#This Row],[Costos (En RD$/Tarea)]]=0,0,Tabla2[[#This Row],[Beneficio Neto  (En RD$/Tarea)]]/Tabla2[[#This Row],[Costos (En RD$/Tarea)]])</f>
        <v>0.16533812651255528</v>
      </c>
      <c r="P2004" s="4">
        <f>Tabla2[[#This Row],[Rentabilidad (%)]]/12</f>
        <v>1.3778177209379606E-2</v>
      </c>
    </row>
    <row r="2005" spans="1:16" x14ac:dyDescent="0.35">
      <c r="A2005" s="1">
        <v>41579</v>
      </c>
      <c r="B2005" t="s">
        <v>33</v>
      </c>
      <c r="C2005" s="2">
        <v>743356</v>
      </c>
      <c r="D2005" s="2" t="s">
        <v>31</v>
      </c>
      <c r="E2005" s="2">
        <f>IF(Tabla2[[#This Row],[Frecuencia]]="Annual", Tabla2[[#This Row],[Cosecha/Tarea]]/12,Tabla2[[#This Row],[Cosecha/Tarea]])</f>
        <v>61946.333333333336</v>
      </c>
      <c r="F2005" s="2">
        <v>133718</v>
      </c>
      <c r="G2005" t="s">
        <v>34</v>
      </c>
      <c r="H2005">
        <f>F2005/Tabla2[[#This Row],[Cosecha Mensual]]</f>
        <v>2.1586104100861498</v>
      </c>
      <c r="I2005">
        <f>H2005*_xlfn.XLOOKUP(Tabla2[[#This Row],[Unidad de producción]],Tabla3[Medida],Tabla3[Equivalencia en Kg],"ELVIS",0)</f>
        <v>881.03683887666205</v>
      </c>
      <c r="J2005">
        <v>3387.8339999999998</v>
      </c>
      <c r="K2005" t="s">
        <v>34</v>
      </c>
      <c r="L2005">
        <f>J2005/_xlfn.XLOOKUP(Tabla2[[#This Row],[Unidad de precio]],Tabla3[Medida],Tabla3[Equivalencia en Kg],"ELVIS",0)</f>
        <v>8.3004630650496143</v>
      </c>
      <c r="M2005" s="2">
        <v>11461.359791266201</v>
      </c>
      <c r="N2005" s="2">
        <f>(Tabla2[[#This Row],[Productividad (kg/TAS)]]*Tabla2[[#This Row],[Precio por kg]]-Tabla2[[#This Row],[Costos (En RD$/Tarea)]])</f>
        <v>-4148.3460512223992</v>
      </c>
      <c r="O2005" s="6">
        <f>IF(Tabla2[[#This Row],[Costos (En RD$/Tarea)]]=0,0,Tabla2[[#This Row],[Beneficio Neto  (En RD$/Tarea)]]/Tabla2[[#This Row],[Costos (En RD$/Tarea)]])</f>
        <v>-0.36194187485358648</v>
      </c>
      <c r="P2005" s="4">
        <f>Tabla2[[#This Row],[Rentabilidad (%)]]/12</f>
        <v>-3.0161822904465539E-2</v>
      </c>
    </row>
    <row r="2006" spans="1:16" x14ac:dyDescent="0.35">
      <c r="A2006" s="1">
        <v>41609</v>
      </c>
      <c r="B2006" t="s">
        <v>16</v>
      </c>
      <c r="C2006" s="2">
        <v>98067</v>
      </c>
      <c r="D2006" s="5" t="s">
        <v>17</v>
      </c>
      <c r="E2006" s="2">
        <f>IF(Tabla2[[#This Row],[Frecuencia]]="Annual", Tabla2[[#This Row],[Cosecha/Tarea]]/12,Tabla2[[#This Row],[Cosecha/Tarea]])</f>
        <v>98067</v>
      </c>
      <c r="F2006" s="2">
        <v>363714</v>
      </c>
      <c r="G2006" t="s">
        <v>18</v>
      </c>
      <c r="H2006">
        <f>F2006/Tabla2[[#This Row],[Cosecha Mensual]]</f>
        <v>3.7088317170913765</v>
      </c>
      <c r="I2006">
        <f>H2006*_xlfn.XLOOKUP(Tabla2[[#This Row],[Unidad de producción]],Tabla3[Medida],Tabla3[Equivalencia en Kg],"ELVIS",0)</f>
        <v>168.23260668726485</v>
      </c>
      <c r="J2006">
        <v>1845.8061749999999</v>
      </c>
      <c r="K2006" t="s">
        <v>19</v>
      </c>
      <c r="L2006">
        <f>J2006/_xlfn.XLOOKUP(Tabla2[[#This Row],[Unidad de precio]],Tabla3[Medida],Tabla3[Equivalencia en Kg],"ELVIS",0)</f>
        <v>16.780056136363637</v>
      </c>
      <c r="M2006">
        <v>7832.6079700315504</v>
      </c>
      <c r="N2006" s="2">
        <f>(Tabla2[[#This Row],[Productividad (kg/TAS)]]*Tabla2[[#This Row],[Precio por kg]]-Tabla2[[#This Row],[Costos (En RD$/Tarea)]])</f>
        <v>-5009.6553858524621</v>
      </c>
      <c r="O2006" s="6">
        <f>IF(Tabla2[[#This Row],[Costos (En RD$/Tarea)]]=0,0,Tabla2[[#This Row],[Beneficio Neto  (En RD$/Tarea)]]/Tabla2[[#This Row],[Costos (En RD$/Tarea)]])</f>
        <v>-0.63958970052120234</v>
      </c>
      <c r="P2006" s="4">
        <f>Tabla2[[#This Row],[Rentabilidad (%)]]/12</f>
        <v>-5.3299141710100195E-2</v>
      </c>
    </row>
    <row r="2007" spans="1:16" x14ac:dyDescent="0.35">
      <c r="A2007" s="1">
        <v>41609</v>
      </c>
      <c r="B2007" t="s">
        <v>20</v>
      </c>
      <c r="C2007" s="2">
        <v>57443</v>
      </c>
      <c r="D2007" s="5" t="s">
        <v>17</v>
      </c>
      <c r="E2007" s="2">
        <f>IF(Tabla2[[#This Row],[Frecuencia]]="Annual", Tabla2[[#This Row],[Cosecha/Tarea]]/12,Tabla2[[#This Row],[Cosecha/Tarea]])</f>
        <v>57443</v>
      </c>
      <c r="F2007" s="2">
        <v>109051</v>
      </c>
      <c r="G2007" t="s">
        <v>18</v>
      </c>
      <c r="H2007">
        <f>F2007/Tabla2[[#This Row],[Cosecha Mensual]]</f>
        <v>1.8984210434691782</v>
      </c>
      <c r="I2007">
        <f>H2007*_xlfn.XLOOKUP(Tabla2[[#This Row],[Unidad de producción]],Tabla3[Medida],Tabla3[Equivalencia en Kg],"ELVIS",0)</f>
        <v>86.112378531761919</v>
      </c>
      <c r="J2007">
        <v>658.33333333333303</v>
      </c>
      <c r="K2007" t="s">
        <v>18</v>
      </c>
      <c r="L2007">
        <f>J2007/_xlfn.XLOOKUP(Tabla2[[#This Row],[Unidad de precio]],Tabla3[Medida],Tabla3[Equivalencia en Kg],"ELVIS",0)</f>
        <v>14.513521457965895</v>
      </c>
      <c r="M2007">
        <v>2208.9263820000001</v>
      </c>
      <c r="N2007" s="2">
        <f>(Tabla2[[#This Row],[Productividad (kg/TAS)]]*Tabla2[[#This Row],[Precio por kg]]-Tabla2[[#This Row],[Costos (En RD$/Tarea)]])</f>
        <v>-959.13252838279186</v>
      </c>
      <c r="O2007" s="6">
        <f>IF(Tabla2[[#This Row],[Costos (En RD$/Tarea)]]=0,0,Tabla2[[#This Row],[Beneficio Neto  (En RD$/Tarea)]]/Tabla2[[#This Row],[Costos (En RD$/Tarea)]])</f>
        <v>-0.43420755720902598</v>
      </c>
      <c r="P2007" s="4">
        <f>Tabla2[[#This Row],[Rentabilidad (%)]]/12</f>
        <v>-3.6183963100752163E-2</v>
      </c>
    </row>
    <row r="2008" spans="1:16" x14ac:dyDescent="0.35">
      <c r="A2008" s="1">
        <v>41609</v>
      </c>
      <c r="B2008" t="s">
        <v>21</v>
      </c>
      <c r="C2008" s="2">
        <v>7535</v>
      </c>
      <c r="D2008" s="5" t="s">
        <v>17</v>
      </c>
      <c r="E2008" s="2">
        <f>IF(Tabla2[[#This Row],[Frecuencia]]="Annual", Tabla2[[#This Row],[Cosecha/Tarea]]/12,Tabla2[[#This Row],[Cosecha/Tarea]])</f>
        <v>7535</v>
      </c>
      <c r="F2008" s="2">
        <v>86684</v>
      </c>
      <c r="G2008" t="s">
        <v>18</v>
      </c>
      <c r="H2008">
        <f>F2008/Tabla2[[#This Row],[Cosecha Mensual]]</f>
        <v>11.504180491041804</v>
      </c>
      <c r="I2008">
        <f>H2008*_xlfn.XLOOKUP(Tabla2[[#This Row],[Unidad de producción]],Tabla3[Medida],Tabla3[Equivalencia en Kg],"ELVIS",0)</f>
        <v>521.8296270736563</v>
      </c>
      <c r="J2008">
        <v>269.83949999999999</v>
      </c>
      <c r="K2008" t="s">
        <v>18</v>
      </c>
      <c r="L2008">
        <f>J2008/_xlfn.XLOOKUP(Tabla2[[#This Row],[Unidad de precio]],Tabla3[Medida],Tabla3[Equivalencia en Kg],"ELVIS",0)</f>
        <v>5.9488425925925927</v>
      </c>
      <c r="M2008">
        <v>4893.7504664999997</v>
      </c>
      <c r="N2008" s="2">
        <f>(Tabla2[[#This Row],[Productividad (kg/TAS)]]*Tabla2[[#This Row],[Precio por kg]]-Tabla2[[#This Row],[Costos (En RD$/Tarea)]])</f>
        <v>-1789.4681548875242</v>
      </c>
      <c r="O2008" s="6">
        <f>IF(Tabla2[[#This Row],[Costos (En RD$/Tarea)]]=0,0,Tabla2[[#This Row],[Beneficio Neto  (En RD$/Tarea)]]/Tabla2[[#This Row],[Costos (En RD$/Tarea)]])</f>
        <v>-0.36566395592445239</v>
      </c>
      <c r="P2008" s="4">
        <f>Tabla2[[#This Row],[Rentabilidad (%)]]/12</f>
        <v>-3.04719963270377E-2</v>
      </c>
    </row>
    <row r="2009" spans="1:16" x14ac:dyDescent="0.35">
      <c r="A2009" s="1">
        <v>41609</v>
      </c>
      <c r="B2009" t="s">
        <v>22</v>
      </c>
      <c r="C2009" s="2">
        <v>7071</v>
      </c>
      <c r="D2009" s="5" t="s">
        <v>17</v>
      </c>
      <c r="E2009" s="2">
        <f>IF(Tabla2[[#This Row],[Frecuencia]]="Annual", Tabla2[[#This Row],[Cosecha/Tarea]]/12,Tabla2[[#This Row],[Cosecha/Tarea]])</f>
        <v>7071</v>
      </c>
      <c r="F2009" s="2">
        <v>64928</v>
      </c>
      <c r="G2009" t="s">
        <v>18</v>
      </c>
      <c r="H2009">
        <f>F2009/Tabla2[[#This Row],[Cosecha Mensual]]</f>
        <v>9.1822938763965496</v>
      </c>
      <c r="I2009">
        <f>H2009*_xlfn.XLOOKUP(Tabla2[[#This Row],[Unidad de producción]],Tabla3[Medida],Tabla3[Equivalencia en Kg],"ELVIS",0)</f>
        <v>416.50885023334746</v>
      </c>
      <c r="J2009">
        <v>951.23249999999996</v>
      </c>
      <c r="K2009" t="s">
        <v>18</v>
      </c>
      <c r="L2009">
        <f>J2009/_xlfn.XLOOKUP(Tabla2[[#This Row],[Unidad de precio]],Tabla3[Medida],Tabla3[Equivalencia en Kg],"ELVIS",0)</f>
        <v>20.970734126984127</v>
      </c>
      <c r="M2009">
        <v>8667.0620736000001</v>
      </c>
      <c r="N2009" s="2">
        <f>(Tabla2[[#This Row],[Productividad (kg/TAS)]]*Tabla2[[#This Row],[Precio por kg]]-Tabla2[[#This Row],[Costos (En RD$/Tarea)]])</f>
        <v>67.434286179379342</v>
      </c>
      <c r="O2009" s="6">
        <f>IF(Tabla2[[#This Row],[Costos (En RD$/Tarea)]]=0,0,Tabla2[[#This Row],[Beneficio Neto  (En RD$/Tarea)]]/Tabla2[[#This Row],[Costos (En RD$/Tarea)]])</f>
        <v>7.7805241968654151E-3</v>
      </c>
      <c r="P2009" s="4">
        <f>Tabla2[[#This Row],[Rentabilidad (%)]]/12</f>
        <v>6.4837701640545122E-4</v>
      </c>
    </row>
    <row r="2010" spans="1:16" x14ac:dyDescent="0.35">
      <c r="A2010" s="1">
        <v>41609</v>
      </c>
      <c r="B2010" t="s">
        <v>23</v>
      </c>
      <c r="C2010" s="2">
        <v>2698</v>
      </c>
      <c r="D2010" s="5" t="s">
        <v>17</v>
      </c>
      <c r="E2010" s="2">
        <f>IF(Tabla2[[#This Row],[Frecuencia]]="Annual", Tabla2[[#This Row],[Cosecha/Tarea]]/12,Tabla2[[#This Row],[Cosecha/Tarea]])</f>
        <v>2698</v>
      </c>
      <c r="F2010" s="2">
        <v>91028</v>
      </c>
      <c r="G2010" t="s">
        <v>18</v>
      </c>
      <c r="H2010">
        <f>F2010/Tabla2[[#This Row],[Cosecha Mensual]]</f>
        <v>33.739065974796148</v>
      </c>
      <c r="I2010">
        <f>H2010*_xlfn.XLOOKUP(Tabla2[[#This Row],[Unidad de producción]],Tabla3[Medida],Tabla3[Equivalencia en Kg],"ELVIS",0)</f>
        <v>1530.4040326167533</v>
      </c>
      <c r="J2010">
        <v>1158.3333333333301</v>
      </c>
      <c r="K2010" t="s">
        <v>18</v>
      </c>
      <c r="L2010">
        <f>J2010/_xlfn.XLOOKUP(Tabla2[[#This Row],[Unidad de precio]],Tabla3[Medida],Tabla3[Equivalencia en Kg],"ELVIS",0)</f>
        <v>25.536449147560187</v>
      </c>
      <c r="M2010">
        <v>24550.120818416199</v>
      </c>
      <c r="N2010" s="2">
        <f>(Tabla2[[#This Row],[Productividad (kg/TAS)]]*Tabla2[[#This Row],[Precio por kg]]-Tabla2[[#This Row],[Costos (En RD$/Tarea)]])</f>
        <v>14530.963935722564</v>
      </c>
      <c r="O2010" s="6">
        <f>IF(Tabla2[[#This Row],[Costos (En RD$/Tarea)]]=0,0,Tabla2[[#This Row],[Beneficio Neto  (En RD$/Tarea)]]/Tabla2[[#This Row],[Costos (En RD$/Tarea)]])</f>
        <v>0.59188971179409455</v>
      </c>
      <c r="P2010" s="4">
        <f>Tabla2[[#This Row],[Rentabilidad (%)]]/12</f>
        <v>4.9324142649507879E-2</v>
      </c>
    </row>
    <row r="2011" spans="1:16" x14ac:dyDescent="0.35">
      <c r="A2011" s="1">
        <v>41609</v>
      </c>
      <c r="B2011" t="s">
        <v>24</v>
      </c>
      <c r="C2011" s="2">
        <v>8179</v>
      </c>
      <c r="D2011" s="5" t="s">
        <v>17</v>
      </c>
      <c r="E2011" s="2">
        <f>IF(Tabla2[[#This Row],[Frecuencia]]="Annual", Tabla2[[#This Row],[Cosecha/Tarea]]/12,Tabla2[[#This Row],[Cosecha/Tarea]])</f>
        <v>8179</v>
      </c>
      <c r="F2011" s="2">
        <v>59125</v>
      </c>
      <c r="G2011" t="s">
        <v>18</v>
      </c>
      <c r="H2011">
        <f>F2011/Tabla2[[#This Row],[Cosecha Mensual]]</f>
        <v>7.2288788360435259</v>
      </c>
      <c r="I2011">
        <f>H2011*_xlfn.XLOOKUP(Tabla2[[#This Row],[Unidad de producción]],Tabla3[Medida],Tabla3[Equivalencia en Kg],"ELVIS",0)</f>
        <v>327.90194400293433</v>
      </c>
      <c r="J2011">
        <v>1678.61</v>
      </c>
      <c r="K2011" t="s">
        <v>18</v>
      </c>
      <c r="L2011">
        <f>J2011/_xlfn.XLOOKUP(Tabla2[[#This Row],[Unidad de precio]],Tabla3[Medida],Tabla3[Equivalencia en Kg],"ELVIS",0)</f>
        <v>37.006393298059962</v>
      </c>
      <c r="M2011">
        <v>8436.0023040464603</v>
      </c>
      <c r="N2011" s="2">
        <f>(Tabla2[[#This Row],[Productividad (kg/TAS)]]*Tabla2[[#This Row],[Precio por kg]]-Tabla2[[#This Row],[Costos (En RD$/Tarea)]])</f>
        <v>3698.4659989245611</v>
      </c>
      <c r="O2011" s="6">
        <f>IF(Tabla2[[#This Row],[Costos (En RD$/Tarea)]]=0,0,Tabla2[[#This Row],[Beneficio Neto  (En RD$/Tarea)]]/Tabla2[[#This Row],[Costos (En RD$/Tarea)]])</f>
        <v>0.43841453162602079</v>
      </c>
      <c r="P2011" s="4">
        <f>Tabla2[[#This Row],[Rentabilidad (%)]]/12</f>
        <v>3.6534544302168397E-2</v>
      </c>
    </row>
    <row r="2012" spans="1:16" x14ac:dyDescent="0.35">
      <c r="A2012" s="1">
        <v>41609</v>
      </c>
      <c r="B2012" t="s">
        <v>25</v>
      </c>
      <c r="C2012" s="2">
        <v>28598</v>
      </c>
      <c r="D2012" s="5" t="s">
        <v>17</v>
      </c>
      <c r="E2012" s="2">
        <f>IF(Tabla2[[#This Row],[Frecuencia]]="Annual", Tabla2[[#This Row],[Cosecha/Tarea]]/12,Tabla2[[#This Row],[Cosecha/Tarea]])</f>
        <v>28598</v>
      </c>
      <c r="F2012" s="2">
        <v>341072</v>
      </c>
      <c r="G2012" t="s">
        <v>18</v>
      </c>
      <c r="H2012">
        <f>F2012/Tabla2[[#This Row],[Cosecha Mensual]]</f>
        <v>11.926428421567941</v>
      </c>
      <c r="I2012">
        <f>H2012*_xlfn.XLOOKUP(Tabla2[[#This Row],[Unidad de producción]],Tabla3[Medida],Tabla3[Equivalencia en Kg],"ELVIS",0)</f>
        <v>540.98279320232177</v>
      </c>
      <c r="J2012">
        <v>279.07154800000001</v>
      </c>
      <c r="K2012" t="s">
        <v>18</v>
      </c>
      <c r="L2012">
        <f>J2012/_xlfn.XLOOKUP(Tabla2[[#This Row],[Unidad de precio]],Tabla3[Medida],Tabla3[Equivalencia en Kg],"ELVIS",0)</f>
        <v>6.1523709876543213</v>
      </c>
      <c r="M2012">
        <v>4461.1940527534698</v>
      </c>
      <c r="N2012" s="2">
        <f>(Tabla2[[#This Row],[Productividad (kg/TAS)]]*Tabla2[[#This Row],[Precio por kg]]-Tabla2[[#This Row],[Costos (En RD$/Tarea)]])</f>
        <v>-1132.8672110353077</v>
      </c>
      <c r="O2012" s="6">
        <f>IF(Tabla2[[#This Row],[Costos (En RD$/Tarea)]]=0,0,Tabla2[[#This Row],[Beneficio Neto  (En RD$/Tarea)]]/Tabla2[[#This Row],[Costos (En RD$/Tarea)]])</f>
        <v>-0.25393811558950158</v>
      </c>
      <c r="P2012" s="4">
        <f>Tabla2[[#This Row],[Rentabilidad (%)]]/12</f>
        <v>-2.1161509632458466E-2</v>
      </c>
    </row>
    <row r="2013" spans="1:16" x14ac:dyDescent="0.35">
      <c r="A2013" s="1">
        <v>41609</v>
      </c>
      <c r="B2013" t="s">
        <v>26</v>
      </c>
      <c r="C2013" s="2">
        <v>14707</v>
      </c>
      <c r="D2013" s="5" t="s">
        <v>17</v>
      </c>
      <c r="E2013" s="2">
        <f>IF(Tabla2[[#This Row],[Frecuencia]]="Annual", Tabla2[[#This Row],[Cosecha/Tarea]]/12,Tabla2[[#This Row],[Cosecha/Tarea]])</f>
        <v>14707</v>
      </c>
      <c r="F2013" s="2">
        <v>84298</v>
      </c>
      <c r="G2013" t="s">
        <v>18</v>
      </c>
      <c r="H2013">
        <f>F2013/Tabla2[[#This Row],[Cosecha Mensual]]</f>
        <v>5.7318283810430408</v>
      </c>
      <c r="I2013">
        <f>H2013*_xlfn.XLOOKUP(Tabla2[[#This Row],[Unidad de producción]],Tabla3[Medida],Tabla3[Equivalencia en Kg],"ELVIS",0)</f>
        <v>259.99573536411231</v>
      </c>
      <c r="J2013">
        <v>657.45833333333303</v>
      </c>
      <c r="K2013" t="s">
        <v>18</v>
      </c>
      <c r="L2013">
        <f>J2013/_xlfn.XLOOKUP(Tabla2[[#This Row],[Unidad de precio]],Tabla3[Medida],Tabla3[Equivalencia en Kg],"ELVIS",0)</f>
        <v>14.494231334509106</v>
      </c>
      <c r="M2013">
        <v>1856.8216170000001</v>
      </c>
      <c r="N2013" s="2">
        <f>(Tabla2[[#This Row],[Productividad (kg/TAS)]]*Tabla2[[#This Row],[Precio por kg]]-Tabla2[[#This Row],[Costos (En RD$/Tarea)]])</f>
        <v>1911.616717353254</v>
      </c>
      <c r="O2013" s="6">
        <f>IF(Tabla2[[#This Row],[Costos (En RD$/Tarea)]]=0,0,Tabla2[[#This Row],[Beneficio Neto  (En RD$/Tarea)]]/Tabla2[[#This Row],[Costos (En RD$/Tarea)]])</f>
        <v>1.0295101585696662</v>
      </c>
      <c r="P2013" s="4">
        <f>Tabla2[[#This Row],[Rentabilidad (%)]]/12</f>
        <v>8.5792513214138846E-2</v>
      </c>
    </row>
    <row r="2014" spans="1:16" x14ac:dyDescent="0.35">
      <c r="A2014" s="1">
        <v>41609</v>
      </c>
      <c r="B2014" t="s">
        <v>27</v>
      </c>
      <c r="C2014" s="2">
        <v>7556</v>
      </c>
      <c r="D2014" s="5" t="s">
        <v>17</v>
      </c>
      <c r="E2014" s="2">
        <f>IF(Tabla2[[#This Row],[Frecuencia]]="Annual", Tabla2[[#This Row],[Cosecha/Tarea]]/12,Tabla2[[#This Row],[Cosecha/Tarea]])</f>
        <v>7556</v>
      </c>
      <c r="F2014" s="2">
        <v>43712</v>
      </c>
      <c r="G2014" t="s">
        <v>18</v>
      </c>
      <c r="H2014">
        <f>F2014/Tabla2[[#This Row],[Cosecha Mensual]]</f>
        <v>5.7850714663843306</v>
      </c>
      <c r="I2014">
        <f>H2014*_xlfn.XLOOKUP(Tabla2[[#This Row],[Unidad de producción]],Tabla3[Medida],Tabla3[Equivalencia en Kg],"ELVIS",0)</f>
        <v>262.41084171519321</v>
      </c>
      <c r="J2014">
        <v>836.26</v>
      </c>
      <c r="K2014" t="s">
        <v>18</v>
      </c>
      <c r="L2014">
        <f>J2014/_xlfn.XLOOKUP(Tabla2[[#This Row],[Unidad de precio]],Tabla3[Medida],Tabla3[Equivalencia en Kg],"ELVIS",0)</f>
        <v>18.436067019400351</v>
      </c>
      <c r="M2014">
        <v>7498.499866956</v>
      </c>
      <c r="N2014" s="2">
        <f>(Tabla2[[#This Row],[Productividad (kg/TAS)]]*Tabla2[[#This Row],[Precio por kg]]-Tabla2[[#This Row],[Costos (En RD$/Tarea)]])</f>
        <v>-2660.6760024774403</v>
      </c>
      <c r="O2014" s="6">
        <f>IF(Tabla2[[#This Row],[Costos (En RD$/Tarea)]]=0,0,Tabla2[[#This Row],[Beneficio Neto  (En RD$/Tarea)]]/Tabla2[[#This Row],[Costos (En RD$/Tarea)]])</f>
        <v>-0.35482777217912204</v>
      </c>
      <c r="P2014" s="4">
        <f>Tabla2[[#This Row],[Rentabilidad (%)]]/12</f>
        <v>-2.9568981014926835E-2</v>
      </c>
    </row>
    <row r="2015" spans="1:16" x14ac:dyDescent="0.35">
      <c r="A2015" s="1">
        <v>41609</v>
      </c>
      <c r="B2015" t="s">
        <v>28</v>
      </c>
      <c r="C2015" s="2">
        <v>50839</v>
      </c>
      <c r="D2015" s="5" t="s">
        <v>17</v>
      </c>
      <c r="E2015" s="2">
        <f>IF(Tabla2[[#This Row],[Frecuencia]]="Annual", Tabla2[[#This Row],[Cosecha/Tarea]]/12,Tabla2[[#This Row],[Cosecha/Tarea]])</f>
        <v>50839</v>
      </c>
      <c r="F2015" s="2">
        <v>85631</v>
      </c>
      <c r="G2015" t="s">
        <v>29</v>
      </c>
      <c r="H2015">
        <f>F2015/Tabla2[[#This Row],[Cosecha Mensual]]</f>
        <v>1.6843564979641614</v>
      </c>
      <c r="I2015">
        <f>H2015*_xlfn.XLOOKUP(Tabla2[[#This Row],[Unidad de producción]],Tabla3[Medida],Tabla3[Equivalencia en Kg],"ELVIS",0)</f>
        <v>947.18103306516662</v>
      </c>
      <c r="J2015">
        <v>5021.6660000000002</v>
      </c>
      <c r="K2015" t="s">
        <v>29</v>
      </c>
      <c r="L2015">
        <f>J2015/_xlfn.XLOOKUP(Tabla2[[#This Row],[Unidad de precio]],Tabla3[Medida],Tabla3[Equivalencia en Kg],"ELVIS",0)</f>
        <v>8.9299462958352596</v>
      </c>
      <c r="M2015">
        <v>6492.5610346041303</v>
      </c>
      <c r="N2015" s="2">
        <f>(Tabla2[[#This Row],[Productividad (kg/TAS)]]*Tabla2[[#This Row],[Precio por kg]]-Tabla2[[#This Row],[Costos (En RD$/Tarea)]])</f>
        <v>1965.7147231015697</v>
      </c>
      <c r="O2015" s="6">
        <f>IF(Tabla2[[#This Row],[Costos (En RD$/Tarea)]]=0,0,Tabla2[[#This Row],[Beneficio Neto  (En RD$/Tarea)]]/Tabla2[[#This Row],[Costos (En RD$/Tarea)]])</f>
        <v>0.30276415002102863</v>
      </c>
      <c r="P2015" s="4">
        <f>Tabla2[[#This Row],[Rentabilidad (%)]]/12</f>
        <v>2.5230345835085721E-2</v>
      </c>
    </row>
    <row r="2016" spans="1:16" x14ac:dyDescent="0.35">
      <c r="A2016" s="1">
        <v>41609</v>
      </c>
      <c r="B2016" t="s">
        <v>30</v>
      </c>
      <c r="C2016" s="2">
        <v>352474</v>
      </c>
      <c r="D2016" s="2" t="s">
        <v>31</v>
      </c>
      <c r="E2016" s="2">
        <f>IF(Tabla2[[#This Row],[Frecuencia]]="Annual", Tabla2[[#This Row],[Cosecha/Tarea]]/12,Tabla2[[#This Row],[Cosecha/Tarea]])</f>
        <v>29372.833333333332</v>
      </c>
      <c r="F2016" s="2">
        <v>3811025</v>
      </c>
      <c r="G2016" t="s">
        <v>32</v>
      </c>
      <c r="H2016">
        <f>F2016/Tabla2[[#This Row],[Cosecha Mensual]]</f>
        <v>129.74659123793529</v>
      </c>
      <c r="I2016">
        <f>H2016*_xlfn.XLOOKUP(Tabla2[[#This Row],[Unidad de producción]],Tabla3[Medida],Tabla3[Equivalencia en Kg],"ELVIS",0)</f>
        <v>3530.4047475842194</v>
      </c>
      <c r="J2016">
        <v>144.666</v>
      </c>
      <c r="K2016" t="s">
        <v>32</v>
      </c>
      <c r="L2016">
        <f>J2016/_xlfn.XLOOKUP(Tabla2[[#This Row],[Unidad de precio]],Tabla3[Medida],Tabla3[Equivalencia en Kg],"ELVIS",0)</f>
        <v>5.3166482910694599</v>
      </c>
      <c r="M2016" s="2">
        <v>11852.2845542745</v>
      </c>
      <c r="N2016" s="2">
        <f>(Tabla2[[#This Row],[Productividad (kg/TAS)]]*Tabla2[[#This Row],[Precio por kg]]-Tabla2[[#This Row],[Costos (En RD$/Tarea)]])</f>
        <v>6917.6358137526495</v>
      </c>
      <c r="O2016" s="6">
        <f>IF(Tabla2[[#This Row],[Costos (En RD$/Tarea)]]=0,0,Tabla2[[#This Row],[Beneficio Neto  (En RD$/Tarea)]]/Tabla2[[#This Row],[Costos (En RD$/Tarea)]])</f>
        <v>0.58365421299793374</v>
      </c>
      <c r="P2016" s="4">
        <f>Tabla2[[#This Row],[Rentabilidad (%)]]/12</f>
        <v>4.8637851083161147E-2</v>
      </c>
    </row>
    <row r="2017" spans="1:16" x14ac:dyDescent="0.35">
      <c r="A2017" s="1">
        <v>41609</v>
      </c>
      <c r="B2017" t="s">
        <v>33</v>
      </c>
      <c r="C2017" s="2">
        <v>696448</v>
      </c>
      <c r="D2017" s="2" t="s">
        <v>31</v>
      </c>
      <c r="E2017" s="8">
        <f>IF(Tabla2[[#This Row],[Frecuencia]]="Annual", Tabla2[[#This Row],[Cosecha/Tarea]]/12,Tabla2[[#This Row],[Cosecha/Tarea]])</f>
        <v>58037.333333333336</v>
      </c>
      <c r="F2017" s="2">
        <v>253874</v>
      </c>
      <c r="G2017" t="s">
        <v>34</v>
      </c>
      <c r="H2017">
        <f>F2017/Tabla2[[#This Row],[Cosecha Mensual]]</f>
        <v>4.374322275317037</v>
      </c>
      <c r="I2017">
        <f>H2017*_xlfn.XLOOKUP(Tabla2[[#This Row],[Unidad de producción]],Tabla3[Medida],Tabla3[Equivalencia en Kg],"ELVIS",0)</f>
        <v>1785.3796366706486</v>
      </c>
      <c r="J2017">
        <v>3709.0990000000002</v>
      </c>
      <c r="K2017" t="s">
        <v>34</v>
      </c>
      <c r="L2017">
        <f>J2017/_xlfn.XLOOKUP(Tabla2[[#This Row],[Unidad de precio]],Tabla3[Medida],Tabla3[Equivalencia en Kg],"ELVIS",0)</f>
        <v>9.0875878966066406</v>
      </c>
      <c r="M2017" s="2">
        <v>11461.359791266201</v>
      </c>
      <c r="N2017" s="2">
        <f>(Tabla2[[#This Row],[Productividad (kg/TAS)]]*Tabla2[[#This Row],[Precio por kg]]-Tabla2[[#This Row],[Costos (En RD$/Tarea)]])</f>
        <v>4763.4345857899461</v>
      </c>
      <c r="O2017" s="6">
        <f>IF(Tabla2[[#This Row],[Costos (En RD$/Tarea)]]=0,0,Tabla2[[#This Row],[Beneficio Neto  (En RD$/Tarea)]]/Tabla2[[#This Row],[Costos (En RD$/Tarea)]])</f>
        <v>0.41560815405339463</v>
      </c>
      <c r="P2017" s="4">
        <f>Tabla2[[#This Row],[Rentabilidad (%)]]/12</f>
        <v>3.4634012837782883E-2</v>
      </c>
    </row>
    <row r="2018" spans="1:16" x14ac:dyDescent="0.35">
      <c r="A2018" s="1">
        <v>41640</v>
      </c>
      <c r="B2018" t="s">
        <v>16</v>
      </c>
      <c r="C2018" s="2">
        <v>7561</v>
      </c>
      <c r="D2018" s="5" t="s">
        <v>17</v>
      </c>
      <c r="E2018" s="2">
        <f>IF(Tabla2[[#This Row],[Frecuencia]]="Annual", Tabla2[[#This Row],[Cosecha/Tarea]]/12,Tabla2[[#This Row],[Cosecha/Tarea]])</f>
        <v>7561</v>
      </c>
      <c r="F2018" s="2">
        <v>24023</v>
      </c>
      <c r="G2018" t="s">
        <v>18</v>
      </c>
      <c r="H2018">
        <f>F2018/Tabla2[[#This Row],[Cosecha Mensual]]</f>
        <v>3.1772252347573073</v>
      </c>
      <c r="I2018">
        <f>H2018*_xlfn.XLOOKUP(Tabla2[[#This Row],[Unidad de producción]],Tabla3[Medida],Tabla3[Equivalencia en Kg],"ELVIS",0)</f>
        <v>144.11893664859147</v>
      </c>
      <c r="J2018">
        <v>1778.3205090302999</v>
      </c>
      <c r="K2018" t="s">
        <v>19</v>
      </c>
      <c r="L2018">
        <f>J2018/_xlfn.XLOOKUP(Tabla2[[#This Row],[Unidad de precio]],Tabla3[Medida],Tabla3[Equivalencia en Kg],"ELVIS",0)</f>
        <v>16.166550082093636</v>
      </c>
      <c r="M2018">
        <v>7973.2432584128101</v>
      </c>
      <c r="N2018" s="2">
        <f>(Tabla2[[#This Row],[Productividad (kg/TAS)]]*Tabla2[[#This Row],[Precio por kg]]-Tabla2[[#This Row],[Costos (En RD$/Tarea)]])</f>
        <v>-5643.3372513052764</v>
      </c>
      <c r="O2018" s="6">
        <f>IF(Tabla2[[#This Row],[Costos (En RD$/Tarea)]]=0,0,Tabla2[[#This Row],[Beneficio Neto  (En RD$/Tarea)]]/Tabla2[[#This Row],[Costos (En RD$/Tarea)]])</f>
        <v>-0.70778440697276113</v>
      </c>
      <c r="P2018" s="4">
        <f>Tabla2[[#This Row],[Rentabilidad (%)]]/12</f>
        <v>-5.8982033914396763E-2</v>
      </c>
    </row>
    <row r="2019" spans="1:16" x14ac:dyDescent="0.35">
      <c r="A2019" s="1">
        <v>41640</v>
      </c>
      <c r="B2019" t="s">
        <v>20</v>
      </c>
      <c r="C2019" s="2">
        <v>28272</v>
      </c>
      <c r="D2019" s="5" t="s">
        <v>17</v>
      </c>
      <c r="E2019" s="2">
        <f>IF(Tabla2[[#This Row],[Frecuencia]]="Annual", Tabla2[[#This Row],[Cosecha/Tarea]]/12,Tabla2[[#This Row],[Cosecha/Tarea]])</f>
        <v>28272</v>
      </c>
      <c r="F2019" s="2">
        <v>51069</v>
      </c>
      <c r="G2019" t="s">
        <v>18</v>
      </c>
      <c r="H2019">
        <f>F2019/Tabla2[[#This Row],[Cosecha Mensual]]</f>
        <v>1.8063455008488964</v>
      </c>
      <c r="I2019">
        <f>H2019*_xlfn.XLOOKUP(Tabla2[[#This Row],[Unidad de producción]],Tabla3[Medida],Tabla3[Equivalencia en Kg],"ELVIS",0)</f>
        <v>81.93583191850594</v>
      </c>
      <c r="J2019">
        <v>721.82142857142901</v>
      </c>
      <c r="K2019" t="s">
        <v>18</v>
      </c>
      <c r="L2019">
        <f>J2019/_xlfn.XLOOKUP(Tabla2[[#This Row],[Unidad de precio]],Tabla3[Medida],Tabla3[Equivalencia en Kg],"ELVIS",0)</f>
        <v>15.913170823885119</v>
      </c>
      <c r="M2019">
        <v>2447.4016476000002</v>
      </c>
      <c r="N2019" s="2">
        <f>(Tabla2[[#This Row],[Productividad (kg/TAS)]]*Tabla2[[#This Row],[Precio por kg]]-Tabla2[[#This Row],[Costos (En RD$/Tarea)]])</f>
        <v>-1143.5427576836764</v>
      </c>
      <c r="O2019" s="6">
        <f>IF(Tabla2[[#This Row],[Costos (En RD$/Tarea)]]=0,0,Tabla2[[#This Row],[Beneficio Neto  (En RD$/Tarea)]]/Tabla2[[#This Row],[Costos (En RD$/Tarea)]])</f>
        <v>-0.46724768646170961</v>
      </c>
      <c r="P2019" s="4">
        <f>Tabla2[[#This Row],[Rentabilidad (%)]]/12</f>
        <v>-3.893730720514247E-2</v>
      </c>
    </row>
    <row r="2020" spans="1:16" x14ac:dyDescent="0.35">
      <c r="A2020" s="1">
        <v>41640</v>
      </c>
      <c r="B2020" t="s">
        <v>21</v>
      </c>
      <c r="C2020" s="2">
        <v>5599</v>
      </c>
      <c r="D2020" s="5" t="s">
        <v>17</v>
      </c>
      <c r="E2020" s="2">
        <f>IF(Tabla2[[#This Row],[Frecuencia]]="Annual", Tabla2[[#This Row],[Cosecha/Tarea]]/12,Tabla2[[#This Row],[Cosecha/Tarea]])</f>
        <v>5599</v>
      </c>
      <c r="F2020" s="2">
        <v>84698</v>
      </c>
      <c r="G2020" t="s">
        <v>18</v>
      </c>
      <c r="H2020">
        <f>F2020/Tabla2[[#This Row],[Cosecha Mensual]]</f>
        <v>15.127344168601535</v>
      </c>
      <c r="I2020">
        <f>H2020*_xlfn.XLOOKUP(Tabla2[[#This Row],[Unidad de producción]],Tabla3[Medida],Tabla3[Equivalencia en Kg],"ELVIS",0)</f>
        <v>686.17633148776565</v>
      </c>
      <c r="J2020">
        <v>249.89445000000001</v>
      </c>
      <c r="K2020" t="s">
        <v>18</v>
      </c>
      <c r="L2020">
        <f>J2020/_xlfn.XLOOKUP(Tabla2[[#This Row],[Unidad de precio]],Tabla3[Medida],Tabla3[Equivalencia en Kg],"ELVIS",0)</f>
        <v>5.5091369047619052</v>
      </c>
      <c r="M2020">
        <v>5243.9203424999996</v>
      </c>
      <c r="N2020" s="2">
        <f>(Tabla2[[#This Row],[Productividad (kg/TAS)]]*Tabla2[[#This Row],[Precio por kg]]-Tabla2[[#This Row],[Costos (En RD$/Tarea)]])</f>
        <v>-1463.6809915266113</v>
      </c>
      <c r="O2020" s="6">
        <f>IF(Tabla2[[#This Row],[Costos (En RD$/Tarea)]]=0,0,Tabla2[[#This Row],[Beneficio Neto  (En RD$/Tarea)]]/Tabla2[[#This Row],[Costos (En RD$/Tarea)]])</f>
        <v>-0.27911960821830722</v>
      </c>
      <c r="P2020" s="4">
        <f>Tabla2[[#This Row],[Rentabilidad (%)]]/12</f>
        <v>-2.3259967351525603E-2</v>
      </c>
    </row>
    <row r="2021" spans="1:16" x14ac:dyDescent="0.35">
      <c r="A2021" s="1">
        <v>41640</v>
      </c>
      <c r="B2021" t="s">
        <v>22</v>
      </c>
      <c r="C2021" s="2">
        <v>8619</v>
      </c>
      <c r="D2021" s="5" t="s">
        <v>17</v>
      </c>
      <c r="E2021" s="2">
        <f>IF(Tabla2[[#This Row],[Frecuencia]]="Annual", Tabla2[[#This Row],[Cosecha/Tarea]]/12,Tabla2[[#This Row],[Cosecha/Tarea]])</f>
        <v>8619</v>
      </c>
      <c r="F2021" s="2">
        <v>82419</v>
      </c>
      <c r="G2021" t="s">
        <v>18</v>
      </c>
      <c r="H2021">
        <f>F2021/Tabla2[[#This Row],[Cosecha Mensual]]</f>
        <v>9.5624782457361643</v>
      </c>
      <c r="I2021">
        <f>H2021*_xlfn.XLOOKUP(Tabla2[[#This Row],[Unidad de producción]],Tabla3[Medida],Tabla3[Equivalencia en Kg],"ELVIS",0)</f>
        <v>433.75401322659241</v>
      </c>
      <c r="J2021">
        <v>975.70833333333303</v>
      </c>
      <c r="K2021" t="s">
        <v>18</v>
      </c>
      <c r="L2021">
        <f>J2021/_xlfn.XLOOKUP(Tabla2[[#This Row],[Unidad de precio]],Tabla3[Medida],Tabla3[Equivalencia en Kg],"ELVIS",0)</f>
        <v>21.510324808935913</v>
      </c>
      <c r="M2021">
        <v>9418.5442175999997</v>
      </c>
      <c r="N2021" s="2">
        <f>(Tabla2[[#This Row],[Productividad (kg/TAS)]]*Tabla2[[#This Row],[Precio por kg]]-Tabla2[[#This Row],[Costos (En RD$/Tarea)]])</f>
        <v>-88.354505916513517</v>
      </c>
      <c r="O2021" s="6">
        <f>IF(Tabla2[[#This Row],[Costos (En RD$/Tarea)]]=0,0,Tabla2[[#This Row],[Beneficio Neto  (En RD$/Tarea)]]/Tabla2[[#This Row],[Costos (En RD$/Tarea)]])</f>
        <v>-9.3809089680132862E-3</v>
      </c>
      <c r="P2021" s="4">
        <f>Tabla2[[#This Row],[Rentabilidad (%)]]/12</f>
        <v>-7.8174241400110714E-4</v>
      </c>
    </row>
    <row r="2022" spans="1:16" x14ac:dyDescent="0.35">
      <c r="A2022" s="1">
        <v>41640</v>
      </c>
      <c r="B2022" t="s">
        <v>23</v>
      </c>
      <c r="C2022" s="2">
        <v>3041</v>
      </c>
      <c r="D2022" s="5" t="s">
        <v>17</v>
      </c>
      <c r="E2022" s="2">
        <f>IF(Tabla2[[#This Row],[Frecuencia]]="Annual", Tabla2[[#This Row],[Cosecha/Tarea]]/12,Tabla2[[#This Row],[Cosecha/Tarea]])</f>
        <v>3041</v>
      </c>
      <c r="F2022" s="2">
        <v>127562</v>
      </c>
      <c r="G2022" t="s">
        <v>18</v>
      </c>
      <c r="H2022">
        <f>F2022/Tabla2[[#This Row],[Cosecha Mensual]]</f>
        <v>41.947385728378826</v>
      </c>
      <c r="I2022">
        <f>H2022*_xlfn.XLOOKUP(Tabla2[[#This Row],[Unidad de producción]],Tabla3[Medida],Tabla3[Equivalencia en Kg],"ELVIS",0)</f>
        <v>1902.7334166392636</v>
      </c>
      <c r="J2022">
        <v>990.5652</v>
      </c>
      <c r="K2022" t="s">
        <v>18</v>
      </c>
      <c r="L2022">
        <f>J2022/_xlfn.XLOOKUP(Tabla2[[#This Row],[Unidad de precio]],Tabla3[Medida],Tabla3[Equivalencia en Kg],"ELVIS",0)</f>
        <v>21.837857142857143</v>
      </c>
      <c r="M2022">
        <v>26184.1693466859</v>
      </c>
      <c r="N2022" s="2">
        <f>(Tabla2[[#This Row],[Productividad (kg/TAS)]]*Tabla2[[#This Row],[Precio por kg]]-Tabla2[[#This Row],[Costos (En RD$/Tarea)]])</f>
        <v>15367.451186822822</v>
      </c>
      <c r="O2022" s="6">
        <f>IF(Tabla2[[#This Row],[Costos (En RD$/Tarea)]]=0,0,Tabla2[[#This Row],[Beneficio Neto  (En RD$/Tarea)]]/Tabla2[[#This Row],[Costos (En RD$/Tarea)]])</f>
        <v>0.58689855627472343</v>
      </c>
      <c r="P2022" s="4">
        <f>Tabla2[[#This Row],[Rentabilidad (%)]]/12</f>
        <v>4.8908213022893617E-2</v>
      </c>
    </row>
    <row r="2023" spans="1:16" x14ac:dyDescent="0.35">
      <c r="A2023" s="1">
        <v>41640</v>
      </c>
      <c r="B2023" t="s">
        <v>24</v>
      </c>
      <c r="C2023" s="2">
        <v>5858</v>
      </c>
      <c r="D2023" s="5" t="s">
        <v>17</v>
      </c>
      <c r="E2023" s="2">
        <f>IF(Tabla2[[#This Row],[Frecuencia]]="Annual", Tabla2[[#This Row],[Cosecha/Tarea]]/12,Tabla2[[#This Row],[Cosecha/Tarea]])</f>
        <v>5858</v>
      </c>
      <c r="F2023" s="2">
        <v>83448</v>
      </c>
      <c r="G2023" t="s">
        <v>18</v>
      </c>
      <c r="H2023">
        <f>F2023/Tabla2[[#This Row],[Cosecha Mensual]]</f>
        <v>14.245134858313417</v>
      </c>
      <c r="I2023">
        <f>H2023*_xlfn.XLOOKUP(Tabla2[[#This Row],[Unidad de producción]],Tabla3[Medida],Tabla3[Equivalencia en Kg],"ELVIS",0)</f>
        <v>646.15931717309661</v>
      </c>
      <c r="J2023">
        <v>1431.42857142857</v>
      </c>
      <c r="K2023" t="s">
        <v>18</v>
      </c>
      <c r="L2023">
        <f>J2023/_xlfn.XLOOKUP(Tabla2[[#This Row],[Unidad de precio]],Tabla3[Medida],Tabla3[Equivalencia en Kg],"ELVIS",0)</f>
        <v>31.557067271352953</v>
      </c>
      <c r="M2023">
        <v>9105.9886041600002</v>
      </c>
      <c r="N2023" s="2">
        <f>(Tabla2[[#This Row],[Productividad (kg/TAS)]]*Tabla2[[#This Row],[Precio por kg]]-Tabla2[[#This Row],[Costos (En RD$/Tarea)]])</f>
        <v>11284.904435882898</v>
      </c>
      <c r="O2023" s="6">
        <f>IF(Tabla2[[#This Row],[Costos (En RD$/Tarea)]]=0,0,Tabla2[[#This Row],[Beneficio Neto  (En RD$/Tarea)]]/Tabla2[[#This Row],[Costos (En RD$/Tarea)]])</f>
        <v>1.2392838302836746</v>
      </c>
      <c r="P2023" s="4">
        <f>Tabla2[[#This Row],[Rentabilidad (%)]]/12</f>
        <v>0.10327365252363956</v>
      </c>
    </row>
    <row r="2024" spans="1:16" x14ac:dyDescent="0.35">
      <c r="A2024" s="1">
        <v>41640</v>
      </c>
      <c r="B2024" t="s">
        <v>25</v>
      </c>
      <c r="C2024" s="2">
        <v>32267</v>
      </c>
      <c r="D2024" s="5" t="s">
        <v>17</v>
      </c>
      <c r="E2024" s="2">
        <f>IF(Tabla2[[#This Row],[Frecuencia]]="Annual", Tabla2[[#This Row],[Cosecha/Tarea]]/12,Tabla2[[#This Row],[Cosecha/Tarea]])</f>
        <v>32267</v>
      </c>
      <c r="F2024" s="2">
        <v>341293</v>
      </c>
      <c r="G2024" t="s">
        <v>18</v>
      </c>
      <c r="H2024">
        <f>F2024/Tabla2[[#This Row],[Cosecha Mensual]]</f>
        <v>10.577153128583383</v>
      </c>
      <c r="I2024">
        <f>H2024*_xlfn.XLOOKUP(Tabla2[[#This Row],[Unidad de producción]],Tabla3[Medida],Tabla3[Equivalencia en Kg],"ELVIS",0)</f>
        <v>479.77966591254227</v>
      </c>
      <c r="J2024">
        <v>336.49</v>
      </c>
      <c r="K2024" t="s">
        <v>18</v>
      </c>
      <c r="L2024">
        <f>J2024/_xlfn.XLOOKUP(Tabla2[[#This Row],[Unidad de precio]],Tabla3[Medida],Tabla3[Equivalencia en Kg],"ELVIS",0)</f>
        <v>7.4182098765432105</v>
      </c>
      <c r="M2024">
        <v>4871.6687043187803</v>
      </c>
      <c r="N2024" s="2">
        <f>(Tabla2[[#This Row],[Productividad (kg/TAS)]]*Tabla2[[#This Row],[Precio por kg]]-Tabla2[[#This Row],[Costos (En RD$/Tarea)]])</f>
        <v>-1312.5624480817573</v>
      </c>
      <c r="O2024" s="6">
        <f>IF(Tabla2[[#This Row],[Costos (En RD$/Tarea)]]=0,0,Tabla2[[#This Row],[Beneficio Neto  (En RD$/Tarea)]]/Tabla2[[#This Row],[Costos (En RD$/Tarea)]])</f>
        <v>-0.26942769054023691</v>
      </c>
      <c r="P2024" s="4">
        <f>Tabla2[[#This Row],[Rentabilidad (%)]]/12</f>
        <v>-2.2452307545019742E-2</v>
      </c>
    </row>
    <row r="2025" spans="1:16" x14ac:dyDescent="0.35">
      <c r="A2025" s="1">
        <v>41640</v>
      </c>
      <c r="B2025" t="s">
        <v>26</v>
      </c>
      <c r="C2025" s="2">
        <v>9192</v>
      </c>
      <c r="D2025" s="5" t="s">
        <v>17</v>
      </c>
      <c r="E2025" s="2">
        <f>IF(Tabla2[[#This Row],[Frecuencia]]="Annual", Tabla2[[#This Row],[Cosecha/Tarea]]/12,Tabla2[[#This Row],[Cosecha/Tarea]])</f>
        <v>9192</v>
      </c>
      <c r="F2025" s="2">
        <v>72279</v>
      </c>
      <c r="G2025" t="s">
        <v>18</v>
      </c>
      <c r="H2025">
        <f>F2025/Tabla2[[#This Row],[Cosecha Mensual]]</f>
        <v>7.863250652741514</v>
      </c>
      <c r="I2025">
        <f>H2025*_xlfn.XLOOKUP(Tabla2[[#This Row],[Unidad de producción]],Tabla3[Medida],Tabla3[Equivalencia en Kg],"ELVIS",0)</f>
        <v>356.67704960835505</v>
      </c>
      <c r="J2025">
        <v>728.069444444444</v>
      </c>
      <c r="K2025" t="s">
        <v>18</v>
      </c>
      <c r="L2025">
        <f>J2025/_xlfn.XLOOKUP(Tabla2[[#This Row],[Unidad de precio]],Tabla3[Medida],Tabla3[Equivalencia en Kg],"ELVIS",0)</f>
        <v>16.050913678228483</v>
      </c>
      <c r="M2025">
        <v>2107.5566399999998</v>
      </c>
      <c r="N2025" s="2">
        <f>(Tabla2[[#This Row],[Productividad (kg/TAS)]]*Tabla2[[#This Row],[Precio por kg]]-Tabla2[[#This Row],[Costos (En RD$/Tarea)]])</f>
        <v>3617.435894268925</v>
      </c>
      <c r="O2025" s="6">
        <f>IF(Tabla2[[#This Row],[Costos (En RD$/Tarea)]]=0,0,Tabla2[[#This Row],[Beneficio Neto  (En RD$/Tarea)]]/Tabla2[[#This Row],[Costos (En RD$/Tarea)]])</f>
        <v>1.7164121834794084</v>
      </c>
      <c r="P2025" s="4">
        <f>Tabla2[[#This Row],[Rentabilidad (%)]]/12</f>
        <v>0.14303434862328404</v>
      </c>
    </row>
    <row r="2026" spans="1:16" x14ac:dyDescent="0.35">
      <c r="A2026" s="1">
        <v>41640</v>
      </c>
      <c r="B2026" t="s">
        <v>27</v>
      </c>
      <c r="C2026" s="2">
        <v>2740</v>
      </c>
      <c r="D2026" s="5" t="s">
        <v>17</v>
      </c>
      <c r="E2026" s="2">
        <f>IF(Tabla2[[#This Row],[Frecuencia]]="Annual", Tabla2[[#This Row],[Cosecha/Tarea]]/12,Tabla2[[#This Row],[Cosecha/Tarea]])</f>
        <v>2740</v>
      </c>
      <c r="F2026" s="2">
        <v>41415</v>
      </c>
      <c r="G2026" t="s">
        <v>18</v>
      </c>
      <c r="H2026">
        <f>F2026/Tabla2[[#This Row],[Cosecha Mensual]]</f>
        <v>15.114963503649635</v>
      </c>
      <c r="I2026">
        <f>H2026*_xlfn.XLOOKUP(Tabla2[[#This Row],[Unidad de producción]],Tabla3[Medida],Tabla3[Equivalencia en Kg],"ELVIS",0)</f>
        <v>685.61474452554739</v>
      </c>
      <c r="J2026">
        <v>678.65476190476204</v>
      </c>
      <c r="K2026" t="s">
        <v>18</v>
      </c>
      <c r="L2026">
        <f>J2026/_xlfn.XLOOKUP(Tabla2[[#This Row],[Unidad de precio]],Tabla3[Medida],Tabla3[Equivalencia en Kg],"ELVIS",0)</f>
        <v>14.961524733350133</v>
      </c>
      <c r="M2026">
        <v>8288.2983415050003</v>
      </c>
      <c r="N2026" s="2">
        <f>(Tabla2[[#This Row],[Productividad (kg/TAS)]]*Tabla2[[#This Row],[Precio por kg]]-Tabla2[[#This Row],[Costos (En RD$/Tarea)]])</f>
        <v>1969.5436162635106</v>
      </c>
      <c r="O2026" s="6">
        <f>IF(Tabla2[[#This Row],[Costos (En RD$/Tarea)]]=0,0,Tabla2[[#This Row],[Beneficio Neto  (En RD$/Tarea)]]/Tabla2[[#This Row],[Costos (En RD$/Tarea)]])</f>
        <v>0.23762943068792552</v>
      </c>
      <c r="P2026" s="4">
        <f>Tabla2[[#This Row],[Rentabilidad (%)]]/12</f>
        <v>1.9802452557327127E-2</v>
      </c>
    </row>
    <row r="2027" spans="1:16" x14ac:dyDescent="0.35">
      <c r="A2027" s="1">
        <v>41640</v>
      </c>
      <c r="B2027" t="s">
        <v>28</v>
      </c>
      <c r="C2027" s="2">
        <v>85938</v>
      </c>
      <c r="D2027" s="5" t="s">
        <v>17</v>
      </c>
      <c r="E2027" s="2">
        <f>IF(Tabla2[[#This Row],[Frecuencia]]="Annual", Tabla2[[#This Row],[Cosecha/Tarea]]/12,Tabla2[[#This Row],[Cosecha/Tarea]])</f>
        <v>85938</v>
      </c>
      <c r="F2027" s="2">
        <v>127387</v>
      </c>
      <c r="G2027" t="s">
        <v>29</v>
      </c>
      <c r="H2027">
        <f>F2027/Tabla2[[#This Row],[Cosecha Mensual]]</f>
        <v>1.4823128301798971</v>
      </c>
      <c r="I2027">
        <f>H2027*_xlfn.XLOOKUP(Tabla2[[#This Row],[Unidad de producción]],Tabla3[Medida],Tabla3[Equivalencia en Kg],"ELVIS",0)</f>
        <v>833.56379692336338</v>
      </c>
      <c r="J2027">
        <v>6552.2666666666701</v>
      </c>
      <c r="K2027" t="s">
        <v>29</v>
      </c>
      <c r="L2027">
        <f>J2027/_xlfn.XLOOKUP(Tabla2[[#This Row],[Unidad de precio]],Tabla3[Medida],Tabla3[Equivalencia en Kg],"ELVIS",0)</f>
        <v>11.651788360541078</v>
      </c>
      <c r="M2027">
        <v>7150.5342362867696</v>
      </c>
      <c r="N2027" s="2">
        <f>(Tabla2[[#This Row],[Productividad (kg/TAS)]]*Tabla2[[#This Row],[Precio por kg]]-Tabla2[[#This Row],[Costos (En RD$/Tarea)]])</f>
        <v>2561.9747104733024</v>
      </c>
      <c r="O2027" s="6">
        <f>IF(Tabla2[[#This Row],[Costos (En RD$/Tarea)]]=0,0,Tabla2[[#This Row],[Beneficio Neto  (En RD$/Tarea)]]/Tabla2[[#This Row],[Costos (En RD$/Tarea)]])</f>
        <v>0.35829137038070052</v>
      </c>
      <c r="P2027" s="4">
        <f>Tabla2[[#This Row],[Rentabilidad (%)]]/12</f>
        <v>2.985761419839171E-2</v>
      </c>
    </row>
    <row r="2028" spans="1:16" x14ac:dyDescent="0.35">
      <c r="A2028" s="1">
        <v>41640</v>
      </c>
      <c r="B2028" t="s">
        <v>30</v>
      </c>
      <c r="C2028" s="2">
        <v>409098</v>
      </c>
      <c r="D2028" s="2" t="s">
        <v>31</v>
      </c>
      <c r="E2028" s="2">
        <f>IF(Tabla2[[#This Row],[Frecuencia]]="Annual", Tabla2[[#This Row],[Cosecha/Tarea]]/12,Tabla2[[#This Row],[Cosecha/Tarea]])</f>
        <v>34091.5</v>
      </c>
      <c r="F2028" s="2">
        <v>2645462</v>
      </c>
      <c r="G2028" t="s">
        <v>32</v>
      </c>
      <c r="H2028">
        <f>F2028/Tabla2[[#This Row],[Cosecha Mensual]]</f>
        <v>77.598873619523928</v>
      </c>
      <c r="I2028">
        <f>H2028*_xlfn.XLOOKUP(Tabla2[[#This Row],[Unidad de producción]],Tabla3[Medida],Tabla3[Equivalencia en Kg],"ELVIS",0)</f>
        <v>2111.4653511872461</v>
      </c>
      <c r="J2028">
        <v>130.25595238095201</v>
      </c>
      <c r="K2028" t="s">
        <v>32</v>
      </c>
      <c r="L2028">
        <f>J2028/_xlfn.XLOOKUP(Tabla2[[#This Row],[Unidad de precio]],Tabla3[Medida],Tabla3[Equivalencia en Kg],"ELVIS",0)</f>
        <v>4.7870618295094456</v>
      </c>
      <c r="M2028" s="2">
        <v>12538.8969859716</v>
      </c>
      <c r="N2028" s="2">
        <f>(Tabla2[[#This Row],[Productividad (kg/TAS)]]*Tabla2[[#This Row],[Precio por kg]]-Tabla2[[#This Row],[Costos (En RD$/Tarea)]])</f>
        <v>-2431.1817989713782</v>
      </c>
      <c r="O2028" s="6">
        <f>IF(Tabla2[[#This Row],[Costos (En RD$/Tarea)]]=0,0,Tabla2[[#This Row],[Beneficio Neto  (En RD$/Tarea)]]/Tabla2[[#This Row],[Costos (En RD$/Tarea)]])</f>
        <v>-0.19389120125090439</v>
      </c>
      <c r="P2028" s="4">
        <f>Tabla2[[#This Row],[Rentabilidad (%)]]/12</f>
        <v>-1.6157600104242033E-2</v>
      </c>
    </row>
    <row r="2029" spans="1:16" x14ac:dyDescent="0.35">
      <c r="A2029" s="1">
        <v>41640</v>
      </c>
      <c r="B2029" t="s">
        <v>33</v>
      </c>
      <c r="C2029" s="2">
        <v>695392</v>
      </c>
      <c r="D2029" s="2" t="s">
        <v>31</v>
      </c>
      <c r="E2029" s="2">
        <f>IF(Tabla2[[#This Row],[Frecuencia]]="Annual", Tabla2[[#This Row],[Cosecha/Tarea]]/12,Tabla2[[#This Row],[Cosecha/Tarea]])</f>
        <v>57949.333333333336</v>
      </c>
      <c r="F2029" s="2">
        <v>142761</v>
      </c>
      <c r="G2029" t="s">
        <v>34</v>
      </c>
      <c r="H2029">
        <f>F2029/Tabla2[[#This Row],[Cosecha Mensual]]</f>
        <v>2.4635486171828265</v>
      </c>
      <c r="I2029">
        <f>H2029*_xlfn.XLOOKUP(Tabla2[[#This Row],[Unidad de producción]],Tabla3[Medida],Tabla3[Equivalencia en Kg],"ELVIS",0)</f>
        <v>1005.4973681031705</v>
      </c>
      <c r="J2029">
        <v>4308.8809523809496</v>
      </c>
      <c r="K2029" t="s">
        <v>34</v>
      </c>
      <c r="L2029">
        <f>J2029/_xlfn.XLOOKUP(Tabla2[[#This Row],[Unidad de precio]],Tabla3[Medida],Tabla3[Equivalencia en Kg],"ELVIS",0)</f>
        <v>10.557101439130099</v>
      </c>
      <c r="M2029" s="2">
        <v>12054.016631725301</v>
      </c>
      <c r="N2029" s="2">
        <f>(Tabla2[[#This Row],[Productividad (kg/TAS)]]*Tabla2[[#This Row],[Precio por kg]]-Tabla2[[#This Row],[Costos (En RD$/Tarea)]])</f>
        <v>-1438.8789198817922</v>
      </c>
      <c r="O2029" s="6">
        <f>IF(Tabla2[[#This Row],[Costos (En RD$/Tarea)]]=0,0,Tabla2[[#This Row],[Beneficio Neto  (En RD$/Tarea)]]/Tabla2[[#This Row],[Costos (En RD$/Tarea)]])</f>
        <v>-0.11936924959061089</v>
      </c>
      <c r="P2029" s="4">
        <f>Tabla2[[#This Row],[Rentabilidad (%)]]/12</f>
        <v>-9.9474374658842409E-3</v>
      </c>
    </row>
    <row r="2030" spans="1:16" x14ac:dyDescent="0.35">
      <c r="A2030" s="1">
        <v>41671</v>
      </c>
      <c r="B2030" t="s">
        <v>16</v>
      </c>
      <c r="C2030" s="2">
        <v>6800</v>
      </c>
      <c r="D2030" s="5" t="s">
        <v>17</v>
      </c>
      <c r="E2030" s="2">
        <f>IF(Tabla2[[#This Row],[Frecuencia]]="Annual", Tabla2[[#This Row],[Cosecha/Tarea]]/12,Tabla2[[#This Row],[Cosecha/Tarea]])</f>
        <v>6800</v>
      </c>
      <c r="F2030" s="2">
        <v>25032</v>
      </c>
      <c r="G2030" t="s">
        <v>18</v>
      </c>
      <c r="H2030">
        <f>F2030/Tabla2[[#This Row],[Cosecha Mensual]]</f>
        <v>3.6811764705882353</v>
      </c>
      <c r="I2030">
        <f>H2030*_xlfn.XLOOKUP(Tabla2[[#This Row],[Unidad de producción]],Tabla3[Medida],Tabla3[Equivalencia en Kg],"ELVIS",0)</f>
        <v>166.97816470588236</v>
      </c>
      <c r="J2030">
        <v>1817.6618030303</v>
      </c>
      <c r="K2030" t="s">
        <v>19</v>
      </c>
      <c r="L2030">
        <f>J2030/_xlfn.XLOOKUP(Tabla2[[#This Row],[Unidad de precio]],Tabla3[Medida],Tabla3[Equivalencia en Kg],"ELVIS",0)</f>
        <v>16.524198209366364</v>
      </c>
      <c r="M2030">
        <v>7973.2432584128101</v>
      </c>
      <c r="N2030" s="2">
        <f>(Tabla2[[#This Row],[Productividad (kg/TAS)]]*Tabla2[[#This Row],[Precio por kg]]-Tabla2[[#This Row],[Costos (En RD$/Tarea)]])</f>
        <v>-5214.0629681765868</v>
      </c>
      <c r="O2030" s="6">
        <f>IF(Tabla2[[#This Row],[Costos (En RD$/Tarea)]]=0,0,Tabla2[[#This Row],[Beneficio Neto  (En RD$/Tarea)]]/Tabla2[[#This Row],[Costos (En RD$/Tarea)]])</f>
        <v>-0.65394505086434829</v>
      </c>
      <c r="P2030" s="4">
        <f>Tabla2[[#This Row],[Rentabilidad (%)]]/12</f>
        <v>-5.4495420905362357E-2</v>
      </c>
    </row>
    <row r="2031" spans="1:16" x14ac:dyDescent="0.35">
      <c r="A2031" s="1">
        <v>41671</v>
      </c>
      <c r="B2031" t="s">
        <v>20</v>
      </c>
      <c r="C2031" s="2">
        <v>30218</v>
      </c>
      <c r="D2031" s="5" t="s">
        <v>17</v>
      </c>
      <c r="E2031" s="2">
        <f>IF(Tabla2[[#This Row],[Frecuencia]]="Annual", Tabla2[[#This Row],[Cosecha/Tarea]]/12,Tabla2[[#This Row],[Cosecha/Tarea]])</f>
        <v>30218</v>
      </c>
      <c r="F2031" s="2">
        <v>72720</v>
      </c>
      <c r="G2031" t="s">
        <v>18</v>
      </c>
      <c r="H2031">
        <f>F2031/Tabla2[[#This Row],[Cosecha Mensual]]</f>
        <v>2.4065126745648291</v>
      </c>
      <c r="I2031">
        <f>H2031*_xlfn.XLOOKUP(Tabla2[[#This Row],[Unidad de producción]],Tabla3[Medida],Tabla3[Equivalencia en Kg],"ELVIS",0)</f>
        <v>109.15941491826065</v>
      </c>
      <c r="J2031">
        <v>711.25</v>
      </c>
      <c r="K2031" t="s">
        <v>18</v>
      </c>
      <c r="L2031">
        <f>J2031/_xlfn.XLOOKUP(Tabla2[[#This Row],[Unidad de precio]],Tabla3[Medida],Tabla3[Equivalencia en Kg],"ELVIS",0)</f>
        <v>15.680114638447971</v>
      </c>
      <c r="M2031">
        <v>2447.4016476000002</v>
      </c>
      <c r="N2031" s="2">
        <f>(Tabla2[[#This Row],[Productividad (kg/TAS)]]*Tabla2[[#This Row],[Precio por kg]]-Tabla2[[#This Row],[Costos (En RD$/Tarea)]])</f>
        <v>-735.76950781576534</v>
      </c>
      <c r="O2031" s="6">
        <f>IF(Tabla2[[#This Row],[Costos (En RD$/Tarea)]]=0,0,Tabla2[[#This Row],[Beneficio Neto  (En RD$/Tarea)]]/Tabla2[[#This Row],[Costos (En RD$/Tarea)]])</f>
        <v>-0.30063292166910333</v>
      </c>
      <c r="P2031" s="4">
        <f>Tabla2[[#This Row],[Rentabilidad (%)]]/12</f>
        <v>-2.5052743472425278E-2</v>
      </c>
    </row>
    <row r="2032" spans="1:16" x14ac:dyDescent="0.35">
      <c r="A2032" s="1">
        <v>41671</v>
      </c>
      <c r="B2032" t="s">
        <v>21</v>
      </c>
      <c r="C2032" s="2">
        <v>8929</v>
      </c>
      <c r="D2032" s="5" t="s">
        <v>17</v>
      </c>
      <c r="E2032" s="2">
        <f>IF(Tabla2[[#This Row],[Frecuencia]]="Annual", Tabla2[[#This Row],[Cosecha/Tarea]]/12,Tabla2[[#This Row],[Cosecha/Tarea]])</f>
        <v>8929</v>
      </c>
      <c r="F2032" s="2">
        <v>76395</v>
      </c>
      <c r="G2032" t="s">
        <v>18</v>
      </c>
      <c r="H2032">
        <f>F2032/Tabla2[[#This Row],[Cosecha Mensual]]</f>
        <v>8.5558293201926308</v>
      </c>
      <c r="I2032">
        <f>H2032*_xlfn.XLOOKUP(Tabla2[[#This Row],[Unidad de producción]],Tabla3[Medida],Tabla3[Equivalencia en Kg],"ELVIS",0)</f>
        <v>388.09241796393775</v>
      </c>
      <c r="J2032">
        <v>236.37074999999999</v>
      </c>
      <c r="K2032" t="s">
        <v>18</v>
      </c>
      <c r="L2032">
        <f>J2032/_xlfn.XLOOKUP(Tabla2[[#This Row],[Unidad de precio]],Tabla3[Medida],Tabla3[Equivalencia en Kg],"ELVIS",0)</f>
        <v>5.2109953703703704</v>
      </c>
      <c r="M2032">
        <v>5243.9203424999996</v>
      </c>
      <c r="N2032" s="2">
        <f>(Tabla2[[#This Row],[Productividad (kg/TAS)]]*Tabla2[[#This Row],[Precio por kg]]-Tabla2[[#This Row],[Costos (En RD$/Tarea)]])</f>
        <v>-3221.5725492140773</v>
      </c>
      <c r="O2032" s="6">
        <f>IF(Tabla2[[#This Row],[Costos (En RD$/Tarea)]]=0,0,Tabla2[[#This Row],[Beneficio Neto  (En RD$/Tarea)]]/Tabla2[[#This Row],[Costos (En RD$/Tarea)]])</f>
        <v>-0.61434429564164905</v>
      </c>
      <c r="P2032" s="4">
        <f>Tabla2[[#This Row],[Rentabilidad (%)]]/12</f>
        <v>-5.1195357970137419E-2</v>
      </c>
    </row>
    <row r="2033" spans="1:16" x14ac:dyDescent="0.35">
      <c r="A2033" s="1">
        <v>41671</v>
      </c>
      <c r="B2033" t="s">
        <v>22</v>
      </c>
      <c r="C2033" s="2">
        <v>6678</v>
      </c>
      <c r="D2033" s="5" t="s">
        <v>17</v>
      </c>
      <c r="E2033" s="2">
        <f>IF(Tabla2[[#This Row],[Frecuencia]]="Annual", Tabla2[[#This Row],[Cosecha/Tarea]]/12,Tabla2[[#This Row],[Cosecha/Tarea]])</f>
        <v>6678</v>
      </c>
      <c r="F2033" s="2">
        <v>70376</v>
      </c>
      <c r="G2033" t="s">
        <v>18</v>
      </c>
      <c r="H2033">
        <f>F2033/Tabla2[[#This Row],[Cosecha Mensual]]</f>
        <v>10.538484576220425</v>
      </c>
      <c r="I2033">
        <f>H2033*_xlfn.XLOOKUP(Tabla2[[#This Row],[Unidad de producción]],Tabla3[Medida],Tabla3[Equivalencia en Kg],"ELVIS",0)</f>
        <v>478.02566037735846</v>
      </c>
      <c r="J2033">
        <v>1023.31944444444</v>
      </c>
      <c r="K2033" t="s">
        <v>18</v>
      </c>
      <c r="L2033">
        <f>J2033/_xlfn.XLOOKUP(Tabla2[[#This Row],[Unidad de precio]],Tabla3[Medida],Tabla3[Equivalencia en Kg],"ELVIS",0)</f>
        <v>22.559952478933862</v>
      </c>
      <c r="M2033">
        <v>9418.5442175999997</v>
      </c>
      <c r="N2033" s="2">
        <f>(Tabla2[[#This Row],[Productividad (kg/TAS)]]*Tabla2[[#This Row],[Precio por kg]]-Tabla2[[#This Row],[Costos (En RD$/Tarea)]])</f>
        <v>1365.6919642241846</v>
      </c>
      <c r="O2033" s="6">
        <f>IF(Tabla2[[#This Row],[Costos (En RD$/Tarea)]]=0,0,Tabla2[[#This Row],[Beneficio Neto  (En RD$/Tarea)]]/Tabla2[[#This Row],[Costos (En RD$/Tarea)]])</f>
        <v>0.14500032411295358</v>
      </c>
      <c r="P2033" s="4">
        <f>Tabla2[[#This Row],[Rentabilidad (%)]]/12</f>
        <v>1.2083360342746131E-2</v>
      </c>
    </row>
    <row r="2034" spans="1:16" x14ac:dyDescent="0.35">
      <c r="A2034" s="1">
        <v>41671</v>
      </c>
      <c r="B2034" t="s">
        <v>23</v>
      </c>
      <c r="C2034" s="2">
        <v>3773</v>
      </c>
      <c r="D2034" s="5" t="s">
        <v>17</v>
      </c>
      <c r="E2034" s="2">
        <f>IF(Tabla2[[#This Row],[Frecuencia]]="Annual", Tabla2[[#This Row],[Cosecha/Tarea]]/12,Tabla2[[#This Row],[Cosecha/Tarea]])</f>
        <v>3773</v>
      </c>
      <c r="F2034" s="2">
        <v>146220</v>
      </c>
      <c r="G2034" t="s">
        <v>18</v>
      </c>
      <c r="H2034">
        <f>F2034/Tabla2[[#This Row],[Cosecha Mensual]]</f>
        <v>38.754306917572222</v>
      </c>
      <c r="I2034">
        <f>H2034*_xlfn.XLOOKUP(Tabla2[[#This Row],[Unidad de producción]],Tabla3[Medida],Tabla3[Equivalencia en Kg],"ELVIS",0)</f>
        <v>1757.895361781076</v>
      </c>
      <c r="J2034">
        <v>901.3125</v>
      </c>
      <c r="K2034" t="s">
        <v>18</v>
      </c>
      <c r="L2034">
        <f>J2034/_xlfn.XLOOKUP(Tabla2[[#This Row],[Unidad de precio]],Tabla3[Medida],Tabla3[Equivalencia en Kg],"ELVIS",0)</f>
        <v>19.870205026455025</v>
      </c>
      <c r="M2034">
        <v>26184.1693466859</v>
      </c>
      <c r="N2034" s="2">
        <f>(Tabla2[[#This Row],[Productividad (kg/TAS)]]*Tabla2[[#This Row],[Precio por kg]]-Tabla2[[#This Row],[Costos (En RD$/Tarea)]])</f>
        <v>8745.5719069584084</v>
      </c>
      <c r="O2034" s="6">
        <f>IF(Tabla2[[#This Row],[Costos (En RD$/Tarea)]]=0,0,Tabla2[[#This Row],[Beneficio Neto  (En RD$/Tarea)]]/Tabla2[[#This Row],[Costos (En RD$/Tarea)]])</f>
        <v>0.33400226645208914</v>
      </c>
      <c r="P2034" s="4">
        <f>Tabla2[[#This Row],[Rentabilidad (%)]]/12</f>
        <v>2.7833522204340762E-2</v>
      </c>
    </row>
    <row r="2035" spans="1:16" x14ac:dyDescent="0.35">
      <c r="A2035" s="1">
        <v>41671</v>
      </c>
      <c r="B2035" t="s">
        <v>24</v>
      </c>
      <c r="C2035" s="2">
        <v>8146</v>
      </c>
      <c r="D2035" s="5" t="s">
        <v>17</v>
      </c>
      <c r="E2035" s="2">
        <f>IF(Tabla2[[#This Row],[Frecuencia]]="Annual", Tabla2[[#This Row],[Cosecha/Tarea]]/12,Tabla2[[#This Row],[Cosecha/Tarea]])</f>
        <v>8146</v>
      </c>
      <c r="F2035" s="2">
        <v>62546</v>
      </c>
      <c r="G2035" t="s">
        <v>18</v>
      </c>
      <c r="H2035">
        <f>F2035/Tabla2[[#This Row],[Cosecha Mensual]]</f>
        <v>7.6781242327522712</v>
      </c>
      <c r="I2035">
        <f>H2035*_xlfn.XLOOKUP(Tabla2[[#This Row],[Unidad de producción]],Tabla3[Medida],Tabla3[Equivalencia en Kg],"ELVIS",0)</f>
        <v>348.27971519764304</v>
      </c>
      <c r="J2035">
        <v>1385</v>
      </c>
      <c r="K2035" t="s">
        <v>18</v>
      </c>
      <c r="L2035">
        <f>J2035/_xlfn.XLOOKUP(Tabla2[[#This Row],[Unidad de precio]],Tabla3[Medida],Tabla3[Equivalencia en Kg],"ELVIS",0)</f>
        <v>30.533509700176367</v>
      </c>
      <c r="M2035">
        <v>9105.9886041600002</v>
      </c>
      <c r="N2035" s="2">
        <f>(Tabla2[[#This Row],[Productividad (kg/TAS)]]*Tabla2[[#This Row],[Precio por kg]]-Tabla2[[#This Row],[Costos (En RD$/Tarea)]])</f>
        <v>1528.2134582018953</v>
      </c>
      <c r="O2035" s="6">
        <f>IF(Tabla2[[#This Row],[Costos (En RD$/Tarea)]]=0,0,Tabla2[[#This Row],[Beneficio Neto  (En RD$/Tarea)]]/Tabla2[[#This Row],[Costos (En RD$/Tarea)]])</f>
        <v>0.16782510111024548</v>
      </c>
      <c r="P2035" s="4">
        <f>Tabla2[[#This Row],[Rentabilidad (%)]]/12</f>
        <v>1.3985425092520458E-2</v>
      </c>
    </row>
    <row r="2036" spans="1:16" x14ac:dyDescent="0.35">
      <c r="A2036" s="1">
        <v>41671</v>
      </c>
      <c r="B2036" t="s">
        <v>25</v>
      </c>
      <c r="C2036" s="2">
        <v>59376</v>
      </c>
      <c r="D2036" s="5" t="s">
        <v>17</v>
      </c>
      <c r="E2036" s="2">
        <f>IF(Tabla2[[#This Row],[Frecuencia]]="Annual", Tabla2[[#This Row],[Cosecha/Tarea]]/12,Tabla2[[#This Row],[Cosecha/Tarea]])</f>
        <v>59376</v>
      </c>
      <c r="F2036" s="2">
        <v>519059</v>
      </c>
      <c r="G2036" t="s">
        <v>18</v>
      </c>
      <c r="H2036">
        <f>F2036/Tabla2[[#This Row],[Cosecha Mensual]]</f>
        <v>8.7418990838049044</v>
      </c>
      <c r="I2036">
        <f>H2036*_xlfn.XLOOKUP(Tabla2[[#This Row],[Unidad de producción]],Tabla3[Medida],Tabla3[Equivalencia en Kg],"ELVIS",0)</f>
        <v>396.53254244139043</v>
      </c>
      <c r="J2036">
        <v>279.07154800000001</v>
      </c>
      <c r="K2036" t="s">
        <v>18</v>
      </c>
      <c r="L2036">
        <f>J2036/_xlfn.XLOOKUP(Tabla2[[#This Row],[Unidad de precio]],Tabla3[Medida],Tabla3[Equivalencia en Kg],"ELVIS",0)</f>
        <v>6.1523709876543213</v>
      </c>
      <c r="M2036">
        <v>4871.6687043187803</v>
      </c>
      <c r="N2036" s="2">
        <f>(Tabla2[[#This Row],[Productividad (kg/TAS)]]*Tabla2[[#This Row],[Precio por kg]]-Tabla2[[#This Row],[Costos (En RD$/Tarea)]])</f>
        <v>-2432.0533945415641</v>
      </c>
      <c r="O2036" s="6">
        <f>IF(Tabla2[[#This Row],[Costos (En RD$/Tarea)]]=0,0,Tabla2[[#This Row],[Beneficio Neto  (En RD$/Tarea)]]/Tabla2[[#This Row],[Costos (En RD$/Tarea)]])</f>
        <v>-0.49922388860012706</v>
      </c>
      <c r="P2036" s="4">
        <f>Tabla2[[#This Row],[Rentabilidad (%)]]/12</f>
        <v>-4.1601990716677258E-2</v>
      </c>
    </row>
    <row r="2037" spans="1:16" x14ac:dyDescent="0.35">
      <c r="A2037" s="1">
        <v>41671</v>
      </c>
      <c r="B2037" t="s">
        <v>26</v>
      </c>
      <c r="C2037" s="2">
        <v>12208</v>
      </c>
      <c r="D2037" s="5" t="s">
        <v>17</v>
      </c>
      <c r="E2037" s="2">
        <f>IF(Tabla2[[#This Row],[Frecuencia]]="Annual", Tabla2[[#This Row],[Cosecha/Tarea]]/12,Tabla2[[#This Row],[Cosecha/Tarea]])</f>
        <v>12208</v>
      </c>
      <c r="F2037" s="2">
        <v>83039</v>
      </c>
      <c r="G2037" t="s">
        <v>18</v>
      </c>
      <c r="H2037">
        <f>F2037/Tabla2[[#This Row],[Cosecha Mensual]]</f>
        <v>6.8020150720838792</v>
      </c>
      <c r="I2037">
        <f>H2037*_xlfn.XLOOKUP(Tabla2[[#This Row],[Unidad de producción]],Tabla3[Medida],Tabla3[Equivalencia en Kg],"ELVIS",0)</f>
        <v>308.53940366972478</v>
      </c>
      <c r="J2037">
        <v>698.11279999999999</v>
      </c>
      <c r="K2037" t="s">
        <v>18</v>
      </c>
      <c r="L2037">
        <f>J2037/_xlfn.XLOOKUP(Tabla2[[#This Row],[Unidad de precio]],Tabla3[Medida],Tabla3[Equivalencia en Kg],"ELVIS",0)</f>
        <v>15.390493827160494</v>
      </c>
      <c r="M2037">
        <v>2107.5566399999998</v>
      </c>
      <c r="N2037" s="2">
        <f>(Tabla2[[#This Row],[Productividad (kg/TAS)]]*Tabla2[[#This Row],[Precio por kg]]-Tabla2[[#This Row],[Costos (En RD$/Tarea)]])</f>
        <v>2641.0171476146788</v>
      </c>
      <c r="O2037" s="6">
        <f>IF(Tabla2[[#This Row],[Costos (En RD$/Tarea)]]=0,0,Tabla2[[#This Row],[Beneficio Neto  (En RD$/Tarea)]]/Tabla2[[#This Row],[Costos (En RD$/Tarea)]])</f>
        <v>1.2531179933625314</v>
      </c>
      <c r="P2037" s="4">
        <f>Tabla2[[#This Row],[Rentabilidad (%)]]/12</f>
        <v>0.10442649944687761</v>
      </c>
    </row>
    <row r="2038" spans="1:16" x14ac:dyDescent="0.35">
      <c r="A2038" s="1">
        <v>41671</v>
      </c>
      <c r="B2038" t="s">
        <v>27</v>
      </c>
      <c r="C2038" s="2">
        <v>6415</v>
      </c>
      <c r="D2038" s="5" t="s">
        <v>17</v>
      </c>
      <c r="E2038" s="2">
        <f>IF(Tabla2[[#This Row],[Frecuencia]]="Annual", Tabla2[[#This Row],[Cosecha/Tarea]]/12,Tabla2[[#This Row],[Cosecha/Tarea]])</f>
        <v>6415</v>
      </c>
      <c r="F2038" s="2">
        <v>42389</v>
      </c>
      <c r="G2038" t="s">
        <v>18</v>
      </c>
      <c r="H2038">
        <f>F2038/Tabla2[[#This Row],[Cosecha Mensual]]</f>
        <v>6.6077942322681213</v>
      </c>
      <c r="I2038">
        <f>H2038*_xlfn.XLOOKUP(Tabla2[[#This Row],[Unidad de producción]],Tabla3[Medida],Tabla3[Equivalencia en Kg],"ELVIS",0)</f>
        <v>299.72954637568199</v>
      </c>
      <c r="J2038">
        <v>641.25</v>
      </c>
      <c r="K2038" t="s">
        <v>18</v>
      </c>
      <c r="L2038">
        <f>J2038/_xlfn.XLOOKUP(Tabla2[[#This Row],[Unidad de precio]],Tabla3[Medida],Tabla3[Equivalencia en Kg],"ELVIS",0)</f>
        <v>14.136904761904763</v>
      </c>
      <c r="M2038">
        <v>8288.2983415050003</v>
      </c>
      <c r="N2038" s="2">
        <f>(Tabla2[[#This Row],[Productividad (kg/TAS)]]*Tabla2[[#This Row],[Precio por kg]]-Tabla2[[#This Row],[Costos (En RD$/Tarea)]])</f>
        <v>-4051.0502900630672</v>
      </c>
      <c r="O2038" s="6">
        <f>IF(Tabla2[[#This Row],[Costos (En RD$/Tarea)]]=0,0,Tabla2[[#This Row],[Beneficio Neto  (En RD$/Tarea)]]/Tabla2[[#This Row],[Costos (En RD$/Tarea)]])</f>
        <v>-0.48876743128040828</v>
      </c>
      <c r="P2038" s="4">
        <f>Tabla2[[#This Row],[Rentabilidad (%)]]/12</f>
        <v>-4.0730619273367359E-2</v>
      </c>
    </row>
    <row r="2039" spans="1:16" x14ac:dyDescent="0.35">
      <c r="A2039" s="1">
        <v>41671</v>
      </c>
      <c r="B2039" t="s">
        <v>28</v>
      </c>
      <c r="C2039" s="2">
        <v>66655</v>
      </c>
      <c r="D2039" s="5" t="s">
        <v>17</v>
      </c>
      <c r="E2039" s="2">
        <f>IF(Tabla2[[#This Row],[Frecuencia]]="Annual", Tabla2[[#This Row],[Cosecha/Tarea]]/12,Tabla2[[#This Row],[Cosecha/Tarea]])</f>
        <v>66655</v>
      </c>
      <c r="F2039" s="2">
        <v>86200</v>
      </c>
      <c r="G2039" t="s">
        <v>29</v>
      </c>
      <c r="H2039">
        <f>F2039/Tabla2[[#This Row],[Cosecha Mensual]]</f>
        <v>1.293226314605056</v>
      </c>
      <c r="I2039">
        <f>H2039*_xlfn.XLOOKUP(Tabla2[[#This Row],[Unidad de producción]],Tabla3[Medida],Tabla3[Equivalencia en Kg],"ELVIS",0)</f>
        <v>727.23288575500726</v>
      </c>
      <c r="J2039">
        <v>7254.1666666666697</v>
      </c>
      <c r="K2039" t="s">
        <v>29</v>
      </c>
      <c r="L2039">
        <f>J2039/_xlfn.XLOOKUP(Tabla2[[#This Row],[Unidad de precio]],Tabla3[Medida],Tabla3[Equivalencia en Kg],"ELVIS",0)</f>
        <v>12.899965619850391</v>
      </c>
      <c r="M2039">
        <v>7150.5342362867696</v>
      </c>
      <c r="N2039" s="2">
        <f>(Tabla2[[#This Row],[Productividad (kg/TAS)]]*Tabla2[[#This Row],[Precio por kg]]-Tabla2[[#This Row],[Costos (En RD$/Tarea)]])</f>
        <v>2230.7449875774118</v>
      </c>
      <c r="O2039" s="6">
        <f>IF(Tabla2[[#This Row],[Costos (En RD$/Tarea)]]=0,0,Tabla2[[#This Row],[Beneficio Neto  (En RD$/Tarea)]]/Tabla2[[#This Row],[Costos (En RD$/Tarea)]])</f>
        <v>0.31196899614256302</v>
      </c>
      <c r="P2039" s="4">
        <f>Tabla2[[#This Row],[Rentabilidad (%)]]/12</f>
        <v>2.5997416345213586E-2</v>
      </c>
    </row>
    <row r="2040" spans="1:16" x14ac:dyDescent="0.35">
      <c r="A2040" s="1">
        <v>41671</v>
      </c>
      <c r="B2040" t="s">
        <v>30</v>
      </c>
      <c r="C2040" s="2">
        <v>407742</v>
      </c>
      <c r="D2040" s="2" t="s">
        <v>31</v>
      </c>
      <c r="E2040" s="2">
        <f>IF(Tabla2[[#This Row],[Frecuencia]]="Annual", Tabla2[[#This Row],[Cosecha/Tarea]]/12,Tabla2[[#This Row],[Cosecha/Tarea]])</f>
        <v>33978.5</v>
      </c>
      <c r="F2040" s="2">
        <v>2695137</v>
      </c>
      <c r="G2040" t="s">
        <v>32</v>
      </c>
      <c r="H2040">
        <f>F2040/Tabla2[[#This Row],[Cosecha Mensual]]</f>
        <v>79.318892829289112</v>
      </c>
      <c r="I2040">
        <f>H2040*_xlfn.XLOOKUP(Tabla2[[#This Row],[Unidad de producción]],Tabla3[Medida],Tabla3[Equivalencia en Kg],"ELVIS",0)</f>
        <v>2158.267073884957</v>
      </c>
      <c r="J2040">
        <v>143.86904761904799</v>
      </c>
      <c r="K2040" t="s">
        <v>32</v>
      </c>
      <c r="L2040">
        <f>J2040/_xlfn.XLOOKUP(Tabla2[[#This Row],[Unidad de precio]],Tabla3[Medida],Tabla3[Equivalencia en Kg],"ELVIS",0)</f>
        <v>5.2873593391785372</v>
      </c>
      <c r="M2040" s="2">
        <v>12538.8969859716</v>
      </c>
      <c r="N2040" s="2">
        <f>(Tabla2[[#This Row],[Productividad (kg/TAS)]]*Tabla2[[#This Row],[Precio por kg]]-Tabla2[[#This Row],[Costos (En RD$/Tarea)]])</f>
        <v>-1127.3634164244395</v>
      </c>
      <c r="O2040" s="6">
        <f>IF(Tabla2[[#This Row],[Costos (En RD$/Tarea)]]=0,0,Tabla2[[#This Row],[Beneficio Neto  (En RD$/Tarea)]]/Tabla2[[#This Row],[Costos (En RD$/Tarea)]])</f>
        <v>-8.9909297260016022E-2</v>
      </c>
      <c r="P2040" s="4">
        <f>Tabla2[[#This Row],[Rentabilidad (%)]]/12</f>
        <v>-7.4924414383346688E-3</v>
      </c>
    </row>
    <row r="2041" spans="1:16" x14ac:dyDescent="0.35">
      <c r="A2041" s="1">
        <v>41671</v>
      </c>
      <c r="B2041" t="s">
        <v>33</v>
      </c>
      <c r="C2041" s="2">
        <v>721470</v>
      </c>
      <c r="D2041" s="2" t="s">
        <v>31</v>
      </c>
      <c r="E2041" s="2">
        <f>IF(Tabla2[[#This Row],[Frecuencia]]="Annual", Tabla2[[#This Row],[Cosecha/Tarea]]/12,Tabla2[[#This Row],[Cosecha/Tarea]])</f>
        <v>60122.5</v>
      </c>
      <c r="F2041" s="2">
        <v>147410</v>
      </c>
      <c r="G2041" t="s">
        <v>34</v>
      </c>
      <c r="H2041">
        <f>F2041/Tabla2[[#This Row],[Cosecha Mensual]]</f>
        <v>2.451827518815751</v>
      </c>
      <c r="I2041">
        <f>H2041*_xlfn.XLOOKUP(Tabla2[[#This Row],[Unidad de producción]],Tabla3[Medida],Tabla3[Equivalencia en Kg],"ELVIS",0)</f>
        <v>1000.7134018046487</v>
      </c>
      <c r="J2041">
        <v>4526.7857142857201</v>
      </c>
      <c r="K2041" t="s">
        <v>34</v>
      </c>
      <c r="L2041">
        <f>J2041/_xlfn.XLOOKUP(Tabla2[[#This Row],[Unidad de precio]],Tabla3[Medida],Tabla3[Equivalencia en Kg],"ELVIS",0)</f>
        <v>11.090985457027369</v>
      </c>
      <c r="M2041" s="2">
        <v>12054.016631725301</v>
      </c>
      <c r="N2041" s="2">
        <f>(Tabla2[[#This Row],[Productividad (kg/TAS)]]*Tabla2[[#This Row],[Precio por kg]]-Tabla2[[#This Row],[Costos (En RD$/Tarea)]])</f>
        <v>-955.11884565755645</v>
      </c>
      <c r="O2041" s="6">
        <f>IF(Tabla2[[#This Row],[Costos (En RD$/Tarea)]]=0,0,Tabla2[[#This Row],[Beneficio Neto  (En RD$/Tarea)]]/Tabla2[[#This Row],[Costos (En RD$/Tarea)]])</f>
        <v>-7.9236562785532635E-2</v>
      </c>
      <c r="P2041" s="4">
        <f>Tabla2[[#This Row],[Rentabilidad (%)]]/12</f>
        <v>-6.6030468987943866E-3</v>
      </c>
    </row>
    <row r="2042" spans="1:16" x14ac:dyDescent="0.35">
      <c r="A2042" s="1">
        <v>41699</v>
      </c>
      <c r="B2042" t="s">
        <v>16</v>
      </c>
      <c r="C2042" s="2">
        <v>92893</v>
      </c>
      <c r="D2042" s="5" t="s">
        <v>17</v>
      </c>
      <c r="E2042" s="2">
        <f>IF(Tabla2[[#This Row],[Frecuencia]]="Annual", Tabla2[[#This Row],[Cosecha/Tarea]]/12,Tabla2[[#This Row],[Cosecha/Tarea]])</f>
        <v>92893</v>
      </c>
      <c r="F2042" s="2">
        <v>408742</v>
      </c>
      <c r="G2042" t="s">
        <v>18</v>
      </c>
      <c r="H2042">
        <f>F2042/Tabla2[[#This Row],[Cosecha Mensual]]</f>
        <v>4.4001377929445704</v>
      </c>
      <c r="I2042">
        <f>H2042*_xlfn.XLOOKUP(Tabla2[[#This Row],[Unidad de producción]],Tabla3[Medida],Tabla3[Equivalencia en Kg],"ELVIS",0)</f>
        <v>199.59025028796572</v>
      </c>
      <c r="J2042">
        <v>1650.22727272727</v>
      </c>
      <c r="K2042" t="s">
        <v>19</v>
      </c>
      <c r="L2042">
        <f>J2042/_xlfn.XLOOKUP(Tabla2[[#This Row],[Unidad de precio]],Tabla3[Medida],Tabla3[Equivalencia en Kg],"ELVIS",0)</f>
        <v>15.002066115702455</v>
      </c>
      <c r="M2042">
        <v>7973.2432584128101</v>
      </c>
      <c r="N2042" s="2">
        <f>(Tabla2[[#This Row],[Productividad (kg/TAS)]]*Tabla2[[#This Row],[Precio por kg]]-Tabla2[[#This Row],[Costos (En RD$/Tarea)]])</f>
        <v>-4978.9771275431476</v>
      </c>
      <c r="O2042" s="6">
        <f>IF(Tabla2[[#This Row],[Costos (En RD$/Tarea)]]=0,0,Tabla2[[#This Row],[Beneficio Neto  (En RD$/Tarea)]]/Tabla2[[#This Row],[Costos (En RD$/Tarea)]])</f>
        <v>-0.62446070766619066</v>
      </c>
      <c r="P2042" s="4">
        <f>Tabla2[[#This Row],[Rentabilidad (%)]]/12</f>
        <v>-5.2038392305515886E-2</v>
      </c>
    </row>
    <row r="2043" spans="1:16" x14ac:dyDescent="0.35">
      <c r="A2043" s="1">
        <v>41699</v>
      </c>
      <c r="B2043" t="s">
        <v>20</v>
      </c>
      <c r="C2043" s="2">
        <v>18220</v>
      </c>
      <c r="D2043" s="5" t="s">
        <v>17</v>
      </c>
      <c r="E2043" s="2">
        <f>IF(Tabla2[[#This Row],[Frecuencia]]="Annual", Tabla2[[#This Row],[Cosecha/Tarea]]/12,Tabla2[[#This Row],[Cosecha/Tarea]])</f>
        <v>18220</v>
      </c>
      <c r="F2043" s="2">
        <v>33965</v>
      </c>
      <c r="G2043" t="s">
        <v>18</v>
      </c>
      <c r="H2043">
        <f>F2043/Tabla2[[#This Row],[Cosecha Mensual]]</f>
        <v>1.8641602634467618</v>
      </c>
      <c r="I2043">
        <f>H2043*_xlfn.XLOOKUP(Tabla2[[#This Row],[Unidad de producción]],Tabla3[Medida],Tabla3[Equivalencia en Kg],"ELVIS",0)</f>
        <v>84.558309549945108</v>
      </c>
      <c r="J2043">
        <v>750.26142857142895</v>
      </c>
      <c r="K2043" t="s">
        <v>18</v>
      </c>
      <c r="L2043">
        <f>J2043/_xlfn.XLOOKUP(Tabla2[[#This Row],[Unidad de precio]],Tabla3[Medida],Tabla3[Equivalencia en Kg],"ELVIS",0)</f>
        <v>16.540154950869244</v>
      </c>
      <c r="M2043">
        <v>2447.4016476000002</v>
      </c>
      <c r="N2043" s="2">
        <f>(Tabla2[[#This Row],[Productividad (kg/TAS)]]*Tabla2[[#This Row],[Precio por kg]]-Tabla2[[#This Row],[Costos (En RD$/Tarea)]])</f>
        <v>-1048.7941052603414</v>
      </c>
      <c r="O2043" s="6">
        <f>IF(Tabla2[[#This Row],[Costos (En RD$/Tarea)]]=0,0,Tabla2[[#This Row],[Beneficio Neto  (En RD$/Tarea)]]/Tabla2[[#This Row],[Costos (En RD$/Tarea)]])</f>
        <v>-0.42853370891893544</v>
      </c>
      <c r="P2043" s="4">
        <f>Tabla2[[#This Row],[Rentabilidad (%)]]/12</f>
        <v>-3.5711142409911287E-2</v>
      </c>
    </row>
    <row r="2044" spans="1:16" x14ac:dyDescent="0.35">
      <c r="A2044" s="1">
        <v>41699</v>
      </c>
      <c r="B2044" t="s">
        <v>21</v>
      </c>
      <c r="C2044" s="2">
        <v>8305</v>
      </c>
      <c r="D2044" s="5" t="s">
        <v>17</v>
      </c>
      <c r="E2044" s="2">
        <f>IF(Tabla2[[#This Row],[Frecuencia]]="Annual", Tabla2[[#This Row],[Cosecha/Tarea]]/12,Tabla2[[#This Row],[Cosecha/Tarea]])</f>
        <v>8305</v>
      </c>
      <c r="F2044" s="2">
        <v>79507</v>
      </c>
      <c r="G2044" t="s">
        <v>18</v>
      </c>
      <c r="H2044">
        <f>F2044/Tabla2[[#This Row],[Cosecha Mensual]]</f>
        <v>9.5733895243829021</v>
      </c>
      <c r="I2044">
        <f>H2044*_xlfn.XLOOKUP(Tabla2[[#This Row],[Unidad de producción]],Tabla3[Medida],Tabla3[Equivalencia en Kg],"ELVIS",0)</f>
        <v>434.24894882600842</v>
      </c>
      <c r="J2044">
        <v>248.083</v>
      </c>
      <c r="K2044" t="s">
        <v>18</v>
      </c>
      <c r="L2044">
        <f>J2044/_xlfn.XLOOKUP(Tabla2[[#This Row],[Unidad de precio]],Tabla3[Medida],Tabla3[Equivalencia en Kg],"ELVIS",0)</f>
        <v>5.4692019400352736</v>
      </c>
      <c r="M2044">
        <v>5243.9203424999996</v>
      </c>
      <c r="N2044" s="2">
        <f>(Tabla2[[#This Row],[Productividad (kg/TAS)]]*Tabla2[[#This Row],[Precio por kg]]-Tabla2[[#This Row],[Costos (En RD$/Tarea)]])</f>
        <v>-2868.9251491225159</v>
      </c>
      <c r="O2044" s="6">
        <f>IF(Tabla2[[#This Row],[Costos (En RD$/Tarea)]]=0,0,Tabla2[[#This Row],[Beneficio Neto  (En RD$/Tarea)]]/Tabla2[[#This Row],[Costos (En RD$/Tarea)]])</f>
        <v>-0.54709548615202219</v>
      </c>
      <c r="P2044" s="4">
        <f>Tabla2[[#This Row],[Rentabilidad (%)]]/12</f>
        <v>-4.5591290512668518E-2</v>
      </c>
    </row>
    <row r="2045" spans="1:16" x14ac:dyDescent="0.35">
      <c r="A2045" s="1">
        <v>41699</v>
      </c>
      <c r="B2045" t="s">
        <v>22</v>
      </c>
      <c r="C2045" s="2">
        <v>5152</v>
      </c>
      <c r="D2045" s="5" t="s">
        <v>17</v>
      </c>
      <c r="E2045" s="2">
        <f>IF(Tabla2[[#This Row],[Frecuencia]]="Annual", Tabla2[[#This Row],[Cosecha/Tarea]]/12,Tabla2[[#This Row],[Cosecha/Tarea]])</f>
        <v>5152</v>
      </c>
      <c r="F2045" s="2">
        <v>47084</v>
      </c>
      <c r="G2045" t="s">
        <v>18</v>
      </c>
      <c r="H2045">
        <f>F2045/Tabla2[[#This Row],[Cosecha Mensual]]</f>
        <v>9.1389751552795033</v>
      </c>
      <c r="I2045">
        <f>H2045*_xlfn.XLOOKUP(Tabla2[[#This Row],[Unidad de producción]],Tabla3[Medida],Tabla3[Equivalencia en Kg],"ELVIS",0)</f>
        <v>414.54391304347826</v>
      </c>
      <c r="J2045">
        <v>892.01333333333298</v>
      </c>
      <c r="K2045" t="s">
        <v>18</v>
      </c>
      <c r="L2045">
        <f>J2045/_xlfn.XLOOKUP(Tabla2[[#This Row],[Unidad de precio]],Tabla3[Medida],Tabla3[Equivalencia en Kg],"ELVIS",0)</f>
        <v>19.665196942974713</v>
      </c>
      <c r="M2045">
        <v>9418.5442175999997</v>
      </c>
      <c r="N2045" s="2">
        <f>(Tabla2[[#This Row],[Productividad (kg/TAS)]]*Tabla2[[#This Row],[Precio por kg]]-Tabla2[[#This Row],[Costos (En RD$/Tarea)]])</f>
        <v>-1266.4565260886156</v>
      </c>
      <c r="O2045" s="6">
        <f>IF(Tabla2[[#This Row],[Costos (En RD$/Tarea)]]=0,0,Tabla2[[#This Row],[Beneficio Neto  (En RD$/Tarea)]]/Tabla2[[#This Row],[Costos (En RD$/Tarea)]])</f>
        <v>-0.13446414826211112</v>
      </c>
      <c r="P2045" s="4">
        <f>Tabla2[[#This Row],[Rentabilidad (%)]]/12</f>
        <v>-1.120534568850926E-2</v>
      </c>
    </row>
    <row r="2046" spans="1:16" x14ac:dyDescent="0.35">
      <c r="A2046" s="1">
        <v>41699</v>
      </c>
      <c r="B2046" t="s">
        <v>23</v>
      </c>
      <c r="C2046" s="2">
        <v>3409</v>
      </c>
      <c r="D2046" s="5" t="s">
        <v>17</v>
      </c>
      <c r="E2046" s="2">
        <f>IF(Tabla2[[#This Row],[Frecuencia]]="Annual", Tabla2[[#This Row],[Cosecha/Tarea]]/12,Tabla2[[#This Row],[Cosecha/Tarea]])</f>
        <v>3409</v>
      </c>
      <c r="F2046" s="2">
        <v>117300</v>
      </c>
      <c r="G2046" t="s">
        <v>18</v>
      </c>
      <c r="H2046">
        <f>F2046/Tabla2[[#This Row],[Cosecha Mensual]]</f>
        <v>34.408917571135227</v>
      </c>
      <c r="I2046">
        <f>H2046*_xlfn.XLOOKUP(Tabla2[[#This Row],[Unidad de producción]],Tabla3[Medida],Tabla3[Equivalencia en Kg],"ELVIS",0)</f>
        <v>1560.7885010266939</v>
      </c>
      <c r="J2046">
        <v>793.85088888888902</v>
      </c>
      <c r="K2046" t="s">
        <v>18</v>
      </c>
      <c r="L2046">
        <f>J2046/_xlfn.XLOOKUP(Tabla2[[#This Row],[Unidad de precio]],Tabla3[Medida],Tabla3[Equivalencia en Kg],"ELVIS",0)</f>
        <v>17.501121889084857</v>
      </c>
      <c r="M2046">
        <v>26184.1693466859</v>
      </c>
      <c r="N2046" s="2">
        <f>(Tabla2[[#This Row],[Productividad (kg/TAS)]]*Tabla2[[#This Row],[Precio por kg]]-Tabla2[[#This Row],[Costos (En RD$/Tarea)]])</f>
        <v>1131.3804528643159</v>
      </c>
      <c r="O2046" s="6">
        <f>IF(Tabla2[[#This Row],[Costos (En RD$/Tarea)]]=0,0,Tabla2[[#This Row],[Beneficio Neto  (En RD$/Tarea)]]/Tabla2[[#This Row],[Costos (En RD$/Tarea)]])</f>
        <v>4.3208567661036514E-2</v>
      </c>
      <c r="P2046" s="4">
        <f>Tabla2[[#This Row],[Rentabilidad (%)]]/12</f>
        <v>3.6007139717530428E-3</v>
      </c>
    </row>
    <row r="2047" spans="1:16" x14ac:dyDescent="0.35">
      <c r="A2047" s="1">
        <v>41699</v>
      </c>
      <c r="B2047" t="s">
        <v>24</v>
      </c>
      <c r="C2047" s="2">
        <v>5480</v>
      </c>
      <c r="D2047" s="5" t="s">
        <v>17</v>
      </c>
      <c r="E2047" s="2">
        <f>IF(Tabla2[[#This Row],[Frecuencia]]="Annual", Tabla2[[#This Row],[Cosecha/Tarea]]/12,Tabla2[[#This Row],[Cosecha/Tarea]])</f>
        <v>5480</v>
      </c>
      <c r="F2047" s="2">
        <v>45319</v>
      </c>
      <c r="G2047" t="s">
        <v>18</v>
      </c>
      <c r="H2047">
        <f>F2047/Tabla2[[#This Row],[Cosecha Mensual]]</f>
        <v>8.2698905109489047</v>
      </c>
      <c r="I2047">
        <f>H2047*_xlfn.XLOOKUP(Tabla2[[#This Row],[Unidad de producción]],Tabla3[Medida],Tabla3[Equivalencia en Kg],"ELVIS",0)</f>
        <v>375.12223357664232</v>
      </c>
      <c r="J2047">
        <v>1232.6151600000001</v>
      </c>
      <c r="K2047" t="s">
        <v>18</v>
      </c>
      <c r="L2047">
        <f>J2047/_xlfn.XLOOKUP(Tabla2[[#This Row],[Unidad de precio]],Tabla3[Medida],Tabla3[Equivalencia en Kg],"ELVIS",0)</f>
        <v>27.174055555555558</v>
      </c>
      <c r="M2047">
        <v>9105.9886041600002</v>
      </c>
      <c r="N2047" s="2">
        <f>(Tabla2[[#This Row],[Productividad (kg/TAS)]]*Tabla2[[#This Row],[Precio por kg]]-Tabla2[[#This Row],[Costos (En RD$/Tarea)]])</f>
        <v>1087.6038111757662</v>
      </c>
      <c r="O2047" s="6">
        <f>IF(Tabla2[[#This Row],[Costos (En RD$/Tarea)]]=0,0,Tabla2[[#This Row],[Beneficio Neto  (En RD$/Tarea)]]/Tabla2[[#This Row],[Costos (En RD$/Tarea)]])</f>
        <v>0.11943830137003497</v>
      </c>
      <c r="P2047" s="4">
        <f>Tabla2[[#This Row],[Rentabilidad (%)]]/12</f>
        <v>9.9531917808362482E-3</v>
      </c>
    </row>
    <row r="2048" spans="1:16" x14ac:dyDescent="0.35">
      <c r="A2048" s="1">
        <v>41699</v>
      </c>
      <c r="B2048" t="s">
        <v>25</v>
      </c>
      <c r="C2048" s="2">
        <v>24252</v>
      </c>
      <c r="D2048" s="5" t="s">
        <v>17</v>
      </c>
      <c r="E2048" s="2">
        <f>IF(Tabla2[[#This Row],[Frecuencia]]="Annual", Tabla2[[#This Row],[Cosecha/Tarea]]/12,Tabla2[[#This Row],[Cosecha/Tarea]])</f>
        <v>24252</v>
      </c>
      <c r="F2048" s="2">
        <v>283111</v>
      </c>
      <c r="G2048" t="s">
        <v>18</v>
      </c>
      <c r="H2048">
        <f>F2048/Tabla2[[#This Row],[Cosecha Mensual]]</f>
        <v>11.673717631535544</v>
      </c>
      <c r="I2048">
        <f>H2048*_xlfn.XLOOKUP(Tabla2[[#This Row],[Unidad de producción]],Tabla3[Medida],Tabla3[Equivalencia en Kg],"ELVIS",0)</f>
        <v>529.51983176645228</v>
      </c>
      <c r="J2048">
        <v>293.08499999999998</v>
      </c>
      <c r="K2048" t="s">
        <v>18</v>
      </c>
      <c r="L2048">
        <f>J2048/_xlfn.XLOOKUP(Tabla2[[#This Row],[Unidad de precio]],Tabla3[Medida],Tabla3[Equivalencia en Kg],"ELVIS",0)</f>
        <v>6.4613095238095237</v>
      </c>
      <c r="M2048">
        <v>4871.6687043187803</v>
      </c>
      <c r="N2048" s="2">
        <f>(Tabla2[[#This Row],[Productividad (kg/TAS)]]*Tabla2[[#This Row],[Precio por kg]]-Tabla2[[#This Row],[Costos (En RD$/Tarea)]])</f>
        <v>-1450.2771722801854</v>
      </c>
      <c r="O2048" s="6">
        <f>IF(Tabla2[[#This Row],[Costos (En RD$/Tarea)]]=0,0,Tabla2[[#This Row],[Beneficio Neto  (En RD$/Tarea)]]/Tabla2[[#This Row],[Costos (En RD$/Tarea)]])</f>
        <v>-0.29769618180203861</v>
      </c>
      <c r="P2048" s="4">
        <f>Tabla2[[#This Row],[Rentabilidad (%)]]/12</f>
        <v>-2.4808015150169883E-2</v>
      </c>
    </row>
    <row r="2049" spans="1:16" x14ac:dyDescent="0.35">
      <c r="A2049" s="1">
        <v>41699</v>
      </c>
      <c r="B2049" t="s">
        <v>26</v>
      </c>
      <c r="C2049" s="2">
        <v>12881</v>
      </c>
      <c r="D2049" s="5" t="s">
        <v>17</v>
      </c>
      <c r="E2049" s="2">
        <f>IF(Tabla2[[#This Row],[Frecuencia]]="Annual", Tabla2[[#This Row],[Cosecha/Tarea]]/12,Tabla2[[#This Row],[Cosecha/Tarea]])</f>
        <v>12881</v>
      </c>
      <c r="F2049" s="2">
        <v>65808</v>
      </c>
      <c r="G2049" t="s">
        <v>18</v>
      </c>
      <c r="H2049">
        <f>F2049/Tabla2[[#This Row],[Cosecha Mensual]]</f>
        <v>5.108920114897912</v>
      </c>
      <c r="I2049">
        <f>H2049*_xlfn.XLOOKUP(Tabla2[[#This Row],[Unidad de producción]],Tabla3[Medida],Tabla3[Equivalencia en Kg],"ELVIS",0)</f>
        <v>231.74061641176928</v>
      </c>
      <c r="J2049">
        <v>728.59507199999996</v>
      </c>
      <c r="K2049" t="s">
        <v>18</v>
      </c>
      <c r="L2049">
        <f>J2049/_xlfn.XLOOKUP(Tabla2[[#This Row],[Unidad de precio]],Tabla3[Medida],Tabla3[Equivalencia en Kg],"ELVIS",0)</f>
        <v>16.062501587301586</v>
      </c>
      <c r="M2049">
        <v>2107.5566399999998</v>
      </c>
      <c r="N2049" s="2">
        <f>(Tabla2[[#This Row],[Productividad (kg/TAS)]]*Tabla2[[#This Row],[Precio por kg]]-Tabla2[[#This Row],[Costos (En RD$/Tarea)]])</f>
        <v>1614.7773789562925</v>
      </c>
      <c r="O2049" s="6">
        <f>IF(Tabla2[[#This Row],[Costos (En RD$/Tarea)]]=0,0,Tabla2[[#This Row],[Beneficio Neto  (En RD$/Tarea)]]/Tabla2[[#This Row],[Costos (En RD$/Tarea)]])</f>
        <v>0.76618457046843247</v>
      </c>
      <c r="P2049" s="4">
        <f>Tabla2[[#This Row],[Rentabilidad (%)]]/12</f>
        <v>6.3848714205702706E-2</v>
      </c>
    </row>
    <row r="2050" spans="1:16" x14ac:dyDescent="0.35">
      <c r="A2050" s="1">
        <v>41699</v>
      </c>
      <c r="B2050" t="s">
        <v>27</v>
      </c>
      <c r="C2050" s="2">
        <v>4643</v>
      </c>
      <c r="D2050" s="5" t="s">
        <v>17</v>
      </c>
      <c r="E2050" s="2">
        <f>IF(Tabla2[[#This Row],[Frecuencia]]="Annual", Tabla2[[#This Row],[Cosecha/Tarea]]/12,Tabla2[[#This Row],[Cosecha/Tarea]])</f>
        <v>4643</v>
      </c>
      <c r="F2050" s="2">
        <v>50669</v>
      </c>
      <c r="G2050" t="s">
        <v>18</v>
      </c>
      <c r="H2050">
        <f>F2050/Tabla2[[#This Row],[Cosecha Mensual]]</f>
        <v>10.912987292698686</v>
      </c>
      <c r="I2050">
        <f>H2050*_xlfn.XLOOKUP(Tabla2[[#This Row],[Unidad de producción]],Tabla3[Medida],Tabla3[Equivalencia en Kg],"ELVIS",0)</f>
        <v>495.01310359681241</v>
      </c>
      <c r="J2050">
        <v>662.58285714285705</v>
      </c>
      <c r="K2050" t="s">
        <v>18</v>
      </c>
      <c r="L2050">
        <f>J2050/_xlfn.XLOOKUP(Tabla2[[#This Row],[Unidad de precio]],Tabla3[Medida],Tabla3[Equivalencia en Kg],"ELVIS",0)</f>
        <v>14.607205845301081</v>
      </c>
      <c r="M2050">
        <v>8288.2983415050003</v>
      </c>
      <c r="N2050" s="2">
        <f>(Tabla2[[#This Row],[Productividad (kg/TAS)]]*Tabla2[[#This Row],[Precio por kg]]-Tabla2[[#This Row],[Costos (En RD$/Tarea)]])</f>
        <v>-1057.5400411450128</v>
      </c>
      <c r="O2050" s="6">
        <f>IF(Tabla2[[#This Row],[Costos (En RD$/Tarea)]]=0,0,Tabla2[[#This Row],[Beneficio Neto  (En RD$/Tarea)]]/Tabla2[[#This Row],[Costos (En RD$/Tarea)]])</f>
        <v>-0.12759435019963136</v>
      </c>
      <c r="P2050" s="4">
        <f>Tabla2[[#This Row],[Rentabilidad (%)]]/12</f>
        <v>-1.0632862516635947E-2</v>
      </c>
    </row>
    <row r="2051" spans="1:16" x14ac:dyDescent="0.35">
      <c r="A2051" s="1">
        <v>41699</v>
      </c>
      <c r="B2051" t="s">
        <v>28</v>
      </c>
      <c r="C2051" s="2">
        <v>40410</v>
      </c>
      <c r="D2051" s="5" t="s">
        <v>17</v>
      </c>
      <c r="E2051" s="2">
        <f>IF(Tabla2[[#This Row],[Frecuencia]]="Annual", Tabla2[[#This Row],[Cosecha/Tarea]]/12,Tabla2[[#This Row],[Cosecha/Tarea]])</f>
        <v>40410</v>
      </c>
      <c r="F2051" s="2">
        <v>50274</v>
      </c>
      <c r="G2051" t="s">
        <v>29</v>
      </c>
      <c r="H2051">
        <f>F2051/Tabla2[[#This Row],[Cosecha Mensual]]</f>
        <v>1.244097995545657</v>
      </c>
      <c r="I2051">
        <f>H2051*_xlfn.XLOOKUP(Tabla2[[#This Row],[Unidad de producción]],Tabla3[Medida],Tabla3[Equivalencia en Kg],"ELVIS",0)</f>
        <v>699.6060668151448</v>
      </c>
      <c r="J2051">
        <v>5288.6666666666697</v>
      </c>
      <c r="K2051" t="s">
        <v>29</v>
      </c>
      <c r="L2051">
        <f>J2051/_xlfn.XLOOKUP(Tabla2[[#This Row],[Unidad de precio]],Tabla3[Medida],Tabla3[Equivalencia en Kg],"ELVIS",0)</f>
        <v>9.4047492027361912</v>
      </c>
      <c r="M2051">
        <v>7150.5342362867696</v>
      </c>
      <c r="N2051" s="2">
        <f>(Tabla2[[#This Row],[Productividad (kg/TAS)]]*Tabla2[[#This Row],[Precio por kg]]-Tabla2[[#This Row],[Costos (En RD$/Tarea)]])</f>
        <v>-570.91463717763418</v>
      </c>
      <c r="O2051" s="6">
        <f>IF(Tabla2[[#This Row],[Costos (En RD$/Tarea)]]=0,0,Tabla2[[#This Row],[Beneficio Neto  (En RD$/Tarea)]]/Tabla2[[#This Row],[Costos (En RD$/Tarea)]])</f>
        <v>-7.9842235322840266E-2</v>
      </c>
      <c r="P2051" s="4">
        <f>Tabla2[[#This Row],[Rentabilidad (%)]]/12</f>
        <v>-6.6535196102366885E-3</v>
      </c>
    </row>
    <row r="2052" spans="1:16" x14ac:dyDescent="0.35">
      <c r="A2052" s="1">
        <v>41699</v>
      </c>
      <c r="B2052" t="s">
        <v>30</v>
      </c>
      <c r="C2052" s="2">
        <v>414704</v>
      </c>
      <c r="D2052" s="2" t="s">
        <v>31</v>
      </c>
      <c r="E2052" s="2">
        <f>IF(Tabla2[[#This Row],[Frecuencia]]="Annual", Tabla2[[#This Row],[Cosecha/Tarea]]/12,Tabla2[[#This Row],[Cosecha/Tarea]])</f>
        <v>34558.666666666664</v>
      </c>
      <c r="F2052" s="2">
        <v>2995918</v>
      </c>
      <c r="G2052" t="s">
        <v>32</v>
      </c>
      <c r="H2052">
        <f>F2052/Tabla2[[#This Row],[Cosecha Mensual]]</f>
        <v>86.690786681584939</v>
      </c>
      <c r="I2052">
        <f>H2052*_xlfn.XLOOKUP(Tabla2[[#This Row],[Unidad de producción]],Tabla3[Medida],Tabla3[Equivalencia en Kg],"ELVIS",0)</f>
        <v>2358.8563056059261</v>
      </c>
      <c r="J2052">
        <v>145.96428571428601</v>
      </c>
      <c r="K2052" t="s">
        <v>32</v>
      </c>
      <c r="L2052">
        <f>J2052/_xlfn.XLOOKUP(Tabla2[[#This Row],[Unidad de precio]],Tabla3[Medida],Tabla3[Equivalencia en Kg],"ELVIS",0)</f>
        <v>5.3643618417598677</v>
      </c>
      <c r="M2052" s="2">
        <v>12538.8969859716</v>
      </c>
      <c r="N2052" s="2">
        <f>(Tabla2[[#This Row],[Productividad (kg/TAS)]]*Tabla2[[#This Row],[Precio por kg]]-Tabla2[[#This Row],[Costos (En RD$/Tarea)]])</f>
        <v>114.86177001548276</v>
      </c>
      <c r="O2052" s="6">
        <f>IF(Tabla2[[#This Row],[Costos (En RD$/Tarea)]]=0,0,Tabla2[[#This Row],[Beneficio Neto  (En RD$/Tarea)]]/Tabla2[[#This Row],[Costos (En RD$/Tarea)]])</f>
        <v>9.1604365315377453E-3</v>
      </c>
      <c r="P2052" s="4">
        <f>Tabla2[[#This Row],[Rentabilidad (%)]]/12</f>
        <v>7.6336971096147878E-4</v>
      </c>
    </row>
    <row r="2053" spans="1:16" x14ac:dyDescent="0.35">
      <c r="A2053" s="1">
        <v>41699</v>
      </c>
      <c r="B2053" t="s">
        <v>33</v>
      </c>
      <c r="C2053" s="2">
        <v>711043</v>
      </c>
      <c r="D2053" s="2" t="s">
        <v>31</v>
      </c>
      <c r="E2053" s="2">
        <f>IF(Tabla2[[#This Row],[Frecuencia]]="Annual", Tabla2[[#This Row],[Cosecha/Tarea]]/12,Tabla2[[#This Row],[Cosecha/Tarea]])</f>
        <v>59253.583333333336</v>
      </c>
      <c r="F2053" s="2">
        <v>152186</v>
      </c>
      <c r="G2053" t="s">
        <v>34</v>
      </c>
      <c r="H2053">
        <f>F2053/Tabla2[[#This Row],[Cosecha Mensual]]</f>
        <v>2.5683847531021331</v>
      </c>
      <c r="I2053">
        <f>H2053*_xlfn.XLOOKUP(Tabla2[[#This Row],[Unidad de producción]],Tabla3[Medida],Tabla3[Equivalencia en Kg],"ELVIS",0)</f>
        <v>1048.2862369786355</v>
      </c>
      <c r="J2053">
        <v>4387.7135714285696</v>
      </c>
      <c r="K2053" t="s">
        <v>34</v>
      </c>
      <c r="L2053">
        <f>J2053/_xlfn.XLOOKUP(Tabla2[[#This Row],[Unidad de precio]],Tabla3[Medida],Tabla3[Equivalencia en Kg],"ELVIS",0)</f>
        <v>10.750247633048071</v>
      </c>
      <c r="M2053" s="2">
        <v>12054.016631725301</v>
      </c>
      <c r="N2053" s="2">
        <f>(Tabla2[[#This Row],[Productividad (kg/TAS)]]*Tabla2[[#This Row],[Precio por kg]]-Tabla2[[#This Row],[Costos (En RD$/Tarea)]])</f>
        <v>-784.67999388885437</v>
      </c>
      <c r="O2053" s="6">
        <f>IF(Tabla2[[#This Row],[Costos (En RD$/Tarea)]]=0,0,Tabla2[[#This Row],[Beneficio Neto  (En RD$/Tarea)]]/Tabla2[[#This Row],[Costos (En RD$/Tarea)]])</f>
        <v>-6.5096972889819429E-2</v>
      </c>
      <c r="P2053" s="4">
        <f>Tabla2[[#This Row],[Rentabilidad (%)]]/12</f>
        <v>-5.4247477408182858E-3</v>
      </c>
    </row>
    <row r="2054" spans="1:16" x14ac:dyDescent="0.35">
      <c r="A2054" s="1">
        <v>41730</v>
      </c>
      <c r="B2054" t="s">
        <v>16</v>
      </c>
      <c r="C2054" s="2">
        <v>455717</v>
      </c>
      <c r="D2054" s="5" t="s">
        <v>17</v>
      </c>
      <c r="E2054" s="2">
        <f>IF(Tabla2[[#This Row],[Frecuencia]]="Annual", Tabla2[[#This Row],[Cosecha/Tarea]]/12,Tabla2[[#This Row],[Cosecha/Tarea]])</f>
        <v>455717</v>
      </c>
      <c r="F2054" s="2">
        <v>2090400</v>
      </c>
      <c r="G2054" t="s">
        <v>18</v>
      </c>
      <c r="H2054">
        <f>F2054/Tabla2[[#This Row],[Cosecha Mensual]]</f>
        <v>4.587057318467382</v>
      </c>
      <c r="I2054">
        <f>H2054*_xlfn.XLOOKUP(Tabla2[[#This Row],[Unidad de producción]],Tabla3[Medida],Tabla3[Equivalencia en Kg],"ELVIS",0)</f>
        <v>208.06891996568044</v>
      </c>
      <c r="J2054">
        <v>1841.8542424242401</v>
      </c>
      <c r="K2054" t="s">
        <v>19</v>
      </c>
      <c r="L2054">
        <f>J2054/_xlfn.XLOOKUP(Tabla2[[#This Row],[Unidad de precio]],Tabla3[Medida],Tabla3[Equivalencia en Kg],"ELVIS",0)</f>
        <v>16.744129476584</v>
      </c>
      <c r="M2054">
        <v>7973.2432584128101</v>
      </c>
      <c r="N2054" s="2">
        <f>(Tabla2[[#This Row],[Productividad (kg/TAS)]]*Tabla2[[#This Row],[Precio por kg]]-Tabla2[[#This Row],[Costos (En RD$/Tarea)]])</f>
        <v>-4489.3103224544629</v>
      </c>
      <c r="O2054" s="6">
        <f>IF(Tabla2[[#This Row],[Costos (En RD$/Tarea)]]=0,0,Tabla2[[#This Row],[Beneficio Neto  (En RD$/Tarea)]]/Tabla2[[#This Row],[Costos (En RD$/Tarea)]])</f>
        <v>-0.56304695303478369</v>
      </c>
      <c r="P2054" s="4">
        <f>Tabla2[[#This Row],[Rentabilidad (%)]]/12</f>
        <v>-4.692057941956531E-2</v>
      </c>
    </row>
    <row r="2055" spans="1:16" x14ac:dyDescent="0.35">
      <c r="A2055" s="1">
        <v>41730</v>
      </c>
      <c r="B2055" t="s">
        <v>20</v>
      </c>
      <c r="C2055" s="2">
        <v>23520</v>
      </c>
      <c r="D2055" s="5" t="s">
        <v>17</v>
      </c>
      <c r="E2055" s="2">
        <f>IF(Tabla2[[#This Row],[Frecuencia]]="Annual", Tabla2[[#This Row],[Cosecha/Tarea]]/12,Tabla2[[#This Row],[Cosecha/Tarea]])</f>
        <v>23520</v>
      </c>
      <c r="F2055" s="2">
        <v>54121</v>
      </c>
      <c r="G2055" t="s">
        <v>18</v>
      </c>
      <c r="H2055">
        <f>F2055/Tabla2[[#This Row],[Cosecha Mensual]]</f>
        <v>2.3010629251700681</v>
      </c>
      <c r="I2055">
        <f>H2055*_xlfn.XLOOKUP(Tabla2[[#This Row],[Unidad de producción]],Tabla3[Medida],Tabla3[Equivalencia en Kg],"ELVIS",0)</f>
        <v>104.37621428571428</v>
      </c>
      <c r="J2055">
        <v>736.92857142857099</v>
      </c>
      <c r="K2055" t="s">
        <v>18</v>
      </c>
      <c r="L2055">
        <f>J2055/_xlfn.XLOOKUP(Tabla2[[#This Row],[Unidad de precio]],Tabla3[Medida],Tabla3[Equivalencia en Kg],"ELVIS",0)</f>
        <v>16.246220710506414</v>
      </c>
      <c r="M2055">
        <v>2447.4016476000002</v>
      </c>
      <c r="N2055" s="2">
        <f>(Tabla2[[#This Row],[Productividad (kg/TAS)]]*Tabla2[[#This Row],[Precio por kg]]-Tabla2[[#This Row],[Costos (En RD$/Tarea)]])</f>
        <v>-751.68263338717338</v>
      </c>
      <c r="O2055" s="6">
        <f>IF(Tabla2[[#This Row],[Costos (En RD$/Tarea)]]=0,0,Tabla2[[#This Row],[Beneficio Neto  (En RD$/Tarea)]]/Tabla2[[#This Row],[Costos (En RD$/Tarea)]])</f>
        <v>-0.3071349707246856</v>
      </c>
      <c r="P2055" s="4">
        <f>Tabla2[[#This Row],[Rentabilidad (%)]]/12</f>
        <v>-2.5594580893723799E-2</v>
      </c>
    </row>
    <row r="2056" spans="1:16" x14ac:dyDescent="0.35">
      <c r="A2056" s="1">
        <v>41730</v>
      </c>
      <c r="B2056" t="s">
        <v>21</v>
      </c>
      <c r="C2056" s="2">
        <v>11204</v>
      </c>
      <c r="D2056" s="5" t="s">
        <v>17</v>
      </c>
      <c r="E2056" s="2">
        <f>IF(Tabla2[[#This Row],[Frecuencia]]="Annual", Tabla2[[#This Row],[Cosecha/Tarea]]/12,Tabla2[[#This Row],[Cosecha/Tarea]])</f>
        <v>11204</v>
      </c>
      <c r="F2056" s="2">
        <v>165182</v>
      </c>
      <c r="G2056" t="s">
        <v>18</v>
      </c>
      <c r="H2056">
        <f>F2056/Tabla2[[#This Row],[Cosecha Mensual]]</f>
        <v>14.743127454480543</v>
      </c>
      <c r="I2056">
        <f>H2056*_xlfn.XLOOKUP(Tabla2[[#This Row],[Unidad de producción]],Tabla3[Medida],Tabla3[Equivalencia en Kg],"ELVIS",0)</f>
        <v>668.74826133523743</v>
      </c>
      <c r="J2056">
        <v>316.91566666666699</v>
      </c>
      <c r="K2056" t="s">
        <v>18</v>
      </c>
      <c r="L2056">
        <f>J2056/_xlfn.XLOOKUP(Tabla2[[#This Row],[Unidad de precio]],Tabla3[Medida],Tabla3[Equivalencia en Kg],"ELVIS",0)</f>
        <v>6.9866769547325172</v>
      </c>
      <c r="M2056">
        <v>5243.9203424999996</v>
      </c>
      <c r="N2056" s="2">
        <f>(Tabla2[[#This Row],[Productividad (kg/TAS)]]*Tabla2[[#This Row],[Precio por kg]]-Tabla2[[#This Row],[Costos (En RD$/Tarea)]])</f>
        <v>-571.59227651165747</v>
      </c>
      <c r="O2056" s="6">
        <f>IF(Tabla2[[#This Row],[Costos (En RD$/Tarea)]]=0,0,Tabla2[[#This Row],[Beneficio Neto  (En RD$/Tarea)]]/Tabla2[[#This Row],[Costos (En RD$/Tarea)]])</f>
        <v>-0.10900094570070359</v>
      </c>
      <c r="P2056" s="4">
        <f>Tabla2[[#This Row],[Rentabilidad (%)]]/12</f>
        <v>-9.0834121417252989E-3</v>
      </c>
    </row>
    <row r="2057" spans="1:16" x14ac:dyDescent="0.35">
      <c r="A2057" s="1">
        <v>41730</v>
      </c>
      <c r="B2057" t="s">
        <v>22</v>
      </c>
      <c r="C2057" s="2">
        <v>4715</v>
      </c>
      <c r="D2057" s="5" t="s">
        <v>17</v>
      </c>
      <c r="E2057" s="2">
        <f>IF(Tabla2[[#This Row],[Frecuencia]]="Annual", Tabla2[[#This Row],[Cosecha/Tarea]]/12,Tabla2[[#This Row],[Cosecha/Tarea]])</f>
        <v>4715</v>
      </c>
      <c r="F2057" s="2">
        <v>43249</v>
      </c>
      <c r="G2057" t="s">
        <v>18</v>
      </c>
      <c r="H2057">
        <f>F2057/Tabla2[[#This Row],[Cosecha Mensual]]</f>
        <v>9.1726405090137852</v>
      </c>
      <c r="I2057">
        <f>H2057*_xlfn.XLOOKUP(Tabla2[[#This Row],[Unidad de producción]],Tabla3[Medida],Tabla3[Equivalencia en Kg],"ELVIS",0)</f>
        <v>416.07097348886532</v>
      </c>
      <c r="J2057">
        <v>1003.20833333333</v>
      </c>
      <c r="K2057" t="s">
        <v>18</v>
      </c>
      <c r="L2057">
        <f>J2057/_xlfn.XLOOKUP(Tabla2[[#This Row],[Unidad de precio]],Tabla3[Medida],Tabla3[Equivalencia en Kg],"ELVIS",0)</f>
        <v>22.116585831863535</v>
      </c>
      <c r="M2057">
        <v>9418.5442175999997</v>
      </c>
      <c r="N2057" s="2">
        <f>(Tabla2[[#This Row],[Productividad (kg/TAS)]]*Tabla2[[#This Row],[Precio por kg]]-Tabla2[[#This Row],[Costos (En RD$/Tarea)]])</f>
        <v>-216.4748202864921</v>
      </c>
      <c r="O2057" s="6">
        <f>IF(Tabla2[[#This Row],[Costos (En RD$/Tarea)]]=0,0,Tabla2[[#This Row],[Beneficio Neto  (En RD$/Tarea)]]/Tabla2[[#This Row],[Costos (En RD$/Tarea)]])</f>
        <v>-2.2983893825329775E-2</v>
      </c>
      <c r="P2057" s="4">
        <f>Tabla2[[#This Row],[Rentabilidad (%)]]/12</f>
        <v>-1.9153244854441479E-3</v>
      </c>
    </row>
    <row r="2058" spans="1:16" x14ac:dyDescent="0.35">
      <c r="A2058" s="1">
        <v>41730</v>
      </c>
      <c r="B2058" t="s">
        <v>23</v>
      </c>
      <c r="C2058" s="2">
        <v>4057</v>
      </c>
      <c r="D2058" s="5" t="s">
        <v>17</v>
      </c>
      <c r="E2058" s="2">
        <f>IF(Tabla2[[#This Row],[Frecuencia]]="Annual", Tabla2[[#This Row],[Cosecha/Tarea]]/12,Tabla2[[#This Row],[Cosecha/Tarea]])</f>
        <v>4057</v>
      </c>
      <c r="F2058" s="2">
        <v>156780</v>
      </c>
      <c r="G2058" t="s">
        <v>18</v>
      </c>
      <c r="H2058">
        <f>F2058/Tabla2[[#This Row],[Cosecha Mensual]]</f>
        <v>38.644318461917671</v>
      </c>
      <c r="I2058">
        <f>H2058*_xlfn.XLOOKUP(Tabla2[[#This Row],[Unidad de producción]],Tabla3[Medida],Tabla3[Equivalencia en Kg],"ELVIS",0)</f>
        <v>1752.9062854325855</v>
      </c>
      <c r="J2058">
        <v>682.65</v>
      </c>
      <c r="K2058" t="s">
        <v>18</v>
      </c>
      <c r="L2058">
        <f>J2058/_xlfn.XLOOKUP(Tabla2[[#This Row],[Unidad de precio]],Tabla3[Medida],Tabla3[Equivalencia en Kg],"ELVIS",0)</f>
        <v>15.049603174603174</v>
      </c>
      <c r="M2058">
        <v>26184.1693466859</v>
      </c>
      <c r="N2058" s="2">
        <f>(Tabla2[[#This Row],[Productividad (kg/TAS)]]*Tabla2[[#This Row],[Precio por kg]]-Tabla2[[#This Row],[Costos (En RD$/Tarea)]])</f>
        <v>196.37465134219747</v>
      </c>
      <c r="O2058" s="6">
        <f>IF(Tabla2[[#This Row],[Costos (En RD$/Tarea)]]=0,0,Tabla2[[#This Row],[Beneficio Neto  (En RD$/Tarea)]]/Tabla2[[#This Row],[Costos (En RD$/Tarea)]])</f>
        <v>7.4997472229170557E-3</v>
      </c>
      <c r="P2058" s="4">
        <f>Tabla2[[#This Row],[Rentabilidad (%)]]/12</f>
        <v>6.2497893524308794E-4</v>
      </c>
    </row>
    <row r="2059" spans="1:16" x14ac:dyDescent="0.35">
      <c r="A2059" s="1">
        <v>41730</v>
      </c>
      <c r="B2059" t="s">
        <v>24</v>
      </c>
      <c r="C2059" s="2">
        <v>6251</v>
      </c>
      <c r="D2059" s="5" t="s">
        <v>17</v>
      </c>
      <c r="E2059" s="2">
        <f>IF(Tabla2[[#This Row],[Frecuencia]]="Annual", Tabla2[[#This Row],[Cosecha/Tarea]]/12,Tabla2[[#This Row],[Cosecha/Tarea]])</f>
        <v>6251</v>
      </c>
      <c r="F2059" s="2">
        <v>65210</v>
      </c>
      <c r="G2059" t="s">
        <v>18</v>
      </c>
      <c r="H2059">
        <f>F2059/Tabla2[[#This Row],[Cosecha Mensual]]</f>
        <v>10.43193089105743</v>
      </c>
      <c r="I2059">
        <f>H2059*_xlfn.XLOOKUP(Tabla2[[#This Row],[Unidad de producción]],Tabla3[Medida],Tabla3[Equivalencia en Kg],"ELVIS",0)</f>
        <v>473.19238521836502</v>
      </c>
      <c r="J2059">
        <v>1428</v>
      </c>
      <c r="K2059" t="s">
        <v>18</v>
      </c>
      <c r="L2059">
        <f>J2059/_xlfn.XLOOKUP(Tabla2[[#This Row],[Unidad de precio]],Tabla3[Medida],Tabla3[Equivalencia en Kg],"ELVIS",0)</f>
        <v>31.481481481481481</v>
      </c>
      <c r="M2059">
        <v>9105.9886041600002</v>
      </c>
      <c r="N2059" s="2">
        <f>(Tabla2[[#This Row],[Productividad (kg/TAS)]]*Tabla2[[#This Row],[Precio por kg]]-Tabla2[[#This Row],[Costos (En RD$/Tarea)]])</f>
        <v>5790.8087082700094</v>
      </c>
      <c r="O2059" s="6">
        <f>IF(Tabla2[[#This Row],[Costos (En RD$/Tarea)]]=0,0,Tabla2[[#This Row],[Beneficio Neto  (En RD$/Tarea)]]/Tabla2[[#This Row],[Costos (En RD$/Tarea)]])</f>
        <v>0.63593410446664989</v>
      </c>
      <c r="P2059" s="4">
        <f>Tabla2[[#This Row],[Rentabilidad (%)]]/12</f>
        <v>5.2994508705554159E-2</v>
      </c>
    </row>
    <row r="2060" spans="1:16" x14ac:dyDescent="0.35">
      <c r="A2060" s="1">
        <v>41730</v>
      </c>
      <c r="B2060" t="s">
        <v>25</v>
      </c>
      <c r="C2060" s="2">
        <v>26926</v>
      </c>
      <c r="D2060" s="5" t="s">
        <v>17</v>
      </c>
      <c r="E2060" s="2">
        <f>IF(Tabla2[[#This Row],[Frecuencia]]="Annual", Tabla2[[#This Row],[Cosecha/Tarea]]/12,Tabla2[[#This Row],[Cosecha/Tarea]])</f>
        <v>26926</v>
      </c>
      <c r="F2060" s="2">
        <v>296755</v>
      </c>
      <c r="G2060" t="s">
        <v>18</v>
      </c>
      <c r="H2060">
        <f>F2060/Tabla2[[#This Row],[Cosecha Mensual]]</f>
        <v>11.021131991383793</v>
      </c>
      <c r="I2060">
        <f>H2060*_xlfn.XLOOKUP(Tabla2[[#This Row],[Unidad de producción]],Tabla3[Medida],Tabla3[Equivalencia en Kg],"ELVIS",0)</f>
        <v>499.91854712916887</v>
      </c>
      <c r="J2060">
        <v>314.51488095238102</v>
      </c>
      <c r="K2060" t="s">
        <v>18</v>
      </c>
      <c r="L2060">
        <f>J2060/_xlfn.XLOOKUP(Tabla2[[#This Row],[Unidad de precio]],Tabla3[Medida],Tabla3[Equivalencia en Kg],"ELVIS",0)</f>
        <v>6.9337495800789464</v>
      </c>
      <c r="M2060">
        <v>4871.6687043187803</v>
      </c>
      <c r="N2060" s="2">
        <f>(Tabla2[[#This Row],[Productividad (kg/TAS)]]*Tabla2[[#This Row],[Precio por kg]]-Tabla2[[#This Row],[Costos (En RD$/Tarea)]])</f>
        <v>-1405.3586880882285</v>
      </c>
      <c r="O2060" s="6">
        <f>IF(Tabla2[[#This Row],[Costos (En RD$/Tarea)]]=0,0,Tabla2[[#This Row],[Beneficio Neto  (En RD$/Tarea)]]/Tabla2[[#This Row],[Costos (En RD$/Tarea)]])</f>
        <v>-0.28847583310465358</v>
      </c>
      <c r="P2060" s="4">
        <f>Tabla2[[#This Row],[Rentabilidad (%)]]/12</f>
        <v>-2.4039652758721133E-2</v>
      </c>
    </row>
    <row r="2061" spans="1:16" x14ac:dyDescent="0.35">
      <c r="A2061" s="1">
        <v>41730</v>
      </c>
      <c r="B2061" t="s">
        <v>26</v>
      </c>
      <c r="C2061" s="2">
        <v>12985</v>
      </c>
      <c r="D2061" s="5" t="s">
        <v>17</v>
      </c>
      <c r="E2061" s="2">
        <f>IF(Tabla2[[#This Row],[Frecuencia]]="Annual", Tabla2[[#This Row],[Cosecha/Tarea]]/12,Tabla2[[#This Row],[Cosecha/Tarea]])</f>
        <v>12985</v>
      </c>
      <c r="F2061" s="2">
        <v>75202</v>
      </c>
      <c r="G2061" t="s">
        <v>18</v>
      </c>
      <c r="H2061">
        <f>F2061/Tabla2[[#This Row],[Cosecha Mensual]]</f>
        <v>5.7914516750096263</v>
      </c>
      <c r="I2061">
        <f>H2061*_xlfn.XLOOKUP(Tabla2[[#This Row],[Unidad de producción]],Tabla3[Medida],Tabla3[Equivalencia en Kg],"ELVIS",0)</f>
        <v>262.70024797843666</v>
      </c>
      <c r="J2061">
        <v>918.06666666666695</v>
      </c>
      <c r="K2061" t="s">
        <v>18</v>
      </c>
      <c r="L2061">
        <f>J2061/_xlfn.XLOOKUP(Tabla2[[#This Row],[Unidad de precio]],Tabla3[Medida],Tabla3[Equivalencia en Kg],"ELVIS",0)</f>
        <v>20.239564961787192</v>
      </c>
      <c r="M2061">
        <v>2107.5566399999998</v>
      </c>
      <c r="N2061" s="2">
        <f>(Tabla2[[#This Row],[Productividad (kg/TAS)]]*Tabla2[[#This Row],[Precio por kg]]-Tabla2[[#This Row],[Costos (En RD$/Tarea)]])</f>
        <v>3209.3820944371737</v>
      </c>
      <c r="O2061" s="6">
        <f>IF(Tabla2[[#This Row],[Costos (En RD$/Tarea)]]=0,0,Tabla2[[#This Row],[Beneficio Neto  (En RD$/Tarea)]]/Tabla2[[#This Row],[Costos (En RD$/Tarea)]])</f>
        <v>1.5227975531121072</v>
      </c>
      <c r="P2061" s="4">
        <f>Tabla2[[#This Row],[Rentabilidad (%)]]/12</f>
        <v>0.1268997960926756</v>
      </c>
    </row>
    <row r="2062" spans="1:16" x14ac:dyDescent="0.35">
      <c r="A2062" s="1">
        <v>41730</v>
      </c>
      <c r="B2062" t="s">
        <v>27</v>
      </c>
      <c r="C2062" s="2">
        <v>3567</v>
      </c>
      <c r="D2062" s="5" t="s">
        <v>17</v>
      </c>
      <c r="E2062" s="2">
        <f>IF(Tabla2[[#This Row],[Frecuencia]]="Annual", Tabla2[[#This Row],[Cosecha/Tarea]]/12,Tabla2[[#This Row],[Cosecha/Tarea]])</f>
        <v>3567</v>
      </c>
      <c r="F2062" s="2">
        <v>47376</v>
      </c>
      <c r="G2062" t="s">
        <v>18</v>
      </c>
      <c r="H2062">
        <f>F2062/Tabla2[[#This Row],[Cosecha Mensual]]</f>
        <v>13.281749369217829</v>
      </c>
      <c r="I2062">
        <f>H2062*_xlfn.XLOOKUP(Tabla2[[#This Row],[Unidad de producción]],Tabla3[Medida],Tabla3[Equivalencia en Kg],"ELVIS",0)</f>
        <v>602.46015138772077</v>
      </c>
      <c r="J2062">
        <v>689.82</v>
      </c>
      <c r="K2062" t="s">
        <v>18</v>
      </c>
      <c r="L2062">
        <f>J2062/_xlfn.XLOOKUP(Tabla2[[#This Row],[Unidad de precio]],Tabla3[Medida],Tabla3[Equivalencia en Kg],"ELVIS",0)</f>
        <v>15.207671957671959</v>
      </c>
      <c r="M2062">
        <v>8288.2983415050003</v>
      </c>
      <c r="N2062" s="2">
        <f>(Tabla2[[#This Row],[Productividad (kg/TAS)]]*Tabla2[[#This Row],[Precio por kg]]-Tabla2[[#This Row],[Costos (En RD$/Tarea)]])</f>
        <v>873.71800836884358</v>
      </c>
      <c r="O2062" s="6">
        <f>IF(Tabla2[[#This Row],[Costos (En RD$/Tarea)]]=0,0,Tabla2[[#This Row],[Beneficio Neto  (En RD$/Tarea)]]/Tabla2[[#This Row],[Costos (En RD$/Tarea)]])</f>
        <v>0.10541584923331714</v>
      </c>
      <c r="P2062" s="4">
        <f>Tabla2[[#This Row],[Rentabilidad (%)]]/12</f>
        <v>8.7846541027764274E-3</v>
      </c>
    </row>
    <row r="2063" spans="1:16" x14ac:dyDescent="0.35">
      <c r="A2063" s="1">
        <v>41730</v>
      </c>
      <c r="B2063" t="s">
        <v>28</v>
      </c>
      <c r="C2063" s="2">
        <v>8488</v>
      </c>
      <c r="D2063" s="5" t="s">
        <v>17</v>
      </c>
      <c r="E2063" s="2">
        <f>IF(Tabla2[[#This Row],[Frecuencia]]="Annual", Tabla2[[#This Row],[Cosecha/Tarea]]/12,Tabla2[[#This Row],[Cosecha/Tarea]])</f>
        <v>8488</v>
      </c>
      <c r="F2063" s="2">
        <v>8777</v>
      </c>
      <c r="G2063" t="s">
        <v>29</v>
      </c>
      <c r="H2063">
        <f>F2063/Tabla2[[#This Row],[Cosecha Mensual]]</f>
        <v>1.0340480678605088</v>
      </c>
      <c r="I2063">
        <f>H2063*_xlfn.XLOOKUP(Tabla2[[#This Row],[Unidad de producción]],Tabla3[Medida],Tabla3[Equivalencia en Kg],"ELVIS",0)</f>
        <v>581.48659048067861</v>
      </c>
      <c r="J2063">
        <v>6564</v>
      </c>
      <c r="K2063" t="s">
        <v>29</v>
      </c>
      <c r="L2063">
        <f>J2063/_xlfn.XLOOKUP(Tabla2[[#This Row],[Unidad de precio]],Tabla3[Medida],Tabla3[Equivalencia en Kg],"ELVIS",0)</f>
        <v>11.672653554788917</v>
      </c>
      <c r="M2063">
        <v>7150.5342362867696</v>
      </c>
      <c r="N2063" s="2">
        <f>(Tabla2[[#This Row],[Productividad (kg/TAS)]]*Tabla2[[#This Row],[Precio por kg]]-Tabla2[[#This Row],[Costos (En RD$/Tarea)]])</f>
        <v>-363.04271885038906</v>
      </c>
      <c r="O2063" s="6">
        <f>IF(Tabla2[[#This Row],[Costos (En RD$/Tarea)]]=0,0,Tabla2[[#This Row],[Beneficio Neto  (En RD$/Tarea)]]/Tabla2[[#This Row],[Costos (En RD$/Tarea)]])</f>
        <v>-5.0771411876899847E-2</v>
      </c>
      <c r="P2063" s="4">
        <f>Tabla2[[#This Row],[Rentabilidad (%)]]/12</f>
        <v>-4.2309509897416539E-3</v>
      </c>
    </row>
    <row r="2064" spans="1:16" x14ac:dyDescent="0.35">
      <c r="A2064" s="1">
        <v>41730</v>
      </c>
      <c r="B2064" t="s">
        <v>30</v>
      </c>
      <c r="C2064" s="2">
        <v>405445</v>
      </c>
      <c r="D2064" s="2" t="s">
        <v>31</v>
      </c>
      <c r="E2064" s="2">
        <f>IF(Tabla2[[#This Row],[Frecuencia]]="Annual", Tabla2[[#This Row],[Cosecha/Tarea]]/12,Tabla2[[#This Row],[Cosecha/Tarea]])</f>
        <v>33787.083333333336</v>
      </c>
      <c r="F2064" s="2">
        <v>3210455</v>
      </c>
      <c r="G2064" t="s">
        <v>32</v>
      </c>
      <c r="H2064">
        <f>F2064/Tabla2[[#This Row],[Cosecha Mensual]]</f>
        <v>95.020187695001781</v>
      </c>
      <c r="I2064">
        <f>H2064*_xlfn.XLOOKUP(Tabla2[[#This Row],[Unidad de producción]],Tabla3[Medida],Tabla3[Equivalencia en Kg],"ELVIS",0)</f>
        <v>2585.4993071809986</v>
      </c>
      <c r="J2064">
        <v>127.804285714286</v>
      </c>
      <c r="K2064" t="s">
        <v>32</v>
      </c>
      <c r="L2064">
        <f>J2064/_xlfn.XLOOKUP(Tabla2[[#This Row],[Unidad de precio]],Tabla3[Medida],Tabla3[Equivalencia en Kg],"ELVIS",0)</f>
        <v>4.6969601512049239</v>
      </c>
      <c r="M2064" s="2">
        <v>12538.8969859716</v>
      </c>
      <c r="N2064" s="2">
        <f>(Tabla2[[#This Row],[Productividad (kg/TAS)]]*Tabla2[[#This Row],[Precio por kg]]-Tabla2[[#This Row],[Costos (En RD$/Tarea)]])</f>
        <v>-394.90976917451007</v>
      </c>
      <c r="O2064" s="6">
        <f>IF(Tabla2[[#This Row],[Costos (En RD$/Tarea)]]=0,0,Tabla2[[#This Row],[Beneficio Neto  (En RD$/Tarea)]]/Tabla2[[#This Row],[Costos (En RD$/Tarea)]])</f>
        <v>-3.14947773808439E-2</v>
      </c>
      <c r="P2064" s="4">
        <f>Tabla2[[#This Row],[Rentabilidad (%)]]/12</f>
        <v>-2.6245647817369918E-3</v>
      </c>
    </row>
    <row r="2065" spans="1:16" x14ac:dyDescent="0.35">
      <c r="A2065" s="1">
        <v>41730</v>
      </c>
      <c r="B2065" t="s">
        <v>33</v>
      </c>
      <c r="C2065" s="2">
        <v>723610</v>
      </c>
      <c r="D2065" s="2" t="s">
        <v>31</v>
      </c>
      <c r="E2065" s="8">
        <f>IF(Tabla2[[#This Row],[Frecuencia]]="Annual", Tabla2[[#This Row],[Cosecha/Tarea]]/12,Tabla2[[#This Row],[Cosecha/Tarea]])</f>
        <v>60300.833333333336</v>
      </c>
      <c r="F2065" s="2">
        <v>308741</v>
      </c>
      <c r="G2065" t="s">
        <v>34</v>
      </c>
      <c r="H2065">
        <f>F2065/Tabla2[[#This Row],[Cosecha Mensual]]</f>
        <v>5.1200121612470806</v>
      </c>
      <c r="I2065">
        <f>H2065*_xlfn.XLOOKUP(Tabla2[[#This Row],[Unidad de producción]],Tabla3[Medida],Tabla3[Equivalencia en Kg],"ELVIS",0)</f>
        <v>2089.7329636129957</v>
      </c>
      <c r="J2065">
        <v>4365.3628571428599</v>
      </c>
      <c r="K2065" t="s">
        <v>34</v>
      </c>
      <c r="L2065">
        <f>J2065/_xlfn.XLOOKUP(Tabla2[[#This Row],[Unidad de precio]],Tabla3[Medida],Tabla3[Equivalencia en Kg],"ELVIS",0)</f>
        <v>10.695486603314615</v>
      </c>
      <c r="M2065" s="2">
        <v>12054.016631725301</v>
      </c>
      <c r="N2065" s="2">
        <f>(Tabla2[[#This Row],[Productividad (kg/TAS)]]*Tabla2[[#This Row],[Precio por kg]]-Tabla2[[#This Row],[Costos (En RD$/Tarea)]])</f>
        <v>10296.694285102441</v>
      </c>
      <c r="O2065" s="6">
        <f>IF(Tabla2[[#This Row],[Costos (En RD$/Tarea)]]=0,0,Tabla2[[#This Row],[Beneficio Neto  (En RD$/Tarea)]]/Tabla2[[#This Row],[Costos (En RD$/Tarea)]])</f>
        <v>0.85421271595082138</v>
      </c>
      <c r="P2065" s="4">
        <f>Tabla2[[#This Row],[Rentabilidad (%)]]/12</f>
        <v>7.1184392995901777E-2</v>
      </c>
    </row>
    <row r="2066" spans="1:16" x14ac:dyDescent="0.35">
      <c r="A2066" s="1">
        <v>41760</v>
      </c>
      <c r="B2066" t="s">
        <v>16</v>
      </c>
      <c r="C2066" s="2">
        <v>490190</v>
      </c>
      <c r="D2066" s="5" t="s">
        <v>17</v>
      </c>
      <c r="E2066" s="2">
        <f>IF(Tabla2[[#This Row],[Frecuencia]]="Annual", Tabla2[[#This Row],[Cosecha/Tarea]]/12,Tabla2[[#This Row],[Cosecha/Tarea]])</f>
        <v>490190</v>
      </c>
      <c r="F2066" s="2">
        <v>2375061</v>
      </c>
      <c r="G2066" t="s">
        <v>18</v>
      </c>
      <c r="H2066">
        <f>F2066/Tabla2[[#This Row],[Cosecha Mensual]]</f>
        <v>4.8451845202880515</v>
      </c>
      <c r="I2066">
        <f>H2066*_xlfn.XLOOKUP(Tabla2[[#This Row],[Unidad de producción]],Tabla3[Medida],Tabla3[Equivalencia en Kg],"ELVIS",0)</f>
        <v>219.77756984026601</v>
      </c>
      <c r="J2066">
        <v>1833.9165151515199</v>
      </c>
      <c r="K2066" t="s">
        <v>19</v>
      </c>
      <c r="L2066">
        <f>J2066/_xlfn.XLOOKUP(Tabla2[[#This Row],[Unidad de precio]],Tabla3[Medida],Tabla3[Equivalencia en Kg],"ELVIS",0)</f>
        <v>16.671968319559273</v>
      </c>
      <c r="M2066">
        <v>7973.2432584128101</v>
      </c>
      <c r="N2066" s="2">
        <f>(Tabla2[[#This Row],[Productividad (kg/TAS)]]*Tabla2[[#This Row],[Precio por kg]]-Tabla2[[#This Row],[Costos (En RD$/Tarea)]])</f>
        <v>-4309.118576686169</v>
      </c>
      <c r="O2066" s="6">
        <f>IF(Tabla2[[#This Row],[Costos (En RD$/Tarea)]]=0,0,Tabla2[[#This Row],[Beneficio Neto  (En RD$/Tarea)]]/Tabla2[[#This Row],[Costos (En RD$/Tarea)]])</f>
        <v>-0.54044739850869195</v>
      </c>
      <c r="P2066" s="4">
        <f>Tabla2[[#This Row],[Rentabilidad (%)]]/12</f>
        <v>-4.5037283209057664E-2</v>
      </c>
    </row>
    <row r="2067" spans="1:16" x14ac:dyDescent="0.35">
      <c r="A2067" s="1">
        <v>41760</v>
      </c>
      <c r="B2067" t="s">
        <v>20</v>
      </c>
      <c r="C2067" s="2">
        <v>14360</v>
      </c>
      <c r="D2067" s="5" t="s">
        <v>17</v>
      </c>
      <c r="E2067" s="2">
        <f>IF(Tabla2[[#This Row],[Frecuencia]]="Annual", Tabla2[[#This Row],[Cosecha/Tarea]]/12,Tabla2[[#This Row],[Cosecha/Tarea]])</f>
        <v>14360</v>
      </c>
      <c r="F2067" s="2">
        <v>28126</v>
      </c>
      <c r="G2067" t="s">
        <v>18</v>
      </c>
      <c r="H2067">
        <f>F2067/Tabla2[[#This Row],[Cosecha Mensual]]</f>
        <v>1.9586350974930362</v>
      </c>
      <c r="I2067">
        <f>H2067*_xlfn.XLOOKUP(Tabla2[[#This Row],[Unidad de producción]],Tabla3[Medida],Tabla3[Equivalencia en Kg],"ELVIS",0)</f>
        <v>88.843688022284127</v>
      </c>
      <c r="J2067">
        <v>750.25047619047598</v>
      </c>
      <c r="K2067" t="s">
        <v>18</v>
      </c>
      <c r="L2067">
        <f>J2067/_xlfn.XLOOKUP(Tabla2[[#This Row],[Unidad de precio]],Tabla3[Medida],Tabla3[Equivalencia en Kg],"ELVIS",0)</f>
        <v>16.539913496262699</v>
      </c>
      <c r="M2067">
        <v>2447.4016476000002</v>
      </c>
      <c r="N2067" s="2">
        <f>(Tabla2[[#This Row],[Productividad (kg/TAS)]]*Tabla2[[#This Row],[Precio por kg]]-Tabla2[[#This Row],[Costos (En RD$/Tarea)]])</f>
        <v>-977.93473302247025</v>
      </c>
      <c r="O2067" s="6">
        <f>IF(Tabla2[[#This Row],[Costos (En RD$/Tarea)]]=0,0,Tabla2[[#This Row],[Beneficio Neto  (En RD$/Tarea)]]/Tabla2[[#This Row],[Costos (En RD$/Tarea)]])</f>
        <v>-0.39958081011405061</v>
      </c>
      <c r="P2067" s="4">
        <f>Tabla2[[#This Row],[Rentabilidad (%)]]/12</f>
        <v>-3.3298400842837549E-2</v>
      </c>
    </row>
    <row r="2068" spans="1:16" x14ac:dyDescent="0.35">
      <c r="A2068" s="1">
        <v>41760</v>
      </c>
      <c r="B2068" t="s">
        <v>21</v>
      </c>
      <c r="C2068" s="2">
        <v>6185</v>
      </c>
      <c r="D2068" s="5" t="s">
        <v>17</v>
      </c>
      <c r="E2068" s="2">
        <f>IF(Tabla2[[#This Row],[Frecuencia]]="Annual", Tabla2[[#This Row],[Cosecha/Tarea]]/12,Tabla2[[#This Row],[Cosecha/Tarea]])</f>
        <v>6185</v>
      </c>
      <c r="F2068" s="2">
        <v>62667</v>
      </c>
      <c r="G2068" t="s">
        <v>18</v>
      </c>
      <c r="H2068">
        <f>F2068/Tabla2[[#This Row],[Cosecha Mensual]]</f>
        <v>10.132093775262732</v>
      </c>
      <c r="I2068">
        <f>H2068*_xlfn.XLOOKUP(Tabla2[[#This Row],[Unidad de producción]],Tabla3[Medida],Tabla3[Equivalencia en Kg],"ELVIS",0)</f>
        <v>459.5917736459175</v>
      </c>
      <c r="J2068">
        <v>440.83333333333297</v>
      </c>
      <c r="K2068" t="s">
        <v>18</v>
      </c>
      <c r="L2068">
        <f>J2068/_xlfn.XLOOKUP(Tabla2[[#This Row],[Unidad de precio]],Tabla3[Medida],Tabla3[Equivalencia en Kg],"ELVIS",0)</f>
        <v>9.7185479129923493</v>
      </c>
      <c r="M2068">
        <v>5243.9203424999996</v>
      </c>
      <c r="N2068" s="2">
        <f>(Tabla2[[#This Row],[Productividad (kg/TAS)]]*Tabla2[[#This Row],[Precio por kg]]-Tabla2[[#This Row],[Costos (En RD$/Tarea)]])</f>
        <v>-777.35566990501593</v>
      </c>
      <c r="O2068" s="6">
        <f>IF(Tabla2[[#This Row],[Costos (En RD$/Tarea)]]=0,0,Tabla2[[#This Row],[Beneficio Neto  (En RD$/Tarea)]]/Tabla2[[#This Row],[Costos (En RD$/Tarea)]])</f>
        <v>-0.14823941233524104</v>
      </c>
      <c r="P2068" s="4">
        <f>Tabla2[[#This Row],[Rentabilidad (%)]]/12</f>
        <v>-1.2353284361270088E-2</v>
      </c>
    </row>
    <row r="2069" spans="1:16" x14ac:dyDescent="0.35">
      <c r="A2069" s="1">
        <v>41760</v>
      </c>
      <c r="B2069" t="s">
        <v>22</v>
      </c>
      <c r="C2069" s="2">
        <v>3655</v>
      </c>
      <c r="D2069" s="5" t="s">
        <v>17</v>
      </c>
      <c r="E2069" s="2">
        <f>IF(Tabla2[[#This Row],[Frecuencia]]="Annual", Tabla2[[#This Row],[Cosecha/Tarea]]/12,Tabla2[[#This Row],[Cosecha/Tarea]])</f>
        <v>3655</v>
      </c>
      <c r="F2069" s="2">
        <v>33245</v>
      </c>
      <c r="G2069" t="s">
        <v>18</v>
      </c>
      <c r="H2069">
        <f>F2069/Tabla2[[#This Row],[Cosecha Mensual]]</f>
        <v>9.0957592339261293</v>
      </c>
      <c r="I2069">
        <f>H2069*_xlfn.XLOOKUP(Tabla2[[#This Row],[Unidad de producción]],Tabla3[Medida],Tabla3[Equivalencia en Kg],"ELVIS",0)</f>
        <v>412.5836388508892</v>
      </c>
      <c r="J2069">
        <v>912</v>
      </c>
      <c r="K2069" t="s">
        <v>18</v>
      </c>
      <c r="L2069">
        <f>J2069/_xlfn.XLOOKUP(Tabla2[[#This Row],[Unidad de precio]],Tabla3[Medida],Tabla3[Equivalencia en Kg],"ELVIS",0)</f>
        <v>20.105820105820108</v>
      </c>
      <c r="M2069">
        <v>9418.5442175999997</v>
      </c>
      <c r="N2069" s="2">
        <f>(Tabla2[[#This Row],[Productividad (kg/TAS)]]*Tabla2[[#This Row],[Precio por kg]]-Tabla2[[#This Row],[Costos (En RD$/Tarea)]])</f>
        <v>-1123.2117962593693</v>
      </c>
      <c r="O2069" s="6">
        <f>IF(Tabla2[[#This Row],[Costos (En RD$/Tarea)]]=0,0,Tabla2[[#This Row],[Beneficio Neto  (En RD$/Tarea)]]/Tabla2[[#This Row],[Costos (En RD$/Tarea)]])</f>
        <v>-0.11925535096607341</v>
      </c>
      <c r="P2069" s="4">
        <f>Tabla2[[#This Row],[Rentabilidad (%)]]/12</f>
        <v>-9.9379459138394504E-3</v>
      </c>
    </row>
    <row r="2070" spans="1:16" x14ac:dyDescent="0.35">
      <c r="A2070" s="1">
        <v>41760</v>
      </c>
      <c r="B2070" t="s">
        <v>23</v>
      </c>
      <c r="C2070" s="2">
        <v>4287</v>
      </c>
      <c r="D2070" s="5" t="s">
        <v>17</v>
      </c>
      <c r="E2070" s="2">
        <f>IF(Tabla2[[#This Row],[Frecuencia]]="Annual", Tabla2[[#This Row],[Cosecha/Tarea]]/12,Tabla2[[#This Row],[Cosecha/Tarea]])</f>
        <v>4287</v>
      </c>
      <c r="F2070" s="2">
        <v>168200</v>
      </c>
      <c r="G2070" t="s">
        <v>18</v>
      </c>
      <c r="H2070">
        <f>F2070/Tabla2[[#This Row],[Cosecha Mensual]]</f>
        <v>39.234896197807323</v>
      </c>
      <c r="I2070">
        <f>H2070*_xlfn.XLOOKUP(Tabla2[[#This Row],[Unidad de producción]],Tabla3[Medida],Tabla3[Equivalencia en Kg],"ELVIS",0)</f>
        <v>1779.6948915325402</v>
      </c>
      <c r="J2070">
        <v>574</v>
      </c>
      <c r="K2070" t="s">
        <v>18</v>
      </c>
      <c r="L2070">
        <f>J2070/_xlfn.XLOOKUP(Tabla2[[#This Row],[Unidad de precio]],Tabla3[Medida],Tabla3[Equivalencia en Kg],"ELVIS",0)</f>
        <v>12.654320987654321</v>
      </c>
      <c r="M2070">
        <v>26184.1693466859</v>
      </c>
      <c r="N2070" s="2">
        <f>(Tabla2[[#This Row],[Productividad (kg/TAS)]]*Tabla2[[#This Row],[Precio por kg]]-Tabla2[[#This Row],[Costos (En RD$/Tarea)]])</f>
        <v>-3663.3389291444946</v>
      </c>
      <c r="O2070" s="6">
        <f>IF(Tabla2[[#This Row],[Costos (En RD$/Tarea)]]=0,0,Tabla2[[#This Row],[Beneficio Neto  (En RD$/Tarea)]]/Tabla2[[#This Row],[Costos (En RD$/Tarea)]])</f>
        <v>-0.13990663139398613</v>
      </c>
      <c r="P2070" s="4">
        <f>Tabla2[[#This Row],[Rentabilidad (%)]]/12</f>
        <v>-1.1658885949498843E-2</v>
      </c>
    </row>
    <row r="2071" spans="1:16" x14ac:dyDescent="0.35">
      <c r="A2071" s="1">
        <v>41760</v>
      </c>
      <c r="B2071" t="s">
        <v>24</v>
      </c>
      <c r="C2071" s="2">
        <v>4960</v>
      </c>
      <c r="D2071" s="5" t="s">
        <v>17</v>
      </c>
      <c r="E2071" s="2">
        <f>IF(Tabla2[[#This Row],[Frecuencia]]="Annual", Tabla2[[#This Row],[Cosecha/Tarea]]/12,Tabla2[[#This Row],[Cosecha/Tarea]])</f>
        <v>4960</v>
      </c>
      <c r="F2071" s="2">
        <v>35824</v>
      </c>
      <c r="G2071" t="s">
        <v>18</v>
      </c>
      <c r="H2071">
        <f>F2071/Tabla2[[#This Row],[Cosecha Mensual]]</f>
        <v>7.2225806451612904</v>
      </c>
      <c r="I2071">
        <f>H2071*_xlfn.XLOOKUP(Tabla2[[#This Row],[Unidad de producción]],Tabla3[Medida],Tabla3[Equivalencia en Kg],"ELVIS",0)</f>
        <v>327.6162580645161</v>
      </c>
      <c r="J2071">
        <v>1356</v>
      </c>
      <c r="K2071" t="s">
        <v>18</v>
      </c>
      <c r="L2071">
        <f>J2071/_xlfn.XLOOKUP(Tabla2[[#This Row],[Unidad de precio]],Tabla3[Medida],Tabla3[Equivalencia en Kg],"ELVIS",0)</f>
        <v>29.894179894179896</v>
      </c>
      <c r="M2071">
        <v>9105.9886041600002</v>
      </c>
      <c r="N2071" s="2">
        <f>(Tabla2[[#This Row],[Productividad (kg/TAS)]]*Tabla2[[#This Row],[Precio por kg]]-Tabla2[[#This Row],[Costos (En RD$/Tarea)]])</f>
        <v>687.83075067870959</v>
      </c>
      <c r="O2071" s="6">
        <f>IF(Tabla2[[#This Row],[Costos (En RD$/Tarea)]]=0,0,Tabla2[[#This Row],[Beneficio Neto  (En RD$/Tarea)]]/Tabla2[[#This Row],[Costos (En RD$/Tarea)]])</f>
        <v>7.5536087357333109E-2</v>
      </c>
      <c r="P2071" s="4">
        <f>Tabla2[[#This Row],[Rentabilidad (%)]]/12</f>
        <v>6.2946739464444261E-3</v>
      </c>
    </row>
    <row r="2072" spans="1:16" x14ac:dyDescent="0.35">
      <c r="A2072" s="1">
        <v>41760</v>
      </c>
      <c r="B2072" t="s">
        <v>25</v>
      </c>
      <c r="C2072" s="2">
        <v>27945</v>
      </c>
      <c r="D2072" s="5" t="s">
        <v>17</v>
      </c>
      <c r="E2072" s="2">
        <f>IF(Tabla2[[#This Row],[Frecuencia]]="Annual", Tabla2[[#This Row],[Cosecha/Tarea]]/12,Tabla2[[#This Row],[Cosecha/Tarea]])</f>
        <v>27945</v>
      </c>
      <c r="F2072" s="2">
        <v>312993</v>
      </c>
      <c r="G2072" t="s">
        <v>18</v>
      </c>
      <c r="H2072">
        <f>F2072/Tabla2[[#This Row],[Cosecha Mensual]]</f>
        <v>11.200322061191626</v>
      </c>
      <c r="I2072">
        <f>H2072*_xlfn.XLOOKUP(Tabla2[[#This Row],[Unidad de producción]],Tabla3[Medida],Tabla3[Equivalencia en Kg],"ELVIS",0)</f>
        <v>508.04660869565214</v>
      </c>
      <c r="J2072">
        <v>287.63335714285699</v>
      </c>
      <c r="K2072" t="s">
        <v>18</v>
      </c>
      <c r="L2072">
        <f>J2072/_xlfn.XLOOKUP(Tabla2[[#This Row],[Unidad de precio]],Tabla3[Medida],Tabla3[Equivalencia en Kg],"ELVIS",0)</f>
        <v>6.3411233938019622</v>
      </c>
      <c r="M2072">
        <v>4871.6687043187803</v>
      </c>
      <c r="N2072" s="2">
        <f>(Tabla2[[#This Row],[Productividad (kg/TAS)]]*Tabla2[[#This Row],[Precio por kg]]-Tabla2[[#This Row],[Costos (En RD$/Tarea)]])</f>
        <v>-1650.0824687770291</v>
      </c>
      <c r="O2072" s="6">
        <f>IF(Tabla2[[#This Row],[Costos (En RD$/Tarea)]]=0,0,Tabla2[[#This Row],[Beneficio Neto  (En RD$/Tarea)]]/Tabla2[[#This Row],[Costos (En RD$/Tarea)]])</f>
        <v>-0.33870991007952067</v>
      </c>
      <c r="P2072" s="4">
        <f>Tabla2[[#This Row],[Rentabilidad (%)]]/12</f>
        <v>-2.8225825839960056E-2</v>
      </c>
    </row>
    <row r="2073" spans="1:16" x14ac:dyDescent="0.35">
      <c r="A2073" s="1">
        <v>41760</v>
      </c>
      <c r="B2073" t="s">
        <v>26</v>
      </c>
      <c r="C2073" s="2">
        <v>6585</v>
      </c>
      <c r="D2073" s="5" t="s">
        <v>17</v>
      </c>
      <c r="E2073" s="2">
        <f>IF(Tabla2[[#This Row],[Frecuencia]]="Annual", Tabla2[[#This Row],[Cosecha/Tarea]]/12,Tabla2[[#This Row],[Cosecha/Tarea]])</f>
        <v>6585</v>
      </c>
      <c r="F2073" s="2">
        <v>43056</v>
      </c>
      <c r="G2073" t="s">
        <v>18</v>
      </c>
      <c r="H2073">
        <f>F2073/Tabla2[[#This Row],[Cosecha Mensual]]</f>
        <v>6.538496583143508</v>
      </c>
      <c r="I2073">
        <f>H2073*_xlfn.XLOOKUP(Tabla2[[#This Row],[Unidad de producción]],Tabla3[Medida],Tabla3[Equivalencia en Kg],"ELVIS",0)</f>
        <v>296.5862050113895</v>
      </c>
      <c r="J2073">
        <v>1004.8611111111099</v>
      </c>
      <c r="K2073" t="s">
        <v>18</v>
      </c>
      <c r="L2073">
        <f>J2073/_xlfn.XLOOKUP(Tabla2[[#This Row],[Unidad de precio]],Tabla3[Medida],Tabla3[Equivalencia en Kg],"ELVIS",0)</f>
        <v>22.153022731726409</v>
      </c>
      <c r="M2073">
        <v>2107.5566399999998</v>
      </c>
      <c r="N2073" s="2">
        <f>(Tabla2[[#This Row],[Productividad (kg/TAS)]]*Tabla2[[#This Row],[Precio por kg]]-Tabla2[[#This Row],[Costos (En RD$/Tarea)]])</f>
        <v>4462.7243015337808</v>
      </c>
      <c r="O2073" s="6">
        <f>IF(Tabla2[[#This Row],[Costos (En RD$/Tarea)]]=0,0,Tabla2[[#This Row],[Beneficio Neto  (En RD$/Tarea)]]/Tabla2[[#This Row],[Costos (En RD$/Tarea)]])</f>
        <v>2.1174872441548147</v>
      </c>
      <c r="P2073" s="4">
        <f>Tabla2[[#This Row],[Rentabilidad (%)]]/12</f>
        <v>0.17645727034623457</v>
      </c>
    </row>
    <row r="2074" spans="1:16" x14ac:dyDescent="0.35">
      <c r="A2074" s="1">
        <v>41760</v>
      </c>
      <c r="B2074" t="s">
        <v>27</v>
      </c>
      <c r="C2074" s="2">
        <v>3517</v>
      </c>
      <c r="D2074" s="5" t="s">
        <v>17</v>
      </c>
      <c r="E2074" s="2">
        <f>IF(Tabla2[[#This Row],[Frecuencia]]="Annual", Tabla2[[#This Row],[Cosecha/Tarea]]/12,Tabla2[[#This Row],[Cosecha/Tarea]])</f>
        <v>3517</v>
      </c>
      <c r="F2074" s="2">
        <v>35619</v>
      </c>
      <c r="G2074" t="s">
        <v>18</v>
      </c>
      <c r="H2074">
        <f>F2074/Tabla2[[#This Row],[Cosecha Mensual]]</f>
        <v>10.127665624111458</v>
      </c>
      <c r="I2074">
        <f>H2074*_xlfn.XLOOKUP(Tabla2[[#This Row],[Unidad de producción]],Tabla3[Medida],Tabla3[Equivalencia en Kg],"ELVIS",0)</f>
        <v>459.39091270969573</v>
      </c>
      <c r="J2074">
        <v>688.51190476190504</v>
      </c>
      <c r="K2074" t="s">
        <v>18</v>
      </c>
      <c r="L2074">
        <f>J2074/_xlfn.XLOOKUP(Tabla2[[#This Row],[Unidad de precio]],Tabla3[Medida],Tabla3[Equivalencia en Kg],"ELVIS",0)</f>
        <v>15.17883387923071</v>
      </c>
      <c r="M2074">
        <v>8288.2983415050003</v>
      </c>
      <c r="N2074" s="2">
        <f>(Tabla2[[#This Row],[Productividad (kg/TAS)]]*Tabla2[[#This Row],[Precio por kg]]-Tabla2[[#This Row],[Costos (En RD$/Tarea)]])</f>
        <v>-1315.2799918563524</v>
      </c>
      <c r="O2074" s="6">
        <f>IF(Tabla2[[#This Row],[Costos (En RD$/Tarea)]]=0,0,Tabla2[[#This Row],[Beneficio Neto  (En RD$/Tarea)]]/Tabla2[[#This Row],[Costos (En RD$/Tarea)]])</f>
        <v>-0.15869119783850855</v>
      </c>
      <c r="P2074" s="4">
        <f>Tabla2[[#This Row],[Rentabilidad (%)]]/12</f>
        <v>-1.3224266486542379E-2</v>
      </c>
    </row>
    <row r="2075" spans="1:16" x14ac:dyDescent="0.35">
      <c r="A2075" s="1">
        <v>41760</v>
      </c>
      <c r="B2075" t="s">
        <v>28</v>
      </c>
      <c r="C2075" s="2">
        <v>13924</v>
      </c>
      <c r="D2075" s="5" t="s">
        <v>17</v>
      </c>
      <c r="E2075" s="2">
        <f>IF(Tabla2[[#This Row],[Frecuencia]]="Annual", Tabla2[[#This Row],[Cosecha/Tarea]]/12,Tabla2[[#This Row],[Cosecha/Tarea]])</f>
        <v>13924</v>
      </c>
      <c r="F2075" s="2">
        <v>12773</v>
      </c>
      <c r="G2075" t="s">
        <v>29</v>
      </c>
      <c r="H2075">
        <f>F2075/Tabla2[[#This Row],[Cosecha Mensual]]</f>
        <v>0.9173369721344441</v>
      </c>
      <c r="I2075">
        <f>H2075*_xlfn.XLOOKUP(Tabla2[[#This Row],[Unidad de producción]],Tabla3[Medida],Tabla3[Equivalencia en Kg],"ELVIS",0)</f>
        <v>515.85527291008327</v>
      </c>
      <c r="J2075">
        <v>5818.75</v>
      </c>
      <c r="K2075" t="s">
        <v>29</v>
      </c>
      <c r="L2075">
        <f>J2075/_xlfn.XLOOKUP(Tabla2[[#This Row],[Unidad de precio]],Tabla3[Medida],Tabla3[Equivalencia en Kg],"ELVIS",0)</f>
        <v>10.347387701390618</v>
      </c>
      <c r="M2075">
        <v>7150.5342362867696</v>
      </c>
      <c r="N2075" s="2">
        <f>(Tabla2[[#This Row],[Productividad (kg/TAS)]]*Tabla2[[#This Row],[Precio por kg]]-Tabla2[[#This Row],[Costos (En RD$/Tarea)]])</f>
        <v>-1812.7797296794733</v>
      </c>
      <c r="O2075" s="6">
        <f>IF(Tabla2[[#This Row],[Costos (En RD$/Tarea)]]=0,0,Tabla2[[#This Row],[Beneficio Neto  (En RD$/Tarea)]]/Tabla2[[#This Row],[Costos (En RD$/Tarea)]])</f>
        <v>-0.25351668417727052</v>
      </c>
      <c r="P2075" s="4">
        <f>Tabla2[[#This Row],[Rentabilidad (%)]]/12</f>
        <v>-2.1126390348105876E-2</v>
      </c>
    </row>
    <row r="2076" spans="1:16" x14ac:dyDescent="0.35">
      <c r="A2076" s="1">
        <v>41760</v>
      </c>
      <c r="B2076" t="s">
        <v>30</v>
      </c>
      <c r="C2076" s="2">
        <v>407360</v>
      </c>
      <c r="D2076" s="2" t="s">
        <v>31</v>
      </c>
      <c r="E2076" s="2">
        <f>IF(Tabla2[[#This Row],[Frecuencia]]="Annual", Tabla2[[#This Row],[Cosecha/Tarea]]/12,Tabla2[[#This Row],[Cosecha/Tarea]])</f>
        <v>33946.666666666664</v>
      </c>
      <c r="F2076" s="2">
        <v>3193926</v>
      </c>
      <c r="G2076" t="s">
        <v>32</v>
      </c>
      <c r="H2076">
        <f>F2076/Tabla2[[#This Row],[Cosecha Mensual]]</f>
        <v>94.086586802827966</v>
      </c>
      <c r="I2076">
        <f>H2076*_xlfn.XLOOKUP(Tabla2[[#This Row],[Unidad de producción]],Tabla3[Medida],Tabla3[Equivalencia en Kg],"ELVIS",0)</f>
        <v>2560.0960269049492</v>
      </c>
      <c r="J2076">
        <v>132.79761904761901</v>
      </c>
      <c r="K2076" t="s">
        <v>32</v>
      </c>
      <c r="L2076">
        <f>J2076/_xlfn.XLOOKUP(Tabla2[[#This Row],[Unidad de precio]],Tabla3[Medida],Tabla3[Equivalencia en Kg],"ELVIS",0)</f>
        <v>4.8804711153112459</v>
      </c>
      <c r="M2076" s="2">
        <v>12538.8969859716</v>
      </c>
      <c r="N2076" s="2">
        <f>(Tabla2[[#This Row],[Productividad (kg/TAS)]]*Tabla2[[#This Row],[Precio por kg]]-Tabla2[[#This Row],[Costos (En RD$/Tarea)]])</f>
        <v>-44.422274238913815</v>
      </c>
      <c r="O2076" s="6">
        <f>IF(Tabla2[[#This Row],[Costos (En RD$/Tarea)]]=0,0,Tabla2[[#This Row],[Beneficio Neto  (En RD$/Tarea)]]/Tabla2[[#This Row],[Costos (En RD$/Tarea)]])</f>
        <v>-3.5427577312911207E-3</v>
      </c>
      <c r="P2076" s="4">
        <f>Tabla2[[#This Row],[Rentabilidad (%)]]/12</f>
        <v>-2.952298109409267E-4</v>
      </c>
    </row>
    <row r="2077" spans="1:16" x14ac:dyDescent="0.35">
      <c r="A2077" s="1">
        <v>41760</v>
      </c>
      <c r="B2077" t="s">
        <v>33</v>
      </c>
      <c r="C2077" s="2">
        <v>702019</v>
      </c>
      <c r="D2077" s="2" t="s">
        <v>31</v>
      </c>
      <c r="E2077" s="8">
        <f>IF(Tabla2[[#This Row],[Frecuencia]]="Annual", Tabla2[[#This Row],[Cosecha/Tarea]]/12,Tabla2[[#This Row],[Cosecha/Tarea]])</f>
        <v>58501.583333333336</v>
      </c>
      <c r="F2077" s="2">
        <v>222822</v>
      </c>
      <c r="G2077" t="s">
        <v>34</v>
      </c>
      <c r="H2077">
        <f>F2077/Tabla2[[#This Row],[Cosecha Mensual]]</f>
        <v>3.8088199892025711</v>
      </c>
      <c r="I2077">
        <f>H2077*_xlfn.XLOOKUP(Tabla2[[#This Row],[Unidad de producción]],Tabla3[Medida],Tabla3[Equivalencia en Kg],"ELVIS",0)</f>
        <v>1554.5698785930292</v>
      </c>
      <c r="J2077">
        <v>4337.2857142857201</v>
      </c>
      <c r="K2077" t="s">
        <v>34</v>
      </c>
      <c r="L2077">
        <f>J2077/_xlfn.XLOOKUP(Tabla2[[#This Row],[Unidad de precio]],Tabla3[Medida],Tabla3[Equivalencia en Kg],"ELVIS",0)</f>
        <v>10.626695367599462</v>
      </c>
      <c r="M2077" s="2">
        <v>12054.016631725301</v>
      </c>
      <c r="N2077" s="2">
        <f>(Tabla2[[#This Row],[Productividad (kg/TAS)]]*Tabla2[[#This Row],[Precio por kg]]-Tabla2[[#This Row],[Costos (En RD$/Tarea)]])</f>
        <v>4465.9238957288999</v>
      </c>
      <c r="O2077" s="6">
        <f>IF(Tabla2[[#This Row],[Costos (En RD$/Tarea)]]=0,0,Tabla2[[#This Row],[Beneficio Neto  (En RD$/Tarea)]]/Tabla2[[#This Row],[Costos (En RD$/Tarea)]])</f>
        <v>0.37049259447468413</v>
      </c>
      <c r="P2077" s="4">
        <f>Tabla2[[#This Row],[Rentabilidad (%)]]/12</f>
        <v>3.0874382872890346E-2</v>
      </c>
    </row>
    <row r="2078" spans="1:16" x14ac:dyDescent="0.35">
      <c r="A2078" s="1">
        <v>41791</v>
      </c>
      <c r="B2078" t="s">
        <v>16</v>
      </c>
      <c r="C2078" s="2">
        <v>169022</v>
      </c>
      <c r="D2078" s="5" t="s">
        <v>17</v>
      </c>
      <c r="E2078" s="2">
        <f>IF(Tabla2[[#This Row],[Frecuencia]]="Annual", Tabla2[[#This Row],[Cosecha/Tarea]]/12,Tabla2[[#This Row],[Cosecha/Tarea]])</f>
        <v>169022</v>
      </c>
      <c r="F2078" s="2">
        <v>846254</v>
      </c>
      <c r="G2078" t="s">
        <v>18</v>
      </c>
      <c r="H2078">
        <f>F2078/Tabla2[[#This Row],[Cosecha Mensual]]</f>
        <v>5.0067683496822895</v>
      </c>
      <c r="I2078">
        <f>H2078*_xlfn.XLOOKUP(Tabla2[[#This Row],[Unidad de producción]],Tabla3[Medida],Tabla3[Equivalencia en Kg],"ELVIS",0)</f>
        <v>227.10701234158864</v>
      </c>
      <c r="J2078">
        <v>1838.9798863636399</v>
      </c>
      <c r="K2078" t="s">
        <v>19</v>
      </c>
      <c r="L2078">
        <f>J2078/_xlfn.XLOOKUP(Tabla2[[#This Row],[Unidad de precio]],Tabla3[Medida],Tabla3[Equivalencia en Kg],"ELVIS",0)</f>
        <v>16.717998966942183</v>
      </c>
      <c r="M2078">
        <v>7973.2432584128101</v>
      </c>
      <c r="N2078" s="2">
        <f>(Tabla2[[#This Row],[Productividad (kg/TAS)]]*Tabla2[[#This Row],[Precio por kg]]-Tabla2[[#This Row],[Costos (En RD$/Tarea)]])</f>
        <v>-4176.4684607008057</v>
      </c>
      <c r="O2078" s="6">
        <f>IF(Tabla2[[#This Row],[Costos (En RD$/Tarea)]]=0,0,Tabla2[[#This Row],[Beneficio Neto  (En RD$/Tarea)]]/Tabla2[[#This Row],[Costos (En RD$/Tarea)]])</f>
        <v>-0.52381049032889937</v>
      </c>
      <c r="P2078" s="4">
        <f>Tabla2[[#This Row],[Rentabilidad (%)]]/12</f>
        <v>-4.365087419407495E-2</v>
      </c>
    </row>
    <row r="2079" spans="1:16" x14ac:dyDescent="0.35">
      <c r="A2079" s="1">
        <v>41791</v>
      </c>
      <c r="B2079" t="s">
        <v>20</v>
      </c>
      <c r="C2079" s="2">
        <v>34588</v>
      </c>
      <c r="D2079" s="5" t="s">
        <v>17</v>
      </c>
      <c r="E2079" s="2">
        <f>IF(Tabla2[[#This Row],[Frecuencia]]="Annual", Tabla2[[#This Row],[Cosecha/Tarea]]/12,Tabla2[[#This Row],[Cosecha/Tarea]])</f>
        <v>34588</v>
      </c>
      <c r="F2079" s="2">
        <v>85474</v>
      </c>
      <c r="G2079" t="s">
        <v>18</v>
      </c>
      <c r="H2079">
        <f>F2079/Tabla2[[#This Row],[Cosecha Mensual]]</f>
        <v>2.4712038857407195</v>
      </c>
      <c r="I2079">
        <f>H2079*_xlfn.XLOOKUP(Tabla2[[#This Row],[Unidad de producción]],Tabla3[Medida],Tabla3[Equivalencia en Kg],"ELVIS",0)</f>
        <v>112.09380825719903</v>
      </c>
      <c r="J2079">
        <v>762.618333333333</v>
      </c>
      <c r="K2079" t="s">
        <v>18</v>
      </c>
      <c r="L2079">
        <f>J2079/_xlfn.XLOOKUP(Tabla2[[#This Row],[Unidad de precio]],Tabla3[Medida],Tabla3[Equivalencia en Kg],"ELVIS",0)</f>
        <v>16.81257348618459</v>
      </c>
      <c r="M2079">
        <v>2447.4016476000002</v>
      </c>
      <c r="N2079" s="2">
        <f>(Tabla2[[#This Row],[Productividad (kg/TAS)]]*Tabla2[[#This Row],[Precio por kg]]-Tabla2[[#This Row],[Costos (En RD$/Tarea)]])</f>
        <v>-562.8162589295564</v>
      </c>
      <c r="O2079" s="6">
        <f>IF(Tabla2[[#This Row],[Costos (En RD$/Tarea)]]=0,0,Tabla2[[#This Row],[Beneficio Neto  (En RD$/Tarea)]]/Tabla2[[#This Row],[Costos (En RD$/Tarea)]])</f>
        <v>-0.22996481165299201</v>
      </c>
      <c r="P2079" s="4">
        <f>Tabla2[[#This Row],[Rentabilidad (%)]]/12</f>
        <v>-1.9163734304416001E-2</v>
      </c>
    </row>
    <row r="2080" spans="1:16" x14ac:dyDescent="0.35">
      <c r="A2080" s="1">
        <v>41791</v>
      </c>
      <c r="B2080" t="s">
        <v>21</v>
      </c>
      <c r="C2080" s="2">
        <v>8854</v>
      </c>
      <c r="D2080" s="5" t="s">
        <v>17</v>
      </c>
      <c r="E2080" s="2">
        <f>IF(Tabla2[[#This Row],[Frecuencia]]="Annual", Tabla2[[#This Row],[Cosecha/Tarea]]/12,Tabla2[[#This Row],[Cosecha/Tarea]])</f>
        <v>8854</v>
      </c>
      <c r="F2080" s="2">
        <v>95211</v>
      </c>
      <c r="G2080" t="s">
        <v>18</v>
      </c>
      <c r="H2080">
        <f>F2080/Tabla2[[#This Row],[Cosecha Mensual]]</f>
        <v>10.753444770725096</v>
      </c>
      <c r="I2080">
        <f>H2080*_xlfn.XLOOKUP(Tabla2[[#This Row],[Unidad de producción]],Tabla3[Medida],Tabla3[Equivalencia en Kg],"ELVIS",0)</f>
        <v>487.77625480009038</v>
      </c>
      <c r="J2080">
        <v>332.460916666667</v>
      </c>
      <c r="K2080" t="s">
        <v>18</v>
      </c>
      <c r="L2080">
        <f>J2080/_xlfn.XLOOKUP(Tabla2[[#This Row],[Unidad de precio]],Tabla3[Medida],Tabla3[Equivalencia en Kg],"ELVIS",0)</f>
        <v>7.3293852880658514</v>
      </c>
      <c r="M2080">
        <v>5243.9203424999996</v>
      </c>
      <c r="N2080" s="2">
        <f>(Tabla2[[#This Row],[Productividad (kg/TAS)]]*Tabla2[[#This Row],[Precio por kg]]-Tabla2[[#This Row],[Costos (En RD$/Tarea)]])</f>
        <v>-1668.8202367003569</v>
      </c>
      <c r="O2080" s="6">
        <f>IF(Tabla2[[#This Row],[Costos (En RD$/Tarea)]]=0,0,Tabla2[[#This Row],[Beneficio Neto  (En RD$/Tarea)]]/Tabla2[[#This Row],[Costos (En RD$/Tarea)]])</f>
        <v>-0.31823905164523519</v>
      </c>
      <c r="P2080" s="4">
        <f>Tabla2[[#This Row],[Rentabilidad (%)]]/12</f>
        <v>-2.6519920970436265E-2</v>
      </c>
    </row>
    <row r="2081" spans="1:16" x14ac:dyDescent="0.35">
      <c r="A2081" s="1">
        <v>41791</v>
      </c>
      <c r="B2081" t="s">
        <v>22</v>
      </c>
      <c r="C2081" s="2">
        <v>4987</v>
      </c>
      <c r="D2081" s="5" t="s">
        <v>17</v>
      </c>
      <c r="E2081" s="2">
        <f>IF(Tabla2[[#This Row],[Frecuencia]]="Annual", Tabla2[[#This Row],[Cosecha/Tarea]]/12,Tabla2[[#This Row],[Cosecha/Tarea]])</f>
        <v>4987</v>
      </c>
      <c r="F2081" s="2">
        <v>39897</v>
      </c>
      <c r="G2081" t="s">
        <v>18</v>
      </c>
      <c r="H2081">
        <f>F2081/Tabla2[[#This Row],[Cosecha Mensual]]</f>
        <v>8.0002005213555236</v>
      </c>
      <c r="I2081">
        <f>H2081*_xlfn.XLOOKUP(Tabla2[[#This Row],[Unidad de producción]],Tabla3[Medida],Tabla3[Equivalencia en Kg],"ELVIS",0)</f>
        <v>362.88909564868652</v>
      </c>
      <c r="J2081">
        <v>934.36666666666702</v>
      </c>
      <c r="K2081" t="s">
        <v>18</v>
      </c>
      <c r="L2081">
        <f>J2081/_xlfn.XLOOKUP(Tabla2[[#This Row],[Unidad de precio]],Tabla3[Medida],Tabla3[Equivalencia en Kg],"ELVIS",0)</f>
        <v>20.598912404467967</v>
      </c>
      <c r="M2081">
        <v>9418.5442175999997</v>
      </c>
      <c r="N2081" s="2">
        <f>(Tabla2[[#This Row],[Productividad (kg/TAS)]]*Tabla2[[#This Row],[Precio por kg]]-Tabla2[[#This Row],[Costos (En RD$/Tarea)]])</f>
        <v>-1943.4235237961084</v>
      </c>
      <c r="O2081" s="6">
        <f>IF(Tabla2[[#This Row],[Costos (En RD$/Tarea)]]=0,0,Tabla2[[#This Row],[Beneficio Neto  (En RD$/Tarea)]]/Tabla2[[#This Row],[Costos (En RD$/Tarea)]])</f>
        <v>-0.20634011784586861</v>
      </c>
      <c r="P2081" s="4">
        <f>Tabla2[[#This Row],[Rentabilidad (%)]]/12</f>
        <v>-1.7195009820489052E-2</v>
      </c>
    </row>
    <row r="2082" spans="1:16" x14ac:dyDescent="0.35">
      <c r="A2082" s="1">
        <v>41791</v>
      </c>
      <c r="B2082" t="s">
        <v>23</v>
      </c>
      <c r="C2082" s="2">
        <v>3411</v>
      </c>
      <c r="D2082" s="5" t="s">
        <v>17</v>
      </c>
      <c r="E2082" s="2">
        <f>IF(Tabla2[[#This Row],[Frecuencia]]="Annual", Tabla2[[#This Row],[Cosecha/Tarea]]/12,Tabla2[[#This Row],[Cosecha/Tarea]])</f>
        <v>3411</v>
      </c>
      <c r="F2082" s="2">
        <v>129890</v>
      </c>
      <c r="G2082" t="s">
        <v>18</v>
      </c>
      <c r="H2082">
        <f>F2082/Tabla2[[#This Row],[Cosecha Mensual]]</f>
        <v>38.079742011140425</v>
      </c>
      <c r="I2082">
        <f>H2082*_xlfn.XLOOKUP(Tabla2[[#This Row],[Unidad de producción]],Tabla3[Medida],Tabla3[Equivalencia en Kg],"ELVIS",0)</f>
        <v>1727.2970976253296</v>
      </c>
      <c r="J2082">
        <v>787.5</v>
      </c>
      <c r="K2082" t="s">
        <v>18</v>
      </c>
      <c r="L2082">
        <f>J2082/_xlfn.XLOOKUP(Tabla2[[#This Row],[Unidad de precio]],Tabla3[Medida],Tabla3[Equivalencia en Kg],"ELVIS",0)</f>
        <v>17.361111111111111</v>
      </c>
      <c r="M2082">
        <v>26184.1693466859</v>
      </c>
      <c r="N2082" s="2">
        <f>(Tabla2[[#This Row],[Productividad (kg/TAS)]]*Tabla2[[#This Row],[Precio por kg]]-Tabla2[[#This Row],[Costos (En RD$/Tarea)]])</f>
        <v>3803.6274870871821</v>
      </c>
      <c r="O2082" s="6">
        <f>IF(Tabla2[[#This Row],[Costos (En RD$/Tarea)]]=0,0,Tabla2[[#This Row],[Beneficio Neto  (En RD$/Tarea)]]/Tabla2[[#This Row],[Costos (En RD$/Tarea)]])</f>
        <v>0.14526439379176267</v>
      </c>
      <c r="P2082" s="4">
        <f>Tabla2[[#This Row],[Rentabilidad (%)]]/12</f>
        <v>1.2105366149313556E-2</v>
      </c>
    </row>
    <row r="2083" spans="1:16" x14ac:dyDescent="0.35">
      <c r="A2083" s="1">
        <v>41791</v>
      </c>
      <c r="B2083" t="s">
        <v>24</v>
      </c>
      <c r="C2083" s="2">
        <v>7854</v>
      </c>
      <c r="D2083" s="5" t="s">
        <v>17</v>
      </c>
      <c r="E2083" s="2">
        <f>IF(Tabla2[[#This Row],[Frecuencia]]="Annual", Tabla2[[#This Row],[Cosecha/Tarea]]/12,Tabla2[[#This Row],[Cosecha/Tarea]])</f>
        <v>7854</v>
      </c>
      <c r="F2083" s="2">
        <v>59874</v>
      </c>
      <c r="G2083" t="s">
        <v>18</v>
      </c>
      <c r="H2083">
        <f>F2083/Tabla2[[#This Row],[Cosecha Mensual]]</f>
        <v>7.6233766233766236</v>
      </c>
      <c r="I2083">
        <f>H2083*_xlfn.XLOOKUP(Tabla2[[#This Row],[Unidad de producción]],Tabla3[Medida],Tabla3[Equivalencia en Kg],"ELVIS",0)</f>
        <v>345.79636363636365</v>
      </c>
      <c r="J2083">
        <v>1365.7142857142901</v>
      </c>
      <c r="K2083" t="s">
        <v>18</v>
      </c>
      <c r="L2083">
        <f>J2083/_xlfn.XLOOKUP(Tabla2[[#This Row],[Unidad de precio]],Tabla3[Medida],Tabla3[Equivalencia en Kg],"ELVIS",0)</f>
        <v>30.108339632149253</v>
      </c>
      <c r="M2083">
        <v>9105.9886041600002</v>
      </c>
      <c r="N2083" s="2">
        <f>(Tabla2[[#This Row],[Productividad (kg/TAS)]]*Tabla2[[#This Row],[Precio por kg]]-Tabla2[[#This Row],[Costos (En RD$/Tarea)]])</f>
        <v>1305.3657557658225</v>
      </c>
      <c r="O2083" s="6">
        <f>IF(Tabla2[[#This Row],[Costos (En RD$/Tarea)]]=0,0,Tabla2[[#This Row],[Beneficio Neto  (En RD$/Tarea)]]/Tabla2[[#This Row],[Costos (En RD$/Tarea)]])</f>
        <v>0.14335244776931483</v>
      </c>
      <c r="P2083" s="4">
        <f>Tabla2[[#This Row],[Rentabilidad (%)]]/12</f>
        <v>1.194603731410957E-2</v>
      </c>
    </row>
    <row r="2084" spans="1:16" x14ac:dyDescent="0.35">
      <c r="A2084" s="1">
        <v>41791</v>
      </c>
      <c r="B2084" t="s">
        <v>25</v>
      </c>
      <c r="C2084" s="2">
        <v>27071</v>
      </c>
      <c r="D2084" s="5" t="s">
        <v>17</v>
      </c>
      <c r="E2084" s="2">
        <f>IF(Tabla2[[#This Row],[Frecuencia]]="Annual", Tabla2[[#This Row],[Cosecha/Tarea]]/12,Tabla2[[#This Row],[Cosecha/Tarea]])</f>
        <v>27071</v>
      </c>
      <c r="F2084" s="2">
        <v>304822</v>
      </c>
      <c r="G2084" t="s">
        <v>18</v>
      </c>
      <c r="H2084">
        <f>F2084/Tabla2[[#This Row],[Cosecha Mensual]]</f>
        <v>11.260093827342914</v>
      </c>
      <c r="I2084">
        <f>H2084*_xlfn.XLOOKUP(Tabla2[[#This Row],[Unidad de producción]],Tabla3[Medida],Tabla3[Equivalencia en Kg],"ELVIS",0)</f>
        <v>510.75785600827453</v>
      </c>
      <c r="J2084">
        <v>285.52782142857097</v>
      </c>
      <c r="K2084" t="s">
        <v>18</v>
      </c>
      <c r="L2084">
        <f>J2084/_xlfn.XLOOKUP(Tabla2[[#This Row],[Unidad de precio]],Tabla3[Medida],Tabla3[Equivalencia en Kg],"ELVIS",0)</f>
        <v>6.2947050579490957</v>
      </c>
      <c r="M2084">
        <v>4871.6687043187803</v>
      </c>
      <c r="N2084" s="2">
        <f>(Tabla2[[#This Row],[Productividad (kg/TAS)]]*Tabla2[[#This Row],[Precio por kg]]-Tabla2[[#This Row],[Costos (En RD$/Tarea)]])</f>
        <v>-1656.5986447162586</v>
      </c>
      <c r="O2084" s="6">
        <f>IF(Tabla2[[#This Row],[Costos (En RD$/Tarea)]]=0,0,Tabla2[[#This Row],[Beneficio Neto  (En RD$/Tarea)]]/Tabla2[[#This Row],[Costos (En RD$/Tarea)]])</f>
        <v>-0.34004747556985315</v>
      </c>
      <c r="P2084" s="4">
        <f>Tabla2[[#This Row],[Rentabilidad (%)]]/12</f>
        <v>-2.8337289630821095E-2</v>
      </c>
    </row>
    <row r="2085" spans="1:16" x14ac:dyDescent="0.35">
      <c r="A2085" s="1">
        <v>41791</v>
      </c>
      <c r="B2085" t="s">
        <v>26</v>
      </c>
      <c r="C2085" s="2">
        <v>17584</v>
      </c>
      <c r="D2085" s="5" t="s">
        <v>17</v>
      </c>
      <c r="E2085" s="2">
        <f>IF(Tabla2[[#This Row],[Frecuencia]]="Annual", Tabla2[[#This Row],[Cosecha/Tarea]]/12,Tabla2[[#This Row],[Cosecha/Tarea]])</f>
        <v>17584</v>
      </c>
      <c r="F2085" s="2">
        <v>90624</v>
      </c>
      <c r="G2085" t="s">
        <v>18</v>
      </c>
      <c r="H2085">
        <f>F2085/Tabla2[[#This Row],[Cosecha Mensual]]</f>
        <v>5.1537761601455871</v>
      </c>
      <c r="I2085">
        <f>H2085*_xlfn.XLOOKUP(Tabla2[[#This Row],[Unidad de producción]],Tabla3[Medida],Tabla3[Equivalencia en Kg],"ELVIS",0)</f>
        <v>233.77528662420383</v>
      </c>
      <c r="J2085">
        <v>862.22208333333299</v>
      </c>
      <c r="K2085" t="s">
        <v>18</v>
      </c>
      <c r="L2085">
        <f>J2085/_xlfn.XLOOKUP(Tabla2[[#This Row],[Unidad de precio]],Tabla3[Medida],Tabla3[Equivalencia en Kg],"ELVIS",0)</f>
        <v>19.008423353909457</v>
      </c>
      <c r="M2085">
        <v>2107.5566399999998</v>
      </c>
      <c r="N2085" s="2">
        <f>(Tabla2[[#This Row],[Productividad (kg/TAS)]]*Tabla2[[#This Row],[Precio por kg]]-Tabla2[[#This Row],[Costos (En RD$/Tarea)]])</f>
        <v>2336.1429778343936</v>
      </c>
      <c r="O2085" s="6">
        <f>IF(Tabla2[[#This Row],[Costos (En RD$/Tarea)]]=0,0,Tabla2[[#This Row],[Beneficio Neto  (En RD$/Tarea)]]/Tabla2[[#This Row],[Costos (En RD$/Tarea)]])</f>
        <v>1.1084603533285795</v>
      </c>
      <c r="P2085" s="4">
        <f>Tabla2[[#This Row],[Rentabilidad (%)]]/12</f>
        <v>9.2371696110714954E-2</v>
      </c>
    </row>
    <row r="2086" spans="1:16" x14ac:dyDescent="0.35">
      <c r="A2086" s="1">
        <v>41791</v>
      </c>
      <c r="B2086" t="s">
        <v>27</v>
      </c>
      <c r="C2086" s="2">
        <v>6998</v>
      </c>
      <c r="D2086" s="5" t="s">
        <v>17</v>
      </c>
      <c r="E2086" s="2">
        <f>IF(Tabla2[[#This Row],[Frecuencia]]="Annual", Tabla2[[#This Row],[Cosecha/Tarea]]/12,Tabla2[[#This Row],[Cosecha/Tarea]])</f>
        <v>6998</v>
      </c>
      <c r="F2086" s="2">
        <v>38977</v>
      </c>
      <c r="G2086" t="s">
        <v>18</v>
      </c>
      <c r="H2086">
        <f>F2086/Tabla2[[#This Row],[Cosecha Mensual]]</f>
        <v>5.5697342097742215</v>
      </c>
      <c r="I2086">
        <f>H2086*_xlfn.XLOOKUP(Tabla2[[#This Row],[Unidad de producción]],Tabla3[Medida],Tabla3[Equivalencia en Kg],"ELVIS",0)</f>
        <v>252.64314375535869</v>
      </c>
      <c r="J2086">
        <v>585.98625000000004</v>
      </c>
      <c r="K2086" t="s">
        <v>18</v>
      </c>
      <c r="L2086">
        <f>J2086/_xlfn.XLOOKUP(Tabla2[[#This Row],[Unidad de precio]],Tabla3[Medida],Tabla3[Equivalencia en Kg],"ELVIS",0)</f>
        <v>12.918568121693124</v>
      </c>
      <c r="M2086">
        <v>8288.2983415050003</v>
      </c>
      <c r="N2086" s="2">
        <f>(Tabla2[[#This Row],[Productividad (kg/TAS)]]*Tabla2[[#This Row],[Precio por kg]]-Tabla2[[#This Row],[Costos (En RD$/Tarea)]])</f>
        <v>-5024.51067842269</v>
      </c>
      <c r="O2086" s="6">
        <f>IF(Tabla2[[#This Row],[Costos (En RD$/Tarea)]]=0,0,Tabla2[[#This Row],[Beneficio Neto  (En RD$/Tarea)]]/Tabla2[[#This Row],[Costos (En RD$/Tarea)]])</f>
        <v>-0.6062174008941783</v>
      </c>
      <c r="P2086" s="4">
        <f>Tabla2[[#This Row],[Rentabilidad (%)]]/12</f>
        <v>-5.0518116741181528E-2</v>
      </c>
    </row>
    <row r="2087" spans="1:16" x14ac:dyDescent="0.35">
      <c r="A2087" s="1">
        <v>41791</v>
      </c>
      <c r="B2087" t="s">
        <v>28</v>
      </c>
      <c r="C2087" s="2">
        <v>4210</v>
      </c>
      <c r="D2087" s="5" t="s">
        <v>17</v>
      </c>
      <c r="E2087" s="2">
        <f>IF(Tabla2[[#This Row],[Frecuencia]]="Annual", Tabla2[[#This Row],[Cosecha/Tarea]]/12,Tabla2[[#This Row],[Cosecha/Tarea]])</f>
        <v>4210</v>
      </c>
      <c r="F2087" s="2">
        <v>7854</v>
      </c>
      <c r="G2087" t="s">
        <v>29</v>
      </c>
      <c r="H2087">
        <f>F2087/Tabla2[[#This Row],[Cosecha Mensual]]</f>
        <v>1.8655581947743467</v>
      </c>
      <c r="I2087">
        <f>H2087*_xlfn.XLOOKUP(Tabla2[[#This Row],[Unidad de producción]],Tabla3[Medida],Tabla3[Equivalencia en Kg],"ELVIS",0)</f>
        <v>1049.0779952494063</v>
      </c>
      <c r="J2087">
        <v>6862.8</v>
      </c>
      <c r="K2087" t="s">
        <v>29</v>
      </c>
      <c r="L2087">
        <f>J2087/_xlfn.XLOOKUP(Tabla2[[#This Row],[Unidad de precio]],Tabla3[Medida],Tabla3[Equivalencia en Kg],"ELVIS",0)</f>
        <v>12.204004694668706</v>
      </c>
      <c r="M2087">
        <v>7150.5342362867696</v>
      </c>
      <c r="N2087" s="2">
        <f>(Tabla2[[#This Row],[Productividad (kg/TAS)]]*Tabla2[[#This Row],[Precio por kg]]-Tabla2[[#This Row],[Costos (En RD$/Tarea)]])</f>
        <v>5652.4185428106184</v>
      </c>
      <c r="O2087" s="6">
        <f>IF(Tabla2[[#This Row],[Costos (En RD$/Tarea)]]=0,0,Tabla2[[#This Row],[Beneficio Neto  (En RD$/Tarea)]]/Tabla2[[#This Row],[Costos (En RD$/Tarea)]])</f>
        <v>0.79048898390365396</v>
      </c>
      <c r="P2087" s="4">
        <f>Tabla2[[#This Row],[Rentabilidad (%)]]/12</f>
        <v>6.5874081991971159E-2</v>
      </c>
    </row>
    <row r="2088" spans="1:16" x14ac:dyDescent="0.35">
      <c r="A2088" s="1">
        <v>41791</v>
      </c>
      <c r="B2088" t="s">
        <v>30</v>
      </c>
      <c r="C2088" s="2">
        <v>389744</v>
      </c>
      <c r="D2088" s="2" t="s">
        <v>31</v>
      </c>
      <c r="E2088" s="2">
        <f>IF(Tabla2[[#This Row],[Frecuencia]]="Annual", Tabla2[[#This Row],[Cosecha/Tarea]]/12,Tabla2[[#This Row],[Cosecha/Tarea]])</f>
        <v>32478.666666666668</v>
      </c>
      <c r="F2088" s="2">
        <v>3645111</v>
      </c>
      <c r="G2088" t="s">
        <v>32</v>
      </c>
      <c r="H2088">
        <f>F2088/Tabla2[[#This Row],[Cosecha Mensual]]</f>
        <v>112.23093107270412</v>
      </c>
      <c r="I2088">
        <f>H2088*_xlfn.XLOOKUP(Tabla2[[#This Row],[Unidad de producción]],Tabla3[Medida],Tabla3[Equivalencia en Kg],"ELVIS",0)</f>
        <v>3053.8036344882794</v>
      </c>
      <c r="J2088">
        <v>137.21428571428601</v>
      </c>
      <c r="K2088" t="s">
        <v>32</v>
      </c>
      <c r="L2088">
        <f>J2088/_xlfn.XLOOKUP(Tabla2[[#This Row],[Unidad de precio]],Tabla3[Medida],Tabla3[Equivalencia en Kg],"ELVIS",0)</f>
        <v>5.0427888906389562</v>
      </c>
      <c r="M2088" s="2">
        <v>12538.8969859716</v>
      </c>
      <c r="N2088" s="2">
        <f>(Tabla2[[#This Row],[Productividad (kg/TAS)]]*Tabla2[[#This Row],[Precio por kg]]-Tabla2[[#This Row],[Costos (En RD$/Tarea)]])</f>
        <v>2860.7900562187624</v>
      </c>
      <c r="O2088" s="6">
        <f>IF(Tabla2[[#This Row],[Costos (En RD$/Tarea)]]=0,0,Tabla2[[#This Row],[Beneficio Neto  (En RD$/Tarea)]]/Tabla2[[#This Row],[Costos (En RD$/Tarea)]])</f>
        <v>0.22815324660688954</v>
      </c>
      <c r="P2088" s="4">
        <f>Tabla2[[#This Row],[Rentabilidad (%)]]/12</f>
        <v>1.901277055057413E-2</v>
      </c>
    </row>
    <row r="2089" spans="1:16" x14ac:dyDescent="0.35">
      <c r="A2089" s="1">
        <v>41791</v>
      </c>
      <c r="B2089" t="s">
        <v>33</v>
      </c>
      <c r="C2089" s="2">
        <v>754811</v>
      </c>
      <c r="D2089" s="2" t="s">
        <v>31</v>
      </c>
      <c r="E2089" s="8">
        <f>IF(Tabla2[[#This Row],[Frecuencia]]="Annual", Tabla2[[#This Row],[Cosecha/Tarea]]/12,Tabla2[[#This Row],[Cosecha/Tarea]])</f>
        <v>62900.916666666664</v>
      </c>
      <c r="F2089" s="2">
        <v>198164</v>
      </c>
      <c r="G2089" t="s">
        <v>34</v>
      </c>
      <c r="H2089">
        <f>F2089/Tabla2[[#This Row],[Cosecha Mensual]]</f>
        <v>3.1504151370343041</v>
      </c>
      <c r="I2089">
        <f>H2089*_xlfn.XLOOKUP(Tabla2[[#This Row],[Unidad de producción]],Tabla3[Medida],Tabla3[Equivalencia en Kg],"ELVIS",0)</f>
        <v>1285.8419381805511</v>
      </c>
      <c r="J2089">
        <v>4578.9060714285697</v>
      </c>
      <c r="K2089" t="s">
        <v>34</v>
      </c>
      <c r="L2089">
        <f>J2089/_xlfn.XLOOKUP(Tabla2[[#This Row],[Unidad de precio]],Tabla3[Medida],Tabla3[Equivalencia en Kg],"ELVIS",0)</f>
        <v>11.218684482245669</v>
      </c>
      <c r="M2089" s="2">
        <v>12054.016631725301</v>
      </c>
      <c r="N2089" s="2">
        <f>(Tabla2[[#This Row],[Productividad (kg/TAS)]]*Tabla2[[#This Row],[Precio por kg]]-Tabla2[[#This Row],[Costos (En RD$/Tarea)]])</f>
        <v>2371.4383667615421</v>
      </c>
      <c r="O2089" s="6">
        <f>IF(Tabla2[[#This Row],[Costos (En RD$/Tarea)]]=0,0,Tabla2[[#This Row],[Beneficio Neto  (En RD$/Tarea)]]/Tabla2[[#This Row],[Costos (En RD$/Tarea)]])</f>
        <v>0.19673428693636341</v>
      </c>
      <c r="P2089" s="4">
        <f>Tabla2[[#This Row],[Rentabilidad (%)]]/12</f>
        <v>1.6394523911363618E-2</v>
      </c>
    </row>
    <row r="2090" spans="1:16" x14ac:dyDescent="0.35">
      <c r="A2090" s="1">
        <v>41821</v>
      </c>
      <c r="B2090" t="s">
        <v>16</v>
      </c>
      <c r="C2090" s="2">
        <v>39836</v>
      </c>
      <c r="D2090" s="5" t="s">
        <v>17</v>
      </c>
      <c r="E2090" s="2">
        <f>IF(Tabla2[[#This Row],[Frecuencia]]="Annual", Tabla2[[#This Row],[Cosecha/Tarea]]/12,Tabla2[[#This Row],[Cosecha/Tarea]])</f>
        <v>39836</v>
      </c>
      <c r="F2090" s="2">
        <v>166046</v>
      </c>
      <c r="G2090" t="s">
        <v>18</v>
      </c>
      <c r="H2090">
        <f>F2090/Tabla2[[#This Row],[Cosecha Mensual]]</f>
        <v>4.1682397831107538</v>
      </c>
      <c r="I2090">
        <f>H2090*_xlfn.XLOOKUP(Tabla2[[#This Row],[Unidad de producción]],Tabla3[Medida],Tabla3[Equivalencia en Kg],"ELVIS",0)</f>
        <v>189.0713565619038</v>
      </c>
      <c r="J2090">
        <v>1901.7532222222201</v>
      </c>
      <c r="K2090" t="s">
        <v>19</v>
      </c>
      <c r="L2090">
        <f>J2090/_xlfn.XLOOKUP(Tabla2[[#This Row],[Unidad de precio]],Tabla3[Medida],Tabla3[Equivalencia en Kg],"ELVIS",0)</f>
        <v>17.288665656565637</v>
      </c>
      <c r="M2090">
        <v>7973.2432584128101</v>
      </c>
      <c r="N2090" s="2">
        <f>(Tabla2[[#This Row],[Productividad (kg/TAS)]]*Tabla2[[#This Row],[Precio por kg]]-Tabla2[[#This Row],[Costos (En RD$/Tarea)]])</f>
        <v>-4704.4517895807476</v>
      </c>
      <c r="O2090" s="6">
        <f>IF(Tabla2[[#This Row],[Costos (En RD$/Tarea)]]=0,0,Tabla2[[#This Row],[Beneficio Neto  (En RD$/Tarea)]]/Tabla2[[#This Row],[Costos (En RD$/Tarea)]])</f>
        <v>-0.59002988333724027</v>
      </c>
      <c r="P2090" s="4">
        <f>Tabla2[[#This Row],[Rentabilidad (%)]]/12</f>
        <v>-4.9169156944770025E-2</v>
      </c>
    </row>
    <row r="2091" spans="1:16" x14ac:dyDescent="0.35">
      <c r="A2091" s="1">
        <v>41821</v>
      </c>
      <c r="B2091" t="s">
        <v>20</v>
      </c>
      <c r="C2091" s="2">
        <v>35328</v>
      </c>
      <c r="D2091" s="5" t="s">
        <v>17</v>
      </c>
      <c r="E2091" s="2">
        <f>IF(Tabla2[[#This Row],[Frecuencia]]="Annual", Tabla2[[#This Row],[Cosecha/Tarea]]/12,Tabla2[[#This Row],[Cosecha/Tarea]])</f>
        <v>35328</v>
      </c>
      <c r="F2091" s="2">
        <v>87857</v>
      </c>
      <c r="G2091" t="s">
        <v>18</v>
      </c>
      <c r="H2091">
        <f>F2091/Tabla2[[#This Row],[Cosecha Mensual]]</f>
        <v>2.4868942481884058</v>
      </c>
      <c r="I2091">
        <f>H2091*_xlfn.XLOOKUP(Tabla2[[#This Row],[Unidad de producción]],Tabla3[Medida],Tabla3[Equivalencia en Kg],"ELVIS",0)</f>
        <v>112.80552309782608</v>
      </c>
      <c r="J2091">
        <v>720.49055555555606</v>
      </c>
      <c r="K2091" t="s">
        <v>18</v>
      </c>
      <c r="L2091">
        <f>J2091/_xlfn.XLOOKUP(Tabla2[[#This Row],[Unidad de precio]],Tabla3[Medida],Tabla3[Equivalencia en Kg],"ELVIS",0)</f>
        <v>15.88383058984912</v>
      </c>
      <c r="M2091">
        <v>2447.4016476000002</v>
      </c>
      <c r="N2091" s="2">
        <f>(Tabla2[[#This Row],[Productividad (kg/TAS)]]*Tabla2[[#This Row],[Precio por kg]]-Tabla2[[#This Row],[Costos (En RD$/Tarea)]])</f>
        <v>-655.61782911481873</v>
      </c>
      <c r="O2091" s="6">
        <f>IF(Tabla2[[#This Row],[Costos (En RD$/Tarea)]]=0,0,Tabla2[[#This Row],[Beneficio Neto  (En RD$/Tarea)]]/Tabla2[[#This Row],[Costos (En RD$/Tarea)]])</f>
        <v>-0.26788321800703957</v>
      </c>
      <c r="P2091" s="4">
        <f>Tabla2[[#This Row],[Rentabilidad (%)]]/12</f>
        <v>-2.232360150058663E-2</v>
      </c>
    </row>
    <row r="2092" spans="1:16" x14ac:dyDescent="0.35">
      <c r="A2092" s="1">
        <v>41821</v>
      </c>
      <c r="B2092" t="s">
        <v>21</v>
      </c>
      <c r="C2092" s="2">
        <v>5601</v>
      </c>
      <c r="D2092" s="5" t="s">
        <v>17</v>
      </c>
      <c r="E2092" s="2">
        <f>IF(Tabla2[[#This Row],[Frecuencia]]="Annual", Tabla2[[#This Row],[Cosecha/Tarea]]/12,Tabla2[[#This Row],[Cosecha/Tarea]])</f>
        <v>5601</v>
      </c>
      <c r="F2092" s="2">
        <v>62528</v>
      </c>
      <c r="G2092" t="s">
        <v>18</v>
      </c>
      <c r="H2092">
        <f>F2092/Tabla2[[#This Row],[Cosecha Mensual]]</f>
        <v>11.163720764149259</v>
      </c>
      <c r="I2092">
        <f>H2092*_xlfn.XLOOKUP(Tabla2[[#This Row],[Unidad de producción]],Tabla3[Medida],Tabla3[Equivalencia en Kg],"ELVIS",0)</f>
        <v>506.3863738618104</v>
      </c>
      <c r="J2092">
        <v>364.31920000000002</v>
      </c>
      <c r="K2092" t="s">
        <v>18</v>
      </c>
      <c r="L2092">
        <f>J2092/_xlfn.XLOOKUP(Tabla2[[#This Row],[Unidad de precio]],Tabla3[Medida],Tabla3[Equivalencia en Kg],"ELVIS",0)</f>
        <v>8.0317283950617284</v>
      </c>
      <c r="M2092">
        <v>5243.9203424999996</v>
      </c>
      <c r="N2092" s="2">
        <f>(Tabla2[[#This Row],[Productividad (kg/TAS)]]*Tabla2[[#This Row],[Precio por kg]]-Tabla2[[#This Row],[Costos (En RD$/Tarea)]])</f>
        <v>-1176.7625246817529</v>
      </c>
      <c r="O2092" s="6">
        <f>IF(Tabla2[[#This Row],[Costos (En RD$/Tarea)]]=0,0,Tabla2[[#This Row],[Beneficio Neto  (En RD$/Tarea)]]/Tabla2[[#This Row],[Costos (En RD$/Tarea)]])</f>
        <v>-0.22440511064680671</v>
      </c>
      <c r="P2092" s="4">
        <f>Tabla2[[#This Row],[Rentabilidad (%)]]/12</f>
        <v>-1.8700425887233894E-2</v>
      </c>
    </row>
    <row r="2093" spans="1:16" x14ac:dyDescent="0.35">
      <c r="A2093" s="1">
        <v>41821</v>
      </c>
      <c r="B2093" t="s">
        <v>22</v>
      </c>
      <c r="C2093" s="2">
        <v>4092</v>
      </c>
      <c r="D2093" s="5" t="s">
        <v>17</v>
      </c>
      <c r="E2093" s="2">
        <f>IF(Tabla2[[#This Row],[Frecuencia]]="Annual", Tabla2[[#This Row],[Cosecha/Tarea]]/12,Tabla2[[#This Row],[Cosecha/Tarea]])</f>
        <v>4092</v>
      </c>
      <c r="F2093" s="2">
        <v>31466</v>
      </c>
      <c r="G2093" t="s">
        <v>18</v>
      </c>
      <c r="H2093">
        <f>F2093/Tabla2[[#This Row],[Cosecha Mensual]]</f>
        <v>7.6896383186705766</v>
      </c>
      <c r="I2093">
        <f>H2093*_xlfn.XLOOKUP(Tabla2[[#This Row],[Unidad de producción]],Tabla3[Medida],Tabla3[Equivalencia en Kg],"ELVIS",0)</f>
        <v>348.80199413489737</v>
      </c>
      <c r="J2093">
        <v>879</v>
      </c>
      <c r="K2093" t="s">
        <v>18</v>
      </c>
      <c r="L2093">
        <f>J2093/_xlfn.XLOOKUP(Tabla2[[#This Row],[Unidad de precio]],Tabla3[Medida],Tabla3[Equivalencia en Kg],"ELVIS",0)</f>
        <v>19.37830687830688</v>
      </c>
      <c r="M2093">
        <v>9418.5442175999997</v>
      </c>
      <c r="N2093" s="2">
        <f>(Tabla2[[#This Row],[Productividad (kg/TAS)]]*Tabla2[[#This Row],[Precio por kg]]-Tabla2[[#This Row],[Costos (En RD$/Tarea)]])</f>
        <v>-2659.3521354885615</v>
      </c>
      <c r="O2093" s="6">
        <f>IF(Tabla2[[#This Row],[Costos (En RD$/Tarea)]]=0,0,Tabla2[[#This Row],[Beneficio Neto  (En RD$/Tarea)]]/Tabla2[[#This Row],[Costos (En RD$/Tarea)]])</f>
        <v>-0.28235277916083384</v>
      </c>
      <c r="P2093" s="4">
        <f>Tabla2[[#This Row],[Rentabilidad (%)]]/12</f>
        <v>-2.352939826340282E-2</v>
      </c>
    </row>
    <row r="2094" spans="1:16" x14ac:dyDescent="0.35">
      <c r="A2094" s="1">
        <v>41821</v>
      </c>
      <c r="B2094" t="s">
        <v>23</v>
      </c>
      <c r="C2094" s="2">
        <v>1641</v>
      </c>
      <c r="D2094" s="5" t="s">
        <v>17</v>
      </c>
      <c r="E2094" s="2">
        <f>IF(Tabla2[[#This Row],[Frecuencia]]="Annual", Tabla2[[#This Row],[Cosecha/Tarea]]/12,Tabla2[[#This Row],[Cosecha/Tarea]])</f>
        <v>1641</v>
      </c>
      <c r="F2094" s="2">
        <v>84546</v>
      </c>
      <c r="G2094" t="s">
        <v>18</v>
      </c>
      <c r="H2094">
        <f>F2094/Tabla2[[#This Row],[Cosecha Mensual]]</f>
        <v>51.521023765996347</v>
      </c>
      <c r="I2094">
        <f>H2094*_xlfn.XLOOKUP(Tabla2[[#This Row],[Unidad de producción]],Tabla3[Medida],Tabla3[Equivalencia en Kg],"ELVIS",0)</f>
        <v>2336.9936380255945</v>
      </c>
      <c r="J2094">
        <v>887.5</v>
      </c>
      <c r="K2094" t="s">
        <v>18</v>
      </c>
      <c r="L2094">
        <f>J2094/_xlfn.XLOOKUP(Tabla2[[#This Row],[Unidad de precio]],Tabla3[Medida],Tabla3[Equivalencia en Kg],"ELVIS",0)</f>
        <v>19.565696649029981</v>
      </c>
      <c r="M2094">
        <v>26184.1693466859</v>
      </c>
      <c r="N2094" s="2">
        <f>(Tabla2[[#This Row],[Productividad (kg/TAS)]]*Tabla2[[#This Row],[Precio por kg]]-Tabla2[[#This Row],[Costos (En RD$/Tarea)]])</f>
        <v>19540.739245635858</v>
      </c>
      <c r="O2094" s="6">
        <f>IF(Tabla2[[#This Row],[Costos (En RD$/Tarea)]]=0,0,Tabla2[[#This Row],[Beneficio Neto  (En RD$/Tarea)]]/Tabla2[[#This Row],[Costos (En RD$/Tarea)]])</f>
        <v>0.74628066244572722</v>
      </c>
      <c r="P2094" s="4">
        <f>Tabla2[[#This Row],[Rentabilidad (%)]]/12</f>
        <v>6.2190055203810601E-2</v>
      </c>
    </row>
    <row r="2095" spans="1:16" x14ac:dyDescent="0.35">
      <c r="A2095" s="1">
        <v>41821</v>
      </c>
      <c r="B2095" t="s">
        <v>24</v>
      </c>
      <c r="C2095" s="2">
        <v>3887</v>
      </c>
      <c r="D2095" s="5" t="s">
        <v>17</v>
      </c>
      <c r="E2095" s="2">
        <f>IF(Tabla2[[#This Row],[Frecuencia]]="Annual", Tabla2[[#This Row],[Cosecha/Tarea]]/12,Tabla2[[#This Row],[Cosecha/Tarea]])</f>
        <v>3887</v>
      </c>
      <c r="F2095" s="2">
        <v>29673</v>
      </c>
      <c r="G2095" t="s">
        <v>18</v>
      </c>
      <c r="H2095">
        <f>F2095/Tabla2[[#This Row],[Cosecha Mensual]]</f>
        <v>7.6339078981219446</v>
      </c>
      <c r="I2095">
        <f>H2095*_xlfn.XLOOKUP(Tabla2[[#This Row],[Unidad de producción]],Tabla3[Medida],Tabla3[Equivalencia en Kg],"ELVIS",0)</f>
        <v>346.2740622588114</v>
      </c>
      <c r="J2095">
        <v>1335.2083333333301</v>
      </c>
      <c r="K2095" t="s">
        <v>18</v>
      </c>
      <c r="L2095">
        <f>J2095/_xlfn.XLOOKUP(Tabla2[[#This Row],[Unidad de precio]],Tabla3[Medida],Tabla3[Equivalencia en Kg],"ELVIS",0)</f>
        <v>29.43580981775419</v>
      </c>
      <c r="M2095">
        <v>9105.9886041600002</v>
      </c>
      <c r="N2095" s="2">
        <f>(Tabla2[[#This Row],[Productividad (kg/TAS)]]*Tabla2[[#This Row],[Precio por kg]]-Tabla2[[#This Row],[Costos (En RD$/Tarea)]])</f>
        <v>1086.8688373115456</v>
      </c>
      <c r="O2095" s="6">
        <f>IF(Tabla2[[#This Row],[Costos (En RD$/Tarea)]]=0,0,Tabla2[[#This Row],[Beneficio Neto  (En RD$/Tarea)]]/Tabla2[[#This Row],[Costos (En RD$/Tarea)]])</f>
        <v>0.11935758812777539</v>
      </c>
      <c r="P2095" s="4">
        <f>Tabla2[[#This Row],[Rentabilidad (%)]]/12</f>
        <v>9.9464656773146157E-3</v>
      </c>
    </row>
    <row r="2096" spans="1:16" x14ac:dyDescent="0.35">
      <c r="A2096" s="1">
        <v>41821</v>
      </c>
      <c r="B2096" t="s">
        <v>25</v>
      </c>
      <c r="C2096" s="2">
        <v>22202</v>
      </c>
      <c r="D2096" s="5" t="s">
        <v>17</v>
      </c>
      <c r="E2096" s="2">
        <f>IF(Tabla2[[#This Row],[Frecuencia]]="Annual", Tabla2[[#This Row],[Cosecha/Tarea]]/12,Tabla2[[#This Row],[Cosecha/Tarea]])</f>
        <v>22202</v>
      </c>
      <c r="F2096" s="2">
        <v>255155</v>
      </c>
      <c r="G2096" t="s">
        <v>18</v>
      </c>
      <c r="H2096">
        <f>F2096/Tabla2[[#This Row],[Cosecha Mensual]]</f>
        <v>11.492433114133862</v>
      </c>
      <c r="I2096">
        <f>H2096*_xlfn.XLOOKUP(Tabla2[[#This Row],[Unidad de producción]],Tabla3[Medida],Tabla3[Equivalencia en Kg],"ELVIS",0)</f>
        <v>521.29676605711199</v>
      </c>
      <c r="J2096">
        <v>287.93230555555601</v>
      </c>
      <c r="K2096" t="s">
        <v>18</v>
      </c>
      <c r="L2096">
        <f>J2096/_xlfn.XLOOKUP(Tabla2[[#This Row],[Unidad de precio]],Tabla3[Medida],Tabla3[Equivalencia en Kg],"ELVIS",0)</f>
        <v>6.3477139672741627</v>
      </c>
      <c r="M2096">
        <v>4871.6687043187803</v>
      </c>
      <c r="N2096" s="2">
        <f>(Tabla2[[#This Row],[Productividad (kg/TAS)]]*Tabla2[[#This Row],[Precio por kg]]-Tabla2[[#This Row],[Costos (En RD$/Tarea)]])</f>
        <v>-1562.6259413231987</v>
      </c>
      <c r="O2096" s="6">
        <f>IF(Tabla2[[#This Row],[Costos (En RD$/Tarea)]]=0,0,Tabla2[[#This Row],[Beneficio Neto  (En RD$/Tarea)]]/Tabla2[[#This Row],[Costos (En RD$/Tarea)]])</f>
        <v>-0.3207578421615403</v>
      </c>
      <c r="P2096" s="4">
        <f>Tabla2[[#This Row],[Rentabilidad (%)]]/12</f>
        <v>-2.6729820180128358E-2</v>
      </c>
    </row>
    <row r="2097" spans="1:16" x14ac:dyDescent="0.35">
      <c r="A2097" s="1">
        <v>41821</v>
      </c>
      <c r="B2097" t="s">
        <v>26</v>
      </c>
      <c r="C2097" s="2">
        <v>8273</v>
      </c>
      <c r="D2097" s="5" t="s">
        <v>17</v>
      </c>
      <c r="E2097" s="2">
        <f>IF(Tabla2[[#This Row],[Frecuencia]]="Annual", Tabla2[[#This Row],[Cosecha/Tarea]]/12,Tabla2[[#This Row],[Cosecha/Tarea]])</f>
        <v>8273</v>
      </c>
      <c r="F2097" s="2">
        <v>56601</v>
      </c>
      <c r="G2097" t="s">
        <v>18</v>
      </c>
      <c r="H2097">
        <f>F2097/Tabla2[[#This Row],[Cosecha Mensual]]</f>
        <v>6.8416535718602685</v>
      </c>
      <c r="I2097">
        <f>H2097*_xlfn.XLOOKUP(Tabla2[[#This Row],[Unidad de producción]],Tabla3[Medida],Tabla3[Equivalencia en Kg],"ELVIS",0)</f>
        <v>310.33740601958175</v>
      </c>
      <c r="J2097">
        <v>852.77833333333297</v>
      </c>
      <c r="K2097" t="s">
        <v>18</v>
      </c>
      <c r="L2097">
        <f>J2097/_xlfn.XLOOKUP(Tabla2[[#This Row],[Unidad de precio]],Tabla3[Medida],Tabla3[Equivalencia en Kg],"ELVIS",0)</f>
        <v>18.800227807172245</v>
      </c>
      <c r="M2097">
        <v>2107.5566399999998</v>
      </c>
      <c r="N2097" s="2">
        <f>(Tabla2[[#This Row],[Productividad (kg/TAS)]]*Tabla2[[#This Row],[Precio por kg]]-Tabla2[[#This Row],[Costos (En RD$/Tarea)]])</f>
        <v>3726.8572902550441</v>
      </c>
      <c r="O2097" s="6">
        <f>IF(Tabla2[[#This Row],[Costos (En RD$/Tarea)]]=0,0,Tabla2[[#This Row],[Beneficio Neto  (En RD$/Tarea)]]/Tabla2[[#This Row],[Costos (En RD$/Tarea)]])</f>
        <v>1.7683307862392939</v>
      </c>
      <c r="P2097" s="4">
        <f>Tabla2[[#This Row],[Rentabilidad (%)]]/12</f>
        <v>0.1473608988532745</v>
      </c>
    </row>
    <row r="2098" spans="1:16" x14ac:dyDescent="0.35">
      <c r="A2098" s="1">
        <v>41821</v>
      </c>
      <c r="B2098" t="s">
        <v>27</v>
      </c>
      <c r="C2098" s="2">
        <v>5682</v>
      </c>
      <c r="D2098" s="5" t="s">
        <v>17</v>
      </c>
      <c r="E2098" s="2">
        <f>IF(Tabla2[[#This Row],[Frecuencia]]="Annual", Tabla2[[#This Row],[Cosecha/Tarea]]/12,Tabla2[[#This Row],[Cosecha/Tarea]])</f>
        <v>5682</v>
      </c>
      <c r="F2098" s="2">
        <v>49773</v>
      </c>
      <c r="G2098" t="s">
        <v>18</v>
      </c>
      <c r="H2098">
        <f>F2098/Tabla2[[#This Row],[Cosecha Mensual]]</f>
        <v>8.7597676874340014</v>
      </c>
      <c r="I2098">
        <f>H2098*_xlfn.XLOOKUP(Tabla2[[#This Row],[Unidad de producción]],Tabla3[Medida],Tabla3[Equivalencia en Kg],"ELVIS",0)</f>
        <v>397.34306230200627</v>
      </c>
      <c r="J2098">
        <v>706.5</v>
      </c>
      <c r="K2098" t="s">
        <v>18</v>
      </c>
      <c r="L2098">
        <f>J2098/_xlfn.XLOOKUP(Tabla2[[#This Row],[Unidad de precio]],Tabla3[Medida],Tabla3[Equivalencia en Kg],"ELVIS",0)</f>
        <v>15.575396825396826</v>
      </c>
      <c r="M2098">
        <v>8288.2983415050003</v>
      </c>
      <c r="N2098" s="2">
        <f>(Tabla2[[#This Row],[Productividad (kg/TAS)]]*Tabla2[[#This Row],[Precio por kg]]-Tabla2[[#This Row],[Costos (En RD$/Tarea)]])</f>
        <v>-2099.5224703328786</v>
      </c>
      <c r="O2098" s="6">
        <f>IF(Tabla2[[#This Row],[Costos (En RD$/Tarea)]]=0,0,Tabla2[[#This Row],[Beneficio Neto  (En RD$/Tarea)]]/Tabla2[[#This Row],[Costos (En RD$/Tarea)]])</f>
        <v>-0.25331164297250003</v>
      </c>
      <c r="P2098" s="4">
        <f>Tabla2[[#This Row],[Rentabilidad (%)]]/12</f>
        <v>-2.1109303581041669E-2</v>
      </c>
    </row>
    <row r="2099" spans="1:16" x14ac:dyDescent="0.35">
      <c r="A2099" s="1">
        <v>41821</v>
      </c>
      <c r="B2099" t="s">
        <v>28</v>
      </c>
      <c r="C2099" s="2">
        <v>85114</v>
      </c>
      <c r="D2099" s="5" t="s">
        <v>17</v>
      </c>
      <c r="E2099" s="2">
        <f>IF(Tabla2[[#This Row],[Frecuencia]]="Annual", Tabla2[[#This Row],[Cosecha/Tarea]]/12,Tabla2[[#This Row],[Cosecha/Tarea]])</f>
        <v>85114</v>
      </c>
      <c r="F2099" s="2">
        <v>122337</v>
      </c>
      <c r="G2099" t="s">
        <v>29</v>
      </c>
      <c r="H2099">
        <f>F2099/Tabla2[[#This Row],[Cosecha Mensual]]</f>
        <v>1.4373311088657565</v>
      </c>
      <c r="I2099">
        <f>H2099*_xlfn.XLOOKUP(Tabla2[[#This Row],[Unidad de producción]],Tabla3[Medida],Tabla3[Equivalencia en Kg],"ELVIS",0)</f>
        <v>808.26877575956962</v>
      </c>
      <c r="J2099">
        <v>9833.3333333333303</v>
      </c>
      <c r="K2099" t="s">
        <v>29</v>
      </c>
      <c r="L2099">
        <f>J2099/_xlfn.XLOOKUP(Tabla2[[#This Row],[Unidad de precio]],Tabla3[Medida],Tabla3[Equivalencia en Kg],"ELVIS",0)</f>
        <v>17.486455406574901</v>
      </c>
      <c r="M2099">
        <v>7150.5342362867696</v>
      </c>
      <c r="N2099" s="2">
        <f>(Tabla2[[#This Row],[Productividad (kg/TAS)]]*Tabla2[[#This Row],[Precio por kg]]-Tabla2[[#This Row],[Costos (En RD$/Tarea)]])</f>
        <v>6983.2216675598329</v>
      </c>
      <c r="O2099" s="6">
        <f>IF(Tabla2[[#This Row],[Costos (En RD$/Tarea)]]=0,0,Tabla2[[#This Row],[Beneficio Neto  (En RD$/Tarea)]]/Tabla2[[#This Row],[Costos (En RD$/Tarea)]])</f>
        <v>0.97660138904337013</v>
      </c>
      <c r="P2099" s="4">
        <f>Tabla2[[#This Row],[Rentabilidad (%)]]/12</f>
        <v>8.1383449086947515E-2</v>
      </c>
    </row>
    <row r="2100" spans="1:16" x14ac:dyDescent="0.35">
      <c r="A2100" s="1">
        <v>41821</v>
      </c>
      <c r="B2100" t="s">
        <v>30</v>
      </c>
      <c r="C2100" s="2">
        <v>417025</v>
      </c>
      <c r="D2100" s="2" t="s">
        <v>31</v>
      </c>
      <c r="E2100" s="2">
        <f>IF(Tabla2[[#This Row],[Frecuencia]]="Annual", Tabla2[[#This Row],[Cosecha/Tarea]]/12,Tabla2[[#This Row],[Cosecha/Tarea]])</f>
        <v>34752.083333333336</v>
      </c>
      <c r="F2100" s="2">
        <v>3564224</v>
      </c>
      <c r="G2100" t="s">
        <v>32</v>
      </c>
      <c r="H2100">
        <f>F2100/Tabla2[[#This Row],[Cosecha Mensual]]</f>
        <v>102.56144835441519</v>
      </c>
      <c r="I2100">
        <f>H2100*_xlfn.XLOOKUP(Tabla2[[#This Row],[Unidad de producción]],Tabla3[Medida],Tabla3[Equivalencia en Kg],"ELVIS",0)</f>
        <v>2790.6970097236376</v>
      </c>
      <c r="J2100">
        <v>124.98583333333301</v>
      </c>
      <c r="K2100" t="s">
        <v>32</v>
      </c>
      <c r="L2100">
        <f>J2100/_xlfn.XLOOKUP(Tabla2[[#This Row],[Unidad de precio]],Tabla3[Medida],Tabla3[Equivalencia en Kg],"ELVIS",0)</f>
        <v>4.5933786598064312</v>
      </c>
      <c r="M2100" s="2">
        <v>12538.8969859716</v>
      </c>
      <c r="N2100" s="2">
        <f>(Tabla2[[#This Row],[Productividad (kg/TAS)]]*Tabla2[[#This Row],[Precio por kg]]-Tabla2[[#This Row],[Costos (En RD$/Tarea)]])</f>
        <v>279.83110447857871</v>
      </c>
      <c r="O2100" s="6">
        <f>IF(Tabla2[[#This Row],[Costos (En RD$/Tarea)]]=0,0,Tabla2[[#This Row],[Beneficio Neto  (En RD$/Tarea)]]/Tabla2[[#This Row],[Costos (En RD$/Tarea)]])</f>
        <v>2.2317043101291217E-2</v>
      </c>
      <c r="P2100" s="4">
        <f>Tabla2[[#This Row],[Rentabilidad (%)]]/12</f>
        <v>1.8597535917742681E-3</v>
      </c>
    </row>
    <row r="2101" spans="1:16" x14ac:dyDescent="0.35">
      <c r="A2101" s="1">
        <v>41821</v>
      </c>
      <c r="B2101" t="s">
        <v>33</v>
      </c>
      <c r="C2101" s="2">
        <v>770267</v>
      </c>
      <c r="D2101" s="2" t="s">
        <v>31</v>
      </c>
      <c r="E2101" s="8">
        <f>IF(Tabla2[[#This Row],[Frecuencia]]="Annual", Tabla2[[#This Row],[Cosecha/Tarea]]/12,Tabla2[[#This Row],[Cosecha/Tarea]])</f>
        <v>64188.916666666664</v>
      </c>
      <c r="F2101" s="2">
        <v>298408</v>
      </c>
      <c r="G2101" t="s">
        <v>34</v>
      </c>
      <c r="H2101">
        <f>F2101/Tabla2[[#This Row],[Cosecha Mensual]]</f>
        <v>4.6489022637604887</v>
      </c>
      <c r="I2101">
        <f>H2101*_xlfn.XLOOKUP(Tabla2[[#This Row],[Unidad de producción]],Tabla3[Medida],Tabla3[Equivalencia en Kg],"ELVIS",0)</f>
        <v>1897.4494589538433</v>
      </c>
      <c r="J2101">
        <v>4129.1111111111104</v>
      </c>
      <c r="K2101" t="s">
        <v>34</v>
      </c>
      <c r="L2101">
        <f>J2101/_xlfn.XLOOKUP(Tabla2[[#This Row],[Unidad de precio]],Tabla3[Medida],Tabla3[Equivalencia en Kg],"ELVIS",0)</f>
        <v>10.116651013380157</v>
      </c>
      <c r="M2101" s="2">
        <v>12054.016631725301</v>
      </c>
      <c r="N2101" s="2">
        <f>(Tabla2[[#This Row],[Productividad (kg/TAS)]]*Tabla2[[#This Row],[Precio por kg]]-Tabla2[[#This Row],[Costos (En RD$/Tarea)]])</f>
        <v>7141.8173600377286</v>
      </c>
      <c r="O2101" s="6">
        <f>IF(Tabla2[[#This Row],[Costos (En RD$/Tarea)]]=0,0,Tabla2[[#This Row],[Beneficio Neto  (En RD$/Tarea)]]/Tabla2[[#This Row],[Costos (En RD$/Tarea)]])</f>
        <v>0.59248444549520374</v>
      </c>
      <c r="P2101" s="4">
        <f>Tabla2[[#This Row],[Rentabilidad (%)]]/12</f>
        <v>4.937370379126698E-2</v>
      </c>
    </row>
    <row r="2102" spans="1:16" x14ac:dyDescent="0.35">
      <c r="A2102" s="1">
        <v>41852</v>
      </c>
      <c r="B2102" t="s">
        <v>16</v>
      </c>
      <c r="C2102" s="2">
        <v>76460</v>
      </c>
      <c r="D2102" s="5" t="s">
        <v>17</v>
      </c>
      <c r="E2102" s="2">
        <f>IF(Tabla2[[#This Row],[Frecuencia]]="Annual", Tabla2[[#This Row],[Cosecha/Tarea]]/12,Tabla2[[#This Row],[Cosecha/Tarea]])</f>
        <v>76460</v>
      </c>
      <c r="F2102" s="2">
        <v>329162</v>
      </c>
      <c r="G2102" t="s">
        <v>18</v>
      </c>
      <c r="H2102">
        <f>F2102/Tabla2[[#This Row],[Cosecha Mensual]]</f>
        <v>4.3050222338477635</v>
      </c>
      <c r="I2102">
        <f>H2102*_xlfn.XLOOKUP(Tabla2[[#This Row],[Unidad de producción]],Tabla3[Medida],Tabla3[Equivalencia en Kg],"ELVIS",0)</f>
        <v>195.27580852733456</v>
      </c>
      <c r="J2102">
        <v>1811.62654225352</v>
      </c>
      <c r="K2102" t="s">
        <v>19</v>
      </c>
      <c r="L2102">
        <f>J2102/_xlfn.XLOOKUP(Tabla2[[#This Row],[Unidad de precio]],Tabla3[Medida],Tabla3[Equivalencia en Kg],"ELVIS",0)</f>
        <v>16.469332202304727</v>
      </c>
      <c r="M2102">
        <v>7973.2432584128101</v>
      </c>
      <c r="N2102" s="2">
        <f>(Tabla2[[#This Row],[Productividad (kg/TAS)]]*Tabla2[[#This Row],[Precio por kg]]-Tabla2[[#This Row],[Costos (En RD$/Tarea)]])</f>
        <v>-4757.1810967024867</v>
      </c>
      <c r="O2102" s="6">
        <f>IF(Tabla2[[#This Row],[Costos (En RD$/Tarea)]]=0,0,Tabla2[[#This Row],[Beneficio Neto  (En RD$/Tarea)]]/Tabla2[[#This Row],[Costos (En RD$/Tarea)]])</f>
        <v>-0.59664316546256646</v>
      </c>
      <c r="P2102" s="4">
        <f>Tabla2[[#This Row],[Rentabilidad (%)]]/12</f>
        <v>-4.9720263788547207E-2</v>
      </c>
    </row>
    <row r="2103" spans="1:16" x14ac:dyDescent="0.35">
      <c r="A2103" s="1">
        <v>41852</v>
      </c>
      <c r="B2103" t="s">
        <v>20</v>
      </c>
      <c r="C2103" s="2">
        <v>53672</v>
      </c>
      <c r="D2103" s="5" t="s">
        <v>17</v>
      </c>
      <c r="E2103" s="2">
        <f>IF(Tabla2[[#This Row],[Frecuencia]]="Annual", Tabla2[[#This Row],[Cosecha/Tarea]]/12,Tabla2[[#This Row],[Cosecha/Tarea]])</f>
        <v>53672</v>
      </c>
      <c r="F2103" s="2">
        <v>91943</v>
      </c>
      <c r="G2103" t="s">
        <v>18</v>
      </c>
      <c r="H2103">
        <f>F2103/Tabla2[[#This Row],[Cosecha Mensual]]</f>
        <v>1.7130533611566552</v>
      </c>
      <c r="I2103">
        <f>H2103*_xlfn.XLOOKUP(Tabla2[[#This Row],[Unidad de producción]],Tabla3[Medida],Tabla3[Equivalencia en Kg],"ELVIS",0)</f>
        <v>77.704100462065881</v>
      </c>
      <c r="J2103">
        <v>711.34142857142899</v>
      </c>
      <c r="K2103" t="s">
        <v>18</v>
      </c>
      <c r="L2103">
        <f>J2103/_xlfn.XLOOKUP(Tabla2[[#This Row],[Unidad de precio]],Tabla3[Medida],Tabla3[Equivalencia en Kg],"ELVIS",0)</f>
        <v>15.682130259511222</v>
      </c>
      <c r="M2103">
        <v>2447.4016476000002</v>
      </c>
      <c r="N2103" s="2">
        <f>(Tabla2[[#This Row],[Productividad (kg/TAS)]]*Tabla2[[#This Row],[Precio por kg]]-Tabla2[[#This Row],[Costos (En RD$/Tarea)]])</f>
        <v>-1228.8358224557369</v>
      </c>
      <c r="O2103" s="6">
        <f>IF(Tabla2[[#This Row],[Costos (En RD$/Tarea)]]=0,0,Tabla2[[#This Row],[Beneficio Neto  (En RD$/Tarea)]]/Tabla2[[#This Row],[Costos (En RD$/Tarea)]])</f>
        <v>-0.50209814300843192</v>
      </c>
      <c r="P2103" s="4">
        <f>Tabla2[[#This Row],[Rentabilidad (%)]]/12</f>
        <v>-4.1841511917369324E-2</v>
      </c>
    </row>
    <row r="2104" spans="1:16" x14ac:dyDescent="0.35">
      <c r="A2104" s="1">
        <v>41852</v>
      </c>
      <c r="B2104" t="s">
        <v>21</v>
      </c>
      <c r="C2104" s="2">
        <v>5828</v>
      </c>
      <c r="D2104" s="5" t="s">
        <v>17</v>
      </c>
      <c r="E2104" s="2">
        <f>IF(Tabla2[[#This Row],[Frecuencia]]="Annual", Tabla2[[#This Row],[Cosecha/Tarea]]/12,Tabla2[[#This Row],[Cosecha/Tarea]])</f>
        <v>5828</v>
      </c>
      <c r="F2104" s="2">
        <v>71356</v>
      </c>
      <c r="G2104" t="s">
        <v>18</v>
      </c>
      <c r="H2104">
        <f>F2104/Tabla2[[#This Row],[Cosecha Mensual]]</f>
        <v>12.243651338366506</v>
      </c>
      <c r="I2104">
        <f>H2104*_xlfn.XLOOKUP(Tabla2[[#This Row],[Unidad de producción]],Tabla3[Medida],Tabla3[Equivalencia en Kg],"ELVIS",0)</f>
        <v>555.37202470830471</v>
      </c>
      <c r="J2104">
        <v>370.80516666666699</v>
      </c>
      <c r="K2104" t="s">
        <v>18</v>
      </c>
      <c r="L2104">
        <f>J2104/_xlfn.XLOOKUP(Tabla2[[#This Row],[Unidad de precio]],Tabla3[Medida],Tabla3[Equivalencia en Kg],"ELVIS",0)</f>
        <v>8.1747170781893068</v>
      </c>
      <c r="M2104">
        <v>5243.9203424999996</v>
      </c>
      <c r="N2104" s="2">
        <f>(Tabla2[[#This Row],[Productividad (kg/TAS)]]*Tabla2[[#This Row],[Precio por kg]]-Tabla2[[#This Row],[Costos (En RD$/Tarea)]])</f>
        <v>-703.91116736844742</v>
      </c>
      <c r="O2104" s="6">
        <f>IF(Tabla2[[#This Row],[Costos (En RD$/Tarea)]]=0,0,Tabla2[[#This Row],[Beneficio Neto  (En RD$/Tarea)]]/Tabla2[[#This Row],[Costos (En RD$/Tarea)]])</f>
        <v>-0.13423376432008557</v>
      </c>
      <c r="P2104" s="4">
        <f>Tabla2[[#This Row],[Rentabilidad (%)]]/12</f>
        <v>-1.1186147026673797E-2</v>
      </c>
    </row>
    <row r="2105" spans="1:16" x14ac:dyDescent="0.35">
      <c r="A2105" s="1">
        <v>41852</v>
      </c>
      <c r="B2105" t="s">
        <v>22</v>
      </c>
      <c r="C2105" s="2">
        <v>5279</v>
      </c>
      <c r="D2105" s="5" t="s">
        <v>17</v>
      </c>
      <c r="E2105" s="2">
        <f>IF(Tabla2[[#This Row],[Frecuencia]]="Annual", Tabla2[[#This Row],[Cosecha/Tarea]]/12,Tabla2[[#This Row],[Cosecha/Tarea]])</f>
        <v>5279</v>
      </c>
      <c r="F2105" s="2">
        <v>39261</v>
      </c>
      <c r="G2105" t="s">
        <v>18</v>
      </c>
      <c r="H2105">
        <f>F2105/Tabla2[[#This Row],[Cosecha Mensual]]</f>
        <v>7.4372040159121049</v>
      </c>
      <c r="I2105">
        <f>H2105*_xlfn.XLOOKUP(Tabla2[[#This Row],[Unidad de producción]],Tabla3[Medida],Tabla3[Equivalencia en Kg],"ELVIS",0)</f>
        <v>337.3515741617731</v>
      </c>
      <c r="J2105">
        <v>957.91666666666697</v>
      </c>
      <c r="K2105" t="s">
        <v>18</v>
      </c>
      <c r="L2105">
        <f>J2105/_xlfn.XLOOKUP(Tabla2[[#This Row],[Unidad de precio]],Tabla3[Medida],Tabla3[Equivalencia en Kg],"ELVIS",0)</f>
        <v>21.118092298647863</v>
      </c>
      <c r="M2105">
        <v>9418.5442175999997</v>
      </c>
      <c r="N2105" s="2">
        <f>(Tabla2[[#This Row],[Productividad (kg/TAS)]]*Tabla2[[#This Row],[Precio por kg]]-Tabla2[[#This Row],[Costos (En RD$/Tarea)]])</f>
        <v>-2294.322537357526</v>
      </c>
      <c r="O2105" s="6">
        <f>IF(Tabla2[[#This Row],[Costos (En RD$/Tarea)]]=0,0,Tabla2[[#This Row],[Beneficio Neto  (En RD$/Tarea)]]/Tabla2[[#This Row],[Costos (En RD$/Tarea)]])</f>
        <v>-0.24359630154628686</v>
      </c>
      <c r="P2105" s="4">
        <f>Tabla2[[#This Row],[Rentabilidad (%)]]/12</f>
        <v>-2.0299691795523905E-2</v>
      </c>
    </row>
    <row r="2106" spans="1:16" x14ac:dyDescent="0.35">
      <c r="A2106" s="1">
        <v>41852</v>
      </c>
      <c r="B2106" t="s">
        <v>23</v>
      </c>
      <c r="C2106" s="2">
        <v>2479</v>
      </c>
      <c r="D2106" s="5" t="s">
        <v>17</v>
      </c>
      <c r="E2106" s="2">
        <f>IF(Tabla2[[#This Row],[Frecuencia]]="Annual", Tabla2[[#This Row],[Cosecha/Tarea]]/12,Tabla2[[#This Row],[Cosecha/Tarea]])</f>
        <v>2479</v>
      </c>
      <c r="F2106" s="2">
        <v>100560</v>
      </c>
      <c r="G2106" t="s">
        <v>18</v>
      </c>
      <c r="H2106">
        <f>F2106/Tabla2[[#This Row],[Cosecha Mensual]]</f>
        <v>40.564743848325939</v>
      </c>
      <c r="I2106">
        <f>H2106*_xlfn.XLOOKUP(Tabla2[[#This Row],[Unidad de producción]],Tabla3[Medida],Tabla3[Equivalencia en Kg],"ELVIS",0)</f>
        <v>1840.0167809600646</v>
      </c>
      <c r="J2106">
        <v>931.05666666666696</v>
      </c>
      <c r="K2106" t="s">
        <v>18</v>
      </c>
      <c r="L2106">
        <f>J2106/_xlfn.XLOOKUP(Tabla2[[#This Row],[Unidad de precio]],Tabla3[Medida],Tabla3[Equivalencia en Kg],"ELVIS",0)</f>
        <v>20.525940623162853</v>
      </c>
      <c r="M2106">
        <v>26184.1693466859</v>
      </c>
      <c r="N2106" s="2">
        <f>(Tabla2[[#This Row],[Productividad (kg/TAS)]]*Tabla2[[#This Row],[Precio por kg]]-Tabla2[[#This Row],[Costos (En RD$/Tarea)]])</f>
        <v>11583.905844923633</v>
      </c>
      <c r="O2106" s="6">
        <f>IF(Tabla2[[#This Row],[Costos (En RD$/Tarea)]]=0,0,Tabla2[[#This Row],[Beneficio Neto  (En RD$/Tarea)]]/Tabla2[[#This Row],[Costos (En RD$/Tarea)]])</f>
        <v>0.44240111998778353</v>
      </c>
      <c r="P2106" s="4">
        <f>Tabla2[[#This Row],[Rentabilidad (%)]]/12</f>
        <v>3.6866759998981959E-2</v>
      </c>
    </row>
    <row r="2107" spans="1:16" x14ac:dyDescent="0.35">
      <c r="A2107" s="1">
        <v>41852</v>
      </c>
      <c r="B2107" t="s">
        <v>24</v>
      </c>
      <c r="C2107" s="2">
        <v>4875</v>
      </c>
      <c r="D2107" s="5" t="s">
        <v>17</v>
      </c>
      <c r="E2107" s="2">
        <f>IF(Tabla2[[#This Row],[Frecuencia]]="Annual", Tabla2[[#This Row],[Cosecha/Tarea]]/12,Tabla2[[#This Row],[Cosecha/Tarea]])</f>
        <v>4875</v>
      </c>
      <c r="F2107" s="2">
        <v>50810</v>
      </c>
      <c r="G2107" t="s">
        <v>18</v>
      </c>
      <c r="H2107">
        <f>F2107/Tabla2[[#This Row],[Cosecha Mensual]]</f>
        <v>10.422564102564102</v>
      </c>
      <c r="I2107">
        <f>H2107*_xlfn.XLOOKUP(Tabla2[[#This Row],[Unidad de producción]],Tabla3[Medida],Tabla3[Equivalencia en Kg],"ELVIS",0)</f>
        <v>472.76750769230767</v>
      </c>
      <c r="J2107">
        <v>1403.19</v>
      </c>
      <c r="K2107" t="s">
        <v>18</v>
      </c>
      <c r="L2107">
        <f>J2107/_xlfn.XLOOKUP(Tabla2[[#This Row],[Unidad de precio]],Tabla3[Medida],Tabla3[Equivalencia en Kg],"ELVIS",0)</f>
        <v>30.93452380952381</v>
      </c>
      <c r="M2107">
        <v>9105.9886041600002</v>
      </c>
      <c r="N2107" s="2">
        <f>(Tabla2[[#This Row],[Productividad (kg/TAS)]]*Tabla2[[#This Row],[Precio por kg]]-Tabla2[[#This Row],[Costos (En RD$/Tarea)]])</f>
        <v>5518.8491189169217</v>
      </c>
      <c r="O2107" s="6">
        <f>IF(Tabla2[[#This Row],[Costos (En RD$/Tarea)]]=0,0,Tabla2[[#This Row],[Beneficio Neto  (En RD$/Tarea)]]/Tabla2[[#This Row],[Costos (En RD$/Tarea)]])</f>
        <v>0.60606808978386795</v>
      </c>
      <c r="P2107" s="4">
        <f>Tabla2[[#This Row],[Rentabilidad (%)]]/12</f>
        <v>5.0505674148655665E-2</v>
      </c>
    </row>
    <row r="2108" spans="1:16" x14ac:dyDescent="0.35">
      <c r="A2108" s="1">
        <v>41852</v>
      </c>
      <c r="B2108" t="s">
        <v>25</v>
      </c>
      <c r="C2108" s="2">
        <v>29613</v>
      </c>
      <c r="D2108" s="5" t="s">
        <v>17</v>
      </c>
      <c r="E2108" s="2">
        <f>IF(Tabla2[[#This Row],[Frecuencia]]="Annual", Tabla2[[#This Row],[Cosecha/Tarea]]/12,Tabla2[[#This Row],[Cosecha/Tarea]])</f>
        <v>29613</v>
      </c>
      <c r="F2108" s="2">
        <v>281822</v>
      </c>
      <c r="G2108" t="s">
        <v>18</v>
      </c>
      <c r="H2108">
        <f>F2108/Tabla2[[#This Row],[Cosecha Mensual]]</f>
        <v>9.5168338229831502</v>
      </c>
      <c r="I2108">
        <f>H2108*_xlfn.XLOOKUP(Tabla2[[#This Row],[Unidad de producción]],Tabla3[Medida],Tabla3[Equivalencia en Kg],"ELVIS",0)</f>
        <v>431.68358221051568</v>
      </c>
      <c r="J2108">
        <v>294.81074999999998</v>
      </c>
      <c r="K2108" t="s">
        <v>18</v>
      </c>
      <c r="L2108">
        <f>J2108/_xlfn.XLOOKUP(Tabla2[[#This Row],[Unidad de precio]],Tabla3[Medida],Tabla3[Equivalencia en Kg],"ELVIS",0)</f>
        <v>6.4993551587301583</v>
      </c>
      <c r="M2108">
        <v>4871.6687043187803</v>
      </c>
      <c r="N2108" s="2">
        <f>(Tabla2[[#This Row],[Productividad (kg/TAS)]]*Tabla2[[#This Row],[Precio por kg]]-Tabla2[[#This Row],[Costos (En RD$/Tarea)]])</f>
        <v>-2066.0037873397509</v>
      </c>
      <c r="O2108" s="6">
        <f>IF(Tabla2[[#This Row],[Costos (En RD$/Tarea)]]=0,0,Tabla2[[#This Row],[Beneficio Neto  (En RD$/Tarea)]]/Tabla2[[#This Row],[Costos (En RD$/Tarea)]])</f>
        <v>-0.4240854443792984</v>
      </c>
      <c r="P2108" s="4">
        <f>Tabla2[[#This Row],[Rentabilidad (%)]]/12</f>
        <v>-3.5340453698274869E-2</v>
      </c>
    </row>
    <row r="2109" spans="1:16" x14ac:dyDescent="0.35">
      <c r="A2109" s="1">
        <v>41852</v>
      </c>
      <c r="B2109" t="s">
        <v>26</v>
      </c>
      <c r="C2109" s="2">
        <v>10644</v>
      </c>
      <c r="D2109" s="5" t="s">
        <v>17</v>
      </c>
      <c r="E2109" s="2">
        <f>IF(Tabla2[[#This Row],[Frecuencia]]="Annual", Tabla2[[#This Row],[Cosecha/Tarea]]/12,Tabla2[[#This Row],[Cosecha/Tarea]])</f>
        <v>10644</v>
      </c>
      <c r="F2109" s="2">
        <v>66921</v>
      </c>
      <c r="G2109" t="s">
        <v>18</v>
      </c>
      <c r="H2109">
        <f>F2109/Tabla2[[#This Row],[Cosecha Mensual]]</f>
        <v>6.2872040586245772</v>
      </c>
      <c r="I2109">
        <f>H2109*_xlfn.XLOOKUP(Tabla2[[#This Row],[Unidad de producción]],Tabla3[Medida],Tabla3[Equivalencia en Kg],"ELVIS",0)</f>
        <v>285.18757609921084</v>
      </c>
      <c r="J2109">
        <v>834.32571428571396</v>
      </c>
      <c r="K2109" t="s">
        <v>18</v>
      </c>
      <c r="L2109">
        <f>J2109/_xlfn.XLOOKUP(Tabla2[[#This Row],[Unidad de precio]],Tabla3[Medida],Tabla3[Equivalencia en Kg],"ELVIS",0)</f>
        <v>18.393424036281171</v>
      </c>
      <c r="M2109">
        <v>2107.5566399999998</v>
      </c>
      <c r="N2109" s="2">
        <f>(Tabla2[[#This Row],[Productividad (kg/TAS)]]*Tabla2[[#This Row],[Precio por kg]]-Tabla2[[#This Row],[Costos (En RD$/Tarea)]])</f>
        <v>3138.0193770719907</v>
      </c>
      <c r="O2109" s="6">
        <f>IF(Tabla2[[#This Row],[Costos (En RD$/Tarea)]]=0,0,Tabla2[[#This Row],[Beneficio Neto  (En RD$/Tarea)]]/Tabla2[[#This Row],[Costos (En RD$/Tarea)]])</f>
        <v>1.4889371500222128</v>
      </c>
      <c r="P2109" s="4">
        <f>Tabla2[[#This Row],[Rentabilidad (%)]]/12</f>
        <v>0.12407809583518441</v>
      </c>
    </row>
    <row r="2110" spans="1:16" x14ac:dyDescent="0.35">
      <c r="A2110" s="1">
        <v>41852</v>
      </c>
      <c r="B2110" t="s">
        <v>27</v>
      </c>
      <c r="C2110" s="2">
        <v>4967</v>
      </c>
      <c r="D2110" s="5" t="s">
        <v>17</v>
      </c>
      <c r="E2110" s="2">
        <f>IF(Tabla2[[#This Row],[Frecuencia]]="Annual", Tabla2[[#This Row],[Cosecha/Tarea]]/12,Tabla2[[#This Row],[Cosecha/Tarea]])</f>
        <v>4967</v>
      </c>
      <c r="F2110" s="2">
        <v>45038</v>
      </c>
      <c r="G2110" t="s">
        <v>18</v>
      </c>
      <c r="H2110">
        <f>F2110/Tabla2[[#This Row],[Cosecha Mensual]]</f>
        <v>9.067445137910207</v>
      </c>
      <c r="I2110">
        <f>H2110*_xlfn.XLOOKUP(Tabla2[[#This Row],[Unidad de producción]],Tabla3[Medida],Tabla3[Equivalencia en Kg],"ELVIS",0)</f>
        <v>411.29931145560698</v>
      </c>
      <c r="J2110">
        <v>801.70571428571395</v>
      </c>
      <c r="K2110" t="s">
        <v>18</v>
      </c>
      <c r="L2110">
        <f>J2110/_xlfn.XLOOKUP(Tabla2[[#This Row],[Unidad de precio]],Tabla3[Medida],Tabla3[Equivalencia en Kg],"ELVIS",0)</f>
        <v>17.674288233812035</v>
      </c>
      <c r="M2110">
        <v>8288.2983415050003</v>
      </c>
      <c r="N2110" s="2">
        <f>(Tabla2[[#This Row],[Productividad (kg/TAS)]]*Tabla2[[#This Row],[Precio por kg]]-Tabla2[[#This Row],[Costos (En RD$/Tarea)]])</f>
        <v>-1018.8757604701741</v>
      </c>
      <c r="O2110" s="6">
        <f>IF(Tabla2[[#This Row],[Costos (En RD$/Tarea)]]=0,0,Tabla2[[#This Row],[Beneficio Neto  (En RD$/Tarea)]]/Tabla2[[#This Row],[Costos (En RD$/Tarea)]])</f>
        <v>-0.12292942634171217</v>
      </c>
      <c r="P2110" s="4">
        <f>Tabla2[[#This Row],[Rentabilidad (%)]]/12</f>
        <v>-1.0244118861809348E-2</v>
      </c>
    </row>
    <row r="2111" spans="1:16" x14ac:dyDescent="0.35">
      <c r="A2111" s="1">
        <v>41852</v>
      </c>
      <c r="B2111" t="s">
        <v>28</v>
      </c>
      <c r="C2111" s="2">
        <v>71362</v>
      </c>
      <c r="D2111" s="5" t="s">
        <v>17</v>
      </c>
      <c r="E2111" s="2">
        <f>IF(Tabla2[[#This Row],[Frecuencia]]="Annual", Tabla2[[#This Row],[Cosecha/Tarea]]/12,Tabla2[[#This Row],[Cosecha/Tarea]])</f>
        <v>71362</v>
      </c>
      <c r="F2111" s="2">
        <v>154287</v>
      </c>
      <c r="G2111" t="s">
        <v>29</v>
      </c>
      <c r="H2111">
        <f>F2111/Tabla2[[#This Row],[Cosecha Mensual]]</f>
        <v>2.1620330147697655</v>
      </c>
      <c r="I2111">
        <f>H2111*_xlfn.XLOOKUP(Tabla2[[#This Row],[Unidad de producción]],Tabla3[Medida],Tabla3[Equivalencia en Kg],"ELVIS",0)</f>
        <v>1215.7976455256301</v>
      </c>
      <c r="J2111">
        <v>5361.1116666666703</v>
      </c>
      <c r="K2111" t="s">
        <v>29</v>
      </c>
      <c r="L2111">
        <f>J2111/_xlfn.XLOOKUP(Tabla2[[#This Row],[Unidad de precio]],Tabla3[Medida],Tabla3[Equivalencia en Kg],"ELVIS",0)</f>
        <v>9.5335769581866305</v>
      </c>
      <c r="M2111">
        <v>7150.5342362867696</v>
      </c>
      <c r="N2111" s="2">
        <f>(Tabla2[[#This Row],[Productividad (kg/TAS)]]*Tabla2[[#This Row],[Precio por kg]]-Tabla2[[#This Row],[Costos (En RD$/Tarea)]])</f>
        <v>4440.3661829139337</v>
      </c>
      <c r="O2111" s="6">
        <f>IF(Tabla2[[#This Row],[Costos (En RD$/Tarea)]]=0,0,Tabla2[[#This Row],[Beneficio Neto  (En RD$/Tarea)]]/Tabla2[[#This Row],[Costos (En RD$/Tarea)]])</f>
        <v>0.62098383647762101</v>
      </c>
      <c r="P2111" s="4">
        <f>Tabla2[[#This Row],[Rentabilidad (%)]]/12</f>
        <v>5.1748653039801751E-2</v>
      </c>
    </row>
    <row r="2112" spans="1:16" x14ac:dyDescent="0.35">
      <c r="A2112" s="1">
        <v>41852</v>
      </c>
      <c r="B2112" t="s">
        <v>30</v>
      </c>
      <c r="C2112" s="2">
        <v>416483</v>
      </c>
      <c r="D2112" s="2" t="s">
        <v>31</v>
      </c>
      <c r="E2112" s="2">
        <f>IF(Tabla2[[#This Row],[Frecuencia]]="Annual", Tabla2[[#This Row],[Cosecha/Tarea]]/12,Tabla2[[#This Row],[Cosecha/Tarea]])</f>
        <v>34706.916666666664</v>
      </c>
      <c r="F2112" s="2">
        <v>3471133</v>
      </c>
      <c r="G2112" t="s">
        <v>32</v>
      </c>
      <c r="H2112">
        <f>F2112/Tabla2[[#This Row],[Cosecha Mensual]]</f>
        <v>100.01271600521511</v>
      </c>
      <c r="I2112">
        <f>H2112*_xlfn.XLOOKUP(Tabla2[[#This Row],[Unidad de producción]],Tabla3[Medida],Tabla3[Equivalencia en Kg],"ELVIS",0)</f>
        <v>2721.3460025019031</v>
      </c>
      <c r="J2112">
        <v>132.388571428571</v>
      </c>
      <c r="K2112" t="s">
        <v>32</v>
      </c>
      <c r="L2112">
        <f>J2112/_xlfn.XLOOKUP(Tabla2[[#This Row],[Unidad de precio]],Tabla3[Medida],Tabla3[Equivalencia en Kg],"ELVIS",0)</f>
        <v>4.8654381267391029</v>
      </c>
      <c r="M2112" s="2">
        <v>12538.8969859716</v>
      </c>
      <c r="N2112" s="2">
        <f>(Tabla2[[#This Row],[Productividad (kg/TAS)]]*Tabla2[[#This Row],[Precio por kg]]-Tabla2[[#This Row],[Costos (En RD$/Tarea)]])</f>
        <v>701.64361065020603</v>
      </c>
      <c r="O2112" s="6">
        <f>IF(Tabla2[[#This Row],[Costos (En RD$/Tarea)]]=0,0,Tabla2[[#This Row],[Beneficio Neto  (En RD$/Tarea)]]/Tabla2[[#This Row],[Costos (En RD$/Tarea)]])</f>
        <v>5.5957363030831049E-2</v>
      </c>
      <c r="P2112" s="4">
        <f>Tabla2[[#This Row],[Rentabilidad (%)]]/12</f>
        <v>4.6631135859025877E-3</v>
      </c>
    </row>
    <row r="2113" spans="1:16" x14ac:dyDescent="0.35">
      <c r="A2113" s="1">
        <v>41852</v>
      </c>
      <c r="B2113" t="s">
        <v>33</v>
      </c>
      <c r="C2113" s="2">
        <v>776949</v>
      </c>
      <c r="D2113" s="2" t="s">
        <v>31</v>
      </c>
      <c r="E2113" s="8">
        <f>IF(Tabla2[[#This Row],[Frecuencia]]="Annual", Tabla2[[#This Row],[Cosecha/Tarea]]/12,Tabla2[[#This Row],[Cosecha/Tarea]])</f>
        <v>64745.75</v>
      </c>
      <c r="F2113" s="2">
        <v>215521</v>
      </c>
      <c r="G2113" t="s">
        <v>34</v>
      </c>
      <c r="H2113">
        <f>F2113/Tabla2[[#This Row],[Cosecha Mensual]]</f>
        <v>3.3287281404570956</v>
      </c>
      <c r="I2113">
        <f>H2113*_xlfn.XLOOKUP(Tabla2[[#This Row],[Unidad de producción]],Tabla3[Medida],Tabla3[Equivalencia en Kg],"ELVIS",0)</f>
        <v>1358.6203905275636</v>
      </c>
      <c r="J2113">
        <v>4136.2633333333297</v>
      </c>
      <c r="K2113" t="s">
        <v>34</v>
      </c>
      <c r="L2113">
        <f>J2113/_xlfn.XLOOKUP(Tabla2[[#This Row],[Unidad de precio]],Tabla3[Medida],Tabla3[Equivalencia en Kg],"ELVIS",0)</f>
        <v>10.134174527338796</v>
      </c>
      <c r="M2113" s="2">
        <v>12054.016631725301</v>
      </c>
      <c r="N2113" s="2">
        <f>(Tabla2[[#This Row],[Productividad (kg/TAS)]]*Tabla2[[#This Row],[Precio por kg]]-Tabla2[[#This Row],[Costos (En RD$/Tarea)]])</f>
        <v>1714.4795222822213</v>
      </c>
      <c r="O2113" s="6">
        <f>IF(Tabla2[[#This Row],[Costos (En RD$/Tarea)]]=0,0,Tabla2[[#This Row],[Beneficio Neto  (En RD$/Tarea)]]/Tabla2[[#This Row],[Costos (En RD$/Tarea)]])</f>
        <v>0.14223304767722281</v>
      </c>
      <c r="P2113" s="4">
        <f>Tabla2[[#This Row],[Rentabilidad (%)]]/12</f>
        <v>1.18527539731019E-2</v>
      </c>
    </row>
    <row r="2114" spans="1:16" x14ac:dyDescent="0.35">
      <c r="A2114" s="1">
        <v>41883</v>
      </c>
      <c r="B2114" t="s">
        <v>16</v>
      </c>
      <c r="C2114" s="2">
        <v>337172</v>
      </c>
      <c r="D2114" s="5" t="s">
        <v>17</v>
      </c>
      <c r="E2114" s="2">
        <f>IF(Tabla2[[#This Row],[Frecuencia]]="Annual", Tabla2[[#This Row],[Cosecha/Tarea]]/12,Tabla2[[#This Row],[Cosecha/Tarea]])</f>
        <v>337172</v>
      </c>
      <c r="F2114" s="2">
        <v>1448666</v>
      </c>
      <c r="G2114" t="s">
        <v>18</v>
      </c>
      <c r="H2114">
        <f>F2114/Tabla2[[#This Row],[Cosecha Mensual]]</f>
        <v>4.2965192839263047</v>
      </c>
      <c r="I2114">
        <f>H2114*_xlfn.XLOOKUP(Tabla2[[#This Row],[Unidad de producción]],Tabla3[Medida],Tabla3[Equivalencia en Kg],"ELVIS",0)</f>
        <v>194.89011471889717</v>
      </c>
      <c r="J2114">
        <v>2063.2766666666698</v>
      </c>
      <c r="K2114" t="s">
        <v>19</v>
      </c>
      <c r="L2114">
        <f>J2114/_xlfn.XLOOKUP(Tabla2[[#This Row],[Unidad de precio]],Tabla3[Medida],Tabla3[Equivalencia en Kg],"ELVIS",0)</f>
        <v>18.757060606060634</v>
      </c>
      <c r="M2114">
        <v>7973.2432584128101</v>
      </c>
      <c r="N2114" s="2">
        <f>(Tabla2[[#This Row],[Productividad (kg/TAS)]]*Tabla2[[#This Row],[Precio por kg]]-Tabla2[[#This Row],[Costos (En RD$/Tarea)]])</f>
        <v>-4317.6775651083462</v>
      </c>
      <c r="O2114" s="6">
        <f>IF(Tabla2[[#This Row],[Costos (En RD$/Tarea)]]=0,0,Tabla2[[#This Row],[Beneficio Neto  (En RD$/Tarea)]]/Tabla2[[#This Row],[Costos (En RD$/Tarea)]])</f>
        <v>-0.54152086236082586</v>
      </c>
      <c r="P2114" s="4">
        <f>Tabla2[[#This Row],[Rentabilidad (%)]]/12</f>
        <v>-4.5126738530068822E-2</v>
      </c>
    </row>
    <row r="2115" spans="1:16" x14ac:dyDescent="0.35">
      <c r="A2115" s="1">
        <v>41883</v>
      </c>
      <c r="B2115" t="s">
        <v>20</v>
      </c>
      <c r="C2115" s="2">
        <v>46198</v>
      </c>
      <c r="D2115" s="5" t="s">
        <v>17</v>
      </c>
      <c r="E2115" s="2">
        <f>IF(Tabla2[[#This Row],[Frecuencia]]="Annual", Tabla2[[#This Row],[Cosecha/Tarea]]/12,Tabla2[[#This Row],[Cosecha/Tarea]])</f>
        <v>46198</v>
      </c>
      <c r="F2115" s="2">
        <v>70817</v>
      </c>
      <c r="G2115" t="s">
        <v>18</v>
      </c>
      <c r="H2115">
        <f>F2115/Tabla2[[#This Row],[Cosecha Mensual]]</f>
        <v>1.5329018572232564</v>
      </c>
      <c r="I2115">
        <f>H2115*_xlfn.XLOOKUP(Tabla2[[#This Row],[Unidad de producción]],Tabla3[Medida],Tabla3[Equivalencia en Kg],"ELVIS",0)</f>
        <v>69.532428243646905</v>
      </c>
      <c r="J2115">
        <v>741.87285714285701</v>
      </c>
      <c r="K2115" t="s">
        <v>18</v>
      </c>
      <c r="L2115">
        <f>J2115/_xlfn.XLOOKUP(Tabla2[[#This Row],[Unidad de precio]],Tabla3[Medida],Tabla3[Equivalencia en Kg],"ELVIS",0)</f>
        <v>16.355221718316955</v>
      </c>
      <c r="M2115">
        <v>2447.4016476000002</v>
      </c>
      <c r="N2115" s="2">
        <f>(Tabla2[[#This Row],[Productividad (kg/TAS)]]*Tabla2[[#This Row],[Precio por kg]]-Tabla2[[#This Row],[Costos (En RD$/Tarea)]])</f>
        <v>-1310.1833670621911</v>
      </c>
      <c r="O2115" s="6">
        <f>IF(Tabla2[[#This Row],[Costos (En RD$/Tarea)]]=0,0,Tabla2[[#This Row],[Beneficio Neto  (En RD$/Tarea)]]/Tabla2[[#This Row],[Costos (En RD$/Tarea)]])</f>
        <v>-0.53533647341742974</v>
      </c>
      <c r="P2115" s="4">
        <f>Tabla2[[#This Row],[Rentabilidad (%)]]/12</f>
        <v>-4.4611372784785809E-2</v>
      </c>
    </row>
    <row r="2116" spans="1:16" x14ac:dyDescent="0.35">
      <c r="A2116" s="1">
        <v>41883</v>
      </c>
      <c r="B2116" t="s">
        <v>21</v>
      </c>
      <c r="C2116" s="2">
        <v>4052</v>
      </c>
      <c r="D2116" s="5" t="s">
        <v>17</v>
      </c>
      <c r="E2116" s="2">
        <f>IF(Tabla2[[#This Row],[Frecuencia]]="Annual", Tabla2[[#This Row],[Cosecha/Tarea]]/12,Tabla2[[#This Row],[Cosecha/Tarea]])</f>
        <v>4052</v>
      </c>
      <c r="F2116" s="2">
        <v>49365</v>
      </c>
      <c r="G2116" t="s">
        <v>18</v>
      </c>
      <c r="H2116">
        <f>F2116/Tabla2[[#This Row],[Cosecha Mensual]]</f>
        <v>12.182872655478777</v>
      </c>
      <c r="I2116">
        <f>H2116*_xlfn.XLOOKUP(Tabla2[[#This Row],[Unidad de producción]],Tabla3[Medida],Tabla3[Equivalencia en Kg],"ELVIS",0)</f>
        <v>552.61510365251729</v>
      </c>
      <c r="J2116">
        <v>384.74484999999999</v>
      </c>
      <c r="K2116" t="s">
        <v>18</v>
      </c>
      <c r="L2116">
        <f>J2116/_xlfn.XLOOKUP(Tabla2[[#This Row],[Unidad de precio]],Tabla3[Medida],Tabla3[Equivalencia en Kg],"ELVIS",0)</f>
        <v>8.4820293209876549</v>
      </c>
      <c r="M2116">
        <v>5243.9203424999996</v>
      </c>
      <c r="N2116" s="2">
        <f>(Tabla2[[#This Row],[Productividad (kg/TAS)]]*Tabla2[[#This Row],[Precio por kg]]-Tabla2[[#This Row],[Costos (En RD$/Tarea)]])</f>
        <v>-556.62283009871589</v>
      </c>
      <c r="O2116" s="6">
        <f>IF(Tabla2[[#This Row],[Costos (En RD$/Tarea)]]=0,0,Tabla2[[#This Row],[Beneficio Neto  (En RD$/Tarea)]]/Tabla2[[#This Row],[Costos (En RD$/Tarea)]])</f>
        <v>-0.1061463168285562</v>
      </c>
      <c r="P2116" s="4">
        <f>Tabla2[[#This Row],[Rentabilidad (%)]]/12</f>
        <v>-8.8455264023796828E-3</v>
      </c>
    </row>
    <row r="2117" spans="1:16" x14ac:dyDescent="0.35">
      <c r="A2117" s="1">
        <v>41883</v>
      </c>
      <c r="B2117" t="s">
        <v>22</v>
      </c>
      <c r="C2117" s="2">
        <v>2431</v>
      </c>
      <c r="D2117" s="5" t="s">
        <v>17</v>
      </c>
      <c r="E2117" s="2">
        <f>IF(Tabla2[[#This Row],[Frecuencia]]="Annual", Tabla2[[#This Row],[Cosecha/Tarea]]/12,Tabla2[[#This Row],[Cosecha/Tarea]])</f>
        <v>2431</v>
      </c>
      <c r="F2117" s="2">
        <v>29194</v>
      </c>
      <c r="G2117" t="s">
        <v>18</v>
      </c>
      <c r="H2117">
        <f>F2117/Tabla2[[#This Row],[Cosecha Mensual]]</f>
        <v>12.009049773755656</v>
      </c>
      <c r="I2117">
        <f>H2117*_xlfn.XLOOKUP(Tabla2[[#This Row],[Unidad de producción]],Tabla3[Medida],Tabla3[Equivalencia en Kg],"ELVIS",0)</f>
        <v>544.73049773755656</v>
      </c>
      <c r="J2117">
        <v>1019.75</v>
      </c>
      <c r="K2117" t="s">
        <v>18</v>
      </c>
      <c r="L2117">
        <f>J2117/_xlfn.XLOOKUP(Tabla2[[#This Row],[Unidad de precio]],Tabla3[Medida],Tabla3[Equivalencia en Kg],"ELVIS",0)</f>
        <v>22.48126102292769</v>
      </c>
      <c r="M2117">
        <v>9418.5442175999997</v>
      </c>
      <c r="N2117" s="2">
        <f>(Tabla2[[#This Row],[Productividad (kg/TAS)]]*Tabla2[[#This Row],[Precio por kg]]-Tabla2[[#This Row],[Costos (En RD$/Tarea)]])</f>
        <v>2827.6842891873312</v>
      </c>
      <c r="O2117" s="6">
        <f>IF(Tabla2[[#This Row],[Costos (En RD$/Tarea)]]=0,0,Tabla2[[#This Row],[Beneficio Neto  (En RD$/Tarea)]]/Tabla2[[#This Row],[Costos (En RD$/Tarea)]])</f>
        <v>0.30022519657585384</v>
      </c>
      <c r="P2117" s="4">
        <f>Tabla2[[#This Row],[Rentabilidad (%)]]/12</f>
        <v>2.5018766381321153E-2</v>
      </c>
    </row>
    <row r="2118" spans="1:16" x14ac:dyDescent="0.35">
      <c r="A2118" s="1">
        <v>41883</v>
      </c>
      <c r="B2118" t="s">
        <v>23</v>
      </c>
      <c r="C2118" s="2">
        <v>3719</v>
      </c>
      <c r="D2118" s="5" t="s">
        <v>17</v>
      </c>
      <c r="E2118" s="2">
        <f>IF(Tabla2[[#This Row],[Frecuencia]]="Annual", Tabla2[[#This Row],[Cosecha/Tarea]]/12,Tabla2[[#This Row],[Cosecha/Tarea]])</f>
        <v>3719</v>
      </c>
      <c r="F2118" s="2">
        <v>138620</v>
      </c>
      <c r="G2118" t="s">
        <v>18</v>
      </c>
      <c r="H2118">
        <f>F2118/Tabla2[[#This Row],[Cosecha Mensual]]</f>
        <v>37.273460607690239</v>
      </c>
      <c r="I2118">
        <f>H2118*_xlfn.XLOOKUP(Tabla2[[#This Row],[Unidad de producción]],Tabla3[Medida],Tabla3[Equivalencia en Kg],"ELVIS",0)</f>
        <v>1690.7241731648292</v>
      </c>
      <c r="J2118">
        <v>983.33333333333303</v>
      </c>
      <c r="K2118" t="s">
        <v>18</v>
      </c>
      <c r="L2118">
        <f>J2118/_xlfn.XLOOKUP(Tabla2[[#This Row],[Unidad de precio]],Tabla3[Medida],Tabla3[Equivalencia en Kg],"ELVIS",0)</f>
        <v>21.678424456202226</v>
      </c>
      <c r="M2118">
        <v>26184.1693466859</v>
      </c>
      <c r="N2118" s="2">
        <f>(Tabla2[[#This Row],[Productividad (kg/TAS)]]*Tabla2[[#This Row],[Precio por kg]]-Tabla2[[#This Row],[Costos (En RD$/Tarea)]])</f>
        <v>10468.066917542819</v>
      </c>
      <c r="O2118" s="6">
        <f>IF(Tabla2[[#This Row],[Costos (En RD$/Tarea)]]=0,0,Tabla2[[#This Row],[Beneficio Neto  (En RD$/Tarea)]]/Tabla2[[#This Row],[Costos (En RD$/Tarea)]])</f>
        <v>0.3997860989570689</v>
      </c>
      <c r="P2118" s="4">
        <f>Tabla2[[#This Row],[Rentabilidad (%)]]/12</f>
        <v>3.3315508246422411E-2</v>
      </c>
    </row>
    <row r="2119" spans="1:16" x14ac:dyDescent="0.35">
      <c r="A2119" s="1">
        <v>41883</v>
      </c>
      <c r="B2119" t="s">
        <v>24</v>
      </c>
      <c r="C2119" s="2">
        <v>4184</v>
      </c>
      <c r="D2119" s="5" t="s">
        <v>17</v>
      </c>
      <c r="E2119" s="2">
        <f>IF(Tabla2[[#This Row],[Frecuencia]]="Annual", Tabla2[[#This Row],[Cosecha/Tarea]]/12,Tabla2[[#This Row],[Cosecha/Tarea]])</f>
        <v>4184</v>
      </c>
      <c r="F2119" s="2">
        <v>32373</v>
      </c>
      <c r="G2119" t="s">
        <v>18</v>
      </c>
      <c r="H2119">
        <f>F2119/Tabla2[[#This Row],[Cosecha Mensual]]</f>
        <v>7.737332695984704</v>
      </c>
      <c r="I2119">
        <f>H2119*_xlfn.XLOOKUP(Tabla2[[#This Row],[Unidad de producción]],Tabla3[Medida],Tabla3[Equivalencia en Kg],"ELVIS",0)</f>
        <v>350.96541108986617</v>
      </c>
      <c r="J2119">
        <v>1407.94444444444</v>
      </c>
      <c r="K2119" t="s">
        <v>18</v>
      </c>
      <c r="L2119">
        <f>J2119/_xlfn.XLOOKUP(Tabla2[[#This Row],[Unidad de precio]],Tabla3[Medida],Tabla3[Equivalencia en Kg],"ELVIS",0)</f>
        <v>31.039339604154321</v>
      </c>
      <c r="M2119">
        <v>9105.9886041600002</v>
      </c>
      <c r="N2119" s="2">
        <f>(Tabla2[[#This Row],[Productividad (kg/TAS)]]*Tabla2[[#This Row],[Precio por kg]]-Tabla2[[#This Row],[Costos (En RD$/Tarea)]])</f>
        <v>1787.7459799699845</v>
      </c>
      <c r="O2119" s="6">
        <f>IF(Tabla2[[#This Row],[Costos (En RD$/Tarea)]]=0,0,Tabla2[[#This Row],[Beneficio Neto  (En RD$/Tarea)]]/Tabla2[[#This Row],[Costos (En RD$/Tarea)]])</f>
        <v>0.19632640207272681</v>
      </c>
      <c r="P2119" s="4">
        <f>Tabla2[[#This Row],[Rentabilidad (%)]]/12</f>
        <v>1.6360533506060568E-2</v>
      </c>
    </row>
    <row r="2120" spans="1:16" x14ac:dyDescent="0.35">
      <c r="A2120" s="1">
        <v>41883</v>
      </c>
      <c r="B2120" t="s">
        <v>25</v>
      </c>
      <c r="C2120" s="2">
        <v>24674</v>
      </c>
      <c r="D2120" s="5" t="s">
        <v>17</v>
      </c>
      <c r="E2120" s="2">
        <f>IF(Tabla2[[#This Row],[Frecuencia]]="Annual", Tabla2[[#This Row],[Cosecha/Tarea]]/12,Tabla2[[#This Row],[Cosecha/Tarea]])</f>
        <v>24674</v>
      </c>
      <c r="F2120" s="2">
        <v>281486</v>
      </c>
      <c r="G2120" t="s">
        <v>18</v>
      </c>
      <c r="H2120">
        <f>F2120/Tabla2[[#This Row],[Cosecha Mensual]]</f>
        <v>11.408202966685581</v>
      </c>
      <c r="I2120">
        <f>H2120*_xlfn.XLOOKUP(Tabla2[[#This Row],[Unidad de producción]],Tabla3[Medida],Tabla3[Equivalencia en Kg],"ELVIS",0)</f>
        <v>517.47608656885791</v>
      </c>
      <c r="J2120">
        <v>259.79102499999999</v>
      </c>
      <c r="K2120" t="s">
        <v>18</v>
      </c>
      <c r="L2120">
        <f>J2120/_xlfn.XLOOKUP(Tabla2[[#This Row],[Unidad de precio]],Tabla3[Medida],Tabla3[Equivalencia en Kg],"ELVIS",0)</f>
        <v>5.7273153659611991</v>
      </c>
      <c r="M2120">
        <v>4871.6687043187803</v>
      </c>
      <c r="N2120" s="2">
        <f>(Tabla2[[#This Row],[Productividad (kg/TAS)]]*Tabla2[[#This Row],[Precio por kg]]-Tabla2[[#This Row],[Costos (En RD$/Tarea)]])</f>
        <v>-1907.9199621954926</v>
      </c>
      <c r="O2120" s="6">
        <f>IF(Tabla2[[#This Row],[Costos (En RD$/Tarea)]]=0,0,Tabla2[[#This Row],[Beneficio Neto  (En RD$/Tarea)]]/Tabla2[[#This Row],[Costos (En RD$/Tarea)]])</f>
        <v>-0.39163581885280985</v>
      </c>
      <c r="P2120" s="4">
        <f>Tabla2[[#This Row],[Rentabilidad (%)]]/12</f>
        <v>-3.2636318237734156E-2</v>
      </c>
    </row>
    <row r="2121" spans="1:16" x14ac:dyDescent="0.35">
      <c r="A2121" s="1">
        <v>41883</v>
      </c>
      <c r="B2121" t="s">
        <v>26</v>
      </c>
      <c r="C2121" s="2">
        <v>10410</v>
      </c>
      <c r="D2121" s="5" t="s">
        <v>17</v>
      </c>
      <c r="E2121" s="2">
        <f>IF(Tabla2[[#This Row],[Frecuencia]]="Annual", Tabla2[[#This Row],[Cosecha/Tarea]]/12,Tabla2[[#This Row],[Cosecha/Tarea]])</f>
        <v>10410</v>
      </c>
      <c r="F2121" s="2">
        <v>63529</v>
      </c>
      <c r="G2121" t="s">
        <v>18</v>
      </c>
      <c r="H2121">
        <f>F2121/Tabla2[[#This Row],[Cosecha Mensual]]</f>
        <v>6.1026897214217097</v>
      </c>
      <c r="I2121">
        <f>H2121*_xlfn.XLOOKUP(Tabla2[[#This Row],[Unidad de producción]],Tabla3[Medida],Tabla3[Equivalencia en Kg],"ELVIS",0)</f>
        <v>276.81800576368875</v>
      </c>
      <c r="J2121">
        <v>845.52200000000005</v>
      </c>
      <c r="K2121" t="s">
        <v>18</v>
      </c>
      <c r="L2121">
        <f>J2121/_xlfn.XLOOKUP(Tabla2[[#This Row],[Unidad de precio]],Tabla3[Medida],Tabla3[Equivalencia en Kg],"ELVIS",0)</f>
        <v>18.640255731922402</v>
      </c>
      <c r="M2121">
        <v>2107.5566399999998</v>
      </c>
      <c r="N2121" s="2">
        <f>(Tabla2[[#This Row],[Productividad (kg/TAS)]]*Tabla2[[#This Row],[Precio por kg]]-Tabla2[[#This Row],[Costos (En RD$/Tarea)]])</f>
        <v>3052.4017786359282</v>
      </c>
      <c r="O2121" s="6">
        <f>IF(Tabla2[[#This Row],[Costos (En RD$/Tarea)]]=0,0,Tabla2[[#This Row],[Beneficio Neto  (En RD$/Tarea)]]/Tabla2[[#This Row],[Costos (En RD$/Tarea)]])</f>
        <v>1.448313046825602</v>
      </c>
      <c r="P2121" s="4">
        <f>Tabla2[[#This Row],[Rentabilidad (%)]]/12</f>
        <v>0.12069275390213351</v>
      </c>
    </row>
    <row r="2122" spans="1:16" x14ac:dyDescent="0.35">
      <c r="A2122" s="1">
        <v>41883</v>
      </c>
      <c r="B2122" t="s">
        <v>27</v>
      </c>
      <c r="C2122" s="2">
        <v>3026</v>
      </c>
      <c r="D2122" s="5" t="s">
        <v>17</v>
      </c>
      <c r="E2122" s="2">
        <f>IF(Tabla2[[#This Row],[Frecuencia]]="Annual", Tabla2[[#This Row],[Cosecha/Tarea]]/12,Tabla2[[#This Row],[Cosecha/Tarea]])</f>
        <v>3026</v>
      </c>
      <c r="F2122" s="2">
        <v>35642</v>
      </c>
      <c r="G2122" t="s">
        <v>18</v>
      </c>
      <c r="H2122">
        <f>F2122/Tabla2[[#This Row],[Cosecha Mensual]]</f>
        <v>11.778585591539986</v>
      </c>
      <c r="I2122">
        <f>H2122*_xlfn.XLOOKUP(Tabla2[[#This Row],[Unidad de producción]],Tabla3[Medida],Tabla3[Equivalencia en Kg],"ELVIS",0)</f>
        <v>534.27664243225377</v>
      </c>
      <c r="J2122">
        <v>750.83277777777801</v>
      </c>
      <c r="K2122" t="s">
        <v>18</v>
      </c>
      <c r="L2122">
        <f>J2122/_xlfn.XLOOKUP(Tabla2[[#This Row],[Unidad de precio]],Tabla3[Medida],Tabla3[Equivalencia en Kg],"ELVIS",0)</f>
        <v>16.552750832843429</v>
      </c>
      <c r="M2122">
        <v>8288.2983415050003</v>
      </c>
      <c r="N2122" s="2">
        <f>(Tabla2[[#This Row],[Productividad (kg/TAS)]]*Tabla2[[#This Row],[Precio por kg]]-Tabla2[[#This Row],[Costos (En RD$/Tarea)]])</f>
        <v>555.44979648427943</v>
      </c>
      <c r="O2122" s="6">
        <f>IF(Tabla2[[#This Row],[Costos (En RD$/Tarea)]]=0,0,Tabla2[[#This Row],[Beneficio Neto  (En RD$/Tarea)]]/Tabla2[[#This Row],[Costos (En RD$/Tarea)]])</f>
        <v>6.7016144158659724E-2</v>
      </c>
      <c r="P2122" s="4">
        <f>Tabla2[[#This Row],[Rentabilidad (%)]]/12</f>
        <v>5.5846786798883106E-3</v>
      </c>
    </row>
    <row r="2123" spans="1:16" x14ac:dyDescent="0.35">
      <c r="A2123" s="1">
        <v>41883</v>
      </c>
      <c r="B2123" t="s">
        <v>28</v>
      </c>
      <c r="C2123" s="2">
        <v>77013</v>
      </c>
      <c r="D2123" s="5" t="s">
        <v>17</v>
      </c>
      <c r="E2123" s="2">
        <f>IF(Tabla2[[#This Row],[Frecuencia]]="Annual", Tabla2[[#This Row],[Cosecha/Tarea]]/12,Tabla2[[#This Row],[Cosecha/Tarea]])</f>
        <v>77013</v>
      </c>
      <c r="F2123" s="2">
        <v>151664</v>
      </c>
      <c r="G2123" t="s">
        <v>29</v>
      </c>
      <c r="H2123">
        <f>F2123/Tabla2[[#This Row],[Cosecha Mensual]]</f>
        <v>1.9693298534013739</v>
      </c>
      <c r="I2123">
        <f>H2123*_xlfn.XLOOKUP(Tabla2[[#This Row],[Unidad de producción]],Tabla3[Medida],Tabla3[Equivalencia en Kg],"ELVIS",0)</f>
        <v>1107.4329497617287</v>
      </c>
      <c r="J2123">
        <v>4357.7857142857201</v>
      </c>
      <c r="K2123" t="s">
        <v>29</v>
      </c>
      <c r="L2123">
        <f>J2123/_xlfn.XLOOKUP(Tabla2[[#This Row],[Unidad de precio]],Tabla3[Medida],Tabla3[Equivalencia en Kg],"ELVIS",0)</f>
        <v>7.7493788709423477</v>
      </c>
      <c r="M2123">
        <v>7150.5342362867696</v>
      </c>
      <c r="N2123" s="2">
        <f>(Tabla2[[#This Row],[Productividad (kg/TAS)]]*Tabla2[[#This Row],[Precio por kg]]-Tabla2[[#This Row],[Costos (En RD$/Tarea)]])</f>
        <v>1431.3832655821288</v>
      </c>
      <c r="O2123" s="6">
        <f>IF(Tabla2[[#This Row],[Costos (En RD$/Tarea)]]=0,0,Tabla2[[#This Row],[Beneficio Neto  (En RD$/Tarea)]]/Tabla2[[#This Row],[Costos (En RD$/Tarea)]])</f>
        <v>0.2001785067076943</v>
      </c>
      <c r="P2123" s="4">
        <f>Tabla2[[#This Row],[Rentabilidad (%)]]/12</f>
        <v>1.668154222564119E-2</v>
      </c>
    </row>
    <row r="2124" spans="1:16" x14ac:dyDescent="0.35">
      <c r="A2124" s="1">
        <v>41883</v>
      </c>
      <c r="B2124" t="s">
        <v>30</v>
      </c>
      <c r="C2124" s="2">
        <v>413997</v>
      </c>
      <c r="D2124" s="2" t="s">
        <v>31</v>
      </c>
      <c r="E2124" s="2">
        <f>IF(Tabla2[[#This Row],[Frecuencia]]="Annual", Tabla2[[#This Row],[Cosecha/Tarea]]/12,Tabla2[[#This Row],[Cosecha/Tarea]])</f>
        <v>34499.75</v>
      </c>
      <c r="F2124" s="2">
        <v>4059062</v>
      </c>
      <c r="G2124" t="s">
        <v>32</v>
      </c>
      <c r="H2124">
        <f>F2124/Tabla2[[#This Row],[Cosecha Mensual]]</f>
        <v>117.65482358567816</v>
      </c>
      <c r="I2124">
        <f>H2124*_xlfn.XLOOKUP(Tabla2[[#This Row],[Unidad de producción]],Tabla3[Medida],Tabla3[Equivalencia en Kg],"ELVIS",0)</f>
        <v>3201.3877497663029</v>
      </c>
      <c r="J2124">
        <v>135.71047619047599</v>
      </c>
      <c r="K2124" t="s">
        <v>32</v>
      </c>
      <c r="L2124">
        <f>J2124/_xlfn.XLOOKUP(Tabla2[[#This Row],[Unidad de precio]],Tabla3[Medida],Tabla3[Equivalencia en Kg],"ELVIS",0)</f>
        <v>4.9875220944680629</v>
      </c>
      <c r="M2124" s="2">
        <v>12538.8969859716</v>
      </c>
      <c r="N2124" s="2">
        <f>(Tabla2[[#This Row],[Productividad (kg/TAS)]]*Tabla2[[#This Row],[Precio por kg]]-Tabla2[[#This Row],[Costos (En RD$/Tarea)]])</f>
        <v>3428.09514894723</v>
      </c>
      <c r="O2124" s="6">
        <f>IF(Tabla2[[#This Row],[Costos (En RD$/Tarea)]]=0,0,Tabla2[[#This Row],[Beneficio Neto  (En RD$/Tarea)]]/Tabla2[[#This Row],[Costos (En RD$/Tarea)]])</f>
        <v>0.27339686678840658</v>
      </c>
      <c r="P2124" s="4">
        <f>Tabla2[[#This Row],[Rentabilidad (%)]]/12</f>
        <v>2.2783072232367214E-2</v>
      </c>
    </row>
    <row r="2125" spans="1:16" x14ac:dyDescent="0.35">
      <c r="A2125" s="1">
        <v>41883</v>
      </c>
      <c r="B2125" t="s">
        <v>33</v>
      </c>
      <c r="C2125" s="2">
        <v>724871</v>
      </c>
      <c r="D2125" s="2" t="s">
        <v>31</v>
      </c>
      <c r="E2125" s="8">
        <f>IF(Tabla2[[#This Row],[Frecuencia]]="Annual", Tabla2[[#This Row],[Cosecha/Tarea]]/12,Tabla2[[#This Row],[Cosecha/Tarea]])</f>
        <v>60405.916666666664</v>
      </c>
      <c r="F2125" s="2">
        <v>187449</v>
      </c>
      <c r="G2125" t="s">
        <v>34</v>
      </c>
      <c r="H2125">
        <f>F2125/Tabla2[[#This Row],[Cosecha Mensual]]</f>
        <v>3.1031562857391179</v>
      </c>
      <c r="I2125">
        <f>H2125*_xlfn.XLOOKUP(Tabla2[[#This Row],[Unidad de producción]],Tabla3[Medida],Tabla3[Equivalencia en Kg],"ELVIS",0)</f>
        <v>1266.5532380244208</v>
      </c>
      <c r="J2125">
        <v>4573.9025000000001</v>
      </c>
      <c r="K2125" t="s">
        <v>34</v>
      </c>
      <c r="L2125">
        <f>J2125/_xlfn.XLOOKUP(Tabla2[[#This Row],[Unidad de precio]],Tabla3[Medida],Tabla3[Equivalencia en Kg],"ELVIS",0)</f>
        <v>11.206425333823351</v>
      </c>
      <c r="M2125" s="2">
        <v>12054.016631725301</v>
      </c>
      <c r="N2125" s="2">
        <f>(Tabla2[[#This Row],[Productividad (kg/TAS)]]*Tabla2[[#This Row],[Precio por kg]]-Tabla2[[#This Row],[Costos (En RD$/Tarea)]])</f>
        <v>2139.5176615075652</v>
      </c>
      <c r="O2125" s="6">
        <f>IF(Tabla2[[#This Row],[Costos (En RD$/Tarea)]]=0,0,Tabla2[[#This Row],[Beneficio Neto  (En RD$/Tarea)]]/Tabla2[[#This Row],[Costos (En RD$/Tarea)]])</f>
        <v>0.17749416869697271</v>
      </c>
      <c r="P2125" s="4">
        <f>Tabla2[[#This Row],[Rentabilidad (%)]]/12</f>
        <v>1.4791180724747726E-2</v>
      </c>
    </row>
    <row r="2126" spans="1:16" x14ac:dyDescent="0.35">
      <c r="A2126" s="1">
        <v>41913</v>
      </c>
      <c r="B2126" t="s">
        <v>16</v>
      </c>
      <c r="C2126" s="2">
        <v>548919</v>
      </c>
      <c r="D2126" s="5" t="s">
        <v>17</v>
      </c>
      <c r="E2126" s="2">
        <f>IF(Tabla2[[#This Row],[Frecuencia]]="Annual", Tabla2[[#This Row],[Cosecha/Tarea]]/12,Tabla2[[#This Row],[Cosecha/Tarea]])</f>
        <v>548919</v>
      </c>
      <c r="F2126" s="2">
        <v>2623187</v>
      </c>
      <c r="G2126" t="s">
        <v>18</v>
      </c>
      <c r="H2126">
        <f>F2126/Tabla2[[#This Row],[Cosecha Mensual]]</f>
        <v>4.7788234694007681</v>
      </c>
      <c r="I2126">
        <f>H2126*_xlfn.XLOOKUP(Tabla2[[#This Row],[Unidad de producción]],Tabla3[Medida],Tabla3[Equivalencia en Kg],"ELVIS",0)</f>
        <v>216.76743257201883</v>
      </c>
      <c r="J2126">
        <v>1895.34123652174</v>
      </c>
      <c r="K2126" t="s">
        <v>19</v>
      </c>
      <c r="L2126">
        <f>J2126/_xlfn.XLOOKUP(Tabla2[[#This Row],[Unidad de precio]],Tabla3[Medida],Tabla3[Equivalencia en Kg],"ELVIS",0)</f>
        <v>17.230374877470364</v>
      </c>
      <c r="M2126">
        <v>7973.2432584128101</v>
      </c>
      <c r="N2126" s="2">
        <f>(Tabla2[[#This Row],[Productividad (kg/TAS)]]*Tabla2[[#This Row],[Precio por kg]]-Tabla2[[#This Row],[Costos (En RD$/Tarea)]])</f>
        <v>-4238.2591339701457</v>
      </c>
      <c r="O2126" s="6">
        <f>IF(Tabla2[[#This Row],[Costos (En RD$/Tarea)]]=0,0,Tabla2[[#This Row],[Beneficio Neto  (En RD$/Tarea)]]/Tabla2[[#This Row],[Costos (En RD$/Tarea)]])</f>
        <v>-0.53156024425797244</v>
      </c>
      <c r="P2126" s="4">
        <f>Tabla2[[#This Row],[Rentabilidad (%)]]/12</f>
        <v>-4.4296687021497701E-2</v>
      </c>
    </row>
    <row r="2127" spans="1:16" x14ac:dyDescent="0.35">
      <c r="A2127" s="1">
        <v>41913</v>
      </c>
      <c r="B2127" t="s">
        <v>20</v>
      </c>
      <c r="C2127" s="2">
        <v>29563</v>
      </c>
      <c r="D2127" s="5" t="s">
        <v>17</v>
      </c>
      <c r="E2127" s="2">
        <f>IF(Tabla2[[#This Row],[Frecuencia]]="Annual", Tabla2[[#This Row],[Cosecha/Tarea]]/12,Tabla2[[#This Row],[Cosecha/Tarea]])</f>
        <v>29563</v>
      </c>
      <c r="F2127" s="2">
        <v>76566</v>
      </c>
      <c r="G2127" t="s">
        <v>18</v>
      </c>
      <c r="H2127">
        <f>F2127/Tabla2[[#This Row],[Cosecha Mensual]]</f>
        <v>2.589926597435984</v>
      </c>
      <c r="I2127">
        <f>H2127*_xlfn.XLOOKUP(Tabla2[[#This Row],[Unidad de producción]],Tabla3[Medida],Tabla3[Equivalencia en Kg],"ELVIS",0)</f>
        <v>117.47907045969623</v>
      </c>
      <c r="J2127">
        <v>791.50777777777796</v>
      </c>
      <c r="K2127" t="s">
        <v>18</v>
      </c>
      <c r="L2127">
        <f>J2127/_xlfn.XLOOKUP(Tabla2[[#This Row],[Unidad de precio]],Tabla3[Medida],Tabla3[Equivalencia en Kg],"ELVIS",0)</f>
        <v>17.449466000391929</v>
      </c>
      <c r="M2127">
        <v>2447.4016476000002</v>
      </c>
      <c r="N2127" s="2">
        <f>(Tabla2[[#This Row],[Productividad (kg/TAS)]]*Tabla2[[#This Row],[Precio por kg]]-Tabla2[[#This Row],[Costos (En RD$/Tarea)]])</f>
        <v>-397.45460185588308</v>
      </c>
      <c r="O2127" s="6">
        <f>IF(Tabla2[[#This Row],[Costos (En RD$/Tarea)]]=0,0,Tabla2[[#This Row],[Beneficio Neto  (En RD$/Tarea)]]/Tabla2[[#This Row],[Costos (En RD$/Tarea)]])</f>
        <v>-0.16239860026475006</v>
      </c>
      <c r="P2127" s="4">
        <f>Tabla2[[#This Row],[Rentabilidad (%)]]/12</f>
        <v>-1.3533216688729172E-2</v>
      </c>
    </row>
    <row r="2128" spans="1:16" x14ac:dyDescent="0.35">
      <c r="A2128" s="1">
        <v>41913</v>
      </c>
      <c r="B2128" t="s">
        <v>21</v>
      </c>
      <c r="C2128" s="2">
        <v>4764</v>
      </c>
      <c r="D2128" s="5" t="s">
        <v>17</v>
      </c>
      <c r="E2128" s="2">
        <f>IF(Tabla2[[#This Row],[Frecuencia]]="Annual", Tabla2[[#This Row],[Cosecha/Tarea]]/12,Tabla2[[#This Row],[Cosecha/Tarea]])</f>
        <v>4764</v>
      </c>
      <c r="F2128" s="2">
        <v>62618</v>
      </c>
      <c r="G2128" t="s">
        <v>18</v>
      </c>
      <c r="H2128">
        <f>F2128/Tabla2[[#This Row],[Cosecha Mensual]]</f>
        <v>13.14399664147775</v>
      </c>
      <c r="I2128">
        <f>H2128*_xlfn.XLOOKUP(Tabla2[[#This Row],[Unidad de producción]],Tabla3[Medida],Tabla3[Equivalencia en Kg],"ELVIS",0)</f>
        <v>596.21168765743073</v>
      </c>
      <c r="J2128">
        <v>631.29999999999995</v>
      </c>
      <c r="K2128" t="s">
        <v>18</v>
      </c>
      <c r="L2128">
        <f>J2128/_xlfn.XLOOKUP(Tabla2[[#This Row],[Unidad de precio]],Tabla3[Medida],Tabla3[Equivalencia en Kg],"ELVIS",0)</f>
        <v>13.917548500881834</v>
      </c>
      <c r="M2128">
        <v>5243.9203424999996</v>
      </c>
      <c r="N2128" s="2">
        <f>(Tabla2[[#This Row],[Productividad (kg/TAS)]]*Tabla2[[#This Row],[Precio por kg]]-Tabla2[[#This Row],[Costos (En RD$/Tarea)]])</f>
        <v>3053.8847372649034</v>
      </c>
      <c r="O2128" s="6">
        <f>IF(Tabla2[[#This Row],[Costos (En RD$/Tarea)]]=0,0,Tabla2[[#This Row],[Beneficio Neto  (En RD$/Tarea)]]/Tabla2[[#This Row],[Costos (En RD$/Tarea)]])</f>
        <v>0.58236672905084341</v>
      </c>
      <c r="P2128" s="4">
        <f>Tabla2[[#This Row],[Rentabilidad (%)]]/12</f>
        <v>4.8530560754236951E-2</v>
      </c>
    </row>
    <row r="2129" spans="1:16" x14ac:dyDescent="0.35">
      <c r="A2129" s="1">
        <v>41913</v>
      </c>
      <c r="B2129" t="s">
        <v>22</v>
      </c>
      <c r="C2129" s="2">
        <v>2768</v>
      </c>
      <c r="D2129" s="5" t="s">
        <v>17</v>
      </c>
      <c r="E2129" s="2">
        <f>IF(Tabla2[[#This Row],[Frecuencia]]="Annual", Tabla2[[#This Row],[Cosecha/Tarea]]/12,Tabla2[[#This Row],[Cosecha/Tarea]])</f>
        <v>2768</v>
      </c>
      <c r="F2129" s="2">
        <v>23069</v>
      </c>
      <c r="G2129" t="s">
        <v>18</v>
      </c>
      <c r="H2129">
        <f>F2129/Tabla2[[#This Row],[Cosecha Mensual]]</f>
        <v>8.3341763005780347</v>
      </c>
      <c r="I2129">
        <f>H2129*_xlfn.XLOOKUP(Tabla2[[#This Row],[Unidad de producción]],Tabla3[Medida],Tabla3[Equivalencia en Kg],"ELVIS",0)</f>
        <v>378.03823699421963</v>
      </c>
      <c r="J2129">
        <v>1270.3125</v>
      </c>
      <c r="K2129" t="s">
        <v>18</v>
      </c>
      <c r="L2129">
        <f>J2129/_xlfn.XLOOKUP(Tabla2[[#This Row],[Unidad de precio]],Tabla3[Medida],Tabla3[Equivalencia en Kg],"ELVIS",0)</f>
        <v>28.005125661375661</v>
      </c>
      <c r="M2129">
        <v>9418.5442175999997</v>
      </c>
      <c r="N2129" s="2">
        <f>(Tabla2[[#This Row],[Productividad (kg/TAS)]]*Tabla2[[#This Row],[Precio por kg]]-Tabla2[[#This Row],[Costos (En RD$/Tarea)]])</f>
        <v>1168.4641142280343</v>
      </c>
      <c r="O2129" s="6">
        <f>IF(Tabla2[[#This Row],[Costos (En RD$/Tarea)]]=0,0,Tabla2[[#This Row],[Beneficio Neto  (En RD$/Tarea)]]/Tabla2[[#This Row],[Costos (En RD$/Tarea)]])</f>
        <v>0.12405994888727913</v>
      </c>
      <c r="P2129" s="4">
        <f>Tabla2[[#This Row],[Rentabilidad (%)]]/12</f>
        <v>1.0338329073939927E-2</v>
      </c>
    </row>
    <row r="2130" spans="1:16" x14ac:dyDescent="0.35">
      <c r="A2130" s="1">
        <v>41913</v>
      </c>
      <c r="B2130" t="s">
        <v>23</v>
      </c>
      <c r="C2130" s="2">
        <v>3463</v>
      </c>
      <c r="D2130" s="5" t="s">
        <v>17</v>
      </c>
      <c r="E2130" s="2">
        <f>IF(Tabla2[[#This Row],[Frecuencia]]="Annual", Tabla2[[#This Row],[Cosecha/Tarea]]/12,Tabla2[[#This Row],[Cosecha/Tarea]])</f>
        <v>3463</v>
      </c>
      <c r="F2130" s="2">
        <v>105980</v>
      </c>
      <c r="G2130" t="s">
        <v>18</v>
      </c>
      <c r="H2130">
        <f>F2130/Tabla2[[#This Row],[Cosecha Mensual]]</f>
        <v>30.603522956973723</v>
      </c>
      <c r="I2130">
        <f>H2130*_xlfn.XLOOKUP(Tabla2[[#This Row],[Unidad de producción]],Tabla3[Medida],Tabla3[Equivalencia en Kg],"ELVIS",0)</f>
        <v>1388.1758013283281</v>
      </c>
      <c r="J2130">
        <v>862.5</v>
      </c>
      <c r="K2130" t="s">
        <v>18</v>
      </c>
      <c r="L2130">
        <f>J2130/_xlfn.XLOOKUP(Tabla2[[#This Row],[Unidad de precio]],Tabla3[Medida],Tabla3[Equivalencia en Kg],"ELVIS",0)</f>
        <v>19.014550264550266</v>
      </c>
      <c r="M2130">
        <v>26184.1693466859</v>
      </c>
      <c r="N2130" s="2">
        <f>(Tabla2[[#This Row],[Productividad (kg/TAS)]]*Tabla2[[#This Row],[Precio por kg]]-Tabla2[[#This Row],[Costos (En RD$/Tarea)]])</f>
        <v>211.36920370394</v>
      </c>
      <c r="O2130" s="6">
        <f>IF(Tabla2[[#This Row],[Costos (En RD$/Tarea)]]=0,0,Tabla2[[#This Row],[Beneficio Neto  (En RD$/Tarea)]]/Tabla2[[#This Row],[Costos (En RD$/Tarea)]])</f>
        <v>8.0724043946306338E-3</v>
      </c>
      <c r="P2130" s="4">
        <f>Tabla2[[#This Row],[Rentabilidad (%)]]/12</f>
        <v>6.7270036621921948E-4</v>
      </c>
    </row>
    <row r="2131" spans="1:16" x14ac:dyDescent="0.35">
      <c r="A2131" s="1">
        <v>41913</v>
      </c>
      <c r="B2131" t="s">
        <v>24</v>
      </c>
      <c r="C2131" s="2">
        <v>5210</v>
      </c>
      <c r="D2131" s="5" t="s">
        <v>17</v>
      </c>
      <c r="E2131" s="2">
        <f>IF(Tabla2[[#This Row],[Frecuencia]]="Annual", Tabla2[[#This Row],[Cosecha/Tarea]]/12,Tabla2[[#This Row],[Cosecha/Tarea]])</f>
        <v>5210</v>
      </c>
      <c r="F2131" s="2">
        <v>38359</v>
      </c>
      <c r="G2131" t="s">
        <v>18</v>
      </c>
      <c r="H2131">
        <f>F2131/Tabla2[[#This Row],[Cosecha Mensual]]</f>
        <v>7.3625719769673701</v>
      </c>
      <c r="I2131">
        <f>H2131*_xlfn.XLOOKUP(Tabla2[[#This Row],[Unidad de producción]],Tabla3[Medida],Tabla3[Equivalencia en Kg],"ELVIS",0)</f>
        <v>333.96626487523991</v>
      </c>
      <c r="J2131">
        <v>1553.2142857142901</v>
      </c>
      <c r="K2131" t="s">
        <v>18</v>
      </c>
      <c r="L2131">
        <f>J2131/_xlfn.XLOOKUP(Tabla2[[#This Row],[Unidad de precio]],Tabla3[Medida],Tabla3[Equivalencia en Kg],"ELVIS",0)</f>
        <v>34.241937515747139</v>
      </c>
      <c r="M2131">
        <v>9105.9886041600002</v>
      </c>
      <c r="N2131" s="2">
        <f>(Tabla2[[#This Row],[Productividad (kg/TAS)]]*Tabla2[[#This Row],[Precio por kg]]-Tabla2[[#This Row],[Costos (En RD$/Tarea)]])</f>
        <v>2329.6633700654238</v>
      </c>
      <c r="O2131" s="6">
        <f>IF(Tabla2[[#This Row],[Costos (En RD$/Tarea)]]=0,0,Tabla2[[#This Row],[Beneficio Neto  (En RD$/Tarea)]]/Tabla2[[#This Row],[Costos (En RD$/Tarea)]])</f>
        <v>0.25583859933682929</v>
      </c>
      <c r="P2131" s="4">
        <f>Tabla2[[#This Row],[Rentabilidad (%)]]/12</f>
        <v>2.1319883278069107E-2</v>
      </c>
    </row>
    <row r="2132" spans="1:16" x14ac:dyDescent="0.35">
      <c r="A2132" s="1">
        <v>41913</v>
      </c>
      <c r="B2132" t="s">
        <v>25</v>
      </c>
      <c r="C2132" s="2">
        <v>21501</v>
      </c>
      <c r="D2132" s="5" t="s">
        <v>17</v>
      </c>
      <c r="E2132" s="2">
        <f>IF(Tabla2[[#This Row],[Frecuencia]]="Annual", Tabla2[[#This Row],[Cosecha/Tarea]]/12,Tabla2[[#This Row],[Cosecha/Tarea]])</f>
        <v>21501</v>
      </c>
      <c r="F2132" s="2">
        <v>287932</v>
      </c>
      <c r="G2132" t="s">
        <v>18</v>
      </c>
      <c r="H2132">
        <f>F2132/Tabla2[[#This Row],[Cosecha Mensual]]</f>
        <v>13.391563183107763</v>
      </c>
      <c r="I2132">
        <f>H2132*_xlfn.XLOOKUP(Tabla2[[#This Row],[Unidad de producción]],Tabla3[Medida],Tabla3[Equivalencia en Kg],"ELVIS",0)</f>
        <v>607.44130598576817</v>
      </c>
      <c r="J2132">
        <v>261.792993402778</v>
      </c>
      <c r="K2132" t="s">
        <v>18</v>
      </c>
      <c r="L2132">
        <f>J2132/_xlfn.XLOOKUP(Tabla2[[#This Row],[Unidad de precio]],Tabla3[Medida],Tabla3[Equivalencia en Kg],"ELVIS",0)</f>
        <v>5.7714504718425488</v>
      </c>
      <c r="M2132">
        <v>4871.6687043187803</v>
      </c>
      <c r="N2132" s="2">
        <f>(Tabla2[[#This Row],[Productividad (kg/TAS)]]*Tabla2[[#This Row],[Precio por kg]]-Tabla2[[#This Row],[Costos (En RD$/Tarea)]])</f>
        <v>-1365.8512922705645</v>
      </c>
      <c r="O2132" s="6">
        <f>IF(Tabla2[[#This Row],[Costos (En RD$/Tarea)]]=0,0,Tabla2[[#This Row],[Beneficio Neto  (En RD$/Tarea)]]/Tabla2[[#This Row],[Costos (En RD$/Tarea)]])</f>
        <v>-0.28036621025968461</v>
      </c>
      <c r="P2132" s="4">
        <f>Tabla2[[#This Row],[Rentabilidad (%)]]/12</f>
        <v>-2.3363850854973719E-2</v>
      </c>
    </row>
    <row r="2133" spans="1:16" x14ac:dyDescent="0.35">
      <c r="A2133" s="1">
        <v>41913</v>
      </c>
      <c r="B2133" t="s">
        <v>26</v>
      </c>
      <c r="C2133" s="2">
        <v>10784</v>
      </c>
      <c r="D2133" s="5" t="s">
        <v>17</v>
      </c>
      <c r="E2133" s="2">
        <f>IF(Tabla2[[#This Row],[Frecuencia]]="Annual", Tabla2[[#This Row],[Cosecha/Tarea]]/12,Tabla2[[#This Row],[Cosecha/Tarea]])</f>
        <v>10784</v>
      </c>
      <c r="F2133" s="2">
        <v>64540</v>
      </c>
      <c r="G2133" t="s">
        <v>18</v>
      </c>
      <c r="H2133">
        <f>F2133/Tabla2[[#This Row],[Cosecha Mensual]]</f>
        <v>5.9847922848664687</v>
      </c>
      <c r="I2133">
        <f>H2133*_xlfn.XLOOKUP(Tabla2[[#This Row],[Unidad de producción]],Tabla3[Medida],Tabla3[Equivalencia en Kg],"ELVIS",0)</f>
        <v>271.47017804154302</v>
      </c>
      <c r="J2133">
        <v>789.28535714285704</v>
      </c>
      <c r="K2133" t="s">
        <v>18</v>
      </c>
      <c r="L2133">
        <f>J2133/_xlfn.XLOOKUP(Tabla2[[#This Row],[Unidad de precio]],Tabla3[Medida],Tabla3[Equivalencia en Kg],"ELVIS",0)</f>
        <v>17.400470836482739</v>
      </c>
      <c r="M2133">
        <v>2107.5566399999998</v>
      </c>
      <c r="N2133" s="2">
        <f>(Tabla2[[#This Row],[Productividad (kg/TAS)]]*Tabla2[[#This Row],[Precio por kg]]-Tabla2[[#This Row],[Costos (En RD$/Tarea)]])</f>
        <v>2616.1522759866466</v>
      </c>
      <c r="O2133" s="6">
        <f>IF(Tabla2[[#This Row],[Costos (En RD$/Tarea)]]=0,0,Tabla2[[#This Row],[Beneficio Neto  (En RD$/Tarea)]]/Tabla2[[#This Row],[Costos (En RD$/Tarea)]])</f>
        <v>1.2413200320854232</v>
      </c>
      <c r="P2133" s="4">
        <f>Tabla2[[#This Row],[Rentabilidad (%)]]/12</f>
        <v>0.10344333600711859</v>
      </c>
    </row>
    <row r="2134" spans="1:16" x14ac:dyDescent="0.35">
      <c r="A2134" s="1">
        <v>41913</v>
      </c>
      <c r="B2134" t="s">
        <v>27</v>
      </c>
      <c r="C2134" s="2">
        <v>3324</v>
      </c>
      <c r="D2134" s="5" t="s">
        <v>17</v>
      </c>
      <c r="E2134" s="2">
        <f>IF(Tabla2[[#This Row],[Frecuencia]]="Annual", Tabla2[[#This Row],[Cosecha/Tarea]]/12,Tabla2[[#This Row],[Cosecha/Tarea]])</f>
        <v>3324</v>
      </c>
      <c r="F2134" s="2">
        <v>30092</v>
      </c>
      <c r="G2134" t="s">
        <v>18</v>
      </c>
      <c r="H2134">
        <f>F2134/Tabla2[[#This Row],[Cosecha Mensual]]</f>
        <v>9.0529482551143197</v>
      </c>
      <c r="I2134">
        <f>H2134*_xlfn.XLOOKUP(Tabla2[[#This Row],[Unidad de producción]],Tabla3[Medida],Tabla3[Equivalencia en Kg],"ELVIS",0)</f>
        <v>410.64173285198552</v>
      </c>
      <c r="J2134">
        <v>736.33299999999997</v>
      </c>
      <c r="K2134" t="s">
        <v>18</v>
      </c>
      <c r="L2134">
        <f>J2134/_xlfn.XLOOKUP(Tabla2[[#This Row],[Unidad de precio]],Tabla3[Medida],Tabla3[Equivalencia en Kg],"ELVIS",0)</f>
        <v>16.233090828924162</v>
      </c>
      <c r="M2134">
        <v>8288.2983415050003</v>
      </c>
      <c r="N2134" s="2">
        <f>(Tabla2[[#This Row],[Productividad (kg/TAS)]]*Tabla2[[#This Row],[Precio por kg]]-Tabla2[[#This Row],[Costos (En RD$/Tarea)]])</f>
        <v>-1622.3137939719081</v>
      </c>
      <c r="O2134" s="6">
        <f>IF(Tabla2[[#This Row],[Costos (En RD$/Tarea)]]=0,0,Tabla2[[#This Row],[Beneficio Neto  (En RD$/Tarea)]]/Tabla2[[#This Row],[Costos (En RD$/Tarea)]])</f>
        <v>-0.19573544859599326</v>
      </c>
      <c r="P2134" s="4">
        <f>Tabla2[[#This Row],[Rentabilidad (%)]]/12</f>
        <v>-1.6311287382999438E-2</v>
      </c>
    </row>
    <row r="2135" spans="1:16" x14ac:dyDescent="0.35">
      <c r="A2135" s="1">
        <v>41913</v>
      </c>
      <c r="B2135" t="s">
        <v>28</v>
      </c>
      <c r="C2135" s="2">
        <v>53496</v>
      </c>
      <c r="D2135" s="5" t="s">
        <v>17</v>
      </c>
      <c r="E2135" s="2">
        <f>IF(Tabla2[[#This Row],[Frecuencia]]="Annual", Tabla2[[#This Row],[Cosecha/Tarea]]/12,Tabla2[[#This Row],[Cosecha/Tarea]])</f>
        <v>53496</v>
      </c>
      <c r="F2135" s="2">
        <v>69442</v>
      </c>
      <c r="G2135" t="s">
        <v>29</v>
      </c>
      <c r="H2135">
        <f>F2135/Tabla2[[#This Row],[Cosecha Mensual]]</f>
        <v>1.2980783609989532</v>
      </c>
      <c r="I2135">
        <f>H2135*_xlfn.XLOOKUP(Tabla2[[#This Row],[Unidad de producción]],Tabla3[Medida],Tabla3[Equivalencia en Kg],"ELVIS",0)</f>
        <v>729.96138552415141</v>
      </c>
      <c r="J2135">
        <v>3496.5275000000001</v>
      </c>
      <c r="K2135" t="s">
        <v>29</v>
      </c>
      <c r="L2135">
        <f>J2135/_xlfn.XLOOKUP(Tabla2[[#This Row],[Unidad de precio]],Tabla3[Medida],Tabla3[Equivalencia en Kg],"ELVIS",0)</f>
        <v>6.2178175125368993</v>
      </c>
      <c r="M2135">
        <v>7150.5342362867696</v>
      </c>
      <c r="N2135" s="2">
        <f>(Tabla2[[#This Row],[Productividad (kg/TAS)]]*Tabla2[[#This Row],[Precio por kg]]-Tabla2[[#This Row],[Costos (En RD$/Tarea)]])</f>
        <v>-2611.767549899002</v>
      </c>
      <c r="O2135" s="6">
        <f>IF(Tabla2[[#This Row],[Costos (En RD$/Tarea)]]=0,0,Tabla2[[#This Row],[Beneficio Neto  (En RD$/Tarea)]]/Tabla2[[#This Row],[Costos (En RD$/Tarea)]])</f>
        <v>-0.36525488356451496</v>
      </c>
      <c r="P2135" s="4">
        <f>Tabla2[[#This Row],[Rentabilidad (%)]]/12</f>
        <v>-3.0437906963709582E-2</v>
      </c>
    </row>
    <row r="2136" spans="1:16" x14ac:dyDescent="0.35">
      <c r="A2136" s="1">
        <v>41913</v>
      </c>
      <c r="B2136" t="s">
        <v>30</v>
      </c>
      <c r="C2136" s="2">
        <v>417187</v>
      </c>
      <c r="D2136" s="2" t="s">
        <v>31</v>
      </c>
      <c r="E2136" s="2">
        <f>IF(Tabla2[[#This Row],[Frecuencia]]="Annual", Tabla2[[#This Row],[Cosecha/Tarea]]/12,Tabla2[[#This Row],[Cosecha/Tarea]])</f>
        <v>34765.583333333336</v>
      </c>
      <c r="F2136" s="2">
        <v>4007672</v>
      </c>
      <c r="G2136" t="s">
        <v>32</v>
      </c>
      <c r="H2136">
        <f>F2136/Tabla2[[#This Row],[Cosecha Mensual]]</f>
        <v>115.27699568778509</v>
      </c>
      <c r="I2136">
        <f>H2136*_xlfn.XLOOKUP(Tabla2[[#This Row],[Unidad de producción]],Tabla3[Medida],Tabla3[Equivalencia en Kg],"ELVIS",0)</f>
        <v>3136.6870526646326</v>
      </c>
      <c r="J2136">
        <v>165.68041666666701</v>
      </c>
      <c r="K2136" t="s">
        <v>32</v>
      </c>
      <c r="L2136">
        <f>J2136/_xlfn.XLOOKUP(Tabla2[[#This Row],[Unidad de precio]],Tabla3[Medida],Tabla3[Equivalencia en Kg],"ELVIS",0)</f>
        <v>6.0889532034791261</v>
      </c>
      <c r="M2136" s="2">
        <v>12538.8969859716</v>
      </c>
      <c r="N2136" s="2">
        <f>(Tabla2[[#This Row],[Productividad (kg/TAS)]]*Tabla2[[#This Row],[Precio por kg]]-Tabla2[[#This Row],[Costos (En RD$/Tarea)]])</f>
        <v>6560.2436916622119</v>
      </c>
      <c r="O2136" s="6">
        <f>IF(Tabla2[[#This Row],[Costos (En RD$/Tarea)]]=0,0,Tabla2[[#This Row],[Beneficio Neto  (En RD$/Tarea)]]/Tabla2[[#This Row],[Costos (En RD$/Tarea)]])</f>
        <v>0.52319144969463827</v>
      </c>
      <c r="P2136" s="4">
        <f>Tabla2[[#This Row],[Rentabilidad (%)]]/12</f>
        <v>4.3599287474553189E-2</v>
      </c>
    </row>
    <row r="2137" spans="1:16" x14ac:dyDescent="0.35">
      <c r="A2137" s="1">
        <v>41913</v>
      </c>
      <c r="B2137" t="s">
        <v>33</v>
      </c>
      <c r="C2137" s="2">
        <v>710864</v>
      </c>
      <c r="D2137" s="2" t="s">
        <v>31</v>
      </c>
      <c r="E2137" s="8">
        <f>IF(Tabla2[[#This Row],[Frecuencia]]="Annual", Tabla2[[#This Row],[Cosecha/Tarea]]/12,Tabla2[[#This Row],[Cosecha/Tarea]])</f>
        <v>59238.666666666664</v>
      </c>
      <c r="F2137" s="2">
        <v>163930</v>
      </c>
      <c r="G2137" t="s">
        <v>34</v>
      </c>
      <c r="H2137">
        <f>F2137/Tabla2[[#This Row],[Cosecha Mensual]]</f>
        <v>2.7672803799320267</v>
      </c>
      <c r="I2137">
        <f>H2137*_xlfn.XLOOKUP(Tabla2[[#This Row],[Unidad de producción]],Tabla3[Medida],Tabla3[Equivalencia en Kg],"ELVIS",0)</f>
        <v>1129.4654870692566</v>
      </c>
      <c r="J2137">
        <v>5437.4877380952403</v>
      </c>
      <c r="K2137" t="s">
        <v>34</v>
      </c>
      <c r="L2137">
        <f>J2137/_xlfn.XLOOKUP(Tabla2[[#This Row],[Unidad de precio]],Tabla3[Medida],Tabla3[Equivalencia en Kg],"ELVIS",0)</f>
        <v>13.322277932366141</v>
      </c>
      <c r="M2137" s="2">
        <v>12054.016631725301</v>
      </c>
      <c r="N2137" s="2">
        <f>(Tabla2[[#This Row],[Productividad (kg/TAS)]]*Tabla2[[#This Row],[Precio por kg]]-Tabla2[[#This Row],[Costos (En RD$/Tarea)]])</f>
        <v>2993.0365020266327</v>
      </c>
      <c r="O2137" s="6">
        <f>IF(Tabla2[[#This Row],[Costos (En RD$/Tarea)]]=0,0,Tabla2[[#This Row],[Beneficio Neto  (En RD$/Tarea)]]/Tabla2[[#This Row],[Costos (En RD$/Tarea)]])</f>
        <v>0.24830200533730615</v>
      </c>
      <c r="P2137" s="4">
        <f>Tabla2[[#This Row],[Rentabilidad (%)]]/12</f>
        <v>2.0691833778108844E-2</v>
      </c>
    </row>
    <row r="2138" spans="1:16" x14ac:dyDescent="0.35">
      <c r="A2138" s="1">
        <v>41944</v>
      </c>
      <c r="B2138" t="s">
        <v>16</v>
      </c>
      <c r="C2138" s="2">
        <v>290884</v>
      </c>
      <c r="D2138" s="5" t="s">
        <v>17</v>
      </c>
      <c r="E2138" s="2">
        <f>IF(Tabla2[[#This Row],[Frecuencia]]="Annual", Tabla2[[#This Row],[Cosecha/Tarea]]/12,Tabla2[[#This Row],[Cosecha/Tarea]])</f>
        <v>290884</v>
      </c>
      <c r="F2138" s="2">
        <v>1133230</v>
      </c>
      <c r="G2138" t="s">
        <v>18</v>
      </c>
      <c r="H2138">
        <f>F2138/Tabla2[[#This Row],[Cosecha Mensual]]</f>
        <v>3.8958141389694863</v>
      </c>
      <c r="I2138">
        <f>H2138*_xlfn.XLOOKUP(Tabla2[[#This Row],[Unidad de producción]],Tabla3[Medida],Tabla3[Equivalencia en Kg],"ELVIS",0)</f>
        <v>176.71412934365588</v>
      </c>
      <c r="J2138">
        <v>1832.5161956521699</v>
      </c>
      <c r="K2138" t="s">
        <v>19</v>
      </c>
      <c r="L2138">
        <f>J2138/_xlfn.XLOOKUP(Tabla2[[#This Row],[Unidad de precio]],Tabla3[Medida],Tabla3[Equivalencia en Kg],"ELVIS",0)</f>
        <v>16.659238142292455</v>
      </c>
      <c r="M2138">
        <v>7973.2432584128101</v>
      </c>
      <c r="N2138" s="2">
        <f>(Tabla2[[#This Row],[Productividad (kg/TAS)]]*Tabla2[[#This Row],[Precio por kg]]-Tabla2[[#This Row],[Costos (En RD$/Tarea)]])</f>
        <v>-5029.3204945689758</v>
      </c>
      <c r="O2138" s="6">
        <f>IF(Tabla2[[#This Row],[Costos (En RD$/Tarea)]]=0,0,Tabla2[[#This Row],[Beneficio Neto  (En RD$/Tarea)]]/Tabla2[[#This Row],[Costos (En RD$/Tarea)]])</f>
        <v>-0.63077474643237397</v>
      </c>
      <c r="P2138" s="4">
        <f>Tabla2[[#This Row],[Rentabilidad (%)]]/12</f>
        <v>-5.2564562202697833E-2</v>
      </c>
    </row>
    <row r="2139" spans="1:16" x14ac:dyDescent="0.35">
      <c r="A2139" s="1">
        <v>41944</v>
      </c>
      <c r="B2139" t="s">
        <v>20</v>
      </c>
      <c r="C2139" s="2">
        <v>25874</v>
      </c>
      <c r="D2139" s="5" t="s">
        <v>17</v>
      </c>
      <c r="E2139" s="2">
        <f>IF(Tabla2[[#This Row],[Frecuencia]]="Annual", Tabla2[[#This Row],[Cosecha/Tarea]]/12,Tabla2[[#This Row],[Cosecha/Tarea]])</f>
        <v>25874</v>
      </c>
      <c r="F2139" s="2">
        <v>57009</v>
      </c>
      <c r="G2139" t="s">
        <v>18</v>
      </c>
      <c r="H2139">
        <f>F2139/Tabla2[[#This Row],[Cosecha Mensual]]</f>
        <v>2.2033315297209555</v>
      </c>
      <c r="I2139">
        <f>H2139*_xlfn.XLOOKUP(Tabla2[[#This Row],[Unidad de producción]],Tabla3[Medida],Tabla3[Equivalencia en Kg],"ELVIS",0)</f>
        <v>99.943118188142535</v>
      </c>
      <c r="J2139">
        <v>793.842777777778</v>
      </c>
      <c r="K2139" t="s">
        <v>18</v>
      </c>
      <c r="L2139">
        <f>J2139/_xlfn.XLOOKUP(Tabla2[[#This Row],[Unidad de precio]],Tabla3[Medida],Tabla3[Equivalencia en Kg],"ELVIS",0)</f>
        <v>17.500943072702338</v>
      </c>
      <c r="M2139">
        <v>2447.4016476000002</v>
      </c>
      <c r="N2139" s="2">
        <f>(Tabla2[[#This Row],[Productividad (kg/TAS)]]*Tabla2[[#This Row],[Precio por kg]]-Tabla2[[#This Row],[Costos (En RD$/Tarea)]])</f>
        <v>-698.30282568095595</v>
      </c>
      <c r="O2139" s="6">
        <f>IF(Tabla2[[#This Row],[Costos (En RD$/Tarea)]]=0,0,Tabla2[[#This Row],[Beneficio Neto  (En RD$/Tarea)]]/Tabla2[[#This Row],[Costos (En RD$/Tarea)]])</f>
        <v>-0.28532416261373933</v>
      </c>
      <c r="P2139" s="4">
        <f>Tabla2[[#This Row],[Rentabilidad (%)]]/12</f>
        <v>-2.3777013551144945E-2</v>
      </c>
    </row>
    <row r="2140" spans="1:16" x14ac:dyDescent="0.35">
      <c r="A2140" s="1">
        <v>41944</v>
      </c>
      <c r="B2140" t="s">
        <v>21</v>
      </c>
      <c r="C2140" s="2">
        <v>9852</v>
      </c>
      <c r="D2140" s="5" t="s">
        <v>17</v>
      </c>
      <c r="E2140" s="2">
        <f>IF(Tabla2[[#This Row],[Frecuencia]]="Annual", Tabla2[[#This Row],[Cosecha/Tarea]]/12,Tabla2[[#This Row],[Cosecha/Tarea]])</f>
        <v>9852</v>
      </c>
      <c r="F2140" s="2">
        <v>96551</v>
      </c>
      <c r="G2140" t="s">
        <v>18</v>
      </c>
      <c r="H2140">
        <f>F2140/Tabla2[[#This Row],[Cosecha Mensual]]</f>
        <v>9.8001421031262694</v>
      </c>
      <c r="I2140">
        <f>H2140*_xlfn.XLOOKUP(Tabla2[[#This Row],[Unidad de producción]],Tabla3[Medida],Tabla3[Equivalencia en Kg],"ELVIS",0)</f>
        <v>444.53444579780756</v>
      </c>
      <c r="J2140">
        <v>586.74004629629599</v>
      </c>
      <c r="K2140" t="s">
        <v>18</v>
      </c>
      <c r="L2140">
        <f>J2140/_xlfn.XLOOKUP(Tabla2[[#This Row],[Unidad de precio]],Tabla3[Medida],Tabla3[Equivalencia en Kg],"ELVIS",0)</f>
        <v>12.935186205826632</v>
      </c>
      <c r="M2140">
        <v>5243.9203424999996</v>
      </c>
      <c r="N2140" s="2">
        <f>(Tabla2[[#This Row],[Productividad (kg/TAS)]]*Tabla2[[#This Row],[Precio por kg]]-Tabla2[[#This Row],[Costos (En RD$/Tarea)]])</f>
        <v>506.2154887985871</v>
      </c>
      <c r="O2140" s="6">
        <f>IF(Tabla2[[#This Row],[Costos (En RD$/Tarea)]]=0,0,Tabla2[[#This Row],[Beneficio Neto  (En RD$/Tarea)]]/Tabla2[[#This Row],[Costos (En RD$/Tarea)]])</f>
        <v>9.6533786887627024E-2</v>
      </c>
      <c r="P2140" s="4">
        <f>Tabla2[[#This Row],[Rentabilidad (%)]]/12</f>
        <v>8.0444822406355847E-3</v>
      </c>
    </row>
    <row r="2141" spans="1:16" x14ac:dyDescent="0.35">
      <c r="A2141" s="1">
        <v>41944</v>
      </c>
      <c r="B2141" t="s">
        <v>22</v>
      </c>
      <c r="C2141" s="2">
        <v>6987</v>
      </c>
      <c r="D2141" s="5" t="s">
        <v>17</v>
      </c>
      <c r="E2141" s="2">
        <f>IF(Tabla2[[#This Row],[Frecuencia]]="Annual", Tabla2[[#This Row],[Cosecha/Tarea]]/12,Tabla2[[#This Row],[Cosecha/Tarea]])</f>
        <v>6987</v>
      </c>
      <c r="F2141" s="2">
        <v>55212</v>
      </c>
      <c r="G2141" t="s">
        <v>18</v>
      </c>
      <c r="H2141">
        <f>F2141/Tabla2[[#This Row],[Cosecha Mensual]]</f>
        <v>7.9021039072563335</v>
      </c>
      <c r="I2141">
        <f>H2141*_xlfn.XLOOKUP(Tabla2[[#This Row],[Unidad de producción]],Tabla3[Medida],Tabla3[Equivalencia en Kg],"ELVIS",0)</f>
        <v>358.43943323314727</v>
      </c>
      <c r="J2141">
        <v>1261.6666666666699</v>
      </c>
      <c r="K2141" t="s">
        <v>18</v>
      </c>
      <c r="L2141">
        <f>J2141/_xlfn.XLOOKUP(Tabla2[[#This Row],[Unidad de precio]],Tabla3[Medida],Tabla3[Equivalencia en Kg],"ELVIS",0)</f>
        <v>27.814520870076496</v>
      </c>
      <c r="M2141">
        <v>9418.5442175999997</v>
      </c>
      <c r="N2141" s="2">
        <f>(Tabla2[[#This Row],[Productividad (kg/TAS)]]*Tabla2[[#This Row],[Precio por kg]]-Tabla2[[#This Row],[Costos (En RD$/Tarea)]])</f>
        <v>551.27687872176648</v>
      </c>
      <c r="O2141" s="6">
        <f>IF(Tabla2[[#This Row],[Costos (En RD$/Tarea)]]=0,0,Tabla2[[#This Row],[Beneficio Neto  (En RD$/Tarea)]]/Tabla2[[#This Row],[Costos (En RD$/Tarea)]])</f>
        <v>5.8531007126517577E-2</v>
      </c>
      <c r="P2141" s="4">
        <f>Tabla2[[#This Row],[Rentabilidad (%)]]/12</f>
        <v>4.8775839272097981E-3</v>
      </c>
    </row>
    <row r="2142" spans="1:16" x14ac:dyDescent="0.35">
      <c r="A2142" s="1">
        <v>41944</v>
      </c>
      <c r="B2142" t="s">
        <v>23</v>
      </c>
      <c r="C2142" s="2">
        <v>4021</v>
      </c>
      <c r="D2142" s="5" t="s">
        <v>17</v>
      </c>
      <c r="E2142" s="2">
        <f>IF(Tabla2[[#This Row],[Frecuencia]]="Annual", Tabla2[[#This Row],[Cosecha/Tarea]]/12,Tabla2[[#This Row],[Cosecha/Tarea]])</f>
        <v>4021</v>
      </c>
      <c r="F2142" s="2">
        <v>111207</v>
      </c>
      <c r="G2142" t="s">
        <v>18</v>
      </c>
      <c r="H2142">
        <f>F2142/Tabla2[[#This Row],[Cosecha Mensual]]</f>
        <v>27.656553096244714</v>
      </c>
      <c r="I2142">
        <f>H2142*_xlfn.XLOOKUP(Tabla2[[#This Row],[Unidad de producción]],Tabla3[Medida],Tabla3[Equivalencia en Kg],"ELVIS",0)</f>
        <v>1254.5012484456602</v>
      </c>
      <c r="J2142">
        <v>935</v>
      </c>
      <c r="K2142" t="s">
        <v>18</v>
      </c>
      <c r="L2142">
        <f>J2142/_xlfn.XLOOKUP(Tabla2[[#This Row],[Unidad de precio]],Tabla3[Medida],Tabla3[Equivalencia en Kg],"ELVIS",0)</f>
        <v>20.612874779541446</v>
      </c>
      <c r="M2142">
        <v>26184.1693466859</v>
      </c>
      <c r="N2142" s="2">
        <f>(Tabla2[[#This Row],[Productividad (kg/TAS)]]*Tabla2[[#This Row],[Precio por kg]]-Tabla2[[#This Row],[Costos (En RD$/Tarea)]])</f>
        <v>-325.29220169709151</v>
      </c>
      <c r="O2142" s="6">
        <f>IF(Tabla2[[#This Row],[Costos (En RD$/Tarea)]]=0,0,Tabla2[[#This Row],[Beneficio Neto  (En RD$/Tarea)]]/Tabla2[[#This Row],[Costos (En RD$/Tarea)]])</f>
        <v>-1.2423239301202555E-2</v>
      </c>
      <c r="P2142" s="4">
        <f>Tabla2[[#This Row],[Rentabilidad (%)]]/12</f>
        <v>-1.0352699417668797E-3</v>
      </c>
    </row>
    <row r="2143" spans="1:16" x14ac:dyDescent="0.35">
      <c r="A2143" s="1">
        <v>41944</v>
      </c>
      <c r="B2143" t="s">
        <v>24</v>
      </c>
      <c r="C2143" s="2">
        <v>6999</v>
      </c>
      <c r="D2143" s="5" t="s">
        <v>17</v>
      </c>
      <c r="E2143" s="2">
        <f>IF(Tabla2[[#This Row],[Frecuencia]]="Annual", Tabla2[[#This Row],[Cosecha/Tarea]]/12,Tabla2[[#This Row],[Cosecha/Tarea]])</f>
        <v>6999</v>
      </c>
      <c r="F2143" s="2">
        <v>60580</v>
      </c>
      <c r="G2143" t="s">
        <v>18</v>
      </c>
      <c r="H2143">
        <f>F2143/Tabla2[[#This Row],[Cosecha Mensual]]</f>
        <v>8.6555222174596373</v>
      </c>
      <c r="I2143">
        <f>H2143*_xlfn.XLOOKUP(Tabla2[[#This Row],[Unidad de producción]],Tabla3[Medida],Tabla3[Equivalencia en Kg],"ELVIS",0)</f>
        <v>392.61448778396914</v>
      </c>
      <c r="J2143">
        <v>1376.5178571428601</v>
      </c>
      <c r="K2143" t="s">
        <v>18</v>
      </c>
      <c r="L2143">
        <f>J2143/_xlfn.XLOOKUP(Tabla2[[#This Row],[Unidad de precio]],Tabla3[Medida],Tabla3[Equivalencia en Kg],"ELVIS",0)</f>
        <v>30.34651360544224</v>
      </c>
      <c r="M2143">
        <v>9105.9886041600002</v>
      </c>
      <c r="N2143" s="2">
        <f>(Tabla2[[#This Row],[Productividad (kg/TAS)]]*Tabla2[[#This Row],[Precio por kg]]-Tabla2[[#This Row],[Costos (En RD$/Tarea)]])</f>
        <v>2808.4922910699552</v>
      </c>
      <c r="O2143" s="6">
        <f>IF(Tabla2[[#This Row],[Costos (En RD$/Tarea)]]=0,0,Tabla2[[#This Row],[Beneficio Neto  (En RD$/Tarea)]]/Tabla2[[#This Row],[Costos (En RD$/Tarea)]])</f>
        <v>0.30842255719350642</v>
      </c>
      <c r="P2143" s="4">
        <f>Tabla2[[#This Row],[Rentabilidad (%)]]/12</f>
        <v>2.5701879766125535E-2</v>
      </c>
    </row>
    <row r="2144" spans="1:16" x14ac:dyDescent="0.35">
      <c r="A2144" s="1">
        <v>41944</v>
      </c>
      <c r="B2144" t="s">
        <v>25</v>
      </c>
      <c r="C2144" s="2">
        <v>46999</v>
      </c>
      <c r="D2144" s="5" t="s">
        <v>17</v>
      </c>
      <c r="E2144" s="2">
        <f>IF(Tabla2[[#This Row],[Frecuencia]]="Annual", Tabla2[[#This Row],[Cosecha/Tarea]]/12,Tabla2[[#This Row],[Cosecha/Tarea]])</f>
        <v>46999</v>
      </c>
      <c r="F2144" s="2">
        <v>421723</v>
      </c>
      <c r="G2144" t="s">
        <v>18</v>
      </c>
      <c r="H2144">
        <f>F2144/Tabla2[[#This Row],[Cosecha Mensual]]</f>
        <v>8.9730207025681405</v>
      </c>
      <c r="I2144">
        <f>H2144*_xlfn.XLOOKUP(Tabla2[[#This Row],[Unidad de producción]],Tabla3[Medida],Tabla3[Equivalencia en Kg],"ELVIS",0)</f>
        <v>407.01621906849084</v>
      </c>
      <c r="J2144">
        <v>242.33160000000001</v>
      </c>
      <c r="K2144" t="s">
        <v>18</v>
      </c>
      <c r="L2144">
        <f>J2144/_xlfn.XLOOKUP(Tabla2[[#This Row],[Unidad de precio]],Tabla3[Medida],Tabla3[Equivalencia en Kg],"ELVIS",0)</f>
        <v>5.3424074074074079</v>
      </c>
      <c r="M2144">
        <v>4871.6687043187803</v>
      </c>
      <c r="N2144" s="2">
        <f>(Tabla2[[#This Row],[Productividad (kg/TAS)]]*Tabla2[[#This Row],[Precio por kg]]-Tabla2[[#This Row],[Costos (En RD$/Tarea)]])</f>
        <v>-2697.2222406323185</v>
      </c>
      <c r="O2144" s="6">
        <f>IF(Tabla2[[#This Row],[Costos (En RD$/Tarea)]]=0,0,Tabla2[[#This Row],[Beneficio Neto  (En RD$/Tarea)]]/Tabla2[[#This Row],[Costos (En RD$/Tarea)]])</f>
        <v>-0.55365469294765579</v>
      </c>
      <c r="P2144" s="4">
        <f>Tabla2[[#This Row],[Rentabilidad (%)]]/12</f>
        <v>-4.6137891078971316E-2</v>
      </c>
    </row>
    <row r="2145" spans="1:16" x14ac:dyDescent="0.35">
      <c r="A2145" s="1">
        <v>41944</v>
      </c>
      <c r="B2145" t="s">
        <v>26</v>
      </c>
      <c r="C2145" s="2">
        <v>13014</v>
      </c>
      <c r="D2145" s="5" t="s">
        <v>17</v>
      </c>
      <c r="E2145" s="2">
        <f>IF(Tabla2[[#This Row],[Frecuencia]]="Annual", Tabla2[[#This Row],[Cosecha/Tarea]]/12,Tabla2[[#This Row],[Cosecha/Tarea]])</f>
        <v>13014</v>
      </c>
      <c r="F2145" s="2">
        <v>79270</v>
      </c>
      <c r="G2145" t="s">
        <v>18</v>
      </c>
      <c r="H2145">
        <f>F2145/Tabla2[[#This Row],[Cosecha Mensual]]</f>
        <v>6.0911326264023362</v>
      </c>
      <c r="I2145">
        <f>H2145*_xlfn.XLOOKUP(Tabla2[[#This Row],[Unidad de producción]],Tabla3[Medida],Tabla3[Equivalencia en Kg],"ELVIS",0)</f>
        <v>276.29377593360999</v>
      </c>
      <c r="J2145">
        <v>794.25</v>
      </c>
      <c r="K2145" t="s">
        <v>18</v>
      </c>
      <c r="L2145">
        <f>J2145/_xlfn.XLOOKUP(Tabla2[[#This Row],[Unidad de precio]],Tabla3[Medida],Tabla3[Equivalencia en Kg],"ELVIS",0)</f>
        <v>17.509920634920636</v>
      </c>
      <c r="M2145">
        <v>2107.5566399999998</v>
      </c>
      <c r="N2145" s="2">
        <f>(Tabla2[[#This Row],[Productividad (kg/TAS)]]*Tabla2[[#This Row],[Precio por kg]]-Tabla2[[#This Row],[Costos (En RD$/Tarea)]])</f>
        <v>2730.3254485200569</v>
      </c>
      <c r="O2145" s="6">
        <f>IF(Tabla2[[#This Row],[Costos (En RD$/Tarea)]]=0,0,Tabla2[[#This Row],[Beneficio Neto  (En RD$/Tarea)]]/Tabla2[[#This Row],[Costos (En RD$/Tarea)]])</f>
        <v>1.2954932724939991</v>
      </c>
      <c r="P2145" s="4">
        <f>Tabla2[[#This Row],[Rentabilidad (%)]]/12</f>
        <v>0.10795777270783326</v>
      </c>
    </row>
    <row r="2146" spans="1:16" x14ac:dyDescent="0.35">
      <c r="A2146" s="1">
        <v>41944</v>
      </c>
      <c r="B2146" t="s">
        <v>27</v>
      </c>
      <c r="C2146" s="2">
        <v>8999</v>
      </c>
      <c r="D2146" s="5" t="s">
        <v>17</v>
      </c>
      <c r="E2146" s="2">
        <f>IF(Tabla2[[#This Row],[Frecuencia]]="Annual", Tabla2[[#This Row],[Cosecha/Tarea]]/12,Tabla2[[#This Row],[Cosecha/Tarea]])</f>
        <v>8999</v>
      </c>
      <c r="F2146" s="2">
        <v>30107</v>
      </c>
      <c r="G2146" t="s">
        <v>18</v>
      </c>
      <c r="H2146">
        <f>F2146/Tabla2[[#This Row],[Cosecha Mensual]]</f>
        <v>3.345593954883876</v>
      </c>
      <c r="I2146">
        <f>H2146*_xlfn.XLOOKUP(Tabla2[[#This Row],[Unidad de producción]],Tabla3[Medida],Tabla3[Equivalencia en Kg],"ELVIS",0)</f>
        <v>151.75614179353261</v>
      </c>
      <c r="J2146">
        <v>675.85738095238105</v>
      </c>
      <c r="K2146" t="s">
        <v>18</v>
      </c>
      <c r="L2146">
        <f>J2146/_xlfn.XLOOKUP(Tabla2[[#This Row],[Unidad de precio]],Tabla3[Medida],Tabla3[Equivalencia en Kg],"ELVIS",0)</f>
        <v>14.899854077433444</v>
      </c>
      <c r="M2146">
        <v>8288.2983415050003</v>
      </c>
      <c r="N2146" s="2">
        <f>(Tabla2[[#This Row],[Productividad (kg/TAS)]]*Tabla2[[#This Row],[Precio por kg]]-Tabla2[[#This Row],[Costos (En RD$/Tarea)]])</f>
        <v>-6027.1539734270655</v>
      </c>
      <c r="O2146" s="6">
        <f>IF(Tabla2[[#This Row],[Costos (En RD$/Tarea)]]=0,0,Tabla2[[#This Row],[Beneficio Neto  (En RD$/Tarea)]]/Tabla2[[#This Row],[Costos (En RD$/Tarea)]])</f>
        <v>-0.72718834736499682</v>
      </c>
      <c r="P2146" s="4">
        <f>Tabla2[[#This Row],[Rentabilidad (%)]]/12</f>
        <v>-6.0599028947083071E-2</v>
      </c>
    </row>
    <row r="2147" spans="1:16" x14ac:dyDescent="0.35">
      <c r="A2147" s="1">
        <v>41944</v>
      </c>
      <c r="B2147" t="s">
        <v>28</v>
      </c>
      <c r="C2147" s="2">
        <v>55487</v>
      </c>
      <c r="D2147" s="5" t="s">
        <v>17</v>
      </c>
      <c r="E2147" s="2">
        <f>IF(Tabla2[[#This Row],[Frecuencia]]="Annual", Tabla2[[#This Row],[Cosecha/Tarea]]/12,Tabla2[[#This Row],[Cosecha/Tarea]])</f>
        <v>55487</v>
      </c>
      <c r="F2147" s="2">
        <v>58576</v>
      </c>
      <c r="G2147" t="s">
        <v>29</v>
      </c>
      <c r="H2147">
        <f>F2147/Tabla2[[#This Row],[Cosecha Mensual]]</f>
        <v>1.0556706976408889</v>
      </c>
      <c r="I2147">
        <f>H2147*_xlfn.XLOOKUP(Tabla2[[#This Row],[Unidad de producción]],Tabla3[Medida],Tabla3[Equivalencia en Kg],"ELVIS",0)</f>
        <v>593.64586011137749</v>
      </c>
      <c r="J2147">
        <v>4289.5833333333303</v>
      </c>
      <c r="K2147" t="s">
        <v>29</v>
      </c>
      <c r="L2147">
        <f>J2147/_xlfn.XLOOKUP(Tabla2[[#This Row],[Unidad de precio]],Tabla3[Medida],Tabla3[Equivalencia en Kg],"ELVIS",0)</f>
        <v>7.6280956953681578</v>
      </c>
      <c r="M2147">
        <v>7150.5342362867696</v>
      </c>
      <c r="N2147" s="2">
        <f>(Tabla2[[#This Row],[Productividad (kg/TAS)]]*Tabla2[[#This Row],[Precio por kg]]-Tabla2[[#This Row],[Costos (En RD$/Tarea)]])</f>
        <v>-2622.1468061980431</v>
      </c>
      <c r="O2147" s="6">
        <f>IF(Tabla2[[#This Row],[Costos (En RD$/Tarea)]]=0,0,Tabla2[[#This Row],[Beneficio Neto  (En RD$/Tarea)]]/Tabla2[[#This Row],[Costos (En RD$/Tarea)]])</f>
        <v>-0.36670641934576748</v>
      </c>
      <c r="P2147" s="4">
        <f>Tabla2[[#This Row],[Rentabilidad (%)]]/12</f>
        <v>-3.0558868278813957E-2</v>
      </c>
    </row>
    <row r="2148" spans="1:16" x14ac:dyDescent="0.35">
      <c r="A2148" s="1">
        <v>41944</v>
      </c>
      <c r="B2148" t="s">
        <v>30</v>
      </c>
      <c r="C2148" s="2">
        <v>445620</v>
      </c>
      <c r="D2148" s="2" t="s">
        <v>31</v>
      </c>
      <c r="E2148" s="2">
        <f>IF(Tabla2[[#This Row],[Frecuencia]]="Annual", Tabla2[[#This Row],[Cosecha/Tarea]]/12,Tabla2[[#This Row],[Cosecha/Tarea]])</f>
        <v>37135</v>
      </c>
      <c r="F2148" s="2">
        <v>3573095</v>
      </c>
      <c r="G2148" t="s">
        <v>32</v>
      </c>
      <c r="H2148">
        <f>F2148/Tabla2[[#This Row],[Cosecha Mensual]]</f>
        <v>96.21906557156322</v>
      </c>
      <c r="I2148">
        <f>H2148*_xlfn.XLOOKUP(Tabla2[[#This Row],[Unidad de producción]],Tabla3[Medida],Tabla3[Equivalencia en Kg],"ELVIS",0)</f>
        <v>2618.1207742022352</v>
      </c>
      <c r="J2148">
        <v>190.41642857142901</v>
      </c>
      <c r="K2148" t="s">
        <v>32</v>
      </c>
      <c r="L2148">
        <f>J2148/_xlfn.XLOOKUP(Tabla2[[#This Row],[Unidad de precio]],Tabla3[Medida],Tabla3[Equivalencia en Kg],"ELVIS",0)</f>
        <v>6.9980311860135611</v>
      </c>
      <c r="M2148" s="2">
        <v>12538.8969859716</v>
      </c>
      <c r="N2148" s="2">
        <f>(Tabla2[[#This Row],[Productividad (kg/TAS)]]*Tabla2[[#This Row],[Precio por kg]]-Tabla2[[#This Row],[Costos (En RD$/Tarea)]])</f>
        <v>5782.7938406456105</v>
      </c>
      <c r="O2148" s="6">
        <f>IF(Tabla2[[#This Row],[Costos (En RD$/Tarea)]]=0,0,Tabla2[[#This Row],[Beneficio Neto  (En RD$/Tarea)]]/Tabla2[[#This Row],[Costos (En RD$/Tarea)]])</f>
        <v>0.46118840015316703</v>
      </c>
      <c r="P2148" s="4">
        <f>Tabla2[[#This Row],[Rentabilidad (%)]]/12</f>
        <v>3.8432366679430584E-2</v>
      </c>
    </row>
    <row r="2149" spans="1:16" x14ac:dyDescent="0.35">
      <c r="A2149" s="1">
        <v>41944</v>
      </c>
      <c r="B2149" t="s">
        <v>33</v>
      </c>
      <c r="C2149" s="2">
        <v>789985</v>
      </c>
      <c r="D2149" s="2" t="s">
        <v>31</v>
      </c>
      <c r="E2149" s="8">
        <f>IF(Tabla2[[#This Row],[Frecuencia]]="Annual", Tabla2[[#This Row],[Cosecha/Tarea]]/12,Tabla2[[#This Row],[Cosecha/Tarea]])</f>
        <v>65832.083333333328</v>
      </c>
      <c r="F2149" s="2">
        <v>148331</v>
      </c>
      <c r="G2149" t="s">
        <v>34</v>
      </c>
      <c r="H2149">
        <f>F2149/Tabla2[[#This Row],[Cosecha Mensual]]</f>
        <v>2.2531718956689053</v>
      </c>
      <c r="I2149">
        <f>H2149*_xlfn.XLOOKUP(Tabla2[[#This Row],[Unidad de producción]],Tabla3[Medida],Tabla3[Equivalencia en Kg],"ELVIS",0)</f>
        <v>919.63210921726363</v>
      </c>
      <c r="J2149">
        <v>5514.3811904761897</v>
      </c>
      <c r="K2149" t="s">
        <v>34</v>
      </c>
      <c r="L2149">
        <f>J2149/_xlfn.XLOOKUP(Tabla2[[#This Row],[Unidad de precio]],Tabla3[Medida],Tabla3[Equivalencia en Kg],"ELVIS",0)</f>
        <v>13.510673013539606</v>
      </c>
      <c r="M2149" s="2">
        <v>12054.016631725301</v>
      </c>
      <c r="N2149" s="2">
        <f>(Tabla2[[#This Row],[Productividad (kg/TAS)]]*Tabla2[[#This Row],[Precio por kg]]-Tabla2[[#This Row],[Costos (En RD$/Tarea)]])</f>
        <v>370.8320886608908</v>
      </c>
      <c r="O2149" s="6">
        <f>IF(Tabla2[[#This Row],[Costos (En RD$/Tarea)]]=0,0,Tabla2[[#This Row],[Beneficio Neto  (En RD$/Tarea)]]/Tabla2[[#This Row],[Costos (En RD$/Tarea)]])</f>
        <v>3.0764192550132009E-2</v>
      </c>
      <c r="P2149" s="4">
        <f>Tabla2[[#This Row],[Rentabilidad (%)]]/12</f>
        <v>2.5636827125110006E-3</v>
      </c>
    </row>
    <row r="2150" spans="1:16" x14ac:dyDescent="0.35">
      <c r="A2150" s="1">
        <v>41974</v>
      </c>
      <c r="B2150" t="s">
        <v>16</v>
      </c>
      <c r="C2150" s="2">
        <v>78743</v>
      </c>
      <c r="D2150" s="5" t="s">
        <v>17</v>
      </c>
      <c r="E2150" s="2">
        <f>IF(Tabla2[[#This Row],[Frecuencia]]="Annual", Tabla2[[#This Row],[Cosecha/Tarea]]/12,Tabla2[[#This Row],[Cosecha/Tarea]])</f>
        <v>78743</v>
      </c>
      <c r="F2150" s="2">
        <v>259278</v>
      </c>
      <c r="G2150" t="s">
        <v>18</v>
      </c>
      <c r="H2150">
        <f>F2150/Tabla2[[#This Row],[Cosecha Mensual]]</f>
        <v>3.2927117331064348</v>
      </c>
      <c r="I2150">
        <f>H2150*_xlfn.XLOOKUP(Tabla2[[#This Row],[Unidad de producción]],Tabla3[Medida],Tabla3[Equivalencia en Kg],"ELVIS",0)</f>
        <v>149.35740421370789</v>
      </c>
      <c r="J2150">
        <v>1922.8690217391299</v>
      </c>
      <c r="K2150" t="s">
        <v>19</v>
      </c>
      <c r="L2150">
        <f>J2150/_xlfn.XLOOKUP(Tabla2[[#This Row],[Unidad de precio]],Tabla3[Medida],Tabla3[Equivalencia en Kg],"ELVIS",0)</f>
        <v>17.480627470355728</v>
      </c>
      <c r="M2150">
        <v>7973.2432584128101</v>
      </c>
      <c r="N2150" s="2">
        <f>(Tabla2[[#This Row],[Productividad (kg/TAS)]]*Tabla2[[#This Row],[Precio por kg]]-Tabla2[[#This Row],[Costos (En RD$/Tarea)]])</f>
        <v>-5362.382115413644</v>
      </c>
      <c r="O2150" s="6">
        <f>IF(Tabla2[[#This Row],[Costos (En RD$/Tarea)]]=0,0,Tabla2[[#This Row],[Beneficio Neto  (En RD$/Tarea)]]/Tabla2[[#This Row],[Costos (En RD$/Tarea)]])</f>
        <v>-0.6725471607498783</v>
      </c>
      <c r="P2150" s="4">
        <f>Tabla2[[#This Row],[Rentabilidad (%)]]/12</f>
        <v>-5.6045596729156523E-2</v>
      </c>
    </row>
    <row r="2151" spans="1:16" x14ac:dyDescent="0.35">
      <c r="A2151" s="1">
        <v>41974</v>
      </c>
      <c r="B2151" t="s">
        <v>20</v>
      </c>
      <c r="C2151" s="2">
        <v>45217</v>
      </c>
      <c r="D2151" s="5" t="s">
        <v>17</v>
      </c>
      <c r="E2151" s="2">
        <f>IF(Tabla2[[#This Row],[Frecuencia]]="Annual", Tabla2[[#This Row],[Cosecha/Tarea]]/12,Tabla2[[#This Row],[Cosecha/Tarea]])</f>
        <v>45217</v>
      </c>
      <c r="F2151" s="2">
        <v>83408</v>
      </c>
      <c r="G2151" t="s">
        <v>18</v>
      </c>
      <c r="H2151">
        <f>F2151/Tabla2[[#This Row],[Cosecha Mensual]]</f>
        <v>1.844615963022757</v>
      </c>
      <c r="I2151">
        <f>H2151*_xlfn.XLOOKUP(Tabla2[[#This Row],[Unidad de producción]],Tabla3[Medida],Tabla3[Equivalencia en Kg],"ELVIS",0)</f>
        <v>83.67178008271226</v>
      </c>
      <c r="J2151">
        <v>770.99966666666705</v>
      </c>
      <c r="K2151" t="s">
        <v>18</v>
      </c>
      <c r="L2151">
        <f>J2151/_xlfn.XLOOKUP(Tabla2[[#This Row],[Unidad de precio]],Tabla3[Medida],Tabla3[Equivalencia en Kg],"ELVIS",0)</f>
        <v>16.997347148736047</v>
      </c>
      <c r="M2151">
        <v>2447.4016476000002</v>
      </c>
      <c r="N2151" s="2">
        <f>(Tabla2[[#This Row],[Productividad (kg/TAS)]]*Tabla2[[#This Row],[Precio por kg]]-Tabla2[[#This Row],[Costos (En RD$/Tarea)]])</f>
        <v>-1025.2033549814414</v>
      </c>
      <c r="O2151" s="6">
        <f>IF(Tabla2[[#This Row],[Costos (En RD$/Tarea)]]=0,0,Tabla2[[#This Row],[Beneficio Neto  (En RD$/Tarea)]]/Tabla2[[#This Row],[Costos (En RD$/Tarea)]])</f>
        <v>-0.41889460848683679</v>
      </c>
      <c r="P2151" s="4">
        <f>Tabla2[[#This Row],[Rentabilidad (%)]]/12</f>
        <v>-3.4907884040569735E-2</v>
      </c>
    </row>
    <row r="2152" spans="1:16" x14ac:dyDescent="0.35">
      <c r="A2152" s="1">
        <v>41974</v>
      </c>
      <c r="B2152" t="s">
        <v>21</v>
      </c>
      <c r="C2152" s="2">
        <v>7010</v>
      </c>
      <c r="D2152" s="5" t="s">
        <v>17</v>
      </c>
      <c r="E2152" s="2">
        <f>IF(Tabla2[[#This Row],[Frecuencia]]="Annual", Tabla2[[#This Row],[Cosecha/Tarea]]/12,Tabla2[[#This Row],[Cosecha/Tarea]])</f>
        <v>7010</v>
      </c>
      <c r="F2152" s="2">
        <v>81967</v>
      </c>
      <c r="G2152" t="s">
        <v>18</v>
      </c>
      <c r="H2152">
        <f>F2152/Tabla2[[#This Row],[Cosecha Mensual]]</f>
        <v>11.692867332382312</v>
      </c>
      <c r="I2152">
        <f>H2152*_xlfn.XLOOKUP(Tabla2[[#This Row],[Unidad de producción]],Tabla3[Medida],Tabla3[Equivalencia en Kg],"ELVIS",0)</f>
        <v>530.38846219686161</v>
      </c>
      <c r="J2152">
        <v>415.46886499999999</v>
      </c>
      <c r="K2152" t="s">
        <v>18</v>
      </c>
      <c r="L2152">
        <f>J2152/_xlfn.XLOOKUP(Tabla2[[#This Row],[Unidad de precio]],Tabla3[Medida],Tabla3[Equivalencia en Kg],"ELVIS",0)</f>
        <v>9.1593665123456791</v>
      </c>
      <c r="M2152">
        <v>5243.9203424999996</v>
      </c>
      <c r="N2152" s="2">
        <f>(Tabla2[[#This Row],[Productividad (kg/TAS)]]*Tabla2[[#This Row],[Precio por kg]]-Tabla2[[#This Row],[Costos (En RD$/Tarea)]])</f>
        <v>-385.89802331954343</v>
      </c>
      <c r="O2152" s="6">
        <f>IF(Tabla2[[#This Row],[Costos (En RD$/Tarea)]]=0,0,Tabla2[[#This Row],[Beneficio Neto  (En RD$/Tarea)]]/Tabla2[[#This Row],[Costos (En RD$/Tarea)]])</f>
        <v>-7.3589604363740097E-2</v>
      </c>
      <c r="P2152" s="4">
        <f>Tabla2[[#This Row],[Rentabilidad (%)]]/12</f>
        <v>-6.132467030311675E-3</v>
      </c>
    </row>
    <row r="2153" spans="1:16" x14ac:dyDescent="0.35">
      <c r="A2153" s="1">
        <v>41974</v>
      </c>
      <c r="B2153" t="s">
        <v>22</v>
      </c>
      <c r="C2153" s="2">
        <v>6844</v>
      </c>
      <c r="D2153" s="5" t="s">
        <v>17</v>
      </c>
      <c r="E2153" s="2">
        <f>IF(Tabla2[[#This Row],[Frecuencia]]="Annual", Tabla2[[#This Row],[Cosecha/Tarea]]/12,Tabla2[[#This Row],[Cosecha/Tarea]])</f>
        <v>6844</v>
      </c>
      <c r="F2153" s="2">
        <v>60662</v>
      </c>
      <c r="G2153" t="s">
        <v>18</v>
      </c>
      <c r="H2153">
        <f>F2153/Tabla2[[#This Row],[Cosecha Mensual]]</f>
        <v>8.8635300993571011</v>
      </c>
      <c r="I2153">
        <f>H2153*_xlfn.XLOOKUP(Tabla2[[#This Row],[Unidad de producción]],Tabla3[Medida],Tabla3[Equivalencia en Kg],"ELVIS",0)</f>
        <v>402.04972530683813</v>
      </c>
      <c r="J2153">
        <v>1045.25</v>
      </c>
      <c r="K2153" t="s">
        <v>18</v>
      </c>
      <c r="L2153">
        <f>J2153/_xlfn.XLOOKUP(Tabla2[[#This Row],[Unidad de precio]],Tabla3[Medida],Tabla3[Equivalencia en Kg],"ELVIS",0)</f>
        <v>23.043430335097003</v>
      </c>
      <c r="M2153">
        <v>9418.5442175999997</v>
      </c>
      <c r="N2153" s="2">
        <f>(Tabla2[[#This Row],[Productividad (kg/TAS)]]*Tabla2[[#This Row],[Precio por kg]]-Tabla2[[#This Row],[Costos (En RD$/Tarea)]])</f>
        <v>-153.93938124698798</v>
      </c>
      <c r="O2153" s="6">
        <f>IF(Tabla2[[#This Row],[Costos (En RD$/Tarea)]]=0,0,Tabla2[[#This Row],[Beneficio Neto  (En RD$/Tarea)]]/Tabla2[[#This Row],[Costos (En RD$/Tarea)]])</f>
        <v>-1.6344286090341706E-2</v>
      </c>
      <c r="P2153" s="4">
        <f>Tabla2[[#This Row],[Rentabilidad (%)]]/12</f>
        <v>-1.3620238408618088E-3</v>
      </c>
    </row>
    <row r="2154" spans="1:16" x14ac:dyDescent="0.35">
      <c r="A2154" s="1">
        <v>41974</v>
      </c>
      <c r="B2154" t="s">
        <v>23</v>
      </c>
      <c r="C2154" s="2">
        <v>2706</v>
      </c>
      <c r="D2154" s="5" t="s">
        <v>17</v>
      </c>
      <c r="E2154" s="2">
        <f>IF(Tabla2[[#This Row],[Frecuencia]]="Annual", Tabla2[[#This Row],[Cosecha/Tarea]]/12,Tabla2[[#This Row],[Cosecha/Tarea]])</f>
        <v>2706</v>
      </c>
      <c r="F2154" s="2">
        <v>94515</v>
      </c>
      <c r="G2154" t="s">
        <v>18</v>
      </c>
      <c r="H2154">
        <f>F2154/Tabla2[[#This Row],[Cosecha Mensual]]</f>
        <v>34.927937915742795</v>
      </c>
      <c r="I2154">
        <f>H2154*_xlfn.XLOOKUP(Tabla2[[#This Row],[Unidad de producción]],Tabla3[Medida],Tabla3[Equivalencia en Kg],"ELVIS",0)</f>
        <v>1584.3312638580933</v>
      </c>
      <c r="J2154">
        <v>825</v>
      </c>
      <c r="K2154" t="s">
        <v>18</v>
      </c>
      <c r="L2154">
        <f>J2154/_xlfn.XLOOKUP(Tabla2[[#This Row],[Unidad de precio]],Tabla3[Medida],Tabla3[Equivalencia en Kg],"ELVIS",0)</f>
        <v>18.187830687830687</v>
      </c>
      <c r="M2154">
        <v>26184.1693466859</v>
      </c>
      <c r="N2154" s="2">
        <f>(Tabla2[[#This Row],[Productividad (kg/TAS)]]*Tabla2[[#This Row],[Precio por kg]]-Tabla2[[#This Row],[Costos (En RD$/Tarea)]])</f>
        <v>2631.379433801907</v>
      </c>
      <c r="O2154" s="6">
        <f>IF(Tabla2[[#This Row],[Costos (En RD$/Tarea)]]=0,0,Tabla2[[#This Row],[Beneficio Neto  (En RD$/Tarea)]]/Tabla2[[#This Row],[Costos (En RD$/Tarea)]])</f>
        <v>0.10049505099671828</v>
      </c>
      <c r="P2154" s="4">
        <f>Tabla2[[#This Row],[Rentabilidad (%)]]/12</f>
        <v>8.3745875830598566E-3</v>
      </c>
    </row>
    <row r="2155" spans="1:16" x14ac:dyDescent="0.35">
      <c r="A2155" s="1">
        <v>41974</v>
      </c>
      <c r="B2155" t="s">
        <v>24</v>
      </c>
      <c r="C2155" s="2">
        <v>8235</v>
      </c>
      <c r="D2155" s="5" t="s">
        <v>17</v>
      </c>
      <c r="E2155" s="2">
        <f>IF(Tabla2[[#This Row],[Frecuencia]]="Annual", Tabla2[[#This Row],[Cosecha/Tarea]]/12,Tabla2[[#This Row],[Cosecha/Tarea]])</f>
        <v>8235</v>
      </c>
      <c r="F2155" s="2">
        <v>57249</v>
      </c>
      <c r="G2155" t="s">
        <v>18</v>
      </c>
      <c r="H2155">
        <f>F2155/Tabla2[[#This Row],[Cosecha Mensual]]</f>
        <v>6.9519125683060112</v>
      </c>
      <c r="I2155">
        <f>H2155*_xlfn.XLOOKUP(Tabla2[[#This Row],[Unidad de producción]],Tabla3[Medida],Tabla3[Equivalencia en Kg],"ELVIS",0)</f>
        <v>315.33875409836065</v>
      </c>
      <c r="J2155">
        <v>1359.8112000000001</v>
      </c>
      <c r="K2155" t="s">
        <v>18</v>
      </c>
      <c r="L2155">
        <f>J2155/_xlfn.XLOOKUP(Tabla2[[#This Row],[Unidad de precio]],Tabla3[Medida],Tabla3[Equivalencia en Kg],"ELVIS",0)</f>
        <v>29.978201058201062</v>
      </c>
      <c r="M2155">
        <v>9105.9886041600002</v>
      </c>
      <c r="N2155" s="2">
        <f>(Tabla2[[#This Row],[Productividad (kg/TAS)]]*Tabla2[[#This Row],[Precio por kg]]-Tabla2[[#This Row],[Costos (En RD$/Tarea)]])</f>
        <v>347.29996764327916</v>
      </c>
      <c r="O2155" s="6">
        <f>IF(Tabla2[[#This Row],[Costos (En RD$/Tarea)]]=0,0,Tabla2[[#This Row],[Beneficio Neto  (En RD$/Tarea)]]/Tabla2[[#This Row],[Costos (En RD$/Tarea)]])</f>
        <v>3.8139732294922693E-2</v>
      </c>
      <c r="P2155" s="4">
        <f>Tabla2[[#This Row],[Rentabilidad (%)]]/12</f>
        <v>3.1783110245768909E-3</v>
      </c>
    </row>
    <row r="2156" spans="1:16" x14ac:dyDescent="0.35">
      <c r="A2156" s="1">
        <v>41974</v>
      </c>
      <c r="B2156" t="s">
        <v>25</v>
      </c>
      <c r="C2156" s="2">
        <v>29895</v>
      </c>
      <c r="D2156" s="5" t="s">
        <v>17</v>
      </c>
      <c r="E2156" s="2">
        <f>IF(Tabla2[[#This Row],[Frecuencia]]="Annual", Tabla2[[#This Row],[Cosecha/Tarea]]/12,Tabla2[[#This Row],[Cosecha/Tarea]])</f>
        <v>29895</v>
      </c>
      <c r="F2156" s="2">
        <v>346242</v>
      </c>
      <c r="G2156" t="s">
        <v>18</v>
      </c>
      <c r="H2156">
        <f>F2156/Tabla2[[#This Row],[Cosecha Mensual]]</f>
        <v>11.58193677872554</v>
      </c>
      <c r="I2156">
        <f>H2156*_xlfn.XLOOKUP(Tabla2[[#This Row],[Unidad de producción]],Tabla3[Medida],Tabla3[Equivalencia en Kg],"ELVIS",0)</f>
        <v>525.35665228299047</v>
      </c>
      <c r="J2156">
        <v>368.05119999999999</v>
      </c>
      <c r="K2156" t="s">
        <v>18</v>
      </c>
      <c r="L2156">
        <f>J2156/_xlfn.XLOOKUP(Tabla2[[#This Row],[Unidad de precio]],Tabla3[Medida],Tabla3[Equivalencia en Kg],"ELVIS",0)</f>
        <v>8.1140035273368607</v>
      </c>
      <c r="M2156">
        <v>4871.6687043187803</v>
      </c>
      <c r="N2156" s="2">
        <f>(Tabla2[[#This Row],[Productividad (kg/TAS)]]*Tabla2[[#This Row],[Precio por kg]]-Tabla2[[#This Row],[Costos (En RD$/Tarea)]])</f>
        <v>-608.92297458471148</v>
      </c>
      <c r="O2156" s="6">
        <f>IF(Tabla2[[#This Row],[Costos (En RD$/Tarea)]]=0,0,Tabla2[[#This Row],[Beneficio Neto  (En RD$/Tarea)]]/Tabla2[[#This Row],[Costos (En RD$/Tarea)]])</f>
        <v>-0.12499268968041598</v>
      </c>
      <c r="P2156" s="4">
        <f>Tabla2[[#This Row],[Rentabilidad (%)]]/12</f>
        <v>-1.0416057473367999E-2</v>
      </c>
    </row>
    <row r="2157" spans="1:16" x14ac:dyDescent="0.35">
      <c r="A2157" s="1">
        <v>41974</v>
      </c>
      <c r="B2157" t="s">
        <v>26</v>
      </c>
      <c r="C2157" s="2">
        <v>14723</v>
      </c>
      <c r="D2157" s="5" t="s">
        <v>17</v>
      </c>
      <c r="E2157" s="2">
        <f>IF(Tabla2[[#This Row],[Frecuencia]]="Annual", Tabla2[[#This Row],[Cosecha/Tarea]]/12,Tabla2[[#This Row],[Cosecha/Tarea]])</f>
        <v>14723</v>
      </c>
      <c r="F2157" s="2">
        <v>93175</v>
      </c>
      <c r="G2157" t="s">
        <v>18</v>
      </c>
      <c r="H2157">
        <f>F2157/Tabla2[[#This Row],[Cosecha Mensual]]</f>
        <v>6.3285335869048431</v>
      </c>
      <c r="I2157">
        <f>H2157*_xlfn.XLOOKUP(Tabla2[[#This Row],[Unidad de producción]],Tabla3[Medida],Tabla3[Equivalencia en Kg],"ELVIS",0)</f>
        <v>287.06228350200371</v>
      </c>
      <c r="J2157">
        <v>798.61055555555595</v>
      </c>
      <c r="K2157" t="s">
        <v>18</v>
      </c>
      <c r="L2157">
        <f>J2157/_xlfn.XLOOKUP(Tabla2[[#This Row],[Unidad de precio]],Tabla3[Medida],Tabla3[Equivalencia en Kg],"ELVIS",0)</f>
        <v>17.60605281207134</v>
      </c>
      <c r="M2157">
        <v>2107.5566399999998</v>
      </c>
      <c r="N2157" s="2">
        <f>(Tabla2[[#This Row],[Productividad (kg/TAS)]]*Tabla2[[#This Row],[Precio por kg]]-Tabla2[[#This Row],[Costos (En RD$/Tarea)]])</f>
        <v>2946.4770836900725</v>
      </c>
      <c r="O2157" s="6">
        <f>IF(Tabla2[[#This Row],[Costos (En RD$/Tarea)]]=0,0,Tabla2[[#This Row],[Beneficio Neto  (En RD$/Tarea)]]/Tabla2[[#This Row],[Costos (En RD$/Tarea)]])</f>
        <v>1.3980535696018461</v>
      </c>
      <c r="P2157" s="4">
        <f>Tabla2[[#This Row],[Rentabilidad (%)]]/12</f>
        <v>0.11650446413348718</v>
      </c>
    </row>
    <row r="2158" spans="1:16" x14ac:dyDescent="0.35">
      <c r="A2158" s="1">
        <v>41974</v>
      </c>
      <c r="B2158" t="s">
        <v>27</v>
      </c>
      <c r="C2158" s="2">
        <v>7012</v>
      </c>
      <c r="D2158" s="5" t="s">
        <v>17</v>
      </c>
      <c r="E2158" s="2">
        <f>IF(Tabla2[[#This Row],[Frecuencia]]="Annual", Tabla2[[#This Row],[Cosecha/Tarea]]/12,Tabla2[[#This Row],[Cosecha/Tarea]])</f>
        <v>7012</v>
      </c>
      <c r="F2158" s="2">
        <v>42401</v>
      </c>
      <c r="G2158" t="s">
        <v>18</v>
      </c>
      <c r="H2158">
        <f>F2158/Tabla2[[#This Row],[Cosecha Mensual]]</f>
        <v>6.0469195664575013</v>
      </c>
      <c r="I2158">
        <f>H2158*_xlfn.XLOOKUP(Tabla2[[#This Row],[Unidad de producción]],Tabla3[Medida],Tabla3[Equivalencia en Kg],"ELVIS",0)</f>
        <v>274.28827153451226</v>
      </c>
      <c r="J2158">
        <v>706.15</v>
      </c>
      <c r="K2158" t="s">
        <v>18</v>
      </c>
      <c r="L2158">
        <f>J2158/_xlfn.XLOOKUP(Tabla2[[#This Row],[Unidad de precio]],Tabla3[Medida],Tabla3[Equivalencia en Kg],"ELVIS",0)</f>
        <v>15.567680776014109</v>
      </c>
      <c r="M2158">
        <v>8288.2983415050003</v>
      </c>
      <c r="N2158" s="2">
        <f>(Tabla2[[#This Row],[Productividad (kg/TAS)]]*Tabla2[[#This Row],[Precio por kg]]-Tabla2[[#This Row],[Costos (En RD$/Tarea)]])</f>
        <v>-4018.2660896510361</v>
      </c>
      <c r="O2158" s="6">
        <f>IF(Tabla2[[#This Row],[Costos (En RD$/Tarea)]]=0,0,Tabla2[[#This Row],[Beneficio Neto  (En RD$/Tarea)]]/Tabla2[[#This Row],[Costos (En RD$/Tarea)]])</f>
        <v>-0.48481195102846575</v>
      </c>
      <c r="P2158" s="4">
        <f>Tabla2[[#This Row],[Rentabilidad (%)]]/12</f>
        <v>-4.0400995919038812E-2</v>
      </c>
    </row>
    <row r="2159" spans="1:16" x14ac:dyDescent="0.35">
      <c r="A2159" s="1">
        <v>41974</v>
      </c>
      <c r="B2159" t="s">
        <v>28</v>
      </c>
      <c r="C2159" s="2">
        <v>54508</v>
      </c>
      <c r="D2159" s="5" t="s">
        <v>17</v>
      </c>
      <c r="E2159" s="2">
        <f>IF(Tabla2[[#This Row],[Frecuencia]]="Annual", Tabla2[[#This Row],[Cosecha/Tarea]]/12,Tabla2[[#This Row],[Cosecha/Tarea]])</f>
        <v>54508</v>
      </c>
      <c r="F2159" s="2">
        <v>94661</v>
      </c>
      <c r="G2159" t="s">
        <v>29</v>
      </c>
      <c r="H2159">
        <f>F2159/Tabla2[[#This Row],[Cosecha Mensual]]</f>
        <v>1.7366441623247963</v>
      </c>
      <c r="I2159">
        <f>H2159*_xlfn.XLOOKUP(Tabla2[[#This Row],[Unidad de producción]],Tabla3[Medida],Tabla3[Equivalencia en Kg],"ELVIS",0)</f>
        <v>976.58447824172606</v>
      </c>
      <c r="J2159">
        <v>6277.7777777777801</v>
      </c>
      <c r="K2159" t="s">
        <v>29</v>
      </c>
      <c r="L2159">
        <f>J2159/_xlfn.XLOOKUP(Tabla2[[#This Row],[Unidad de precio]],Tabla3[Medida],Tabla3[Equivalencia en Kg],"ELVIS",0)</f>
        <v>11.16366927086421</v>
      </c>
      <c r="M2159">
        <v>7150.5342362867696</v>
      </c>
      <c r="N2159" s="2">
        <f>(Tabla2[[#This Row],[Productividad (kg/TAS)]]*Tabla2[[#This Row],[Precio por kg]]-Tabla2[[#This Row],[Costos (En RD$/Tarea)]])</f>
        <v>3751.7318938633443</v>
      </c>
      <c r="O2159" s="6">
        <f>IF(Tabla2[[#This Row],[Costos (En RD$/Tarea)]]=0,0,Tabla2[[#This Row],[Beneficio Neto  (En RD$/Tarea)]]/Tabla2[[#This Row],[Costos (En RD$/Tarea)]])</f>
        <v>0.52467854427218252</v>
      </c>
      <c r="P2159" s="4">
        <f>Tabla2[[#This Row],[Rentabilidad (%)]]/12</f>
        <v>4.3723212022681875E-2</v>
      </c>
    </row>
    <row r="2160" spans="1:16" x14ac:dyDescent="0.35">
      <c r="A2160" s="1">
        <v>41974</v>
      </c>
      <c r="B2160" t="s">
        <v>30</v>
      </c>
      <c r="C2160" s="2">
        <v>387374</v>
      </c>
      <c r="D2160" s="2" t="s">
        <v>31</v>
      </c>
      <c r="E2160" s="2">
        <f>IF(Tabla2[[#This Row],[Frecuencia]]="Annual", Tabla2[[#This Row],[Cosecha/Tarea]]/12,Tabla2[[#This Row],[Cosecha/Tarea]])</f>
        <v>32281.166666666668</v>
      </c>
      <c r="F2160" s="2">
        <v>3938397</v>
      </c>
      <c r="G2160" t="s">
        <v>32</v>
      </c>
      <c r="H2160">
        <f>F2160/Tabla2[[#This Row],[Cosecha Mensual]]</f>
        <v>122.00293256646032</v>
      </c>
      <c r="I2160">
        <f>H2160*_xlfn.XLOOKUP(Tabla2[[#This Row],[Unidad de producción]],Tabla3[Medida],Tabla3[Equivalencia en Kg],"ELVIS",0)</f>
        <v>3319.6997951333851</v>
      </c>
      <c r="J2160">
        <v>209.083333333333</v>
      </c>
      <c r="K2160" t="s">
        <v>32</v>
      </c>
      <c r="L2160">
        <f>J2160/_xlfn.XLOOKUP(Tabla2[[#This Row],[Unidad de precio]],Tabla3[Medida],Tabla3[Equivalencia en Kg],"ELVIS",0)</f>
        <v>7.6840622320225282</v>
      </c>
      <c r="M2160" s="2">
        <v>12538.8969859716</v>
      </c>
      <c r="N2160" s="2">
        <f>(Tabla2[[#This Row],[Productividad (kg/TAS)]]*Tabla2[[#This Row],[Precio por kg]]-Tabla2[[#This Row],[Costos (En RD$/Tarea)]])</f>
        <v>12969.882831465768</v>
      </c>
      <c r="O2160" s="6">
        <f>IF(Tabla2[[#This Row],[Costos (En RD$/Tarea)]]=0,0,Tabla2[[#This Row],[Beneficio Neto  (En RD$/Tarea)]]/Tabla2[[#This Row],[Costos (En RD$/Tarea)]])</f>
        <v>1.0343719105417606</v>
      </c>
      <c r="P2160" s="4">
        <f>Tabla2[[#This Row],[Rentabilidad (%)]]/12</f>
        <v>8.6197659211813382E-2</v>
      </c>
    </row>
    <row r="2161" spans="1:16" x14ac:dyDescent="0.35">
      <c r="A2161" s="1">
        <v>41974</v>
      </c>
      <c r="B2161" t="s">
        <v>33</v>
      </c>
      <c r="C2161" s="2">
        <v>742104</v>
      </c>
      <c r="D2161" s="2" t="s">
        <v>31</v>
      </c>
      <c r="E2161" s="8">
        <f>IF(Tabla2[[#This Row],[Frecuencia]]="Annual", Tabla2[[#This Row],[Cosecha/Tarea]]/12,Tabla2[[#This Row],[Cosecha/Tarea]])</f>
        <v>61842</v>
      </c>
      <c r="F2161" s="2">
        <v>281618</v>
      </c>
      <c r="G2161" t="s">
        <v>34</v>
      </c>
      <c r="H2161">
        <f>F2161/Tabla2[[#This Row],[Cosecha Mensual]]</f>
        <v>4.5538307299246465</v>
      </c>
      <c r="I2161">
        <f>H2161*_xlfn.XLOOKUP(Tabla2[[#This Row],[Unidad de producción]],Tabla3[Medida],Tabla3[Equivalencia en Kg],"ELVIS",0)</f>
        <v>1858.6460124187445</v>
      </c>
      <c r="J2161">
        <v>5816.76166666667</v>
      </c>
      <c r="K2161" t="s">
        <v>34</v>
      </c>
      <c r="L2161">
        <f>J2161/_xlfn.XLOOKUP(Tabla2[[#This Row],[Unidad de precio]],Tabla3[Medida],Tabla3[Equivalencia en Kg],"ELVIS",0)</f>
        <v>14.251529258034228</v>
      </c>
      <c r="M2161" s="2">
        <v>12054.016631725301</v>
      </c>
      <c r="N2161" s="2">
        <f>(Tabla2[[#This Row],[Productividad (kg/TAS)]]*Tabla2[[#This Row],[Precio por kg]]-Tabla2[[#This Row],[Costos (En RD$/Tarea)]])</f>
        <v>14434.531394589087</v>
      </c>
      <c r="O2161" s="6">
        <f>IF(Tabla2[[#This Row],[Costos (En RD$/Tarea)]]=0,0,Tabla2[[#This Row],[Beneficio Neto  (En RD$/Tarea)]]/Tabla2[[#This Row],[Costos (En RD$/Tarea)]])</f>
        <v>1.1974872638385485</v>
      </c>
      <c r="P2161" s="4">
        <f>Tabla2[[#This Row],[Rentabilidad (%)]]/12</f>
        <v>9.9790605319879044E-2</v>
      </c>
    </row>
    <row r="2162" spans="1:16" x14ac:dyDescent="0.35">
      <c r="A2162" s="1">
        <v>42005</v>
      </c>
      <c r="B2162" t="s">
        <v>16</v>
      </c>
      <c r="C2162" s="2">
        <v>15645</v>
      </c>
      <c r="D2162" s="5" t="s">
        <v>17</v>
      </c>
      <c r="E2162" s="2">
        <f>IF(Tabla2[[#This Row],[Frecuencia]]="Annual", Tabla2[[#This Row],[Cosecha/Tarea]]/12,Tabla2[[#This Row],[Cosecha/Tarea]])</f>
        <v>15645</v>
      </c>
      <c r="F2162" s="2">
        <v>52428</v>
      </c>
      <c r="G2162" t="s">
        <v>18</v>
      </c>
      <c r="H2162">
        <f>F2162/Tabla2[[#This Row],[Cosecha Mensual]]</f>
        <v>3.3511025886864814</v>
      </c>
      <c r="I2162">
        <f>H2162*_xlfn.XLOOKUP(Tabla2[[#This Row],[Unidad de producción]],Tabla3[Medida],Tabla3[Equivalencia en Kg],"ELVIS",0)</f>
        <v>152.0060134228188</v>
      </c>
      <c r="J2162">
        <v>1657.5979012345699</v>
      </c>
      <c r="K2162" t="s">
        <v>19</v>
      </c>
      <c r="L2162">
        <f>J2162/_xlfn.XLOOKUP(Tabla2[[#This Row],[Unidad de precio]],Tabla3[Medida],Tabla3[Equivalencia en Kg],"ELVIS",0)</f>
        <v>15.06907182940518</v>
      </c>
      <c r="M2162">
        <v>7019.0666646612499</v>
      </c>
      <c r="N2162" s="2">
        <f>(Tabla2[[#This Row],[Productividad (kg/TAS)]]*Tabla2[[#This Row],[Precio por kg]]-Tabla2[[#This Row],[Costos (En RD$/Tarea)]])</f>
        <v>-4728.4771298912656</v>
      </c>
      <c r="O2162" s="6">
        <f>IF(Tabla2[[#This Row],[Costos (En RD$/Tarea)]]=0,0,Tabla2[[#This Row],[Beneficio Neto  (En RD$/Tarea)]]/Tabla2[[#This Row],[Costos (En RD$/Tarea)]])</f>
        <v>-0.67366180658998898</v>
      </c>
      <c r="P2162" s="4">
        <f>Tabla2[[#This Row],[Rentabilidad (%)]]/12</f>
        <v>-5.6138483882499084E-2</v>
      </c>
    </row>
    <row r="2163" spans="1:16" x14ac:dyDescent="0.35">
      <c r="A2163" s="1">
        <v>42005</v>
      </c>
      <c r="B2163" t="s">
        <v>20</v>
      </c>
      <c r="C2163" s="2">
        <v>29790</v>
      </c>
      <c r="D2163" s="5" t="s">
        <v>17</v>
      </c>
      <c r="E2163" s="2">
        <f>IF(Tabla2[[#This Row],[Frecuencia]]="Annual", Tabla2[[#This Row],[Cosecha/Tarea]]/12,Tabla2[[#This Row],[Cosecha/Tarea]])</f>
        <v>29790</v>
      </c>
      <c r="F2163" s="2">
        <v>54109</v>
      </c>
      <c r="G2163" t="s">
        <v>18</v>
      </c>
      <c r="H2163">
        <f>F2163/Tabla2[[#This Row],[Cosecha Mensual]]</f>
        <v>1.8163477677072843</v>
      </c>
      <c r="I2163">
        <f>H2163*_xlfn.XLOOKUP(Tabla2[[#This Row],[Unidad de producción]],Tabla3[Medida],Tabla3[Equivalencia en Kg],"ELVIS",0)</f>
        <v>82.389534743202418</v>
      </c>
      <c r="J2163">
        <v>798.27722222222201</v>
      </c>
      <c r="K2163" t="s">
        <v>18</v>
      </c>
      <c r="L2163">
        <f>J2163/_xlfn.XLOOKUP(Tabla2[[#This Row],[Unidad de precio]],Tabla3[Medida],Tabla3[Equivalencia en Kg],"ELVIS",0)</f>
        <v>17.598704193611596</v>
      </c>
      <c r="M2163">
        <v>2574.5849057760001</v>
      </c>
      <c r="N2163" s="2">
        <f>(Tabla2[[#This Row],[Productividad (kg/TAS)]]*Tabla2[[#This Row],[Precio por kg]]-Tabla2[[#This Row],[Costos (En RD$/Tarea)]])</f>
        <v>-1124.6358551810954</v>
      </c>
      <c r="O2163" s="6">
        <f>IF(Tabla2[[#This Row],[Costos (En RD$/Tarea)]]=0,0,Tabla2[[#This Row],[Beneficio Neto  (En RD$/Tarea)]]/Tabla2[[#This Row],[Costos (En RD$/Tarea)]])</f>
        <v>-0.4368222048758269</v>
      </c>
      <c r="P2163" s="4">
        <f>Tabla2[[#This Row],[Rentabilidad (%)]]/12</f>
        <v>-3.6401850406318909E-2</v>
      </c>
    </row>
    <row r="2164" spans="1:16" x14ac:dyDescent="0.35">
      <c r="A2164" s="1">
        <v>42005</v>
      </c>
      <c r="B2164" t="s">
        <v>21</v>
      </c>
      <c r="C2164" s="2">
        <v>4021</v>
      </c>
      <c r="D2164" s="5" t="s">
        <v>17</v>
      </c>
      <c r="E2164" s="2">
        <f>IF(Tabla2[[#This Row],[Frecuencia]]="Annual", Tabla2[[#This Row],[Cosecha/Tarea]]/12,Tabla2[[#This Row],[Cosecha/Tarea]])</f>
        <v>4021</v>
      </c>
      <c r="F2164" s="2">
        <v>61936</v>
      </c>
      <c r="G2164" t="s">
        <v>18</v>
      </c>
      <c r="H2164">
        <f>F2164/Tabla2[[#This Row],[Cosecha Mensual]]</f>
        <v>15.403133548868441</v>
      </c>
      <c r="I2164">
        <f>H2164*_xlfn.XLOOKUP(Tabla2[[#This Row],[Unidad de producción]],Tabla3[Medida],Tabla3[Equivalencia en Kg],"ELVIS",0)</f>
        <v>698.68613777667247</v>
      </c>
      <c r="J2164">
        <v>388.66075499999999</v>
      </c>
      <c r="K2164" t="s">
        <v>18</v>
      </c>
      <c r="L2164">
        <f>J2164/_xlfn.XLOOKUP(Tabla2[[#This Row],[Unidad de precio]],Tabla3[Medida],Tabla3[Equivalencia en Kg],"ELVIS",0)</f>
        <v>8.5683587962962964</v>
      </c>
      <c r="M2164">
        <v>5153.8888283303804</v>
      </c>
      <c r="N2164" s="2">
        <f>(Tabla2[[#This Row],[Productividad (kg/TAS)]]*Tabla2[[#This Row],[Precio por kg]]-Tabla2[[#This Row],[Costos (En RD$/Tarea)]])</f>
        <v>832.70468613865705</v>
      </c>
      <c r="O2164" s="6">
        <f>IF(Tabla2[[#This Row],[Costos (En RD$/Tarea)]]=0,0,Tabla2[[#This Row],[Beneficio Neto  (En RD$/Tarea)]]/Tabla2[[#This Row],[Costos (En RD$/Tarea)]])</f>
        <v>0.16156822816226996</v>
      </c>
      <c r="P2164" s="4">
        <f>Tabla2[[#This Row],[Rentabilidad (%)]]/12</f>
        <v>1.3464019013522496E-2</v>
      </c>
    </row>
    <row r="2165" spans="1:16" x14ac:dyDescent="0.35">
      <c r="A2165" s="1">
        <v>42005</v>
      </c>
      <c r="B2165" t="s">
        <v>22</v>
      </c>
      <c r="C2165" s="2">
        <v>7984</v>
      </c>
      <c r="D2165" s="5" t="s">
        <v>17</v>
      </c>
      <c r="E2165" s="2">
        <f>IF(Tabla2[[#This Row],[Frecuencia]]="Annual", Tabla2[[#This Row],[Cosecha/Tarea]]/12,Tabla2[[#This Row],[Cosecha/Tarea]])</f>
        <v>7984</v>
      </c>
      <c r="F2165" s="2">
        <v>74805</v>
      </c>
      <c r="G2165" t="s">
        <v>18</v>
      </c>
      <c r="H2165">
        <f>F2165/Tabla2[[#This Row],[Cosecha Mensual]]</f>
        <v>9.3693637274549104</v>
      </c>
      <c r="I2165">
        <f>H2165*_xlfn.XLOOKUP(Tabla2[[#This Row],[Unidad de producción]],Tabla3[Medida],Tabla3[Equivalencia en Kg],"ELVIS",0)</f>
        <v>424.99433867735473</v>
      </c>
      <c r="J2165">
        <v>1058.5</v>
      </c>
      <c r="K2165" t="s">
        <v>18</v>
      </c>
      <c r="L2165">
        <f>J2165/_xlfn.XLOOKUP(Tabla2[[#This Row],[Unidad de precio]],Tabla3[Medida],Tabla3[Equivalencia en Kg],"ELVIS",0)</f>
        <v>23.335537918871253</v>
      </c>
      <c r="M2165">
        <v>9360.0920089845204</v>
      </c>
      <c r="N2165" s="2">
        <f>(Tabla2[[#This Row],[Productividad (kg/TAS)]]*Tabla2[[#This Row],[Precio por kg]]-Tabla2[[#This Row],[Costos (En RD$/Tarea)]])</f>
        <v>557.37949652650241</v>
      </c>
      <c r="O2165" s="6">
        <f>IF(Tabla2[[#This Row],[Costos (En RD$/Tarea)]]=0,0,Tabla2[[#This Row],[Beneficio Neto  (En RD$/Tarea)]]/Tabla2[[#This Row],[Costos (En RD$/Tarea)]])</f>
        <v>5.9548506146252372E-2</v>
      </c>
      <c r="P2165" s="4">
        <f>Tabla2[[#This Row],[Rentabilidad (%)]]/12</f>
        <v>4.9623755121876974E-3</v>
      </c>
    </row>
    <row r="2166" spans="1:16" x14ac:dyDescent="0.35">
      <c r="A2166" s="1">
        <v>42005</v>
      </c>
      <c r="B2166" t="s">
        <v>23</v>
      </c>
      <c r="C2166" s="2">
        <v>3852</v>
      </c>
      <c r="D2166" s="5" t="s">
        <v>17</v>
      </c>
      <c r="E2166" s="2">
        <f>IF(Tabla2[[#This Row],[Frecuencia]]="Annual", Tabla2[[#This Row],[Cosecha/Tarea]]/12,Tabla2[[#This Row],[Cosecha/Tarea]])</f>
        <v>3852</v>
      </c>
      <c r="F2166" s="2">
        <v>129985</v>
      </c>
      <c r="G2166" t="s">
        <v>18</v>
      </c>
      <c r="H2166">
        <f>F2166/Tabla2[[#This Row],[Cosecha Mensual]]</f>
        <v>33.744807892004154</v>
      </c>
      <c r="I2166">
        <f>H2166*_xlfn.XLOOKUP(Tabla2[[#This Row],[Unidad de producción]],Tabla3[Medida],Tabla3[Equivalencia en Kg],"ELVIS",0)</f>
        <v>1530.6644859813084</v>
      </c>
      <c r="J2166">
        <v>800</v>
      </c>
      <c r="K2166" t="s">
        <v>18</v>
      </c>
      <c r="L2166">
        <f>J2166/_xlfn.XLOOKUP(Tabla2[[#This Row],[Unidad de precio]],Tabla3[Medida],Tabla3[Equivalencia en Kg],"ELVIS",0)</f>
        <v>17.636684303350972</v>
      </c>
      <c r="M2166">
        <v>25505.193937477801</v>
      </c>
      <c r="N2166" s="2">
        <f>(Tabla2[[#This Row],[Productividad (kg/TAS)]]*Tabla2[[#This Row],[Precio por kg]]-Tabla2[[#This Row],[Costos (En RD$/Tarea)]])</f>
        <v>1490.652376125523</v>
      </c>
      <c r="O2166" s="6">
        <f>IF(Tabla2[[#This Row],[Costos (En RD$/Tarea)]]=0,0,Tabla2[[#This Row],[Beneficio Neto  (En RD$/Tarea)]]/Tabla2[[#This Row],[Costos (En RD$/Tarea)]])</f>
        <v>5.8445051614962669E-2</v>
      </c>
      <c r="P2166" s="4">
        <f>Tabla2[[#This Row],[Rentabilidad (%)]]/12</f>
        <v>4.870420967913556E-3</v>
      </c>
    </row>
    <row r="2167" spans="1:16" x14ac:dyDescent="0.35">
      <c r="A2167" s="1">
        <v>42005</v>
      </c>
      <c r="B2167" t="s">
        <v>24</v>
      </c>
      <c r="C2167" s="2">
        <v>5410</v>
      </c>
      <c r="D2167" s="5" t="s">
        <v>17</v>
      </c>
      <c r="E2167" s="2">
        <f>IF(Tabla2[[#This Row],[Frecuencia]]="Annual", Tabla2[[#This Row],[Cosecha/Tarea]]/12,Tabla2[[#This Row],[Cosecha/Tarea]])</f>
        <v>5410</v>
      </c>
      <c r="F2167" s="2">
        <v>75241</v>
      </c>
      <c r="G2167" t="s">
        <v>18</v>
      </c>
      <c r="H2167">
        <f>F2167/Tabla2[[#This Row],[Cosecha Mensual]]</f>
        <v>13.907763401109058</v>
      </c>
      <c r="I2167">
        <f>H2167*_xlfn.XLOOKUP(Tabla2[[#This Row],[Unidad de producción]],Tabla3[Medida],Tabla3[Equivalencia en Kg],"ELVIS",0)</f>
        <v>630.85614787430688</v>
      </c>
      <c r="J2167">
        <v>1245.5625</v>
      </c>
      <c r="K2167" t="s">
        <v>18</v>
      </c>
      <c r="L2167">
        <f>J2167/_xlfn.XLOOKUP(Tabla2[[#This Row],[Unidad de precio]],Tabla3[Medida],Tabla3[Equivalencia en Kg],"ELVIS",0)</f>
        <v>27.45949074074074</v>
      </c>
      <c r="M2167">
        <v>9240.5655642007696</v>
      </c>
      <c r="N2167" s="2">
        <f>(Tabla2[[#This Row],[Productividad (kg/TAS)]]*Tabla2[[#This Row],[Precio por kg]]-Tabla2[[#This Row],[Costos (En RD$/Tarea)]])</f>
        <v>8082.4229870931304</v>
      </c>
      <c r="O2167" s="6">
        <f>IF(Tabla2[[#This Row],[Costos (En RD$/Tarea)]]=0,0,Tabla2[[#This Row],[Beneficio Neto  (En RD$/Tarea)]]/Tabla2[[#This Row],[Costos (En RD$/Tarea)]])</f>
        <v>0.87466756563099946</v>
      </c>
      <c r="P2167" s="4">
        <f>Tabla2[[#This Row],[Rentabilidad (%)]]/12</f>
        <v>7.2888963802583293E-2</v>
      </c>
    </row>
    <row r="2168" spans="1:16" x14ac:dyDescent="0.35">
      <c r="A2168" s="1">
        <v>42005</v>
      </c>
      <c r="B2168" t="s">
        <v>25</v>
      </c>
      <c r="C2168" s="2">
        <v>27857</v>
      </c>
      <c r="D2168" s="5" t="s">
        <v>17</v>
      </c>
      <c r="E2168" s="2">
        <f>IF(Tabla2[[#This Row],[Frecuencia]]="Annual", Tabla2[[#This Row],[Cosecha/Tarea]]/12,Tabla2[[#This Row],[Cosecha/Tarea]])</f>
        <v>27857</v>
      </c>
      <c r="F2168" s="2">
        <v>286214</v>
      </c>
      <c r="G2168" t="s">
        <v>18</v>
      </c>
      <c r="H2168">
        <f>F2168/Tabla2[[#This Row],[Cosecha Mensual]]</f>
        <v>10.274401407186703</v>
      </c>
      <c r="I2168">
        <f>H2168*_xlfn.XLOOKUP(Tabla2[[#This Row],[Unidad de producción]],Tabla3[Medida],Tabla3[Equivalencia en Kg],"ELVIS",0)</f>
        <v>466.04684782998885</v>
      </c>
      <c r="J2168">
        <v>465.28333333333302</v>
      </c>
      <c r="K2168" t="s">
        <v>18</v>
      </c>
      <c r="L2168">
        <f>J2168/_xlfn.XLOOKUP(Tabla2[[#This Row],[Unidad de precio]],Tabla3[Medida],Tabla3[Equivalencia en Kg],"ELVIS",0)</f>
        <v>10.257569077013514</v>
      </c>
      <c r="M2168">
        <v>5033.4530378825102</v>
      </c>
      <c r="N2168" s="2">
        <f>(Tabla2[[#This Row],[Productividad (kg/TAS)]]*Tabla2[[#This Row],[Precio por kg]]-Tabla2[[#This Row],[Costos (En RD$/Tarea)]])</f>
        <v>-252.94530314199346</v>
      </c>
      <c r="O2168" s="6">
        <f>IF(Tabla2[[#This Row],[Costos (En RD$/Tarea)]]=0,0,Tabla2[[#This Row],[Beneficio Neto  (En RD$/Tarea)]]/Tabla2[[#This Row],[Costos (En RD$/Tarea)]])</f>
        <v>-5.0252838605682776E-2</v>
      </c>
      <c r="P2168" s="4">
        <f>Tabla2[[#This Row],[Rentabilidad (%)]]/12</f>
        <v>-4.1877365504735644E-3</v>
      </c>
    </row>
    <row r="2169" spans="1:16" x14ac:dyDescent="0.35">
      <c r="A2169" s="1">
        <v>42005</v>
      </c>
      <c r="B2169" t="s">
        <v>26</v>
      </c>
      <c r="C2169" s="2">
        <v>12547</v>
      </c>
      <c r="D2169" s="5" t="s">
        <v>17</v>
      </c>
      <c r="E2169" s="2">
        <f>IF(Tabla2[[#This Row],[Frecuencia]]="Annual", Tabla2[[#This Row],[Cosecha/Tarea]]/12,Tabla2[[#This Row],[Cosecha/Tarea]])</f>
        <v>12547</v>
      </c>
      <c r="F2169" s="2">
        <v>72652</v>
      </c>
      <c r="G2169" t="s">
        <v>18</v>
      </c>
      <c r="H2169">
        <f>F2169/Tabla2[[#This Row],[Cosecha Mensual]]</f>
        <v>5.7903881405913769</v>
      </c>
      <c r="I2169">
        <f>H2169*_xlfn.XLOOKUP(Tabla2[[#This Row],[Unidad de producción]],Tabla3[Medida],Tabla3[Equivalencia en Kg],"ELVIS",0)</f>
        <v>262.65200605722487</v>
      </c>
      <c r="J2169">
        <v>745</v>
      </c>
      <c r="K2169" t="s">
        <v>18</v>
      </c>
      <c r="L2169">
        <f>J2169/_xlfn.XLOOKUP(Tabla2[[#This Row],[Unidad de precio]],Tabla3[Medida],Tabla3[Equivalencia en Kg],"ELVIS",0)</f>
        <v>16.424162257495592</v>
      </c>
      <c r="M2169">
        <v>2123.3608896042601</v>
      </c>
      <c r="N2169" s="2">
        <f>(Tabla2[[#This Row],[Productividad (kg/TAS)]]*Tabla2[[#This Row],[Precio por kg]]-Tabla2[[#This Row],[Costos (En RD$/Tarea)]])</f>
        <v>2190.4782751363159</v>
      </c>
      <c r="O2169" s="6">
        <f>IF(Tabla2[[#This Row],[Costos (En RD$/Tarea)]]=0,0,Tabla2[[#This Row],[Beneficio Neto  (En RD$/Tarea)]]/Tabla2[[#This Row],[Costos (En RD$/Tarea)]])</f>
        <v>1.0316090335188215</v>
      </c>
      <c r="P2169" s="4">
        <f>Tabla2[[#This Row],[Rentabilidad (%)]]/12</f>
        <v>8.5967419459901787E-2</v>
      </c>
    </row>
    <row r="2170" spans="1:16" x14ac:dyDescent="0.35">
      <c r="A2170" s="1">
        <v>42005</v>
      </c>
      <c r="B2170" t="s">
        <v>27</v>
      </c>
      <c r="C2170" s="2">
        <v>4810</v>
      </c>
      <c r="D2170" s="5" t="s">
        <v>17</v>
      </c>
      <c r="E2170" s="2">
        <f>IF(Tabla2[[#This Row],[Frecuencia]]="Annual", Tabla2[[#This Row],[Cosecha/Tarea]]/12,Tabla2[[#This Row],[Cosecha/Tarea]])</f>
        <v>4810</v>
      </c>
      <c r="F2170" s="2">
        <v>42014</v>
      </c>
      <c r="G2170" t="s">
        <v>18</v>
      </c>
      <c r="H2170">
        <f>F2170/Tabla2[[#This Row],[Cosecha Mensual]]</f>
        <v>8.734719334719335</v>
      </c>
      <c r="I2170">
        <f>H2170*_xlfn.XLOOKUP(Tabla2[[#This Row],[Unidad de producción]],Tabla3[Medida],Tabla3[Equivalencia en Kg],"ELVIS",0)</f>
        <v>396.20686902286906</v>
      </c>
      <c r="J2170">
        <v>496.608857142857</v>
      </c>
      <c r="K2170" t="s">
        <v>18</v>
      </c>
      <c r="L2170">
        <f>J2170/_xlfn.XLOOKUP(Tabla2[[#This Row],[Unidad de precio]],Tabla3[Medida],Tabla3[Equivalencia en Kg],"ELVIS",0)</f>
        <v>10.948167044595612</v>
      </c>
      <c r="M2170">
        <v>8682.6925456059998</v>
      </c>
      <c r="N2170" s="2">
        <f>(Tabla2[[#This Row],[Productividad (kg/TAS)]]*Tabla2[[#This Row],[Precio por kg]]-Tabla2[[#This Row],[Costos (En RD$/Tarea)]])</f>
        <v>-4344.953559327415</v>
      </c>
      <c r="O2170" s="6">
        <f>IF(Tabla2[[#This Row],[Costos (En RD$/Tarea)]]=0,0,Tabla2[[#This Row],[Beneficio Neto  (En RD$/Tarea)]]/Tabla2[[#This Row],[Costos (En RD$/Tarea)]])</f>
        <v>-0.50041545712985547</v>
      </c>
      <c r="P2170" s="4">
        <f>Tabla2[[#This Row],[Rentabilidad (%)]]/12</f>
        <v>-4.1701288094154625E-2</v>
      </c>
    </row>
    <row r="2171" spans="1:16" x14ac:dyDescent="0.35">
      <c r="A2171" s="1">
        <v>42005</v>
      </c>
      <c r="B2171" t="s">
        <v>28</v>
      </c>
      <c r="C2171" s="2">
        <v>69877</v>
      </c>
      <c r="D2171" s="5" t="s">
        <v>17</v>
      </c>
      <c r="E2171" s="2">
        <f>IF(Tabla2[[#This Row],[Frecuencia]]="Annual", Tabla2[[#This Row],[Cosecha/Tarea]]/12,Tabla2[[#This Row],[Cosecha/Tarea]])</f>
        <v>69877</v>
      </c>
      <c r="F2171" s="2">
        <v>1201444</v>
      </c>
      <c r="G2171" t="s">
        <v>18</v>
      </c>
      <c r="H2171">
        <f>F2171/Tabla2[[#This Row],[Cosecha Mensual]]</f>
        <v>17.193697497030495</v>
      </c>
      <c r="I2171">
        <f>H2171*_xlfn.XLOOKUP(Tabla2[[#This Row],[Unidad de producción]],Tabla3[Medida],Tabla3[Equivalencia en Kg],"ELVIS",0)</f>
        <v>779.90611846530328</v>
      </c>
      <c r="J2171">
        <v>6742.5</v>
      </c>
      <c r="K2171" t="s">
        <v>29</v>
      </c>
      <c r="L2171">
        <f>J2171/_xlfn.XLOOKUP(Tabla2[[#This Row],[Unidad de precio]],Tabla3[Medida],Tabla3[Equivalencia en Kg],"ELVIS",0)</f>
        <v>11.990077177508269</v>
      </c>
      <c r="M2171">
        <v>7427.3786743830897</v>
      </c>
      <c r="N2171" s="2">
        <f>(Tabla2[[#This Row],[Productividad (kg/TAS)]]*Tabla2[[#This Row],[Precio por kg]]-Tabla2[[#This Row],[Costos (En RD$/Tarea)]])</f>
        <v>1923.7558772268039</v>
      </c>
      <c r="O2171" s="6">
        <f>IF(Tabla2[[#This Row],[Costos (En RD$/Tarea)]]=0,0,Tabla2[[#This Row],[Beneficio Neto  (En RD$/Tarea)]]/Tabla2[[#This Row],[Costos (En RD$/Tarea)]])</f>
        <v>0.25900872455336188</v>
      </c>
      <c r="P2171" s="4">
        <f>Tabla2[[#This Row],[Rentabilidad (%)]]/12</f>
        <v>2.1584060379446823E-2</v>
      </c>
    </row>
    <row r="2172" spans="1:16" x14ac:dyDescent="0.35">
      <c r="A2172" s="1">
        <v>42005</v>
      </c>
      <c r="B2172" t="s">
        <v>30</v>
      </c>
      <c r="C2172" s="2">
        <v>425012</v>
      </c>
      <c r="D2172" s="2" t="s">
        <v>31</v>
      </c>
      <c r="E2172" s="2">
        <f>IF(Tabla2[[#This Row],[Frecuencia]]="Annual", Tabla2[[#This Row],[Cosecha/Tarea]]/12,Tabla2[[#This Row],[Cosecha/Tarea]])</f>
        <v>35417.666666666664</v>
      </c>
      <c r="F2172" s="2">
        <v>2014555</v>
      </c>
      <c r="G2172" t="s">
        <v>18</v>
      </c>
      <c r="H2172">
        <f>F2172/Tabla2[[#This Row],[Cosecha Mensual]]</f>
        <v>56.879946919145816</v>
      </c>
      <c r="I2172">
        <f>H2172*_xlfn.XLOOKUP(Tabla2[[#This Row],[Unidad de producción]],Tabla3[Medida],Tabla3[Equivalencia en Kg],"ELVIS",0)</f>
        <v>2580.0743922524543</v>
      </c>
      <c r="J2172">
        <v>202.94</v>
      </c>
      <c r="K2172" t="s">
        <v>32</v>
      </c>
      <c r="L2172">
        <f>J2172/_xlfn.XLOOKUP(Tabla2[[#This Row],[Unidad de precio]],Tabla3[Medida],Tabla3[Equivalencia en Kg],"ELVIS",0)</f>
        <v>7.4582873943403154</v>
      </c>
      <c r="M2172" s="2">
        <v>22429.7248632058</v>
      </c>
      <c r="N2172" s="2">
        <f>(Tabla2[[#This Row],[Productividad (kg/TAS)]]*Tabla2[[#This Row],[Precio por kg]]-Tabla2[[#This Row],[Costos (En RD$/Tarea)]])</f>
        <v>-3186.7885470090696</v>
      </c>
      <c r="O2172" s="6">
        <f>IF(Tabla2[[#This Row],[Costos (En RD$/Tarea)]]=0,0,Tabla2[[#This Row],[Beneficio Neto  (En RD$/Tarea)]]/Tabla2[[#This Row],[Costos (En RD$/Tarea)]])</f>
        <v>-0.14207880687099936</v>
      </c>
      <c r="P2172" s="4">
        <f>Tabla2[[#This Row],[Rentabilidad (%)]]/12</f>
        <v>-1.183990057258328E-2</v>
      </c>
    </row>
    <row r="2173" spans="1:16" x14ac:dyDescent="0.35">
      <c r="A2173" s="1">
        <v>42005</v>
      </c>
      <c r="B2173" t="s">
        <v>33</v>
      </c>
      <c r="C2173" s="2">
        <v>712044</v>
      </c>
      <c r="D2173" s="2" t="s">
        <v>31</v>
      </c>
      <c r="E2173" s="8">
        <f>IF(Tabla2[[#This Row],[Frecuencia]]="Annual", Tabla2[[#This Row],[Cosecha/Tarea]]/12,Tabla2[[#This Row],[Cosecha/Tarea]])</f>
        <v>59337</v>
      </c>
      <c r="F2173" s="2">
        <v>1302440</v>
      </c>
      <c r="G2173" t="s">
        <v>18</v>
      </c>
      <c r="H2173">
        <f>F2173/Tabla2[[#This Row],[Cosecha Mensual]]</f>
        <v>21.949879501828537</v>
      </c>
      <c r="I2173">
        <f>H2173*_xlfn.XLOOKUP(Tabla2[[#This Row],[Unidad de producción]],Tabla3[Medida],Tabla3[Equivalencia en Kg],"ELVIS",0)</f>
        <v>995.64653420294246</v>
      </c>
      <c r="J2173">
        <v>6857.1185714285702</v>
      </c>
      <c r="K2173" t="s">
        <v>34</v>
      </c>
      <c r="L2173">
        <f>J2173/_xlfn.XLOOKUP(Tabla2[[#This Row],[Unidad de precio]],Tabla3[Medida],Tabla3[Equivalencia en Kg],"ELVIS",0)</f>
        <v>16.800486515811762</v>
      </c>
      <c r="M2173" s="2">
        <v>16317.7474581161</v>
      </c>
      <c r="N2173" s="2">
        <f>(Tabla2[[#This Row],[Productividad (kg/TAS)]]*Tabla2[[#This Row],[Precio por kg]]-Tabla2[[#This Row],[Costos (En RD$/Tarea)]])</f>
        <v>409.59871427514736</v>
      </c>
      <c r="O2173" s="6">
        <f>IF(Tabla2[[#This Row],[Costos (En RD$/Tarea)]]=0,0,Tabla2[[#This Row],[Beneficio Neto  (En RD$/Tarea)]]/Tabla2[[#This Row],[Costos (En RD$/Tarea)]])</f>
        <v>2.5101425017545646E-2</v>
      </c>
      <c r="P2173" s="4">
        <f>Tabla2[[#This Row],[Rentabilidad (%)]]/12</f>
        <v>2.0917854181288038E-3</v>
      </c>
    </row>
    <row r="2174" spans="1:16" x14ac:dyDescent="0.35">
      <c r="A2174" s="1">
        <v>42036</v>
      </c>
      <c r="B2174" t="s">
        <v>16</v>
      </c>
      <c r="C2174" s="2">
        <v>283</v>
      </c>
      <c r="D2174" s="5" t="s">
        <v>17</v>
      </c>
      <c r="E2174" s="2">
        <f>IF(Tabla2[[#This Row],[Frecuencia]]="Annual", Tabla2[[#This Row],[Cosecha/Tarea]]/12,Tabla2[[#This Row],[Cosecha/Tarea]])</f>
        <v>283</v>
      </c>
      <c r="F2174" s="2">
        <v>849</v>
      </c>
      <c r="G2174" t="s">
        <v>18</v>
      </c>
      <c r="H2174">
        <f>F2174/Tabla2[[#This Row],[Cosecha Mensual]]</f>
        <v>3</v>
      </c>
      <c r="I2174">
        <f>H2174*_xlfn.XLOOKUP(Tabla2[[#This Row],[Unidad de producción]],Tabla3[Medida],Tabla3[Equivalencia en Kg],"ELVIS",0)</f>
        <v>136.07999999999998</v>
      </c>
      <c r="J2174">
        <v>1505.95739130435</v>
      </c>
      <c r="K2174" t="s">
        <v>19</v>
      </c>
      <c r="L2174">
        <f>J2174/_xlfn.XLOOKUP(Tabla2[[#This Row],[Unidad de precio]],Tabla3[Medida],Tabla3[Equivalencia en Kg],"ELVIS",0)</f>
        <v>13.690521739130455</v>
      </c>
      <c r="M2174">
        <v>7019.0666646612499</v>
      </c>
      <c r="N2174" s="2">
        <f>(Tabla2[[#This Row],[Productividad (kg/TAS)]]*Tabla2[[#This Row],[Precio por kg]]-Tabla2[[#This Row],[Costos (En RD$/Tarea)]])</f>
        <v>-5156.0604664003777</v>
      </c>
      <c r="O2174" s="6">
        <f>IF(Tabla2[[#This Row],[Costos (En RD$/Tarea)]]=0,0,Tabla2[[#This Row],[Beneficio Neto  (En RD$/Tarea)]]/Tabla2[[#This Row],[Costos (En RD$/Tarea)]])</f>
        <v>-0.73457921298275863</v>
      </c>
      <c r="P2174" s="4">
        <f>Tabla2[[#This Row],[Rentabilidad (%)]]/12</f>
        <v>-6.1214934415229884E-2</v>
      </c>
    </row>
    <row r="2175" spans="1:16" x14ac:dyDescent="0.35">
      <c r="A2175" s="1">
        <v>42036</v>
      </c>
      <c r="B2175" t="s">
        <v>20</v>
      </c>
      <c r="C2175" s="2">
        <v>29851</v>
      </c>
      <c r="D2175" s="5" t="s">
        <v>17</v>
      </c>
      <c r="E2175" s="2">
        <f>IF(Tabla2[[#This Row],[Frecuencia]]="Annual", Tabla2[[#This Row],[Cosecha/Tarea]]/12,Tabla2[[#This Row],[Cosecha/Tarea]])</f>
        <v>29851</v>
      </c>
      <c r="F2175" s="2">
        <v>69877</v>
      </c>
      <c r="G2175" t="s">
        <v>18</v>
      </c>
      <c r="H2175">
        <f>F2175/Tabla2[[#This Row],[Cosecha Mensual]]</f>
        <v>2.340859602693377</v>
      </c>
      <c r="I2175">
        <f>H2175*_xlfn.XLOOKUP(Tabla2[[#This Row],[Unidad de producción]],Tabla3[Medida],Tabla3[Equivalencia en Kg],"ELVIS",0)</f>
        <v>106.18139157817158</v>
      </c>
      <c r="J2175">
        <v>830.75</v>
      </c>
      <c r="K2175" t="s">
        <v>18</v>
      </c>
      <c r="L2175">
        <f>J2175/_xlfn.XLOOKUP(Tabla2[[#This Row],[Unidad de precio]],Tabla3[Medida],Tabla3[Equivalencia en Kg],"ELVIS",0)</f>
        <v>18.314594356261022</v>
      </c>
      <c r="M2175">
        <v>2574.5849057760001</v>
      </c>
      <c r="N2175" s="2">
        <f>(Tabla2[[#This Row],[Productividad (kg/TAS)]]*Tabla2[[#This Row],[Precio por kg]]-Tabla2[[#This Row],[Costos (En RD$/Tarea)]])</f>
        <v>-629.91579083847728</v>
      </c>
      <c r="O2175" s="6">
        <f>IF(Tabla2[[#This Row],[Costos (En RD$/Tarea)]]=0,0,Tabla2[[#This Row],[Beneficio Neto  (En RD$/Tarea)]]/Tabla2[[#This Row],[Costos (En RD$/Tarea)]])</f>
        <v>-0.24466693229859346</v>
      </c>
      <c r="P2175" s="4">
        <f>Tabla2[[#This Row],[Rentabilidad (%)]]/12</f>
        <v>-2.0388911024882789E-2</v>
      </c>
    </row>
    <row r="2176" spans="1:16" x14ac:dyDescent="0.35">
      <c r="A2176" s="1">
        <v>42036</v>
      </c>
      <c r="B2176" t="s">
        <v>21</v>
      </c>
      <c r="C2176" s="2">
        <v>8952</v>
      </c>
      <c r="D2176" s="5" t="s">
        <v>17</v>
      </c>
      <c r="E2176" s="2">
        <f>IF(Tabla2[[#This Row],[Frecuencia]]="Annual", Tabla2[[#This Row],[Cosecha/Tarea]]/12,Tabla2[[#This Row],[Cosecha/Tarea]])</f>
        <v>8952</v>
      </c>
      <c r="F2176" s="2">
        <v>87406</v>
      </c>
      <c r="G2176" t="s">
        <v>18</v>
      </c>
      <c r="H2176">
        <f>F2176/Tabla2[[#This Row],[Cosecha Mensual]]</f>
        <v>9.7638516532618418</v>
      </c>
      <c r="I2176">
        <f>H2176*_xlfn.XLOOKUP(Tabla2[[#This Row],[Unidad de producción]],Tabla3[Medida],Tabla3[Equivalencia en Kg],"ELVIS",0)</f>
        <v>442.88831099195716</v>
      </c>
      <c r="J2176">
        <v>303.68488500000001</v>
      </c>
      <c r="K2176" t="s">
        <v>18</v>
      </c>
      <c r="L2176">
        <f>J2176/_xlfn.XLOOKUP(Tabla2[[#This Row],[Unidad de precio]],Tabla3[Medida],Tabla3[Equivalencia en Kg],"ELVIS",0)</f>
        <v>6.6949930555555559</v>
      </c>
      <c r="M2176">
        <v>5153.8888283303804</v>
      </c>
      <c r="N2176" s="2">
        <f>(Tabla2[[#This Row],[Productividad (kg/TAS)]]*Tabla2[[#This Row],[Precio por kg]]-Tabla2[[#This Row],[Costos (En RD$/Tarea)]])</f>
        <v>-2188.754661852498</v>
      </c>
      <c r="O2176" s="6">
        <f>IF(Tabla2[[#This Row],[Costos (En RD$/Tarea)]]=0,0,Tabla2[[#This Row],[Beneficio Neto  (En RD$/Tarea)]]/Tabla2[[#This Row],[Costos (En RD$/Tarea)]])</f>
        <v>-0.42468022395460797</v>
      </c>
      <c r="P2176" s="4">
        <f>Tabla2[[#This Row],[Rentabilidad (%)]]/12</f>
        <v>-3.5390018662884E-2</v>
      </c>
    </row>
    <row r="2177" spans="1:16" x14ac:dyDescent="0.35">
      <c r="A2177" s="1">
        <v>42036</v>
      </c>
      <c r="B2177" t="s">
        <v>22</v>
      </c>
      <c r="C2177" s="2">
        <v>9732</v>
      </c>
      <c r="D2177" s="5" t="s">
        <v>17</v>
      </c>
      <c r="E2177" s="2">
        <f>IF(Tabla2[[#This Row],[Frecuencia]]="Annual", Tabla2[[#This Row],[Cosecha/Tarea]]/12,Tabla2[[#This Row],[Cosecha/Tarea]])</f>
        <v>9732</v>
      </c>
      <c r="F2177" s="2">
        <v>91169</v>
      </c>
      <c r="G2177" t="s">
        <v>18</v>
      </c>
      <c r="H2177">
        <f>F2177/Tabla2[[#This Row],[Cosecha Mensual]]</f>
        <v>9.3679613645704887</v>
      </c>
      <c r="I2177">
        <f>H2177*_xlfn.XLOOKUP(Tabla2[[#This Row],[Unidad de producción]],Tabla3[Medida],Tabla3[Equivalencia en Kg],"ELVIS",0)</f>
        <v>424.93072749691737</v>
      </c>
      <c r="J2177">
        <v>1009.3049999999999</v>
      </c>
      <c r="K2177" t="s">
        <v>18</v>
      </c>
      <c r="L2177">
        <f>J2177/_xlfn.XLOOKUP(Tabla2[[#This Row],[Unidad de precio]],Tabla3[Medida],Tabla3[Equivalencia en Kg],"ELVIS",0)</f>
        <v>22.250992063492063</v>
      </c>
      <c r="M2177">
        <v>9360.0920089845204</v>
      </c>
      <c r="N2177" s="2">
        <f>(Tabla2[[#This Row],[Productividad (kg/TAS)]]*Tabla2[[#This Row],[Precio por kg]]-Tabla2[[#This Row],[Costos (En RD$/Tarea)]])</f>
        <v>95.038236083297306</v>
      </c>
      <c r="O2177" s="6">
        <f>IF(Tabla2[[#This Row],[Costos (En RD$/Tarea)]]=0,0,Tabla2[[#This Row],[Beneficio Neto  (En RD$/Tarea)]]/Tabla2[[#This Row],[Costos (En RD$/Tarea)]])</f>
        <v>1.0153557891532739E-2</v>
      </c>
      <c r="P2177" s="4">
        <f>Tabla2[[#This Row],[Rentabilidad (%)]]/12</f>
        <v>8.4612982429439494E-4</v>
      </c>
    </row>
    <row r="2178" spans="1:16" x14ac:dyDescent="0.35">
      <c r="A2178" s="1">
        <v>42036</v>
      </c>
      <c r="B2178" t="s">
        <v>23</v>
      </c>
      <c r="C2178" s="2">
        <v>5223</v>
      </c>
      <c r="D2178" s="5" t="s">
        <v>17</v>
      </c>
      <c r="E2178" s="2">
        <f>IF(Tabla2[[#This Row],[Frecuencia]]="Annual", Tabla2[[#This Row],[Cosecha/Tarea]]/12,Tabla2[[#This Row],[Cosecha/Tarea]])</f>
        <v>5223</v>
      </c>
      <c r="F2178" s="2">
        <v>206940</v>
      </c>
      <c r="G2178" t="s">
        <v>18</v>
      </c>
      <c r="H2178">
        <f>F2178/Tabla2[[#This Row],[Cosecha Mensual]]</f>
        <v>39.620907524411258</v>
      </c>
      <c r="I2178">
        <f>H2178*_xlfn.XLOOKUP(Tabla2[[#This Row],[Unidad de producción]],Tabla3[Medida],Tabla3[Equivalencia en Kg],"ELVIS",0)</f>
        <v>1797.2043653072947</v>
      </c>
      <c r="J2178">
        <v>800</v>
      </c>
      <c r="K2178" t="s">
        <v>18</v>
      </c>
      <c r="L2178">
        <f>J2178/_xlfn.XLOOKUP(Tabla2[[#This Row],[Unidad de precio]],Tabla3[Medida],Tabla3[Equivalencia en Kg],"ELVIS",0)</f>
        <v>17.636684303350972</v>
      </c>
      <c r="M2178">
        <v>25505.193937477801</v>
      </c>
      <c r="N2178" s="2">
        <f>(Tabla2[[#This Row],[Productividad (kg/TAS)]]*Tabla2[[#This Row],[Precio por kg]]-Tabla2[[#This Row],[Costos (En RD$/Tarea)]])</f>
        <v>6191.5320820512097</v>
      </c>
      <c r="O2178" s="6">
        <f>IF(Tabla2[[#This Row],[Costos (En RD$/Tarea)]]=0,0,Tabla2[[#This Row],[Beneficio Neto  (En RD$/Tarea)]]/Tabla2[[#This Row],[Costos (En RD$/Tarea)]])</f>
        <v>0.24275573427235378</v>
      </c>
      <c r="P2178" s="4">
        <f>Tabla2[[#This Row],[Rentabilidad (%)]]/12</f>
        <v>2.0229644522696148E-2</v>
      </c>
    </row>
    <row r="2179" spans="1:16" x14ac:dyDescent="0.35">
      <c r="A2179" s="1">
        <v>42036</v>
      </c>
      <c r="B2179" t="s">
        <v>24</v>
      </c>
      <c r="C2179" s="2">
        <v>8649</v>
      </c>
      <c r="D2179" s="5" t="s">
        <v>17</v>
      </c>
      <c r="E2179" s="2">
        <f>IF(Tabla2[[#This Row],[Frecuencia]]="Annual", Tabla2[[#This Row],[Cosecha/Tarea]]/12,Tabla2[[#This Row],[Cosecha/Tarea]])</f>
        <v>8649</v>
      </c>
      <c r="F2179" s="2">
        <v>77017</v>
      </c>
      <c r="G2179" t="s">
        <v>18</v>
      </c>
      <c r="H2179">
        <f>F2179/Tabla2[[#This Row],[Cosecha Mensual]]</f>
        <v>8.9047288703896399</v>
      </c>
      <c r="I2179">
        <f>H2179*_xlfn.XLOOKUP(Tabla2[[#This Row],[Unidad de producción]],Tabla3[Medida],Tabla3[Equivalencia en Kg],"ELVIS",0)</f>
        <v>403.91850156087406</v>
      </c>
      <c r="J2179">
        <v>1512.140625</v>
      </c>
      <c r="K2179" t="s">
        <v>18</v>
      </c>
      <c r="L2179">
        <f>J2179/_xlfn.XLOOKUP(Tabla2[[#This Row],[Unidad de precio]],Tabla3[Medida],Tabla3[Equivalencia en Kg],"ELVIS",0)</f>
        <v>33.336433531746032</v>
      </c>
      <c r="M2179">
        <v>9240.5655642007696</v>
      </c>
      <c r="N2179" s="2">
        <f>(Tabla2[[#This Row],[Productividad (kg/TAS)]]*Tabla2[[#This Row],[Precio por kg]]-Tabla2[[#This Row],[Costos (En RD$/Tarea)]])</f>
        <v>4224.6367153257652</v>
      </c>
      <c r="O2179" s="6">
        <f>IF(Tabla2[[#This Row],[Costos (En RD$/Tarea)]]=0,0,Tabla2[[#This Row],[Beneficio Neto  (En RD$/Tarea)]]/Tabla2[[#This Row],[Costos (En RD$/Tarea)]])</f>
        <v>0.45718378231009937</v>
      </c>
      <c r="P2179" s="4">
        <f>Tabla2[[#This Row],[Rentabilidad (%)]]/12</f>
        <v>3.8098648525841612E-2</v>
      </c>
    </row>
    <row r="2180" spans="1:16" x14ac:dyDescent="0.35">
      <c r="A2180" s="1">
        <v>42036</v>
      </c>
      <c r="B2180" t="s">
        <v>25</v>
      </c>
      <c r="C2180" s="2">
        <v>45210</v>
      </c>
      <c r="D2180" s="5" t="s">
        <v>17</v>
      </c>
      <c r="E2180" s="2">
        <f>IF(Tabla2[[#This Row],[Frecuencia]]="Annual", Tabla2[[#This Row],[Cosecha/Tarea]]/12,Tabla2[[#This Row],[Cosecha/Tarea]])</f>
        <v>45210</v>
      </c>
      <c r="F2180" s="2">
        <v>452122</v>
      </c>
      <c r="G2180" t="s">
        <v>18</v>
      </c>
      <c r="H2180">
        <f>F2180/Tabla2[[#This Row],[Cosecha Mensual]]</f>
        <v>10.000486618004865</v>
      </c>
      <c r="I2180">
        <f>H2180*_xlfn.XLOOKUP(Tabla2[[#This Row],[Unidad de producción]],Tabla3[Medida],Tabla3[Equivalencia en Kg],"ELVIS",0)</f>
        <v>453.62207299270068</v>
      </c>
      <c r="J2180">
        <v>471.983</v>
      </c>
      <c r="K2180" t="s">
        <v>18</v>
      </c>
      <c r="L2180">
        <f>J2180/_xlfn.XLOOKUP(Tabla2[[#This Row],[Unidad de precio]],Tabla3[Medida],Tabla3[Equivalencia en Kg],"ELVIS",0)</f>
        <v>10.405268959435626</v>
      </c>
      <c r="M2180">
        <v>5033.4530378825102</v>
      </c>
      <c r="N2180" s="2">
        <f>(Tabla2[[#This Row],[Productividad (kg/TAS)]]*Tabla2[[#This Row],[Precio por kg]]-Tabla2[[#This Row],[Costos (En RD$/Tarea)]])</f>
        <v>-313.39336245671984</v>
      </c>
      <c r="O2180" s="6">
        <f>IF(Tabla2[[#This Row],[Costos (En RD$/Tarea)]]=0,0,Tabla2[[#This Row],[Beneficio Neto  (En RD$/Tarea)]]/Tabla2[[#This Row],[Costos (En RD$/Tarea)]])</f>
        <v>-6.226210120529091E-2</v>
      </c>
      <c r="P2180" s="4">
        <f>Tabla2[[#This Row],[Rentabilidad (%)]]/12</f>
        <v>-5.1885084337742427E-3</v>
      </c>
    </row>
    <row r="2181" spans="1:16" x14ac:dyDescent="0.35">
      <c r="A2181" s="1">
        <v>42036</v>
      </c>
      <c r="B2181" t="s">
        <v>26</v>
      </c>
      <c r="C2181" s="2">
        <v>8849</v>
      </c>
      <c r="D2181" s="5" t="s">
        <v>17</v>
      </c>
      <c r="E2181" s="2">
        <f>IF(Tabla2[[#This Row],[Frecuencia]]="Annual", Tabla2[[#This Row],[Cosecha/Tarea]]/12,Tabla2[[#This Row],[Cosecha/Tarea]])</f>
        <v>8849</v>
      </c>
      <c r="F2181" s="2">
        <v>53458</v>
      </c>
      <c r="G2181" t="s">
        <v>18</v>
      </c>
      <c r="H2181">
        <f>F2181/Tabla2[[#This Row],[Cosecha Mensual]]</f>
        <v>6.0411345914792633</v>
      </c>
      <c r="I2181">
        <f>H2181*_xlfn.XLOOKUP(Tabla2[[#This Row],[Unidad de producción]],Tabla3[Medida],Tabla3[Equivalencia en Kg],"ELVIS",0)</f>
        <v>274.02586506949939</v>
      </c>
      <c r="J2181">
        <v>787.18799999999999</v>
      </c>
      <c r="K2181" t="s">
        <v>18</v>
      </c>
      <c r="L2181">
        <f>J2181/_xlfn.XLOOKUP(Tabla2[[#This Row],[Unidad de precio]],Tabla3[Medida],Tabla3[Equivalencia en Kg],"ELVIS",0)</f>
        <v>17.354232804232804</v>
      </c>
      <c r="M2181">
        <v>2123.3608896042601</v>
      </c>
      <c r="N2181" s="2">
        <f>(Tabla2[[#This Row],[Productividad (kg/TAS)]]*Tabla2[[#This Row],[Precio por kg]]-Tabla2[[#This Row],[Costos (En RD$/Tarea)]])</f>
        <v>2632.1477671931184</v>
      </c>
      <c r="O2181" s="6">
        <f>IF(Tabla2[[#This Row],[Costos (En RD$/Tarea)]]=0,0,Tabla2[[#This Row],[Beneficio Neto  (En RD$/Tarea)]]/Tabla2[[#This Row],[Costos (En RD$/Tarea)]])</f>
        <v>1.2396139441391345</v>
      </c>
      <c r="P2181" s="4">
        <f>Tabla2[[#This Row],[Rentabilidad (%)]]/12</f>
        <v>0.10330116201159455</v>
      </c>
    </row>
    <row r="2182" spans="1:16" x14ac:dyDescent="0.35">
      <c r="A2182" s="1">
        <v>42036</v>
      </c>
      <c r="B2182" t="s">
        <v>27</v>
      </c>
      <c r="C2182" s="2">
        <v>5176</v>
      </c>
      <c r="D2182" s="5" t="s">
        <v>17</v>
      </c>
      <c r="E2182" s="2">
        <f>IF(Tabla2[[#This Row],[Frecuencia]]="Annual", Tabla2[[#This Row],[Cosecha/Tarea]]/12,Tabla2[[#This Row],[Cosecha/Tarea]])</f>
        <v>5176</v>
      </c>
      <c r="F2182" s="2">
        <v>33286</v>
      </c>
      <c r="G2182" t="s">
        <v>18</v>
      </c>
      <c r="H2182">
        <f>F2182/Tabla2[[#This Row],[Cosecha Mensual]]</f>
        <v>6.430834621329212</v>
      </c>
      <c r="I2182">
        <f>H2182*_xlfn.XLOOKUP(Tabla2[[#This Row],[Unidad de producción]],Tabla3[Medida],Tabla3[Equivalencia en Kg],"ELVIS",0)</f>
        <v>291.70265842349306</v>
      </c>
      <c r="J2182">
        <v>634.48857142857105</v>
      </c>
      <c r="K2182" t="s">
        <v>18</v>
      </c>
      <c r="L2182">
        <f>J2182/_xlfn.XLOOKUP(Tabla2[[#This Row],[Unidad de precio]],Tabla3[Medida],Tabla3[Equivalencia en Kg],"ELVIS",0)</f>
        <v>13.987843285462326</v>
      </c>
      <c r="M2182">
        <v>8682.6925456059998</v>
      </c>
      <c r="N2182" s="2">
        <f>(Tabla2[[#This Row],[Productividad (kg/TAS)]]*Tabla2[[#This Row],[Precio por kg]]-Tabla2[[#This Row],[Costos (En RD$/Tarea)]])</f>
        <v>-4602.4014736254321</v>
      </c>
      <c r="O2182" s="6">
        <f>IF(Tabla2[[#This Row],[Costos (En RD$/Tarea)]]=0,0,Tabla2[[#This Row],[Beneficio Neto  (En RD$/Tarea)]]/Tabla2[[#This Row],[Costos (En RD$/Tarea)]])</f>
        <v>-0.53006615741041563</v>
      </c>
      <c r="P2182" s="4">
        <f>Tabla2[[#This Row],[Rentabilidad (%)]]/12</f>
        <v>-4.41721797842013E-2</v>
      </c>
    </row>
    <row r="2183" spans="1:16" x14ac:dyDescent="0.35">
      <c r="A2183" s="1">
        <v>42036</v>
      </c>
      <c r="B2183" t="s">
        <v>28</v>
      </c>
      <c r="C2183" s="2">
        <v>93288</v>
      </c>
      <c r="D2183" s="5" t="s">
        <v>17</v>
      </c>
      <c r="E2183" s="2">
        <f>IF(Tabla2[[#This Row],[Frecuencia]]="Annual", Tabla2[[#This Row],[Cosecha/Tarea]]/12,Tabla2[[#This Row],[Cosecha/Tarea]])</f>
        <v>93288</v>
      </c>
      <c r="F2183" s="2">
        <v>1442919</v>
      </c>
      <c r="G2183" t="s">
        <v>18</v>
      </c>
      <c r="H2183">
        <f>F2183/Tabla2[[#This Row],[Cosecha Mensual]]</f>
        <v>15.467359145870851</v>
      </c>
      <c r="I2183">
        <f>H2183*_xlfn.XLOOKUP(Tabla2[[#This Row],[Unidad de producción]],Tabla3[Medida],Tabla3[Equivalencia en Kg],"ELVIS",0)</f>
        <v>701.59941085670187</v>
      </c>
      <c r="J2183">
        <v>8835.0833333333303</v>
      </c>
      <c r="K2183" t="s">
        <v>29</v>
      </c>
      <c r="L2183">
        <f>J2183/_xlfn.XLOOKUP(Tabla2[[#This Row],[Unidad de precio]],Tabla3[Medida],Tabla3[Equivalencia en Kg],"ELVIS",0)</f>
        <v>15.711283802207436</v>
      </c>
      <c r="M2183">
        <v>7427.3786743830897</v>
      </c>
      <c r="N2183" s="2">
        <f>(Tabla2[[#This Row],[Productividad (kg/TAS)]]*Tabla2[[#This Row],[Precio por kg]]-Tabla2[[#This Row],[Costos (En RD$/Tarea)]])</f>
        <v>3595.6487850480898</v>
      </c>
      <c r="O2183" s="6">
        <f>IF(Tabla2[[#This Row],[Costos (En RD$/Tarea)]]=0,0,Tabla2[[#This Row],[Beneficio Neto  (En RD$/Tarea)]]/Tabla2[[#This Row],[Costos (En RD$/Tarea)]])</f>
        <v>0.48410737390425845</v>
      </c>
      <c r="P2183" s="4">
        <f>Tabla2[[#This Row],[Rentabilidad (%)]]/12</f>
        <v>4.0342281158688202E-2</v>
      </c>
    </row>
    <row r="2184" spans="1:16" x14ac:dyDescent="0.35">
      <c r="A2184" s="1">
        <v>42036</v>
      </c>
      <c r="B2184" t="s">
        <v>30</v>
      </c>
      <c r="C2184" s="2">
        <v>425199</v>
      </c>
      <c r="D2184" s="2" t="s">
        <v>31</v>
      </c>
      <c r="E2184" s="2">
        <f>IF(Tabla2[[#This Row],[Frecuencia]]="Annual", Tabla2[[#This Row],[Cosecha/Tarea]]/12,Tabla2[[#This Row],[Cosecha/Tarea]])</f>
        <v>35433.25</v>
      </c>
      <c r="F2184" s="2">
        <v>2014558</v>
      </c>
      <c r="G2184" t="s">
        <v>18</v>
      </c>
      <c r="H2184">
        <f>F2184/Tabla2[[#This Row],[Cosecha Mensual]]</f>
        <v>56.855016121862938</v>
      </c>
      <c r="I2184">
        <f>H2184*_xlfn.XLOOKUP(Tabla2[[#This Row],[Unidad de producción]],Tabla3[Medida],Tabla3[Equivalencia en Kg],"ELVIS",0)</f>
        <v>2578.9435312877031</v>
      </c>
      <c r="J2184">
        <v>155.32599999999999</v>
      </c>
      <c r="K2184" t="s">
        <v>32</v>
      </c>
      <c r="L2184">
        <f>J2184/_xlfn.XLOOKUP(Tabla2[[#This Row],[Unidad de precio]],Tabla3[Medida],Tabla3[Equivalencia en Kg],"ELVIS",0)</f>
        <v>5.7084160235207637</v>
      </c>
      <c r="M2184" s="2">
        <v>22429.7248632058</v>
      </c>
      <c r="N2184" s="2">
        <f>(Tabla2[[#This Row],[Productividad (kg/TAS)]]*Tabla2[[#This Row],[Precio por kg]]-Tabla2[[#This Row],[Costos (En RD$/Tarea)]])</f>
        <v>-7708.0422854478529</v>
      </c>
      <c r="O2184" s="6">
        <f>IF(Tabla2[[#This Row],[Costos (En RD$/Tarea)]]=0,0,Tabla2[[#This Row],[Beneficio Neto  (En RD$/Tarea)]]/Tabla2[[#This Row],[Costos (En RD$/Tarea)]])</f>
        <v>-0.34365300209688665</v>
      </c>
      <c r="P2184" s="4">
        <f>Tabla2[[#This Row],[Rentabilidad (%)]]/12</f>
        <v>-2.8637750174740555E-2</v>
      </c>
    </row>
    <row r="2185" spans="1:16" x14ac:dyDescent="0.35">
      <c r="A2185" s="1">
        <v>42036</v>
      </c>
      <c r="B2185" t="s">
        <v>33</v>
      </c>
      <c r="C2185" s="2">
        <v>724014</v>
      </c>
      <c r="D2185" s="2" t="s">
        <v>31</v>
      </c>
      <c r="E2185" s="2">
        <f>IF(Tabla2[[#This Row],[Frecuencia]]="Annual", Tabla2[[#This Row],[Cosecha/Tarea]]/12,Tabla2[[#This Row],[Cosecha/Tarea]])</f>
        <v>60334.5</v>
      </c>
      <c r="F2185" s="2">
        <v>1330214</v>
      </c>
      <c r="G2185" t="s">
        <v>18</v>
      </c>
      <c r="H2185">
        <f>F2185/Tabla2[[#This Row],[Cosecha Mensual]]</f>
        <v>22.047319526970472</v>
      </c>
      <c r="I2185">
        <f>H2185*_xlfn.XLOOKUP(Tabla2[[#This Row],[Unidad de producción]],Tabla3[Medida],Tabla3[Equivalencia en Kg],"ELVIS",0)</f>
        <v>1000.0664137433806</v>
      </c>
      <c r="J2185">
        <v>6065.27833333333</v>
      </c>
      <c r="K2185" t="s">
        <v>34</v>
      </c>
      <c r="L2185">
        <f>J2185/_xlfn.XLOOKUP(Tabla2[[#This Row],[Unidad de precio]],Tabla3[Medida],Tabla3[Equivalencia en Kg],"ELVIS",0)</f>
        <v>14.860414880150264</v>
      </c>
      <c r="M2185" s="2">
        <v>16317.7474581161</v>
      </c>
      <c r="N2185" s="2">
        <f>(Tabla2[[#This Row],[Productividad (kg/TAS)]]*Tabla2[[#This Row],[Precio por kg]]-Tabla2[[#This Row],[Costos (En RD$/Tarea)]])</f>
        <v>-1456.3456421854571</v>
      </c>
      <c r="O2185" s="6">
        <f>IF(Tabla2[[#This Row],[Costos (En RD$/Tarea)]]=0,0,Tabla2[[#This Row],[Beneficio Neto  (En RD$/Tarea)]]/Tabla2[[#This Row],[Costos (En RD$/Tarea)]])</f>
        <v>-8.9249183805764923E-2</v>
      </c>
      <c r="P2185" s="4">
        <f>Tabla2[[#This Row],[Rentabilidad (%)]]/12</f>
        <v>-7.4374319838137436E-3</v>
      </c>
    </row>
    <row r="2186" spans="1:16" x14ac:dyDescent="0.35">
      <c r="A2186" s="1">
        <v>42064</v>
      </c>
      <c r="B2186" t="s">
        <v>16</v>
      </c>
      <c r="C2186" s="2">
        <v>80162</v>
      </c>
      <c r="D2186" s="5" t="s">
        <v>17</v>
      </c>
      <c r="E2186" s="2">
        <f>IF(Tabla2[[#This Row],[Frecuencia]]="Annual", Tabla2[[#This Row],[Cosecha/Tarea]]/12,Tabla2[[#This Row],[Cosecha/Tarea]])</f>
        <v>80162</v>
      </c>
      <c r="F2186" s="2">
        <v>416843.546959834</v>
      </c>
      <c r="G2186" t="s">
        <v>18</v>
      </c>
      <c r="H2186">
        <f>F2186/Tabla2[[#This Row],[Cosecha Mensual]]</f>
        <v>5.2000143080241763</v>
      </c>
      <c r="I2186">
        <f>H2186*_xlfn.XLOOKUP(Tabla2[[#This Row],[Unidad de producción]],Tabla3[Medida],Tabla3[Equivalencia en Kg],"ELVIS",0)</f>
        <v>235.87264901197665</v>
      </c>
      <c r="J2186">
        <v>1741.4123188405799</v>
      </c>
      <c r="K2186" t="s">
        <v>19</v>
      </c>
      <c r="L2186">
        <f>J2186/_xlfn.XLOOKUP(Tabla2[[#This Row],[Unidad de precio]],Tabla3[Medida],Tabla3[Equivalencia en Kg],"ELVIS",0)</f>
        <v>15.831021080368908</v>
      </c>
      <c r="M2186">
        <v>7019.0666646612499</v>
      </c>
      <c r="N2186" s="2">
        <f>(Tabla2[[#This Row],[Productividad (kg/TAS)]]*Tabla2[[#This Row],[Precio por kg]]-Tabla2[[#This Row],[Costos (En RD$/Tarea)]])</f>
        <v>-3284.9617858701913</v>
      </c>
      <c r="O2186" s="6">
        <f>IF(Tabla2[[#This Row],[Costos (En RD$/Tarea)]]=0,0,Tabla2[[#This Row],[Beneficio Neto  (En RD$/Tarea)]]/Tabla2[[#This Row],[Costos (En RD$/Tarea)]])</f>
        <v>-0.46800549742730335</v>
      </c>
      <c r="P2186" s="4">
        <f>Tabla2[[#This Row],[Rentabilidad (%)]]/12</f>
        <v>-3.9000458118941948E-2</v>
      </c>
    </row>
    <row r="2187" spans="1:16" x14ac:dyDescent="0.35">
      <c r="A2187" s="1">
        <v>42064</v>
      </c>
      <c r="B2187" t="s">
        <v>20</v>
      </c>
      <c r="C2187" s="2">
        <v>20147</v>
      </c>
      <c r="D2187" s="5" t="s">
        <v>17</v>
      </c>
      <c r="E2187" s="2">
        <f>IF(Tabla2[[#This Row],[Frecuencia]]="Annual", Tabla2[[#This Row],[Cosecha/Tarea]]/12,Tabla2[[#This Row],[Cosecha/Tarea]])</f>
        <v>20147</v>
      </c>
      <c r="F2187" s="2">
        <v>46090</v>
      </c>
      <c r="G2187" t="s">
        <v>18</v>
      </c>
      <c r="H2187">
        <f>F2187/Tabla2[[#This Row],[Cosecha Mensual]]</f>
        <v>2.2876855114905443</v>
      </c>
      <c r="I2187">
        <f>H2187*_xlfn.XLOOKUP(Tabla2[[#This Row],[Unidad de producción]],Tabla3[Medida],Tabla3[Equivalencia en Kg],"ELVIS",0)</f>
        <v>103.76941480121108</v>
      </c>
      <c r="J2187">
        <v>783.875</v>
      </c>
      <c r="K2187" t="s">
        <v>18</v>
      </c>
      <c r="L2187">
        <f>J2187/_xlfn.XLOOKUP(Tabla2[[#This Row],[Unidad de precio]],Tabla3[Medida],Tabla3[Equivalencia en Kg],"ELVIS",0)</f>
        <v>17.281194885361554</v>
      </c>
      <c r="M2187">
        <v>2574.5849057760001</v>
      </c>
      <c r="N2187" s="2">
        <f>(Tabla2[[#This Row],[Productividad (kg/TAS)]]*Tabla2[[#This Row],[Precio por kg]]-Tabla2[[#This Row],[Costos (En RD$/Tarea)]])</f>
        <v>-781.32542545634965</v>
      </c>
      <c r="O2187" s="6">
        <f>IF(Tabla2[[#This Row],[Costos (En RD$/Tarea)]]=0,0,Tabla2[[#This Row],[Beneficio Neto  (En RD$/Tarea)]]/Tabla2[[#This Row],[Costos (En RD$/Tarea)]])</f>
        <v>-0.30347627056442017</v>
      </c>
      <c r="P2187" s="4">
        <f>Tabla2[[#This Row],[Rentabilidad (%)]]/12</f>
        <v>-2.5289689213701682E-2</v>
      </c>
    </row>
    <row r="2188" spans="1:16" x14ac:dyDescent="0.35">
      <c r="A2188" s="1">
        <v>42064</v>
      </c>
      <c r="B2188" t="s">
        <v>21</v>
      </c>
      <c r="C2188" s="2">
        <v>8345</v>
      </c>
      <c r="D2188" s="5" t="s">
        <v>17</v>
      </c>
      <c r="E2188" s="2">
        <f>IF(Tabla2[[#This Row],[Frecuencia]]="Annual", Tabla2[[#This Row],[Cosecha/Tarea]]/12,Tabla2[[#This Row],[Cosecha/Tarea]])</f>
        <v>8345</v>
      </c>
      <c r="F2188" s="2">
        <v>92684</v>
      </c>
      <c r="G2188" t="s">
        <v>18</v>
      </c>
      <c r="H2188">
        <f>F2188/Tabla2[[#This Row],[Cosecha Mensual]]</f>
        <v>11.106530856800479</v>
      </c>
      <c r="I2188">
        <f>H2188*_xlfn.XLOOKUP(Tabla2[[#This Row],[Unidad de producción]],Tabla3[Medida],Tabla3[Equivalencia en Kg],"ELVIS",0)</f>
        <v>503.79223966446972</v>
      </c>
      <c r="J2188">
        <v>337.42765000000003</v>
      </c>
      <c r="K2188" t="s">
        <v>18</v>
      </c>
      <c r="L2188">
        <f>J2188/_xlfn.XLOOKUP(Tabla2[[#This Row],[Unidad de precio]],Tabla3[Medida],Tabla3[Equivalencia en Kg],"ELVIS",0)</f>
        <v>7.4388811728395066</v>
      </c>
      <c r="M2188">
        <v>5153.8888283303804</v>
      </c>
      <c r="N2188" s="2">
        <f>(Tabla2[[#This Row],[Productividad (kg/TAS)]]*Tabla2[[#This Row],[Precio por kg]]-Tabla2[[#This Row],[Costos (En RD$/Tarea)]])</f>
        <v>-1406.2382216677083</v>
      </c>
      <c r="O2188" s="6">
        <f>IF(Tabla2[[#This Row],[Costos (En RD$/Tarea)]]=0,0,Tabla2[[#This Row],[Beneficio Neto  (En RD$/Tarea)]]/Tabla2[[#This Row],[Costos (En RD$/Tarea)]])</f>
        <v>-0.27284993303265798</v>
      </c>
      <c r="P2188" s="4">
        <f>Tabla2[[#This Row],[Rentabilidad (%)]]/12</f>
        <v>-2.2737494419388164E-2</v>
      </c>
    </row>
    <row r="2189" spans="1:16" x14ac:dyDescent="0.35">
      <c r="A2189" s="1">
        <v>42064</v>
      </c>
      <c r="B2189" t="s">
        <v>22</v>
      </c>
      <c r="C2189" s="2">
        <v>5382</v>
      </c>
      <c r="D2189" s="5" t="s">
        <v>17</v>
      </c>
      <c r="E2189" s="2">
        <f>IF(Tabla2[[#This Row],[Frecuencia]]="Annual", Tabla2[[#This Row],[Cosecha/Tarea]]/12,Tabla2[[#This Row],[Cosecha/Tarea]])</f>
        <v>5382</v>
      </c>
      <c r="F2189" s="2">
        <v>52834</v>
      </c>
      <c r="G2189" t="s">
        <v>18</v>
      </c>
      <c r="H2189">
        <f>F2189/Tabla2[[#This Row],[Cosecha Mensual]]</f>
        <v>9.8167967298402079</v>
      </c>
      <c r="I2189">
        <f>H2189*_xlfn.XLOOKUP(Tabla2[[#This Row],[Unidad de producción]],Tabla3[Medida],Tabla3[Equivalencia en Kg],"ELVIS",0)</f>
        <v>445.28989966555184</v>
      </c>
      <c r="J2189">
        <v>937.58333333333303</v>
      </c>
      <c r="K2189" t="s">
        <v>18</v>
      </c>
      <c r="L2189">
        <f>J2189/_xlfn.XLOOKUP(Tabla2[[#This Row],[Unidad de precio]],Tabla3[Medida],Tabla3[Equivalencia en Kg],"ELVIS",0)</f>
        <v>20.669826572604343</v>
      </c>
      <c r="M2189">
        <v>9360.0920089845204</v>
      </c>
      <c r="N2189" s="2">
        <f>(Tabla2[[#This Row],[Productividad (kg/TAS)]]*Tabla2[[#This Row],[Precio por kg]]-Tabla2[[#This Row],[Costos (En RD$/Tarea)]])</f>
        <v>-156.02700836517579</v>
      </c>
      <c r="O2189" s="6">
        <f>IF(Tabla2[[#This Row],[Costos (En RD$/Tarea)]]=0,0,Tabla2[[#This Row],[Beneficio Neto  (En RD$/Tarea)]]/Tabla2[[#This Row],[Costos (En RD$/Tarea)]])</f>
        <v>-1.6669388315350888E-2</v>
      </c>
      <c r="P2189" s="4">
        <f>Tabla2[[#This Row],[Rentabilidad (%)]]/12</f>
        <v>-1.3891156929459073E-3</v>
      </c>
    </row>
    <row r="2190" spans="1:16" x14ac:dyDescent="0.35">
      <c r="A2190" s="1">
        <v>42064</v>
      </c>
      <c r="B2190" t="s">
        <v>23</v>
      </c>
      <c r="C2190" s="2">
        <v>3753</v>
      </c>
      <c r="D2190" s="5" t="s">
        <v>17</v>
      </c>
      <c r="E2190" s="2">
        <f>IF(Tabla2[[#This Row],[Frecuencia]]="Annual", Tabla2[[#This Row],[Cosecha/Tarea]]/12,Tabla2[[#This Row],[Cosecha/Tarea]])</f>
        <v>3753</v>
      </c>
      <c r="F2190" s="2">
        <v>135150</v>
      </c>
      <c r="G2190" t="s">
        <v>18</v>
      </c>
      <c r="H2190">
        <f>F2190/Tabla2[[#This Row],[Cosecha Mensual]]</f>
        <v>36.011191047162271</v>
      </c>
      <c r="I2190">
        <f>H2190*_xlfn.XLOOKUP(Tabla2[[#This Row],[Unidad de producción]],Tabla3[Medida],Tabla3[Equivalencia en Kg],"ELVIS",0)</f>
        <v>1633.4676258992806</v>
      </c>
      <c r="J2190">
        <v>866.67</v>
      </c>
      <c r="K2190" t="s">
        <v>18</v>
      </c>
      <c r="L2190">
        <f>J2190/_xlfn.XLOOKUP(Tabla2[[#This Row],[Unidad de precio]],Tabla3[Medida],Tabla3[Equivalencia en Kg],"ELVIS",0)</f>
        <v>19.106481481481481</v>
      </c>
      <c r="M2190">
        <v>25505.193937477801</v>
      </c>
      <c r="N2190" s="2">
        <f>(Tabla2[[#This Row],[Productividad (kg/TAS)]]*Tabla2[[#This Row],[Precio por kg]]-Tabla2[[#This Row],[Costos (En RD$/Tarea)]])</f>
        <v>5704.625007366325</v>
      </c>
      <c r="O2190" s="6">
        <f>IF(Tabla2[[#This Row],[Costos (En RD$/Tarea)]]=0,0,Tabla2[[#This Row],[Beneficio Neto  (En RD$/Tarea)]]/Tabla2[[#This Row],[Costos (En RD$/Tarea)]])</f>
        <v>0.2236652276140447</v>
      </c>
      <c r="P2190" s="4">
        <f>Tabla2[[#This Row],[Rentabilidad (%)]]/12</f>
        <v>1.8638768967837057E-2</v>
      </c>
    </row>
    <row r="2191" spans="1:16" x14ac:dyDescent="0.35">
      <c r="A2191" s="1">
        <v>42064</v>
      </c>
      <c r="B2191" t="s">
        <v>24</v>
      </c>
      <c r="C2191" s="2">
        <v>6585</v>
      </c>
      <c r="D2191" s="5" t="s">
        <v>17</v>
      </c>
      <c r="E2191" s="2">
        <f>IF(Tabla2[[#This Row],[Frecuencia]]="Annual", Tabla2[[#This Row],[Cosecha/Tarea]]/12,Tabla2[[#This Row],[Cosecha/Tarea]])</f>
        <v>6585</v>
      </c>
      <c r="F2191" s="2">
        <v>51933</v>
      </c>
      <c r="G2191" t="s">
        <v>18</v>
      </c>
      <c r="H2191">
        <f>F2191/Tabla2[[#This Row],[Cosecha Mensual]]</f>
        <v>7.8865603644646924</v>
      </c>
      <c r="I2191">
        <f>H2191*_xlfn.XLOOKUP(Tabla2[[#This Row],[Unidad de producción]],Tabla3[Medida],Tabla3[Equivalencia en Kg],"ELVIS",0)</f>
        <v>357.73437813211842</v>
      </c>
      <c r="J2191">
        <v>1525.78125</v>
      </c>
      <c r="K2191" t="s">
        <v>18</v>
      </c>
      <c r="L2191">
        <f>J2191/_xlfn.XLOOKUP(Tabla2[[#This Row],[Unidad de precio]],Tabla3[Medida],Tabla3[Equivalencia en Kg],"ELVIS",0)</f>
        <v>33.637152777777779</v>
      </c>
      <c r="M2191">
        <v>9240.5655642007696</v>
      </c>
      <c r="N2191" s="2">
        <f>(Tabla2[[#This Row],[Productividad (kg/TAS)]]*Tabla2[[#This Row],[Precio por kg]]-Tabla2[[#This Row],[Costos (En RD$/Tarea)]])</f>
        <v>2792.6003668926242</v>
      </c>
      <c r="O2191" s="6">
        <f>IF(Tabla2[[#This Row],[Costos (En RD$/Tarea)]]=0,0,Tabla2[[#This Row],[Beneficio Neto  (En RD$/Tarea)]]/Tabla2[[#This Row],[Costos (En RD$/Tarea)]])</f>
        <v>0.30221097913222372</v>
      </c>
      <c r="P2191" s="4">
        <f>Tabla2[[#This Row],[Rentabilidad (%)]]/12</f>
        <v>2.5184248261018644E-2</v>
      </c>
    </row>
    <row r="2192" spans="1:16" x14ac:dyDescent="0.35">
      <c r="A2192" s="1">
        <v>42064</v>
      </c>
      <c r="B2192" t="s">
        <v>25</v>
      </c>
      <c r="C2192" s="2">
        <v>26021</v>
      </c>
      <c r="D2192" s="5" t="s">
        <v>17</v>
      </c>
      <c r="E2192" s="2">
        <f>IF(Tabla2[[#This Row],[Frecuencia]]="Annual", Tabla2[[#This Row],[Cosecha/Tarea]]/12,Tabla2[[#This Row],[Cosecha/Tarea]])</f>
        <v>26021</v>
      </c>
      <c r="F2192" s="2">
        <v>258967</v>
      </c>
      <c r="G2192" t="s">
        <v>18</v>
      </c>
      <c r="H2192">
        <f>F2192/Tabla2[[#This Row],[Cosecha Mensual]]</f>
        <v>9.9522308904346488</v>
      </c>
      <c r="I2192">
        <f>H2192*_xlfn.XLOOKUP(Tabla2[[#This Row],[Unidad de producción]],Tabla3[Medida],Tabla3[Equivalencia en Kg],"ELVIS",0)</f>
        <v>451.43319319011567</v>
      </c>
      <c r="J2192">
        <v>486.5</v>
      </c>
      <c r="K2192" t="s">
        <v>18</v>
      </c>
      <c r="L2192">
        <f>J2192/_xlfn.XLOOKUP(Tabla2[[#This Row],[Unidad de precio]],Tabla3[Medida],Tabla3[Equivalencia en Kg],"ELVIS",0)</f>
        <v>10.725308641975309</v>
      </c>
      <c r="M2192">
        <v>5033.4530378825102</v>
      </c>
      <c r="N2192" s="2">
        <f>(Tabla2[[#This Row],[Productividad (kg/TAS)]]*Tabla2[[#This Row],[Precio por kg]]-Tabla2[[#This Row],[Costos (En RD$/Tarea)]])</f>
        <v>-191.6927096860536</v>
      </c>
      <c r="O2192" s="6">
        <f>IF(Tabla2[[#This Row],[Costos (En RD$/Tarea)]]=0,0,Tabla2[[#This Row],[Beneficio Neto  (En RD$/Tarea)]]/Tabla2[[#This Row],[Costos (En RD$/Tarea)]])</f>
        <v>-3.8083738587277163E-2</v>
      </c>
      <c r="P2192" s="4">
        <f>Tabla2[[#This Row],[Rentabilidad (%)]]/12</f>
        <v>-3.1736448822730968E-3</v>
      </c>
    </row>
    <row r="2193" spans="1:16" x14ac:dyDescent="0.35">
      <c r="A2193" s="1">
        <v>42064</v>
      </c>
      <c r="B2193" t="s">
        <v>26</v>
      </c>
      <c r="C2193" s="2">
        <v>12901</v>
      </c>
      <c r="D2193" s="5" t="s">
        <v>17</v>
      </c>
      <c r="E2193" s="2">
        <f>IF(Tabla2[[#This Row],[Frecuencia]]="Annual", Tabla2[[#This Row],[Cosecha/Tarea]]/12,Tabla2[[#This Row],[Cosecha/Tarea]])</f>
        <v>12901</v>
      </c>
      <c r="F2193" s="2">
        <v>58980</v>
      </c>
      <c r="G2193" t="s">
        <v>18</v>
      </c>
      <c r="H2193">
        <f>F2193/Tabla2[[#This Row],[Cosecha Mensual]]</f>
        <v>4.5717386249127978</v>
      </c>
      <c r="I2193">
        <f>H2193*_xlfn.XLOOKUP(Tabla2[[#This Row],[Unidad de producción]],Tabla3[Medida],Tabla3[Equivalencia en Kg],"ELVIS",0)</f>
        <v>207.37406402604449</v>
      </c>
      <c r="J2193">
        <v>770.41666666666697</v>
      </c>
      <c r="K2193" t="s">
        <v>18</v>
      </c>
      <c r="L2193">
        <f>J2193/_xlfn.XLOOKUP(Tabla2[[#This Row],[Unidad de precio]],Tabla3[Medida],Tabla3[Equivalencia en Kg],"ELVIS",0)</f>
        <v>16.984494415049976</v>
      </c>
      <c r="M2193">
        <v>2123.3608896042601</v>
      </c>
      <c r="N2193" s="2">
        <f>(Tabla2[[#This Row],[Productividad (kg/TAS)]]*Tabla2[[#This Row],[Precio por kg]]-Tabla2[[#This Row],[Costos (En RD$/Tarea)]])</f>
        <v>1398.7827426723088</v>
      </c>
      <c r="O2193" s="6">
        <f>IF(Tabla2[[#This Row],[Costos (En RD$/Tarea)]]=0,0,Tabla2[[#This Row],[Beneficio Neto  (En RD$/Tarea)]]/Tabla2[[#This Row],[Costos (En RD$/Tarea)]])</f>
        <v>0.65875883347036968</v>
      </c>
      <c r="P2193" s="4">
        <f>Tabla2[[#This Row],[Rentabilidad (%)]]/12</f>
        <v>5.4896569455864137E-2</v>
      </c>
    </row>
    <row r="2194" spans="1:16" x14ac:dyDescent="0.35">
      <c r="A2194" s="1">
        <v>42064</v>
      </c>
      <c r="B2194" t="s">
        <v>27</v>
      </c>
      <c r="C2194" s="2">
        <v>5028</v>
      </c>
      <c r="D2194" s="5" t="s">
        <v>17</v>
      </c>
      <c r="E2194" s="2">
        <f>IF(Tabla2[[#This Row],[Frecuencia]]="Annual", Tabla2[[#This Row],[Cosecha/Tarea]]/12,Tabla2[[#This Row],[Cosecha/Tarea]])</f>
        <v>5028</v>
      </c>
      <c r="F2194" s="2">
        <v>47662</v>
      </c>
      <c r="G2194" t="s">
        <v>18</v>
      </c>
      <c r="H2194">
        <f>F2194/Tabla2[[#This Row],[Cosecha Mensual]]</f>
        <v>9.4793158313444703</v>
      </c>
      <c r="I2194">
        <f>H2194*_xlfn.XLOOKUP(Tabla2[[#This Row],[Unidad de producción]],Tabla3[Medida],Tabla3[Equivalencia en Kg],"ELVIS",0)</f>
        <v>429.98176610978516</v>
      </c>
      <c r="J2194">
        <v>655.55499999999995</v>
      </c>
      <c r="K2194" t="s">
        <v>18</v>
      </c>
      <c r="L2194">
        <f>J2194/_xlfn.XLOOKUP(Tabla2[[#This Row],[Unidad de precio]],Tabla3[Medida],Tabla3[Equivalencia en Kg],"ELVIS",0)</f>
        <v>14.452270723104055</v>
      </c>
      <c r="M2194">
        <v>8682.6925456059998</v>
      </c>
      <c r="N2194" s="2">
        <f>(Tabla2[[#This Row],[Productividad (kg/TAS)]]*Tabla2[[#This Row],[Precio por kg]]-Tabla2[[#This Row],[Costos (En RD$/Tarea)]])</f>
        <v>-2468.4796557889767</v>
      </c>
      <c r="O2194" s="6">
        <f>IF(Tabla2[[#This Row],[Costos (En RD$/Tarea)]]=0,0,Tabla2[[#This Row],[Beneficio Neto  (En RD$/Tarea)]]/Tabla2[[#This Row],[Costos (En RD$/Tarea)]])</f>
        <v>-0.28429886729528225</v>
      </c>
      <c r="P2194" s="4">
        <f>Tabla2[[#This Row],[Rentabilidad (%)]]/12</f>
        <v>-2.3691572274606856E-2</v>
      </c>
    </row>
    <row r="2195" spans="1:16" x14ac:dyDescent="0.35">
      <c r="A2195" s="1">
        <v>42064</v>
      </c>
      <c r="B2195" t="s">
        <v>28</v>
      </c>
      <c r="C2195" s="2">
        <v>73815</v>
      </c>
      <c r="D2195" s="5" t="s">
        <v>17</v>
      </c>
      <c r="E2195" s="2">
        <f>IF(Tabla2[[#This Row],[Frecuencia]]="Annual", Tabla2[[#This Row],[Cosecha/Tarea]]/12,Tabla2[[#This Row],[Cosecha/Tarea]])</f>
        <v>73815</v>
      </c>
      <c r="F2195" s="2">
        <v>1100234</v>
      </c>
      <c r="G2195" t="s">
        <v>18</v>
      </c>
      <c r="H2195">
        <f>F2195/Tabla2[[#This Row],[Cosecha Mensual]]</f>
        <v>14.905290252658673</v>
      </c>
      <c r="I2195">
        <f>H2195*_xlfn.XLOOKUP(Tabla2[[#This Row],[Unidad de producción]],Tabla3[Medida],Tabla3[Equivalencia en Kg],"ELVIS",0)</f>
        <v>676.10396586059744</v>
      </c>
      <c r="J2195">
        <v>11839.85</v>
      </c>
      <c r="K2195" t="s">
        <v>29</v>
      </c>
      <c r="L2195">
        <f>J2195/_xlfn.XLOOKUP(Tabla2[[#This Row],[Unidad de precio]],Tabla3[Medida],Tabla3[Equivalencia en Kg],"ELVIS",0)</f>
        <v>21.054611089376532</v>
      </c>
      <c r="M2195">
        <v>7427.3786743830897</v>
      </c>
      <c r="N2195" s="2">
        <f>(Tabla2[[#This Row],[Productividad (kg/TAS)]]*Tabla2[[#This Row],[Precio por kg]]-Tabla2[[#This Row],[Costos (En RD$/Tarea)]])</f>
        <v>6807.7273827968984</v>
      </c>
      <c r="O2195" s="6">
        <f>IF(Tabla2[[#This Row],[Costos (En RD$/Tarea)]]=0,0,Tabla2[[#This Row],[Beneficio Neto  (En RD$/Tarea)]]/Tabla2[[#This Row],[Costos (En RD$/Tarea)]])</f>
        <v>0.9165720076016376</v>
      </c>
      <c r="P2195" s="4">
        <f>Tabla2[[#This Row],[Rentabilidad (%)]]/12</f>
        <v>7.6381000633469795E-2</v>
      </c>
    </row>
    <row r="2196" spans="1:16" x14ac:dyDescent="0.35">
      <c r="A2196" s="1">
        <v>42064</v>
      </c>
      <c r="B2196" t="s">
        <v>30</v>
      </c>
      <c r="C2196" s="2">
        <v>451021</v>
      </c>
      <c r="D2196" s="2" t="s">
        <v>31</v>
      </c>
      <c r="E2196" s="2">
        <f>IF(Tabla2[[#This Row],[Frecuencia]]="Annual", Tabla2[[#This Row],[Cosecha/Tarea]]/12,Tabla2[[#This Row],[Cosecha/Tarea]])</f>
        <v>37585.083333333336</v>
      </c>
      <c r="F2196" s="2">
        <v>2003620</v>
      </c>
      <c r="G2196" t="s">
        <v>18</v>
      </c>
      <c r="H2196">
        <f>F2196/Tabla2[[#This Row],[Cosecha Mensual]]</f>
        <v>53.308914662510169</v>
      </c>
      <c r="I2196">
        <f>H2196*_xlfn.XLOOKUP(Tabla2[[#This Row],[Unidad de producción]],Tabla3[Medida],Tabla3[Equivalencia en Kg],"ELVIS",0)</f>
        <v>2418.092369091461</v>
      </c>
      <c r="J2196">
        <v>177.74285714285699</v>
      </c>
      <c r="K2196" t="s">
        <v>32</v>
      </c>
      <c r="L2196">
        <f>J2196/_xlfn.XLOOKUP(Tabla2[[#This Row],[Unidad de precio]],Tabla3[Medida],Tabla3[Equivalencia en Kg],"ELVIS",0)</f>
        <v>6.5322622985246959</v>
      </c>
      <c r="M2196" s="2">
        <v>22429.7248632058</v>
      </c>
      <c r="N2196" s="2">
        <f>(Tabla2[[#This Row],[Productividad (kg/TAS)]]*Tabla2[[#This Row],[Precio por kg]]-Tabla2[[#This Row],[Costos (En RD$/Tarea)]])</f>
        <v>-6634.1112462393849</v>
      </c>
      <c r="O2196" s="6">
        <f>IF(Tabla2[[#This Row],[Costos (En RD$/Tarea)]]=0,0,Tabla2[[#This Row],[Beneficio Neto  (En RD$/Tarea)]]/Tabla2[[#This Row],[Costos (En RD$/Tarea)]])</f>
        <v>-0.2957731887795968</v>
      </c>
      <c r="P2196" s="4">
        <f>Tabla2[[#This Row],[Rentabilidad (%)]]/12</f>
        <v>-2.4647765731633065E-2</v>
      </c>
    </row>
    <row r="2197" spans="1:16" x14ac:dyDescent="0.35">
      <c r="A2197" s="1">
        <v>42064</v>
      </c>
      <c r="B2197" t="s">
        <v>33</v>
      </c>
      <c r="C2197" s="2">
        <v>712001</v>
      </c>
      <c r="D2197" s="2" t="s">
        <v>31</v>
      </c>
      <c r="E2197" s="2">
        <f>IF(Tabla2[[#This Row],[Frecuencia]]="Annual", Tabla2[[#This Row],[Cosecha/Tarea]]/12,Tabla2[[#This Row],[Cosecha/Tarea]])</f>
        <v>59333.416666666664</v>
      </c>
      <c r="F2197" s="2">
        <v>1354255</v>
      </c>
      <c r="G2197" t="s">
        <v>18</v>
      </c>
      <c r="H2197">
        <f>F2197/Tabla2[[#This Row],[Cosecha Mensual]]</f>
        <v>22.824490415041552</v>
      </c>
      <c r="I2197">
        <f>H2197*_xlfn.XLOOKUP(Tabla2[[#This Row],[Unidad de producción]],Tabla3[Medida],Tabla3[Equivalencia en Kg],"ELVIS",0)</f>
        <v>1035.3188852262847</v>
      </c>
      <c r="J2197">
        <v>6151.5412500000002</v>
      </c>
      <c r="K2197" t="s">
        <v>34</v>
      </c>
      <c r="L2197">
        <f>J2197/_xlfn.XLOOKUP(Tabla2[[#This Row],[Unidad de precio]],Tabla3[Medida],Tabla3[Equivalencia en Kg],"ELVIS",0)</f>
        <v>15.071765894891586</v>
      </c>
      <c r="M2197" s="2">
        <v>16317.7474581161</v>
      </c>
      <c r="N2197" s="2">
        <f>(Tabla2[[#This Row],[Productividad (kg/TAS)]]*Tabla2[[#This Row],[Precio por kg]]-Tabla2[[#This Row],[Costos (En RD$/Tarea)]])</f>
        <v>-713.66359342540636</v>
      </c>
      <c r="O2197" s="6">
        <f>IF(Tabla2[[#This Row],[Costos (En RD$/Tarea)]]=0,0,Tabla2[[#This Row],[Beneficio Neto  (En RD$/Tarea)]]/Tabla2[[#This Row],[Costos (En RD$/Tarea)]])</f>
        <v>-4.373542336386909E-2</v>
      </c>
      <c r="P2197" s="4">
        <f>Tabla2[[#This Row],[Rentabilidad (%)]]/12</f>
        <v>-3.6446186136557574E-3</v>
      </c>
    </row>
    <row r="2198" spans="1:16" x14ac:dyDescent="0.35">
      <c r="A2198" s="1">
        <v>42095</v>
      </c>
      <c r="B2198" t="s">
        <v>16</v>
      </c>
      <c r="C2198" s="2">
        <v>407643</v>
      </c>
      <c r="D2198" s="5" t="s">
        <v>17</v>
      </c>
      <c r="E2198" s="2">
        <f>IF(Tabla2[[#This Row],[Frecuencia]]="Annual", Tabla2[[#This Row],[Cosecha/Tarea]]/12,Tabla2[[#This Row],[Cosecha/Tarea]])</f>
        <v>407643</v>
      </c>
      <c r="F2198" s="2">
        <v>2006735</v>
      </c>
      <c r="G2198" t="s">
        <v>18</v>
      </c>
      <c r="H2198">
        <f>F2198/Tabla2[[#This Row],[Cosecha Mensual]]</f>
        <v>4.9227755658750425</v>
      </c>
      <c r="I2198">
        <f>H2198*_xlfn.XLOOKUP(Tabla2[[#This Row],[Unidad de producción]],Tabla3[Medida],Tabla3[Equivalencia en Kg],"ELVIS",0)</f>
        <v>223.29709966809193</v>
      </c>
      <c r="J2198">
        <v>1769.5554549114299</v>
      </c>
      <c r="K2198" t="s">
        <v>19</v>
      </c>
      <c r="L2198">
        <f>J2198/_xlfn.XLOOKUP(Tabla2[[#This Row],[Unidad de precio]],Tabla3[Medida],Tabla3[Equivalencia en Kg],"ELVIS",0)</f>
        <v>16.08686777192209</v>
      </c>
      <c r="M2198">
        <v>7019.0666646612499</v>
      </c>
      <c r="N2198" s="2">
        <f>(Tabla2[[#This Row],[Productividad (kg/TAS)]]*Tabla2[[#This Row],[Precio por kg]]-Tabla2[[#This Row],[Costos (En RD$/Tarea)]])</f>
        <v>-3426.915748446947</v>
      </c>
      <c r="O2198" s="6">
        <f>IF(Tabla2[[#This Row],[Costos (En RD$/Tarea)]]=0,0,Tabla2[[#This Row],[Beneficio Neto  (En RD$/Tarea)]]/Tabla2[[#This Row],[Costos (En RD$/Tarea)]])</f>
        <v>-0.48822954848119182</v>
      </c>
      <c r="P2198" s="4">
        <f>Tabla2[[#This Row],[Rentabilidad (%)]]/12</f>
        <v>-4.0685795706765983E-2</v>
      </c>
    </row>
    <row r="2199" spans="1:16" x14ac:dyDescent="0.35">
      <c r="A2199" s="1">
        <v>42095</v>
      </c>
      <c r="B2199" t="s">
        <v>20</v>
      </c>
      <c r="C2199" s="2">
        <v>25104</v>
      </c>
      <c r="D2199" s="5" t="s">
        <v>17</v>
      </c>
      <c r="E2199" s="2">
        <f>IF(Tabla2[[#This Row],[Frecuencia]]="Annual", Tabla2[[#This Row],[Cosecha/Tarea]]/12,Tabla2[[#This Row],[Cosecha/Tarea]])</f>
        <v>25104</v>
      </c>
      <c r="F2199" s="2">
        <v>58201</v>
      </c>
      <c r="G2199" t="s">
        <v>18</v>
      </c>
      <c r="H2199">
        <f>F2199/Tabla2[[#This Row],[Cosecha Mensual]]</f>
        <v>2.3183954748247291</v>
      </c>
      <c r="I2199">
        <f>H2199*_xlfn.XLOOKUP(Tabla2[[#This Row],[Unidad de producción]],Tabla3[Medida],Tabla3[Equivalencia en Kg],"ELVIS",0)</f>
        <v>105.16241873804971</v>
      </c>
      <c r="J2199">
        <v>799.52833333333297</v>
      </c>
      <c r="K2199" t="s">
        <v>18</v>
      </c>
      <c r="L2199">
        <f>J2199/_xlfn.XLOOKUP(Tabla2[[#This Row],[Unidad de precio]],Tabla3[Medida],Tabla3[Equivalencia en Kg],"ELVIS",0)</f>
        <v>17.626286008230444</v>
      </c>
      <c r="M2199">
        <v>2574.5849057760001</v>
      </c>
      <c r="N2199" s="2">
        <f>(Tabla2[[#This Row],[Productividad (kg/TAS)]]*Tabla2[[#This Row],[Precio por kg]]-Tabla2[[#This Row],[Costos (En RD$/Tarea)]])</f>
        <v>-720.9620357818435</v>
      </c>
      <c r="O2199" s="6">
        <f>IF(Tabla2[[#This Row],[Costos (En RD$/Tarea)]]=0,0,Tabla2[[#This Row],[Beneficio Neto  (En RD$/Tarea)]]/Tabla2[[#This Row],[Costos (En RD$/Tarea)]])</f>
        <v>-0.28003039797382012</v>
      </c>
      <c r="P2199" s="4">
        <f>Tabla2[[#This Row],[Rentabilidad (%)]]/12</f>
        <v>-2.3335866497818342E-2</v>
      </c>
    </row>
    <row r="2200" spans="1:16" x14ac:dyDescent="0.35">
      <c r="A2200" s="1">
        <v>42095</v>
      </c>
      <c r="B2200" t="s">
        <v>21</v>
      </c>
      <c r="C2200" s="2">
        <v>8750</v>
      </c>
      <c r="D2200" s="5" t="s">
        <v>17</v>
      </c>
      <c r="E2200" s="2">
        <f>IF(Tabla2[[#This Row],[Frecuencia]]="Annual", Tabla2[[#This Row],[Cosecha/Tarea]]/12,Tabla2[[#This Row],[Cosecha/Tarea]])</f>
        <v>8750</v>
      </c>
      <c r="F2200" s="2">
        <v>112044</v>
      </c>
      <c r="G2200" t="s">
        <v>18</v>
      </c>
      <c r="H2200">
        <f>F2200/Tabla2[[#This Row],[Cosecha Mensual]]</f>
        <v>12.805028571428572</v>
      </c>
      <c r="I2200">
        <f>H2200*_xlfn.XLOOKUP(Tabla2[[#This Row],[Unidad de producción]],Tabla3[Medida],Tabla3[Equivalencia en Kg],"ELVIS",0)</f>
        <v>580.836096</v>
      </c>
      <c r="J2200">
        <v>279.88372222222199</v>
      </c>
      <c r="K2200" t="s">
        <v>18</v>
      </c>
      <c r="L2200">
        <f>J2200/_xlfn.XLOOKUP(Tabla2[[#This Row],[Unidad de precio]],Tabla3[Medida],Tabla3[Equivalencia en Kg],"ELVIS",0)</f>
        <v>6.1702760631001325</v>
      </c>
      <c r="M2200">
        <v>5153.8888283303804</v>
      </c>
      <c r="N2200" s="2">
        <f>(Tabla2[[#This Row],[Productividad (kg/TAS)]]*Tabla2[[#This Row],[Precio por kg]]-Tabla2[[#This Row],[Costos (En RD$/Tarea)]])</f>
        <v>-1569.96976859705</v>
      </c>
      <c r="O2200" s="6">
        <f>IF(Tabla2[[#This Row],[Costos (En RD$/Tarea)]]=0,0,Tabla2[[#This Row],[Beneficio Neto  (En RD$/Tarea)]]/Tabla2[[#This Row],[Costos (En RD$/Tarea)]])</f>
        <v>-0.30461847759833172</v>
      </c>
      <c r="P2200" s="4">
        <f>Tabla2[[#This Row],[Rentabilidad (%)]]/12</f>
        <v>-2.5384873133194309E-2</v>
      </c>
    </row>
    <row r="2201" spans="1:16" x14ac:dyDescent="0.35">
      <c r="A2201" s="1">
        <v>42095</v>
      </c>
      <c r="B2201" t="s">
        <v>22</v>
      </c>
      <c r="C2201" s="2">
        <v>9521</v>
      </c>
      <c r="D2201" s="5" t="s">
        <v>17</v>
      </c>
      <c r="E2201" s="2">
        <f>IF(Tabla2[[#This Row],[Frecuencia]]="Annual", Tabla2[[#This Row],[Cosecha/Tarea]]/12,Tabla2[[#This Row],[Cosecha/Tarea]])</f>
        <v>9521</v>
      </c>
      <c r="F2201" s="2">
        <v>91874</v>
      </c>
      <c r="G2201" t="s">
        <v>18</v>
      </c>
      <c r="H2201">
        <f>F2201/Tabla2[[#This Row],[Cosecha Mensual]]</f>
        <v>9.6496166369078882</v>
      </c>
      <c r="I2201">
        <f>H2201*_xlfn.XLOOKUP(Tabla2[[#This Row],[Unidad de producción]],Tabla3[Medida],Tabla3[Equivalencia en Kg],"ELVIS",0)</f>
        <v>437.70661065014178</v>
      </c>
      <c r="J2201">
        <v>1164.43047619048</v>
      </c>
      <c r="K2201" t="s">
        <v>18</v>
      </c>
      <c r="L2201">
        <f>J2201/_xlfn.XLOOKUP(Tabla2[[#This Row],[Unidad de precio]],Tabla3[Medida],Tabla3[Equivalencia en Kg],"ELVIS",0)</f>
        <v>25.670865877215167</v>
      </c>
      <c r="M2201">
        <v>9360.0920089845204</v>
      </c>
      <c r="N2201" s="2">
        <f>(Tabla2[[#This Row],[Productividad (kg/TAS)]]*Tabla2[[#This Row],[Precio por kg]]-Tabla2[[#This Row],[Costos (En RD$/Tarea)]])</f>
        <v>1876.2156865857087</v>
      </c>
      <c r="O2201" s="6">
        <f>IF(Tabla2[[#This Row],[Costos (En RD$/Tarea)]]=0,0,Tabla2[[#This Row],[Beneficio Neto  (En RD$/Tarea)]]/Tabla2[[#This Row],[Costos (En RD$/Tarea)]])</f>
        <v>0.20044842345404038</v>
      </c>
      <c r="P2201" s="4">
        <f>Tabla2[[#This Row],[Rentabilidad (%)]]/12</f>
        <v>1.6704035287836698E-2</v>
      </c>
    </row>
    <row r="2202" spans="1:16" x14ac:dyDescent="0.35">
      <c r="A2202" s="1">
        <v>42095</v>
      </c>
      <c r="B2202" t="s">
        <v>23</v>
      </c>
      <c r="C2202" s="2">
        <v>3102</v>
      </c>
      <c r="D2202" s="5" t="s">
        <v>17</v>
      </c>
      <c r="E2202" s="2">
        <f>IF(Tabla2[[#This Row],[Frecuencia]]="Annual", Tabla2[[#This Row],[Cosecha/Tarea]]/12,Tabla2[[#This Row],[Cosecha/Tarea]])</f>
        <v>3102</v>
      </c>
      <c r="F2202" s="2">
        <v>118969</v>
      </c>
      <c r="G2202" t="s">
        <v>18</v>
      </c>
      <c r="H2202">
        <f>F2202/Tabla2[[#This Row],[Cosecha Mensual]]</f>
        <v>38.352353320438425</v>
      </c>
      <c r="I2202">
        <f>H2202*_xlfn.XLOOKUP(Tabla2[[#This Row],[Unidad de producción]],Tabla3[Medida],Tabla3[Equivalencia en Kg],"ELVIS",0)</f>
        <v>1739.6627466150869</v>
      </c>
      <c r="J2202">
        <v>931.25</v>
      </c>
      <c r="K2202" t="s">
        <v>18</v>
      </c>
      <c r="L2202">
        <f>J2202/_xlfn.XLOOKUP(Tabla2[[#This Row],[Unidad de precio]],Tabla3[Medida],Tabla3[Equivalencia en Kg],"ELVIS",0)</f>
        <v>20.530202821869487</v>
      </c>
      <c r="M2202">
        <v>25505.193937477801</v>
      </c>
      <c r="N2202" s="2">
        <f>(Tabla2[[#This Row],[Productividad (kg/TAS)]]*Tabla2[[#This Row],[Precio por kg]]-Tabla2[[#This Row],[Costos (En RD$/Tarea)]])</f>
        <v>10210.43509218048</v>
      </c>
      <c r="O2202" s="6">
        <f>IF(Tabla2[[#This Row],[Costos (En RD$/Tarea)]]=0,0,Tabla2[[#This Row],[Beneficio Neto  (En RD$/Tarea)]]/Tabla2[[#This Row],[Costos (En RD$/Tarea)]])</f>
        <v>0.40032767902921446</v>
      </c>
      <c r="P2202" s="4">
        <f>Tabla2[[#This Row],[Rentabilidad (%)]]/12</f>
        <v>3.3360639919101202E-2</v>
      </c>
    </row>
    <row r="2203" spans="1:16" x14ac:dyDescent="0.35">
      <c r="A2203" s="1">
        <v>42095</v>
      </c>
      <c r="B2203" t="s">
        <v>24</v>
      </c>
      <c r="C2203" s="2">
        <v>7201</v>
      </c>
      <c r="D2203" s="5" t="s">
        <v>17</v>
      </c>
      <c r="E2203" s="2">
        <f>IF(Tabla2[[#This Row],[Frecuencia]]="Annual", Tabla2[[#This Row],[Cosecha/Tarea]]/12,Tabla2[[#This Row],[Cosecha/Tarea]])</f>
        <v>7201</v>
      </c>
      <c r="F2203" s="2">
        <v>66201</v>
      </c>
      <c r="G2203" t="s">
        <v>18</v>
      </c>
      <c r="H2203">
        <f>F2203/Tabla2[[#This Row],[Cosecha Mensual]]</f>
        <v>9.1933064852103872</v>
      </c>
      <c r="I2203">
        <f>H2203*_xlfn.XLOOKUP(Tabla2[[#This Row],[Unidad de producción]],Tabla3[Medida],Tabla3[Equivalencia en Kg],"ELVIS",0)</f>
        <v>417.00838216914315</v>
      </c>
      <c r="J2203">
        <v>1517.67857142857</v>
      </c>
      <c r="K2203" t="s">
        <v>18</v>
      </c>
      <c r="L2203">
        <f>J2203/_xlfn.XLOOKUP(Tabla2[[#This Row],[Unidad de precio]],Tabla3[Medida],Tabla3[Equivalencia en Kg],"ELVIS",0)</f>
        <v>33.458522297807981</v>
      </c>
      <c r="M2203">
        <v>9240.5655642007696</v>
      </c>
      <c r="N2203" s="2">
        <f>(Tabla2[[#This Row],[Productividad (kg/TAS)]]*Tabla2[[#This Row],[Precio por kg]]-Tabla2[[#This Row],[Costos (En RD$/Tarea)]])</f>
        <v>4711.9186889783377</v>
      </c>
      <c r="O2203" s="6">
        <f>IF(Tabla2[[#This Row],[Costos (En RD$/Tarea)]]=0,0,Tabla2[[#This Row],[Beneficio Neto  (En RD$/Tarea)]]/Tabla2[[#This Row],[Costos (En RD$/Tarea)]])</f>
        <v>0.50991669895541492</v>
      </c>
      <c r="P2203" s="4">
        <f>Tabla2[[#This Row],[Rentabilidad (%)]]/12</f>
        <v>4.2493058246284576E-2</v>
      </c>
    </row>
    <row r="2204" spans="1:16" x14ac:dyDescent="0.35">
      <c r="A2204" s="1">
        <v>42095</v>
      </c>
      <c r="B2204" t="s">
        <v>25</v>
      </c>
      <c r="C2204" s="2">
        <v>26587</v>
      </c>
      <c r="D2204" s="5" t="s">
        <v>17</v>
      </c>
      <c r="E2204" s="2">
        <f>IF(Tabla2[[#This Row],[Frecuencia]]="Annual", Tabla2[[#This Row],[Cosecha/Tarea]]/12,Tabla2[[#This Row],[Cosecha/Tarea]])</f>
        <v>26587</v>
      </c>
      <c r="F2204" s="2">
        <v>258930</v>
      </c>
      <c r="G2204" t="s">
        <v>18</v>
      </c>
      <c r="H2204">
        <f>F2204/Tabla2[[#This Row],[Cosecha Mensual]]</f>
        <v>9.7389701733930121</v>
      </c>
      <c r="I2204">
        <f>H2204*_xlfn.XLOOKUP(Tabla2[[#This Row],[Unidad de producción]],Tabla3[Medida],Tabla3[Equivalencia en Kg],"ELVIS",0)</f>
        <v>441.75968706510702</v>
      </c>
      <c r="J2204">
        <v>535.2604</v>
      </c>
      <c r="K2204" t="s">
        <v>18</v>
      </c>
      <c r="L2204">
        <f>J2204/_xlfn.XLOOKUP(Tabla2[[#This Row],[Unidad de precio]],Tabla3[Medida],Tabla3[Equivalencia en Kg],"ELVIS",0)</f>
        <v>11.800273368606701</v>
      </c>
      <c r="M2204">
        <v>5033.4530378825102</v>
      </c>
      <c r="N2204" s="2">
        <f>(Tabla2[[#This Row],[Productividad (kg/TAS)]]*Tabla2[[#This Row],[Precio por kg]]-Tabla2[[#This Row],[Costos (En RD$/Tarea)]])</f>
        <v>179.4320327159021</v>
      </c>
      <c r="O2204" s="6">
        <f>IF(Tabla2[[#This Row],[Costos (En RD$/Tarea)]]=0,0,Tabla2[[#This Row],[Beneficio Neto  (En RD$/Tarea)]]/Tabla2[[#This Row],[Costos (En RD$/Tarea)]])</f>
        <v>3.5647900430473903E-2</v>
      </c>
      <c r="P2204" s="4">
        <f>Tabla2[[#This Row],[Rentabilidad (%)]]/12</f>
        <v>2.9706583692061584E-3</v>
      </c>
    </row>
    <row r="2205" spans="1:16" x14ac:dyDescent="0.35">
      <c r="A2205" s="1">
        <v>42095</v>
      </c>
      <c r="B2205" t="s">
        <v>26</v>
      </c>
      <c r="C2205" s="2">
        <v>9703</v>
      </c>
      <c r="D2205" s="5" t="s">
        <v>17</v>
      </c>
      <c r="E2205" s="2">
        <f>IF(Tabla2[[#This Row],[Frecuencia]]="Annual", Tabla2[[#This Row],[Cosecha/Tarea]]/12,Tabla2[[#This Row],[Cosecha/Tarea]])</f>
        <v>9703</v>
      </c>
      <c r="F2205" s="2">
        <v>65042</v>
      </c>
      <c r="G2205" t="s">
        <v>18</v>
      </c>
      <c r="H2205">
        <f>F2205/Tabla2[[#This Row],[Cosecha Mensual]]</f>
        <v>6.7032876429970116</v>
      </c>
      <c r="I2205">
        <f>H2205*_xlfn.XLOOKUP(Tabla2[[#This Row],[Unidad de producción]],Tabla3[Medida],Tabla3[Equivalencia en Kg],"ELVIS",0)</f>
        <v>304.06112748634445</v>
      </c>
      <c r="J2205">
        <v>684.88833333333298</v>
      </c>
      <c r="K2205" t="s">
        <v>18</v>
      </c>
      <c r="L2205">
        <f>J2205/_xlfn.XLOOKUP(Tabla2[[#This Row],[Unidad de precio]],Tabla3[Medida],Tabla3[Equivalencia en Kg],"ELVIS",0)</f>
        <v>15.098949147560251</v>
      </c>
      <c r="M2205">
        <v>2123.3608896042601</v>
      </c>
      <c r="N2205" s="2">
        <f>(Tabla2[[#This Row],[Productividad (kg/TAS)]]*Tabla2[[#This Row],[Precio por kg]]-Tabla2[[#This Row],[Costos (En RD$/Tarea)]])</f>
        <v>2467.6426120618894</v>
      </c>
      <c r="O2205" s="6">
        <f>IF(Tabla2[[#This Row],[Costos (En RD$/Tarea)]]=0,0,Tabla2[[#This Row],[Beneficio Neto  (En RD$/Tarea)]]/Tabla2[[#This Row],[Costos (En RD$/Tarea)]])</f>
        <v>1.1621399942624895</v>
      </c>
      <c r="P2205" s="4">
        <f>Tabla2[[#This Row],[Rentabilidad (%)]]/12</f>
        <v>9.6844999521874128E-2</v>
      </c>
    </row>
    <row r="2206" spans="1:16" x14ac:dyDescent="0.35">
      <c r="A2206" s="1">
        <v>42095</v>
      </c>
      <c r="B2206" t="s">
        <v>27</v>
      </c>
      <c r="C2206" s="2">
        <v>5460</v>
      </c>
      <c r="D2206" s="5" t="s">
        <v>17</v>
      </c>
      <c r="E2206" s="2">
        <f>IF(Tabla2[[#This Row],[Frecuencia]]="Annual", Tabla2[[#This Row],[Cosecha/Tarea]]/12,Tabla2[[#This Row],[Cosecha/Tarea]])</f>
        <v>5460</v>
      </c>
      <c r="F2206" s="2">
        <v>53522</v>
      </c>
      <c r="G2206" t="s">
        <v>18</v>
      </c>
      <c r="H2206">
        <f>F2206/Tabla2[[#This Row],[Cosecha Mensual]]</f>
        <v>9.8025641025641033</v>
      </c>
      <c r="I2206">
        <f>H2206*_xlfn.XLOOKUP(Tabla2[[#This Row],[Unidad de producción]],Tabla3[Medida],Tabla3[Equivalencia en Kg],"ELVIS",0)</f>
        <v>444.64430769230773</v>
      </c>
      <c r="J2206">
        <v>579.63814428571402</v>
      </c>
      <c r="K2206" t="s">
        <v>18</v>
      </c>
      <c r="L2206">
        <f>J2206/_xlfn.XLOOKUP(Tabla2[[#This Row],[Unidad de precio]],Tabla3[Medida],Tabla3[Equivalencia en Kg],"ELVIS",0)</f>
        <v>12.778618701184172</v>
      </c>
      <c r="M2206">
        <v>8682.6925456059998</v>
      </c>
      <c r="N2206" s="2">
        <f>(Tabla2[[#This Row],[Productividad (kg/TAS)]]*Tabla2[[#This Row],[Precio por kg]]-Tabla2[[#This Row],[Costos (En RD$/Tarea)]])</f>
        <v>-3000.7524799539869</v>
      </c>
      <c r="O2206" s="6">
        <f>IF(Tabla2[[#This Row],[Costos (En RD$/Tarea)]]=0,0,Tabla2[[#This Row],[Beneficio Neto  (En RD$/Tarea)]]/Tabla2[[#This Row],[Costos (En RD$/Tarea)]])</f>
        <v>-0.34560160505424786</v>
      </c>
      <c r="P2206" s="4">
        <f>Tabla2[[#This Row],[Rentabilidad (%)]]/12</f>
        <v>-2.8800133754520656E-2</v>
      </c>
    </row>
    <row r="2207" spans="1:16" x14ac:dyDescent="0.35">
      <c r="A2207" s="1">
        <v>42095</v>
      </c>
      <c r="B2207" t="s">
        <v>28</v>
      </c>
      <c r="C2207" s="2">
        <v>19211</v>
      </c>
      <c r="D2207" s="5" t="s">
        <v>17</v>
      </c>
      <c r="E2207" s="2">
        <f>IF(Tabla2[[#This Row],[Frecuencia]]="Annual", Tabla2[[#This Row],[Cosecha/Tarea]]/12,Tabla2[[#This Row],[Cosecha/Tarea]])</f>
        <v>19211</v>
      </c>
      <c r="F2207" s="2">
        <v>275890</v>
      </c>
      <c r="G2207" t="s">
        <v>18</v>
      </c>
      <c r="H2207">
        <f>F2207/Tabla2[[#This Row],[Cosecha Mensual]]</f>
        <v>14.361043152360626</v>
      </c>
      <c r="I2207">
        <f>H2207*_xlfn.XLOOKUP(Tabla2[[#This Row],[Unidad de producción]],Tabla3[Medida],Tabla3[Equivalencia en Kg],"ELVIS",0)</f>
        <v>651.41691739107796</v>
      </c>
      <c r="J2207">
        <v>10063.065000000001</v>
      </c>
      <c r="K2207" t="s">
        <v>29</v>
      </c>
      <c r="L2207">
        <f>J2207/_xlfn.XLOOKUP(Tabla2[[#This Row],[Unidad de precio]],Tabla3[Medida],Tabla3[Equivalencia en Kg],"ELVIS",0)</f>
        <v>17.894983461962514</v>
      </c>
      <c r="M2207">
        <v>7427.3786743830897</v>
      </c>
      <c r="N2207" s="2">
        <f>(Tabla2[[#This Row],[Productividad (kg/TAS)]]*Tabla2[[#This Row],[Precio por kg]]-Tabla2[[#This Row],[Costos (En RD$/Tarea)]])</f>
        <v>4229.7162891728512</v>
      </c>
      <c r="O2207" s="6">
        <f>IF(Tabla2[[#This Row],[Costos (En RD$/Tarea)]]=0,0,Tabla2[[#This Row],[Beneficio Neto  (En RD$/Tarea)]]/Tabla2[[#This Row],[Costos (En RD$/Tarea)]])</f>
        <v>0.56947632194398212</v>
      </c>
      <c r="P2207" s="4">
        <f>Tabla2[[#This Row],[Rentabilidad (%)]]/12</f>
        <v>4.7456360161998508E-2</v>
      </c>
    </row>
    <row r="2208" spans="1:16" x14ac:dyDescent="0.35">
      <c r="A2208" s="1">
        <v>42095</v>
      </c>
      <c r="B2208" t="s">
        <v>30</v>
      </c>
      <c r="C2208" s="2">
        <v>442014</v>
      </c>
      <c r="D2208" s="2" t="s">
        <v>31</v>
      </c>
      <c r="E2208" s="2">
        <f>IF(Tabla2[[#This Row],[Frecuencia]]="Annual", Tabla2[[#This Row],[Cosecha/Tarea]]/12,Tabla2[[#This Row],[Cosecha/Tarea]])</f>
        <v>36834.5</v>
      </c>
      <c r="F2208" s="2">
        <v>2112084</v>
      </c>
      <c r="G2208" t="s">
        <v>18</v>
      </c>
      <c r="H2208">
        <f>F2208/Tabla2[[#This Row],[Cosecha Mensual]]</f>
        <v>57.339830865085723</v>
      </c>
      <c r="I2208">
        <f>H2208*_xlfn.XLOOKUP(Tabla2[[#This Row],[Unidad de producción]],Tabla3[Medida],Tabla3[Equivalencia en Kg],"ELVIS",0)</f>
        <v>2600.9347280402885</v>
      </c>
      <c r="J2208">
        <v>158.33857142857099</v>
      </c>
      <c r="K2208" t="s">
        <v>32</v>
      </c>
      <c r="L2208">
        <f>J2208/_xlfn.XLOOKUP(Tabla2[[#This Row],[Unidad de precio]],Tabla3[Medida],Tabla3[Equivalencia en Kg],"ELVIS",0)</f>
        <v>5.8191316217776912</v>
      </c>
      <c r="M2208" s="2">
        <v>22429.7248632058</v>
      </c>
      <c r="N2208" s="2">
        <f>(Tabla2[[#This Row],[Productividad (kg/TAS)]]*Tabla2[[#This Row],[Precio por kg]]-Tabla2[[#This Row],[Costos (En RD$/Tarea)]])</f>
        <v>-7294.5433410867972</v>
      </c>
      <c r="O2208" s="6">
        <f>IF(Tabla2[[#This Row],[Costos (En RD$/Tarea)]]=0,0,Tabla2[[#This Row],[Beneficio Neto  (En RD$/Tarea)]]/Tabla2[[#This Row],[Costos (En RD$/Tarea)]])</f>
        <v>-0.32521769150422891</v>
      </c>
      <c r="P2208" s="4">
        <f>Tabla2[[#This Row],[Rentabilidad (%)]]/12</f>
        <v>-2.7101474292019076E-2</v>
      </c>
    </row>
    <row r="2209" spans="1:16" x14ac:dyDescent="0.35">
      <c r="A2209" s="1">
        <v>42095</v>
      </c>
      <c r="B2209" t="s">
        <v>33</v>
      </c>
      <c r="C2209" s="2">
        <v>742401</v>
      </c>
      <c r="D2209" s="2" t="s">
        <v>31</v>
      </c>
      <c r="E2209" s="8">
        <f>IF(Tabla2[[#This Row],[Frecuencia]]="Annual", Tabla2[[#This Row],[Cosecha/Tarea]]/12,Tabla2[[#This Row],[Cosecha/Tarea]])</f>
        <v>61866.75</v>
      </c>
      <c r="F2209" s="2">
        <v>2799158</v>
      </c>
      <c r="G2209" t="s">
        <v>18</v>
      </c>
      <c r="H2209">
        <f>F2209/Tabla2[[#This Row],[Cosecha Mensual]]</f>
        <v>45.244949831694733</v>
      </c>
      <c r="I2209">
        <f>H2209*_xlfn.XLOOKUP(Tabla2[[#This Row],[Unidad de producción]],Tabla3[Medida],Tabla3[Equivalencia en Kg],"ELVIS",0)</f>
        <v>2052.3109243656731</v>
      </c>
      <c r="J2209">
        <v>6015.0957142857096</v>
      </c>
      <c r="K2209" t="s">
        <v>34</v>
      </c>
      <c r="L2209">
        <f>J2209/_xlfn.XLOOKUP(Tabla2[[#This Row],[Unidad de precio]],Tabla3[Medida],Tabla3[Equivalencia en Kg],"ELVIS",0)</f>
        <v>14.737463467562685</v>
      </c>
      <c r="M2209" s="2">
        <v>16317.7474581161</v>
      </c>
      <c r="N2209" s="2">
        <f>(Tabla2[[#This Row],[Productividad (kg/TAS)]]*Tabla2[[#This Row],[Precio por kg]]-Tabla2[[#This Row],[Costos (En RD$/Tarea)]])</f>
        <v>13928.109813802814</v>
      </c>
      <c r="O2209" s="6">
        <f>IF(Tabla2[[#This Row],[Costos (En RD$/Tarea)]]=0,0,Tabla2[[#This Row],[Beneficio Neto  (En RD$/Tarea)]]/Tabla2[[#This Row],[Costos (En RD$/Tarea)]])</f>
        <v>0.85355591202481007</v>
      </c>
      <c r="P2209" s="4">
        <f>Tabla2[[#This Row],[Rentabilidad (%)]]/12</f>
        <v>7.1129659335400844E-2</v>
      </c>
    </row>
    <row r="2210" spans="1:16" x14ac:dyDescent="0.35">
      <c r="A2210" s="1">
        <v>42125</v>
      </c>
      <c r="B2210" t="s">
        <v>16</v>
      </c>
      <c r="C2210" s="2">
        <v>671067</v>
      </c>
      <c r="D2210" s="5" t="s">
        <v>17</v>
      </c>
      <c r="E2210" s="2">
        <f>IF(Tabla2[[#This Row],[Frecuencia]]="Annual", Tabla2[[#This Row],[Cosecha/Tarea]]/12,Tabla2[[#This Row],[Cosecha/Tarea]])</f>
        <v>671067</v>
      </c>
      <c r="F2210" s="2">
        <v>3491262</v>
      </c>
      <c r="G2210" t="s">
        <v>18</v>
      </c>
      <c r="H2210">
        <f>F2210/Tabla2[[#This Row],[Cosecha Mensual]]</f>
        <v>5.2025535453240881</v>
      </c>
      <c r="I2210">
        <f>H2210*_xlfn.XLOOKUP(Tabla2[[#This Row],[Unidad de producción]],Tabla3[Medida],Tabla3[Equivalencia en Kg],"ELVIS",0)</f>
        <v>235.98782881590063</v>
      </c>
      <c r="J2210">
        <v>1797.8950617283999</v>
      </c>
      <c r="K2210" t="s">
        <v>19</v>
      </c>
      <c r="L2210">
        <f>J2210/_xlfn.XLOOKUP(Tabla2[[#This Row],[Unidad de precio]],Tabla3[Medida],Tabla3[Equivalencia en Kg],"ELVIS",0)</f>
        <v>16.344500561167273</v>
      </c>
      <c r="M2210">
        <v>7019.0666646612499</v>
      </c>
      <c r="N2210" s="2">
        <f>(Tabla2[[#This Row],[Productividad (kg/TAS)]]*Tabla2[[#This Row],[Precio por kg]]-Tabla2[[#This Row],[Costos (En RD$/Tarea)]])</f>
        <v>-3161.9634641511157</v>
      </c>
      <c r="O2210" s="6">
        <f>IF(Tabla2[[#This Row],[Costos (En RD$/Tarea)]]=0,0,Tabla2[[#This Row],[Beneficio Neto  (En RD$/Tarea)]]/Tabla2[[#This Row],[Costos (En RD$/Tarea)]])</f>
        <v>-0.45048203916776969</v>
      </c>
      <c r="P2210" s="4">
        <f>Tabla2[[#This Row],[Rentabilidad (%)]]/12</f>
        <v>-3.7540169930647474E-2</v>
      </c>
    </row>
    <row r="2211" spans="1:16" x14ac:dyDescent="0.35">
      <c r="A2211" s="1">
        <v>42125</v>
      </c>
      <c r="B2211" t="s">
        <v>20</v>
      </c>
      <c r="C2211" s="2">
        <v>19822</v>
      </c>
      <c r="D2211" s="5" t="s">
        <v>17</v>
      </c>
      <c r="E2211" s="2">
        <f>IF(Tabla2[[#This Row],[Frecuencia]]="Annual", Tabla2[[#This Row],[Cosecha/Tarea]]/12,Tabla2[[#This Row],[Cosecha/Tarea]])</f>
        <v>19822</v>
      </c>
      <c r="F2211" s="2">
        <v>42849</v>
      </c>
      <c r="G2211" t="s">
        <v>18</v>
      </c>
      <c r="H2211">
        <f>F2211/Tabla2[[#This Row],[Cosecha Mensual]]</f>
        <v>2.1616890323882556</v>
      </c>
      <c r="I2211">
        <f>H2211*_xlfn.XLOOKUP(Tabla2[[#This Row],[Unidad de producción]],Tabla3[Medida],Tabla3[Equivalencia en Kg],"ELVIS",0)</f>
        <v>98.05421450913127</v>
      </c>
      <c r="J2211">
        <v>866.430555555556</v>
      </c>
      <c r="K2211" t="s">
        <v>18</v>
      </c>
      <c r="L2211">
        <f>J2211/_xlfn.XLOOKUP(Tabla2[[#This Row],[Unidad de precio]],Tabla3[Medida],Tabla3[Equivalencia en Kg],"ELVIS",0)</f>
        <v>19.101202723887919</v>
      </c>
      <c r="M2211">
        <v>2574.5849057760001</v>
      </c>
      <c r="N2211" s="2">
        <f>(Tabla2[[#This Row],[Productividad (kg/TAS)]]*Tabla2[[#This Row],[Precio por kg]]-Tabla2[[#This Row],[Costos (En RD$/Tarea)]])</f>
        <v>-701.63147650549149</v>
      </c>
      <c r="O2211" s="6">
        <f>IF(Tabla2[[#This Row],[Costos (En RD$/Tarea)]]=0,0,Tabla2[[#This Row],[Beneficio Neto  (En RD$/Tarea)]]/Tabla2[[#This Row],[Costos (En RD$/Tarea)]])</f>
        <v>-0.27252217432464682</v>
      </c>
      <c r="P2211" s="4">
        <f>Tabla2[[#This Row],[Rentabilidad (%)]]/12</f>
        <v>-2.2710181193720567E-2</v>
      </c>
    </row>
    <row r="2212" spans="1:16" x14ac:dyDescent="0.35">
      <c r="A2212" s="1">
        <v>42125</v>
      </c>
      <c r="B2212" t="s">
        <v>21</v>
      </c>
      <c r="C2212" s="2">
        <v>6458</v>
      </c>
      <c r="D2212" s="5" t="s">
        <v>17</v>
      </c>
      <c r="E2212" s="2">
        <f>IF(Tabla2[[#This Row],[Frecuencia]]="Annual", Tabla2[[#This Row],[Cosecha/Tarea]]/12,Tabla2[[#This Row],[Cosecha/Tarea]])</f>
        <v>6458</v>
      </c>
      <c r="F2212" s="2">
        <v>64122</v>
      </c>
      <c r="G2212" t="s">
        <v>18</v>
      </c>
      <c r="H2212">
        <f>F2212/Tabla2[[#This Row],[Cosecha Mensual]]</f>
        <v>9.9290802105915148</v>
      </c>
      <c r="I2212">
        <f>H2212*_xlfn.XLOOKUP(Tabla2[[#This Row],[Unidad de producción]],Tabla3[Medida],Tabla3[Equivalencia en Kg],"ELVIS",0)</f>
        <v>450.38307835243108</v>
      </c>
      <c r="J2212">
        <v>296.357142857143</v>
      </c>
      <c r="K2212" t="s">
        <v>18</v>
      </c>
      <c r="L2212">
        <f>J2212/_xlfn.XLOOKUP(Tabla2[[#This Row],[Unidad de precio]],Tabla3[Medida],Tabla3[Equivalencia en Kg],"ELVIS",0)</f>
        <v>6.5334467120181436</v>
      </c>
      <c r="M2212">
        <v>5153.8888283303804</v>
      </c>
      <c r="N2212" s="2">
        <f>(Tabla2[[#This Row],[Productividad (kg/TAS)]]*Tabla2[[#This Row],[Precio por kg]]-Tabla2[[#This Row],[Costos (En RD$/Tarea)]])</f>
        <v>-2211.3349859200794</v>
      </c>
      <c r="O2212" s="6">
        <f>IF(Tabla2[[#This Row],[Costos (En RD$/Tarea)]]=0,0,Tabla2[[#This Row],[Beneficio Neto  (En RD$/Tarea)]]/Tabla2[[#This Row],[Costos (En RD$/Tarea)]])</f>
        <v>-0.42906144458619389</v>
      </c>
      <c r="P2212" s="4">
        <f>Tabla2[[#This Row],[Rentabilidad (%)]]/12</f>
        <v>-3.5755120382182821E-2</v>
      </c>
    </row>
    <row r="2213" spans="1:16" x14ac:dyDescent="0.35">
      <c r="A2213" s="1">
        <v>42125</v>
      </c>
      <c r="B2213" t="s">
        <v>22</v>
      </c>
      <c r="C2213" s="2">
        <v>4309</v>
      </c>
      <c r="D2213" s="5" t="s">
        <v>17</v>
      </c>
      <c r="E2213" s="2">
        <f>IF(Tabla2[[#This Row],[Frecuencia]]="Annual", Tabla2[[#This Row],[Cosecha/Tarea]]/12,Tabla2[[#This Row],[Cosecha/Tarea]])</f>
        <v>4309</v>
      </c>
      <c r="F2213" s="2">
        <v>42273</v>
      </c>
      <c r="G2213" t="s">
        <v>18</v>
      </c>
      <c r="H2213">
        <f>F2213/Tabla2[[#This Row],[Cosecha Mensual]]</f>
        <v>9.8103968438152709</v>
      </c>
      <c r="I2213">
        <f>H2213*_xlfn.XLOOKUP(Tabla2[[#This Row],[Unidad de producción]],Tabla3[Medida],Tabla3[Equivalencia en Kg],"ELVIS",0)</f>
        <v>444.99960083546068</v>
      </c>
      <c r="J2213">
        <v>1177.8125</v>
      </c>
      <c r="K2213" t="s">
        <v>18</v>
      </c>
      <c r="L2213">
        <f>J2213/_xlfn.XLOOKUP(Tabla2[[#This Row],[Unidad de precio]],Tabla3[Medida],Tabla3[Equivalencia en Kg],"ELVIS",0)</f>
        <v>25.965884038800706</v>
      </c>
      <c r="M2213">
        <v>9360.0920089845204</v>
      </c>
      <c r="N2213" s="2">
        <f>(Tabla2[[#This Row],[Productividad (kg/TAS)]]*Tabla2[[#This Row],[Precio por kg]]-Tabla2[[#This Row],[Costos (En RD$/Tarea)]])</f>
        <v>2194.7160236216532</v>
      </c>
      <c r="O2213" s="6">
        <f>IF(Tabla2[[#This Row],[Costos (En RD$/Tarea)]]=0,0,Tabla2[[#This Row],[Beneficio Neto  (En RD$/Tarea)]]/Tabla2[[#This Row],[Costos (En RD$/Tarea)]])</f>
        <v>0.23447590274913963</v>
      </c>
      <c r="P2213" s="4">
        <f>Tabla2[[#This Row],[Rentabilidad (%)]]/12</f>
        <v>1.9539658562428303E-2</v>
      </c>
    </row>
    <row r="2214" spans="1:16" x14ac:dyDescent="0.35">
      <c r="A2214" s="1">
        <v>42125</v>
      </c>
      <c r="B2214" t="s">
        <v>23</v>
      </c>
      <c r="C2214" s="2">
        <v>4320</v>
      </c>
      <c r="D2214" s="5" t="s">
        <v>17</v>
      </c>
      <c r="E2214" s="2">
        <f>IF(Tabla2[[#This Row],[Frecuencia]]="Annual", Tabla2[[#This Row],[Cosecha/Tarea]]/12,Tabla2[[#This Row],[Cosecha/Tarea]])</f>
        <v>4320</v>
      </c>
      <c r="F2214" s="2">
        <v>172014</v>
      </c>
      <c r="G2214" t="s">
        <v>18</v>
      </c>
      <c r="H2214">
        <f>F2214/Tabla2[[#This Row],[Cosecha Mensual]]</f>
        <v>39.818055555555553</v>
      </c>
      <c r="I2214">
        <f>H2214*_xlfn.XLOOKUP(Tabla2[[#This Row],[Unidad de producción]],Tabla3[Medida],Tabla3[Equivalencia en Kg],"ELVIS",0)</f>
        <v>1806.1469999999999</v>
      </c>
      <c r="J2214">
        <v>898.96</v>
      </c>
      <c r="K2214" t="s">
        <v>18</v>
      </c>
      <c r="L2214">
        <f>J2214/_xlfn.XLOOKUP(Tabla2[[#This Row],[Unidad de precio]],Tabla3[Medida],Tabla3[Equivalencia en Kg],"ELVIS",0)</f>
        <v>19.818342151675488</v>
      </c>
      <c r="M2214">
        <v>25505.193937477801</v>
      </c>
      <c r="N2214" s="2">
        <f>(Tabla2[[#This Row],[Productividad (kg/TAS)]]*Tabla2[[#This Row],[Precio por kg]]-Tabla2[[#This Row],[Costos (En RD$/Tarea)]])</f>
        <v>10289.645284744423</v>
      </c>
      <c r="O2214" s="6">
        <f>IF(Tabla2[[#This Row],[Costos (En RD$/Tarea)]]=0,0,Tabla2[[#This Row],[Beneficio Neto  (En RD$/Tarea)]]/Tabla2[[#This Row],[Costos (En RD$/Tarea)]])</f>
        <v>0.40343332851998548</v>
      </c>
      <c r="P2214" s="4">
        <f>Tabla2[[#This Row],[Rentabilidad (%)]]/12</f>
        <v>3.3619444043332121E-2</v>
      </c>
    </row>
    <row r="2215" spans="1:16" x14ac:dyDescent="0.35">
      <c r="A2215" s="1">
        <v>42125</v>
      </c>
      <c r="B2215" t="s">
        <v>24</v>
      </c>
      <c r="C2215" s="2">
        <v>5114</v>
      </c>
      <c r="D2215" s="5" t="s">
        <v>17</v>
      </c>
      <c r="E2215" s="2">
        <f>IF(Tabla2[[#This Row],[Frecuencia]]="Annual", Tabla2[[#This Row],[Cosecha/Tarea]]/12,Tabla2[[#This Row],[Cosecha/Tarea]])</f>
        <v>5114</v>
      </c>
      <c r="F2215" s="2">
        <v>37544</v>
      </c>
      <c r="G2215" t="s">
        <v>18</v>
      </c>
      <c r="H2215">
        <f>F2215/Tabla2[[#This Row],[Cosecha Mensual]]</f>
        <v>7.3414157215486897</v>
      </c>
      <c r="I2215">
        <f>H2215*_xlfn.XLOOKUP(Tabla2[[#This Row],[Unidad de producción]],Tabla3[Medida],Tabla3[Equivalencia en Kg],"ELVIS",0)</f>
        <v>333.00661712944856</v>
      </c>
      <c r="J2215">
        <v>1447.5104166666699</v>
      </c>
      <c r="K2215" t="s">
        <v>18</v>
      </c>
      <c r="L2215">
        <f>J2215/_xlfn.XLOOKUP(Tabla2[[#This Row],[Unidad de precio]],Tabla3[Medida],Tabla3[Equivalencia en Kg],"ELVIS",0)</f>
        <v>31.911605305702601</v>
      </c>
      <c r="M2215">
        <v>9240.5655642007696</v>
      </c>
      <c r="N2215" s="2">
        <f>(Tabla2[[#This Row],[Productividad (kg/TAS)]]*Tabla2[[#This Row],[Precio por kg]]-Tabla2[[#This Row],[Costos (En RD$/Tarea)]])</f>
        <v>1386.210165821416</v>
      </c>
      <c r="O2215" s="6">
        <f>IF(Tabla2[[#This Row],[Costos (En RD$/Tarea)]]=0,0,Tabla2[[#This Row],[Beneficio Neto  (En RD$/Tarea)]]/Tabla2[[#This Row],[Costos (En RD$/Tarea)]])</f>
        <v>0.15001356315156575</v>
      </c>
      <c r="P2215" s="4">
        <f>Tabla2[[#This Row],[Rentabilidad (%)]]/12</f>
        <v>1.2501130262630479E-2</v>
      </c>
    </row>
    <row r="2216" spans="1:16" x14ac:dyDescent="0.35">
      <c r="A2216" s="1">
        <v>42125</v>
      </c>
      <c r="B2216" t="s">
        <v>25</v>
      </c>
      <c r="C2216" s="2">
        <v>30244</v>
      </c>
      <c r="D2216" s="5" t="s">
        <v>17</v>
      </c>
      <c r="E2216" s="2">
        <f>IF(Tabla2[[#This Row],[Frecuencia]]="Annual", Tabla2[[#This Row],[Cosecha/Tarea]]/12,Tabla2[[#This Row],[Cosecha/Tarea]])</f>
        <v>30244</v>
      </c>
      <c r="F2216" s="2">
        <v>289544</v>
      </c>
      <c r="G2216" t="s">
        <v>18</v>
      </c>
      <c r="H2216">
        <f>F2216/Tabla2[[#This Row],[Cosecha Mensual]]</f>
        <v>9.5736013754794342</v>
      </c>
      <c r="I2216">
        <f>H2216*_xlfn.XLOOKUP(Tabla2[[#This Row],[Unidad de producción]],Tabla3[Medida],Tabla3[Equivalencia en Kg],"ELVIS",0)</f>
        <v>434.25855839174716</v>
      </c>
      <c r="J2216">
        <v>459.97500000000002</v>
      </c>
      <c r="K2216" t="s">
        <v>18</v>
      </c>
      <c r="L2216">
        <f>J2216/_xlfn.XLOOKUP(Tabla2[[#This Row],[Unidad de precio]],Tabla3[Medida],Tabla3[Equivalencia en Kg],"ELVIS",0)</f>
        <v>10.140542328042329</v>
      </c>
      <c r="M2216">
        <v>5033.4530378825102</v>
      </c>
      <c r="N2216" s="2">
        <f>(Tabla2[[#This Row],[Productividad (kg/TAS)]]*Tabla2[[#This Row],[Precio por kg]]-Tabla2[[#This Row],[Costos (En RD$/Tarea)]])</f>
        <v>-629.83574519635658</v>
      </c>
      <c r="O2216" s="6">
        <f>IF(Tabla2[[#This Row],[Costos (En RD$/Tarea)]]=0,0,Tabla2[[#This Row],[Beneficio Neto  (En RD$/Tarea)]]/Tabla2[[#This Row],[Costos (En RD$/Tarea)]])</f>
        <v>-0.12512995362351051</v>
      </c>
      <c r="P2216" s="4">
        <f>Tabla2[[#This Row],[Rentabilidad (%)]]/12</f>
        <v>-1.0427496135292542E-2</v>
      </c>
    </row>
    <row r="2217" spans="1:16" x14ac:dyDescent="0.35">
      <c r="A2217" s="1">
        <v>42125</v>
      </c>
      <c r="B2217" t="s">
        <v>26</v>
      </c>
      <c r="C2217" s="2">
        <v>6854</v>
      </c>
      <c r="D2217" s="5" t="s">
        <v>17</v>
      </c>
      <c r="E2217" s="2">
        <f>IF(Tabla2[[#This Row],[Frecuencia]]="Annual", Tabla2[[#This Row],[Cosecha/Tarea]]/12,Tabla2[[#This Row],[Cosecha/Tarea]])</f>
        <v>6854</v>
      </c>
      <c r="F2217" s="2">
        <v>44100</v>
      </c>
      <c r="G2217" t="s">
        <v>18</v>
      </c>
      <c r="H2217">
        <f>F2217/Tabla2[[#This Row],[Cosecha Mensual]]</f>
        <v>6.4341990078786111</v>
      </c>
      <c r="I2217">
        <f>H2217*_xlfn.XLOOKUP(Tabla2[[#This Row],[Unidad de producción]],Tabla3[Medida],Tabla3[Equivalencia en Kg],"ELVIS",0)</f>
        <v>291.8552669973738</v>
      </c>
      <c r="J2217">
        <v>784.7</v>
      </c>
      <c r="K2217" t="s">
        <v>18</v>
      </c>
      <c r="L2217">
        <f>J2217/_xlfn.XLOOKUP(Tabla2[[#This Row],[Unidad de precio]],Tabla3[Medida],Tabla3[Equivalencia en Kg],"ELVIS",0)</f>
        <v>17.299382716049383</v>
      </c>
      <c r="M2217">
        <v>2123.3608896042601</v>
      </c>
      <c r="N2217" s="2">
        <f>(Tabla2[[#This Row],[Productividad (kg/TAS)]]*Tabla2[[#This Row],[Precio por kg]]-Tabla2[[#This Row],[Costos (En RD$/Tarea)]])</f>
        <v>2925.5550718780864</v>
      </c>
      <c r="O2217" s="6">
        <f>IF(Tabla2[[#This Row],[Costos (En RD$/Tarea)]]=0,0,Tabla2[[#This Row],[Beneficio Neto  (En RD$/Tarea)]]/Tabla2[[#This Row],[Costos (En RD$/Tarea)]])</f>
        <v>1.3777945549441362</v>
      </c>
      <c r="P2217" s="4">
        <f>Tabla2[[#This Row],[Rentabilidad (%)]]/12</f>
        <v>0.11481621291201134</v>
      </c>
    </row>
    <row r="2218" spans="1:16" x14ac:dyDescent="0.35">
      <c r="A2218" s="1">
        <v>42125</v>
      </c>
      <c r="B2218" t="s">
        <v>27</v>
      </c>
      <c r="C2218" s="2">
        <v>3421</v>
      </c>
      <c r="D2218" s="5" t="s">
        <v>17</v>
      </c>
      <c r="E2218" s="2">
        <f>IF(Tabla2[[#This Row],[Frecuencia]]="Annual", Tabla2[[#This Row],[Cosecha/Tarea]]/12,Tabla2[[#This Row],[Cosecha/Tarea]])</f>
        <v>3421</v>
      </c>
      <c r="F2218" s="2">
        <v>32013.999999999902</v>
      </c>
      <c r="G2218" t="s">
        <v>18</v>
      </c>
      <c r="H2218">
        <f>F2218/Tabla2[[#This Row],[Cosecha Mensual]]</f>
        <v>9.3580824320373868</v>
      </c>
      <c r="I2218">
        <f>H2218*_xlfn.XLOOKUP(Tabla2[[#This Row],[Unidad de producción]],Tabla3[Medida],Tabla3[Equivalencia en Kg],"ELVIS",0)</f>
        <v>424.48261911721585</v>
      </c>
      <c r="J2218">
        <v>749.28571428571399</v>
      </c>
      <c r="K2218" t="s">
        <v>18</v>
      </c>
      <c r="L2218">
        <f>J2218/_xlfn.XLOOKUP(Tabla2[[#This Row],[Unidad de precio]],Tabla3[Medida],Tabla3[Equivalencia en Kg],"ELVIS",0)</f>
        <v>16.518644494834966</v>
      </c>
      <c r="M2218">
        <v>8682.6925456059998</v>
      </c>
      <c r="N2218" s="2">
        <f>(Tabla2[[#This Row],[Productividad (kg/TAS)]]*Tabla2[[#This Row],[Precio por kg]]-Tabla2[[#This Row],[Costos (En RD$/Tarea)]])</f>
        <v>-1670.8150661722748</v>
      </c>
      <c r="O2218" s="6">
        <f>IF(Tabla2[[#This Row],[Costos (En RD$/Tarea)]]=0,0,Tabla2[[#This Row],[Beneficio Neto  (En RD$/Tarea)]]/Tabla2[[#This Row],[Costos (En RD$/Tarea)]])</f>
        <v>-0.19243052283566284</v>
      </c>
      <c r="P2218" s="4">
        <f>Tabla2[[#This Row],[Rentabilidad (%)]]/12</f>
        <v>-1.6035876902971903E-2</v>
      </c>
    </row>
    <row r="2219" spans="1:16" x14ac:dyDescent="0.35">
      <c r="A2219" s="1">
        <v>42125</v>
      </c>
      <c r="B2219" t="s">
        <v>28</v>
      </c>
      <c r="C2219" s="2">
        <v>11024</v>
      </c>
      <c r="D2219" s="5" t="s">
        <v>17</v>
      </c>
      <c r="E2219" s="2">
        <f>IF(Tabla2[[#This Row],[Frecuencia]]="Annual", Tabla2[[#This Row],[Cosecha/Tarea]]/12,Tabla2[[#This Row],[Cosecha/Tarea]])</f>
        <v>11024</v>
      </c>
      <c r="F2219" s="2">
        <v>131844</v>
      </c>
      <c r="G2219" t="s">
        <v>18</v>
      </c>
      <c r="H2219">
        <f>F2219/Tabla2[[#This Row],[Cosecha Mensual]]</f>
        <v>11.959724238026125</v>
      </c>
      <c r="I2219">
        <f>H2219*_xlfn.XLOOKUP(Tabla2[[#This Row],[Unidad de producción]],Tabla3[Medida],Tabla3[Equivalencia en Kg],"ELVIS",0)</f>
        <v>542.49309143686503</v>
      </c>
      <c r="J2219">
        <v>10960.65</v>
      </c>
      <c r="K2219" t="s">
        <v>29</v>
      </c>
      <c r="L2219">
        <f>J2219/_xlfn.XLOOKUP(Tabla2[[#This Row],[Unidad de precio]],Tabla3[Medida],Tabla3[Equivalencia en Kg],"ELVIS",0)</f>
        <v>19.491144147668667</v>
      </c>
      <c r="M2219">
        <v>7427.3786743830897</v>
      </c>
      <c r="N2219" s="2">
        <f>(Tabla2[[#This Row],[Productividad (kg/TAS)]]*Tabla2[[#This Row],[Precio por kg]]-Tabla2[[#This Row],[Costos (En RD$/Tarea)]])</f>
        <v>3146.4323699272445</v>
      </c>
      <c r="O2219" s="6">
        <f>IF(Tabla2[[#This Row],[Costos (En RD$/Tarea)]]=0,0,Tabla2[[#This Row],[Beneficio Neto  (En RD$/Tarea)]]/Tabla2[[#This Row],[Costos (En RD$/Tarea)]])</f>
        <v>0.42362622236822789</v>
      </c>
      <c r="P2219" s="4">
        <f>Tabla2[[#This Row],[Rentabilidad (%)]]/12</f>
        <v>3.5302185197352322E-2</v>
      </c>
    </row>
    <row r="2220" spans="1:16" x14ac:dyDescent="0.35">
      <c r="A2220" s="1">
        <v>42125</v>
      </c>
      <c r="B2220" t="s">
        <v>30</v>
      </c>
      <c r="C2220" s="2">
        <v>432100</v>
      </c>
      <c r="D2220" s="2" t="s">
        <v>31</v>
      </c>
      <c r="E2220" s="2">
        <f>IF(Tabla2[[#This Row],[Frecuencia]]="Annual", Tabla2[[#This Row],[Cosecha/Tarea]]/12,Tabla2[[#This Row],[Cosecha/Tarea]])</f>
        <v>36008.333333333336</v>
      </c>
      <c r="F2220" s="2">
        <v>1967433.6</v>
      </c>
      <c r="G2220" t="s">
        <v>18</v>
      </c>
      <c r="H2220">
        <f>F2220/Tabla2[[#This Row],[Cosecha Mensual]]</f>
        <v>54.638285582041192</v>
      </c>
      <c r="I2220">
        <f>H2220*_xlfn.XLOOKUP(Tabla2[[#This Row],[Unidad de producción]],Tabla3[Medida],Tabla3[Equivalencia en Kg],"ELVIS",0)</f>
        <v>2478.3926340013886</v>
      </c>
      <c r="J2220">
        <v>138.59375</v>
      </c>
      <c r="K2220" t="s">
        <v>32</v>
      </c>
      <c r="L2220">
        <f>J2220/_xlfn.XLOOKUP(Tabla2[[#This Row],[Unidad de precio]],Tabla3[Medida],Tabla3[Equivalencia en Kg],"ELVIS",0)</f>
        <v>5.0934858507901506</v>
      </c>
      <c r="M2220" s="2">
        <v>22429.7248632058</v>
      </c>
      <c r="N2220" s="2">
        <f>(Tabla2[[#This Row],[Productividad (kg/TAS)]]*Tabla2[[#This Row],[Precio por kg]]-Tabla2[[#This Row],[Costos (En RD$/Tarea)]])</f>
        <v>-9806.0670492171939</v>
      </c>
      <c r="O2220" s="6">
        <f>IF(Tabla2[[#This Row],[Costos (En RD$/Tarea)]]=0,0,Tabla2[[#This Row],[Beneficio Neto  (En RD$/Tarea)]]/Tabla2[[#This Row],[Costos (En RD$/Tarea)]])</f>
        <v>-0.43719069712278441</v>
      </c>
      <c r="P2220" s="4">
        <f>Tabla2[[#This Row],[Rentabilidad (%)]]/12</f>
        <v>-3.6432558093565368E-2</v>
      </c>
    </row>
    <row r="2221" spans="1:16" x14ac:dyDescent="0.35">
      <c r="A2221" s="1">
        <v>42125</v>
      </c>
      <c r="B2221" t="s">
        <v>33</v>
      </c>
      <c r="C2221" s="2">
        <v>712544</v>
      </c>
      <c r="D2221" s="2" t="s">
        <v>31</v>
      </c>
      <c r="E2221" s="8">
        <f>IF(Tabla2[[#This Row],[Frecuencia]]="Annual", Tabla2[[#This Row],[Cosecha/Tarea]]/12,Tabla2[[#This Row],[Cosecha/Tarea]])</f>
        <v>59378.666666666664</v>
      </c>
      <c r="F2221" s="2">
        <v>2020689</v>
      </c>
      <c r="G2221" t="s">
        <v>18</v>
      </c>
      <c r="H2221">
        <f>F2221/Tabla2[[#This Row],[Cosecha Mensual]]</f>
        <v>34.030555306058297</v>
      </c>
      <c r="I2221">
        <f>H2221*_xlfn.XLOOKUP(Tabla2[[#This Row],[Unidad de producción]],Tabla3[Medida],Tabla3[Equivalencia en Kg],"ELVIS",0)</f>
        <v>1543.6259886828043</v>
      </c>
      <c r="J2221">
        <v>5449.9375</v>
      </c>
      <c r="K2221" t="s">
        <v>34</v>
      </c>
      <c r="L2221">
        <f>J2221/_xlfn.XLOOKUP(Tabla2[[#This Row],[Unidad de precio]],Tabla3[Medida],Tabla3[Equivalencia en Kg],"ELVIS",0)</f>
        <v>13.352780840377314</v>
      </c>
      <c r="M2221" s="2">
        <v>16317.7474581161</v>
      </c>
      <c r="N2221" s="2">
        <f>(Tabla2[[#This Row],[Productividad (kg/TAS)]]*Tabla2[[#This Row],[Precio por kg]]-Tabla2[[#This Row],[Costos (En RD$/Tarea)]])</f>
        <v>4293.9520682761358</v>
      </c>
      <c r="O2221" s="6">
        <f>IF(Tabla2[[#This Row],[Costos (En RD$/Tarea)]]=0,0,Tabla2[[#This Row],[Beneficio Neto  (En RD$/Tarea)]]/Tabla2[[#This Row],[Costos (En RD$/Tarea)]])</f>
        <v>0.26314612842843177</v>
      </c>
      <c r="P2221" s="4">
        <f>Tabla2[[#This Row],[Rentabilidad (%)]]/12</f>
        <v>2.1928844035702649E-2</v>
      </c>
    </row>
    <row r="2222" spans="1:16" x14ac:dyDescent="0.35">
      <c r="A2222" s="1">
        <v>42156</v>
      </c>
      <c r="B2222" t="s">
        <v>16</v>
      </c>
      <c r="C2222" s="2">
        <v>168957</v>
      </c>
      <c r="D2222" s="5" t="s">
        <v>17</v>
      </c>
      <c r="E2222" s="2">
        <f>IF(Tabla2[[#This Row],[Frecuencia]]="Annual", Tabla2[[#This Row],[Cosecha/Tarea]]/12,Tabla2[[#This Row],[Cosecha/Tarea]])</f>
        <v>168957</v>
      </c>
      <c r="F2222" s="2">
        <v>814397</v>
      </c>
      <c r="G2222" t="s">
        <v>18</v>
      </c>
      <c r="H2222">
        <f>F2222/Tabla2[[#This Row],[Cosecha Mensual]]</f>
        <v>4.8201435868297855</v>
      </c>
      <c r="I2222">
        <f>H2222*_xlfn.XLOOKUP(Tabla2[[#This Row],[Unidad de producción]],Tabla3[Medida],Tabla3[Equivalencia en Kg],"ELVIS",0)</f>
        <v>218.64171309859907</v>
      </c>
      <c r="J2222">
        <v>1930.7098765432099</v>
      </c>
      <c r="K2222" t="s">
        <v>19</v>
      </c>
      <c r="L2222">
        <f>J2222/_xlfn.XLOOKUP(Tabla2[[#This Row],[Unidad de precio]],Tabla3[Medida],Tabla3[Equivalencia en Kg],"ELVIS",0)</f>
        <v>17.551907968574636</v>
      </c>
      <c r="M2222">
        <v>7019.0666646612499</v>
      </c>
      <c r="N2222" s="2">
        <f>(Tabla2[[#This Row],[Productividad (kg/TAS)]]*Tabla2[[#This Row],[Precio por kg]]-Tabla2[[#This Row],[Costos (En RD$/Tarea)]])</f>
        <v>-3181.4874382631397</v>
      </c>
      <c r="O2222" s="6">
        <f>IF(Tabla2[[#This Row],[Costos (En RD$/Tarea)]]=0,0,Tabla2[[#This Row],[Beneficio Neto  (En RD$/Tarea)]]/Tabla2[[#This Row],[Costos (En RD$/Tarea)]])</f>
        <v>-0.45326360188041936</v>
      </c>
      <c r="P2222" s="4">
        <f>Tabla2[[#This Row],[Rentabilidad (%)]]/12</f>
        <v>-3.777196682336828E-2</v>
      </c>
    </row>
    <row r="2223" spans="1:16" x14ac:dyDescent="0.35">
      <c r="A2223" s="1">
        <v>42156</v>
      </c>
      <c r="B2223" t="s">
        <v>20</v>
      </c>
      <c r="C2223" s="2">
        <v>32101</v>
      </c>
      <c r="D2223" s="5" t="s">
        <v>17</v>
      </c>
      <c r="E2223" s="2">
        <f>IF(Tabla2[[#This Row],[Frecuencia]]="Annual", Tabla2[[#This Row],[Cosecha/Tarea]]/12,Tabla2[[#This Row],[Cosecha/Tarea]])</f>
        <v>32101</v>
      </c>
      <c r="F2223" s="2">
        <v>75854</v>
      </c>
      <c r="G2223" t="s">
        <v>18</v>
      </c>
      <c r="H2223">
        <f>F2223/Tabla2[[#This Row],[Cosecha Mensual]]</f>
        <v>2.3629793464378057</v>
      </c>
      <c r="I2223">
        <f>H2223*_xlfn.XLOOKUP(Tabla2[[#This Row],[Unidad de producción]],Tabla3[Medida],Tabla3[Equivalencia en Kg],"ELVIS",0)</f>
        <v>107.18474315441887</v>
      </c>
      <c r="J2223">
        <v>864.42833333333294</v>
      </c>
      <c r="K2223" t="s">
        <v>18</v>
      </c>
      <c r="L2223">
        <f>J2223/_xlfn.XLOOKUP(Tabla2[[#This Row],[Unidad de precio]],Tabla3[Medida],Tabla3[Equivalencia en Kg],"ELVIS",0)</f>
        <v>19.057062022339792</v>
      </c>
      <c r="M2223">
        <v>2574.5849057760001</v>
      </c>
      <c r="N2223" s="2">
        <f>(Tabla2[[#This Row],[Productividad (kg/TAS)]]*Tabla2[[#This Row],[Precio por kg]]-Tabla2[[#This Row],[Costos (En RD$/Tarea)]])</f>
        <v>-531.95860763367932</v>
      </c>
      <c r="O2223" s="6">
        <f>IF(Tabla2[[#This Row],[Costos (En RD$/Tarea)]]=0,0,Tabla2[[#This Row],[Beneficio Neto  (En RD$/Tarea)]]/Tabla2[[#This Row],[Costos (En RD$/Tarea)]])</f>
        <v>-0.20661917439205324</v>
      </c>
      <c r="P2223" s="4">
        <f>Tabla2[[#This Row],[Rentabilidad (%)]]/12</f>
        <v>-1.7218264532671102E-2</v>
      </c>
    </row>
    <row r="2224" spans="1:16" x14ac:dyDescent="0.35">
      <c r="A2224" s="1">
        <v>42156</v>
      </c>
      <c r="B2224" t="s">
        <v>21</v>
      </c>
      <c r="C2224" s="2">
        <v>6895</v>
      </c>
      <c r="D2224" s="5" t="s">
        <v>17</v>
      </c>
      <c r="E2224" s="2">
        <f>IF(Tabla2[[#This Row],[Frecuencia]]="Annual", Tabla2[[#This Row],[Cosecha/Tarea]]/12,Tabla2[[#This Row],[Cosecha/Tarea]])</f>
        <v>6895</v>
      </c>
      <c r="F2224" s="2">
        <v>79852</v>
      </c>
      <c r="G2224" t="s">
        <v>18</v>
      </c>
      <c r="H2224">
        <f>F2224/Tabla2[[#This Row],[Cosecha Mensual]]</f>
        <v>11.581145757795504</v>
      </c>
      <c r="I2224">
        <f>H2224*_xlfn.XLOOKUP(Tabla2[[#This Row],[Unidad de producción]],Tabla3[Medida],Tabla3[Equivalencia en Kg],"ELVIS",0)</f>
        <v>525.32077157360402</v>
      </c>
      <c r="J2224">
        <v>324.44150000000002</v>
      </c>
      <c r="K2224" t="s">
        <v>18</v>
      </c>
      <c r="L2224">
        <f>J2224/_xlfn.XLOOKUP(Tabla2[[#This Row],[Unidad de precio]],Tabla3[Medida],Tabla3[Equivalencia en Kg],"ELVIS",0)</f>
        <v>7.1525903880070549</v>
      </c>
      <c r="M2224">
        <v>5153.8888283303804</v>
      </c>
      <c r="N2224" s="2">
        <f>(Tabla2[[#This Row],[Productividad (kg/TAS)]]*Tabla2[[#This Row],[Precio por kg]]-Tabla2[[#This Row],[Costos (En RD$/Tarea)]])</f>
        <v>-1396.4845269525704</v>
      </c>
      <c r="O2224" s="6">
        <f>IF(Tabla2[[#This Row],[Costos (En RD$/Tarea)]]=0,0,Tabla2[[#This Row],[Beneficio Neto  (En RD$/Tarea)]]/Tabla2[[#This Row],[Costos (En RD$/Tarea)]])</f>
        <v>-0.27095744077292527</v>
      </c>
      <c r="P2224" s="4">
        <f>Tabla2[[#This Row],[Rentabilidad (%)]]/12</f>
        <v>-2.2579786731077106E-2</v>
      </c>
    </row>
    <row r="2225" spans="1:16" x14ac:dyDescent="0.35">
      <c r="A2225" s="1">
        <v>42156</v>
      </c>
      <c r="B2225" t="s">
        <v>22</v>
      </c>
      <c r="C2225" s="2">
        <v>5201</v>
      </c>
      <c r="D2225" s="5" t="s">
        <v>17</v>
      </c>
      <c r="E2225" s="2">
        <f>IF(Tabla2[[#This Row],[Frecuencia]]="Annual", Tabla2[[#This Row],[Cosecha/Tarea]]/12,Tabla2[[#This Row],[Cosecha/Tarea]])</f>
        <v>5201</v>
      </c>
      <c r="F2225" s="2">
        <v>40114</v>
      </c>
      <c r="G2225" t="s">
        <v>18</v>
      </c>
      <c r="H2225">
        <f>F2225/Tabla2[[#This Row],[Cosecha Mensual]]</f>
        <v>7.7127475485483563</v>
      </c>
      <c r="I2225">
        <f>H2225*_xlfn.XLOOKUP(Tabla2[[#This Row],[Unidad de producción]],Tabla3[Medida],Tabla3[Equivalencia en Kg],"ELVIS",0)</f>
        <v>349.85022880215342</v>
      </c>
      <c r="J2225">
        <v>1136.875</v>
      </c>
      <c r="K2225" t="s">
        <v>18</v>
      </c>
      <c r="L2225">
        <f>J2225/_xlfn.XLOOKUP(Tabla2[[#This Row],[Unidad de precio]],Tabla3[Medida],Tabla3[Equivalencia en Kg],"ELVIS",0)</f>
        <v>25.063381834215168</v>
      </c>
      <c r="M2225">
        <v>9360.0920089845204</v>
      </c>
      <c r="N2225" s="2">
        <f>(Tabla2[[#This Row],[Productividad (kg/TAS)]]*Tabla2[[#This Row],[Precio por kg]]-Tabla2[[#This Row],[Costos (En RD$/Tarea)]])</f>
        <v>-591.66213972860896</v>
      </c>
      <c r="O2225" s="6">
        <f>IF(Tabla2[[#This Row],[Costos (En RD$/Tarea)]]=0,0,Tabla2[[#This Row],[Beneficio Neto  (En RD$/Tarea)]]/Tabla2[[#This Row],[Costos (En RD$/Tarea)]])</f>
        <v>-6.3211145698213983E-2</v>
      </c>
      <c r="P2225" s="4">
        <f>Tabla2[[#This Row],[Rentabilidad (%)]]/12</f>
        <v>-5.2675954748511652E-3</v>
      </c>
    </row>
    <row r="2226" spans="1:16" x14ac:dyDescent="0.35">
      <c r="A2226" s="1">
        <v>42156</v>
      </c>
      <c r="B2226" t="s">
        <v>23</v>
      </c>
      <c r="C2226" s="2">
        <v>2704</v>
      </c>
      <c r="D2226" s="5" t="s">
        <v>17</v>
      </c>
      <c r="E2226" s="2">
        <f>IF(Tabla2[[#This Row],[Frecuencia]]="Annual", Tabla2[[#This Row],[Cosecha/Tarea]]/12,Tabla2[[#This Row],[Cosecha/Tarea]])</f>
        <v>2704</v>
      </c>
      <c r="F2226" s="2">
        <v>101635</v>
      </c>
      <c r="G2226" t="s">
        <v>18</v>
      </c>
      <c r="H2226">
        <f>F2226/Tabla2[[#This Row],[Cosecha Mensual]]</f>
        <v>37.586908284023671</v>
      </c>
      <c r="I2226">
        <f>H2226*_xlfn.XLOOKUP(Tabla2[[#This Row],[Unidad de producción]],Tabla3[Medida],Tabla3[Equivalencia en Kg],"ELVIS",0)</f>
        <v>1704.9421597633136</v>
      </c>
      <c r="J2226">
        <v>1095.835</v>
      </c>
      <c r="K2226" t="s">
        <v>18</v>
      </c>
      <c r="L2226">
        <f>J2226/_xlfn.XLOOKUP(Tabla2[[#This Row],[Unidad de precio]],Tabla3[Medida],Tabla3[Equivalencia en Kg],"ELVIS",0)</f>
        <v>24.158619929453263</v>
      </c>
      <c r="M2226">
        <v>25505.193937477801</v>
      </c>
      <c r="N2226" s="2">
        <f>(Tabla2[[#This Row],[Productividad (kg/TAS)]]*Tabla2[[#This Row],[Precio por kg]]-Tabla2[[#This Row],[Costos (En RD$/Tarea)]])</f>
        <v>15683.855701945278</v>
      </c>
      <c r="O2226" s="6">
        <f>IF(Tabla2[[#This Row],[Costos (En RD$/Tarea)]]=0,0,Tabla2[[#This Row],[Beneficio Neto  (En RD$/Tarea)]]/Tabla2[[#This Row],[Costos (En RD$/Tarea)]])</f>
        <v>0.61492791391400214</v>
      </c>
      <c r="P2226" s="4">
        <f>Tabla2[[#This Row],[Rentabilidad (%)]]/12</f>
        <v>5.1243992826166845E-2</v>
      </c>
    </row>
    <row r="2227" spans="1:16" x14ac:dyDescent="0.35">
      <c r="A2227" s="1">
        <v>42156</v>
      </c>
      <c r="B2227" t="s">
        <v>24</v>
      </c>
      <c r="C2227" s="2">
        <v>4923</v>
      </c>
      <c r="D2227" s="5" t="s">
        <v>17</v>
      </c>
      <c r="E2227" s="2">
        <f>IF(Tabla2[[#This Row],[Frecuencia]]="Annual", Tabla2[[#This Row],[Cosecha/Tarea]]/12,Tabla2[[#This Row],[Cosecha/Tarea]])</f>
        <v>4923</v>
      </c>
      <c r="F2227" s="2">
        <v>47240</v>
      </c>
      <c r="G2227" t="s">
        <v>18</v>
      </c>
      <c r="H2227">
        <f>F2227/Tabla2[[#This Row],[Cosecha Mensual]]</f>
        <v>9.5957749339833427</v>
      </c>
      <c r="I2227">
        <f>H2227*_xlfn.XLOOKUP(Tabla2[[#This Row],[Unidad de producción]],Tabla3[Medida],Tabla3[Equivalencia en Kg],"ELVIS",0)</f>
        <v>435.2643510054844</v>
      </c>
      <c r="J2227">
        <v>1516.4166666666699</v>
      </c>
      <c r="K2227" t="s">
        <v>18</v>
      </c>
      <c r="L2227">
        <f>J2227/_xlfn.XLOOKUP(Tabla2[[#This Row],[Unidad de precio]],Tabla3[Medida],Tabla3[Equivalencia en Kg],"ELVIS",0)</f>
        <v>33.430702527924822</v>
      </c>
      <c r="M2227">
        <v>9240.5655642007696</v>
      </c>
      <c r="N2227" s="2">
        <f>(Tabla2[[#This Row],[Productividad (kg/TAS)]]*Tabla2[[#This Row],[Precio por kg]]-Tabla2[[#This Row],[Costos (En RD$/Tarea)]])</f>
        <v>5310.6274752738354</v>
      </c>
      <c r="O2227" s="6">
        <f>IF(Tabla2[[#This Row],[Costos (En RD$/Tarea)]]=0,0,Tabla2[[#This Row],[Beneficio Neto  (En RD$/Tarea)]]/Tabla2[[#This Row],[Costos (En RD$/Tarea)]])</f>
        <v>0.57470805638217015</v>
      </c>
      <c r="P2227" s="4">
        <f>Tabla2[[#This Row],[Rentabilidad (%)]]/12</f>
        <v>4.789233803184751E-2</v>
      </c>
    </row>
    <row r="2228" spans="1:16" x14ac:dyDescent="0.35">
      <c r="A2228" s="1">
        <v>42156</v>
      </c>
      <c r="B2228" t="s">
        <v>25</v>
      </c>
      <c r="C2228" s="2">
        <v>27447</v>
      </c>
      <c r="D2228" s="5" t="s">
        <v>17</v>
      </c>
      <c r="E2228" s="2">
        <f>IF(Tabla2[[#This Row],[Frecuencia]]="Annual", Tabla2[[#This Row],[Cosecha/Tarea]]/12,Tabla2[[#This Row],[Cosecha/Tarea]])</f>
        <v>27447</v>
      </c>
      <c r="F2228" s="2">
        <v>259844</v>
      </c>
      <c r="G2228" t="s">
        <v>18</v>
      </c>
      <c r="H2228">
        <f>F2228/Tabla2[[#This Row],[Cosecha Mensual]]</f>
        <v>9.4671184464604519</v>
      </c>
      <c r="I2228">
        <f>H2228*_xlfn.XLOOKUP(Tabla2[[#This Row],[Unidad de producción]],Tabla3[Medida],Tabla3[Equivalencia en Kg],"ELVIS",0)</f>
        <v>429.42849273144611</v>
      </c>
      <c r="J2228">
        <v>863.28125</v>
      </c>
      <c r="K2228" t="s">
        <v>18</v>
      </c>
      <c r="L2228">
        <f>J2228/_xlfn.XLOOKUP(Tabla2[[#This Row],[Unidad de precio]],Tabla3[Medida],Tabla3[Equivalencia en Kg],"ELVIS",0)</f>
        <v>19.031773589065256</v>
      </c>
      <c r="M2228">
        <v>5033.4530378825102</v>
      </c>
      <c r="N2228" s="2">
        <f>(Tabla2[[#This Row],[Productividad (kg/TAS)]]*Tabla2[[#This Row],[Precio por kg]]-Tabla2[[#This Row],[Costos (En RD$/Tarea)]])</f>
        <v>3139.3328084759278</v>
      </c>
      <c r="O2228" s="6">
        <f>IF(Tabla2[[#This Row],[Costos (En RD$/Tarea)]]=0,0,Tabla2[[#This Row],[Beneficio Neto  (En RD$/Tarea)]]/Tabla2[[#This Row],[Costos (En RD$/Tarea)]])</f>
        <v>0.62369367208730186</v>
      </c>
      <c r="P2228" s="4">
        <f>Tabla2[[#This Row],[Rentabilidad (%)]]/12</f>
        <v>5.197447267394182E-2</v>
      </c>
    </row>
    <row r="2229" spans="1:16" x14ac:dyDescent="0.35">
      <c r="A2229" s="1">
        <v>42156</v>
      </c>
      <c r="B2229" t="s">
        <v>26</v>
      </c>
      <c r="C2229" s="2">
        <v>16524</v>
      </c>
      <c r="D2229" s="5" t="s">
        <v>17</v>
      </c>
      <c r="E2229" s="2">
        <f>IF(Tabla2[[#This Row],[Frecuencia]]="Annual", Tabla2[[#This Row],[Cosecha/Tarea]]/12,Tabla2[[#This Row],[Cosecha/Tarea]])</f>
        <v>16524</v>
      </c>
      <c r="F2229" s="2">
        <v>84044</v>
      </c>
      <c r="G2229" t="s">
        <v>18</v>
      </c>
      <c r="H2229">
        <f>F2229/Tabla2[[#This Row],[Cosecha Mensual]]</f>
        <v>5.0861776809489232</v>
      </c>
      <c r="I2229">
        <f>H2229*_xlfn.XLOOKUP(Tabla2[[#This Row],[Unidad de producción]],Tabla3[Medida],Tabla3[Equivalencia en Kg],"ELVIS",0)</f>
        <v>230.70901960784315</v>
      </c>
      <c r="J2229">
        <v>782.36083333333295</v>
      </c>
      <c r="K2229" t="s">
        <v>18</v>
      </c>
      <c r="L2229">
        <f>J2229/_xlfn.XLOOKUP(Tabla2[[#This Row],[Unidad de precio]],Tabla3[Medida],Tabla3[Equivalencia en Kg],"ELVIS",0)</f>
        <v>17.247813786008223</v>
      </c>
      <c r="M2229">
        <v>2123.3608896042601</v>
      </c>
      <c r="N2229" s="2">
        <f>(Tabla2[[#This Row],[Productividad (kg/TAS)]]*Tabla2[[#This Row],[Precio por kg]]-Tabla2[[#This Row],[Costos (En RD$/Tarea)]])</f>
        <v>1855.8653193443383</v>
      </c>
      <c r="O2229" s="6">
        <f>IF(Tabla2[[#This Row],[Costos (En RD$/Tarea)]]=0,0,Tabla2[[#This Row],[Beneficio Neto  (En RD$/Tarea)]]/Tabla2[[#This Row],[Costos (En RD$/Tarea)]])</f>
        <v>0.87402255943888274</v>
      </c>
      <c r="P2229" s="4">
        <f>Tabla2[[#This Row],[Rentabilidad (%)]]/12</f>
        <v>7.2835213286573566E-2</v>
      </c>
    </row>
    <row r="2230" spans="1:16" x14ac:dyDescent="0.35">
      <c r="A2230" s="1">
        <v>42156</v>
      </c>
      <c r="B2230" t="s">
        <v>27</v>
      </c>
      <c r="C2230" s="2">
        <v>6789</v>
      </c>
      <c r="D2230" s="5" t="s">
        <v>17</v>
      </c>
      <c r="E2230" s="2">
        <f>IF(Tabla2[[#This Row],[Frecuencia]]="Annual", Tabla2[[#This Row],[Cosecha/Tarea]]/12,Tabla2[[#This Row],[Cosecha/Tarea]])</f>
        <v>6789</v>
      </c>
      <c r="F2230" s="2">
        <v>38922</v>
      </c>
      <c r="G2230" t="s">
        <v>18</v>
      </c>
      <c r="H2230">
        <f>F2230/Tabla2[[#This Row],[Cosecha Mensual]]</f>
        <v>5.7330976579761375</v>
      </c>
      <c r="I2230">
        <f>H2230*_xlfn.XLOOKUP(Tabla2[[#This Row],[Unidad de producción]],Tabla3[Medida],Tabla3[Equivalencia en Kg],"ELVIS",0)</f>
        <v>260.05330976579756</v>
      </c>
      <c r="J2230">
        <v>704.75625000000002</v>
      </c>
      <c r="K2230" t="s">
        <v>18</v>
      </c>
      <c r="L2230">
        <f>J2230/_xlfn.XLOOKUP(Tabla2[[#This Row],[Unidad de precio]],Tabla3[Medida],Tabla3[Equivalencia en Kg],"ELVIS",0)</f>
        <v>15.536954365079366</v>
      </c>
      <c r="M2230">
        <v>8682.6925456059998</v>
      </c>
      <c r="N2230" s="2">
        <f>(Tabla2[[#This Row],[Productividad (kg/TAS)]]*Tabla2[[#This Row],[Precio por kg]]-Tabla2[[#This Row],[Costos (En RD$/Tarea)]])</f>
        <v>-4642.2561392869547</v>
      </c>
      <c r="O2230" s="6">
        <f>IF(Tabla2[[#This Row],[Costos (En RD$/Tarea)]]=0,0,Tabla2[[#This Row],[Beneficio Neto  (En RD$/Tarea)]]/Tabla2[[#This Row],[Costos (En RD$/Tarea)]])</f>
        <v>-0.53465628489128458</v>
      </c>
      <c r="P2230" s="4">
        <f>Tabla2[[#This Row],[Rentabilidad (%)]]/12</f>
        <v>-4.4554690407607046E-2</v>
      </c>
    </row>
    <row r="2231" spans="1:16" x14ac:dyDescent="0.35">
      <c r="A2231" s="1">
        <v>42156</v>
      </c>
      <c r="B2231" t="s">
        <v>28</v>
      </c>
      <c r="C2231" s="2">
        <v>4298</v>
      </c>
      <c r="D2231" s="5" t="s">
        <v>17</v>
      </c>
      <c r="E2231" s="2">
        <f>IF(Tabla2[[#This Row],[Frecuencia]]="Annual", Tabla2[[#This Row],[Cosecha/Tarea]]/12,Tabla2[[#This Row],[Cosecha/Tarea]])</f>
        <v>4298</v>
      </c>
      <c r="F2231" s="2">
        <v>98196</v>
      </c>
      <c r="G2231" t="s">
        <v>18</v>
      </c>
      <c r="H2231">
        <f>F2231/Tabla2[[#This Row],[Cosecha Mensual]]</f>
        <v>22.846905537459282</v>
      </c>
      <c r="I2231">
        <f>H2231*_xlfn.XLOOKUP(Tabla2[[#This Row],[Unidad de producción]],Tabla3[Medida],Tabla3[Equivalencia en Kg],"ELVIS",0)</f>
        <v>1036.3356351791531</v>
      </c>
      <c r="J2231">
        <v>9043.2000000000007</v>
      </c>
      <c r="K2231" t="s">
        <v>29</v>
      </c>
      <c r="L2231">
        <f>J2231/_xlfn.XLOOKUP(Tabla2[[#This Row],[Unidad de precio]],Tabla3[Medida],Tabla3[Equivalencia en Kg],"ELVIS",0)</f>
        <v>16.081374257566598</v>
      </c>
      <c r="M2231">
        <v>7427.3786743830897</v>
      </c>
      <c r="N2231" s="2">
        <f>(Tabla2[[#This Row],[Productividad (kg/TAS)]]*Tabla2[[#This Row],[Precio por kg]]-Tabla2[[#This Row],[Costos (En RD$/Tarea)]])</f>
        <v>9238.3225313858711</v>
      </c>
      <c r="O2231" s="6">
        <f>IF(Tabla2[[#This Row],[Costos (En RD$/Tarea)]]=0,0,Tabla2[[#This Row],[Beneficio Neto  (En RD$/Tarea)]]/Tabla2[[#This Row],[Costos (En RD$/Tarea)]])</f>
        <v>1.2438200523219178</v>
      </c>
      <c r="P2231" s="4">
        <f>Tabla2[[#This Row],[Rentabilidad (%)]]/12</f>
        <v>0.10365167102682649</v>
      </c>
    </row>
    <row r="2232" spans="1:16" x14ac:dyDescent="0.35">
      <c r="A2232" s="1">
        <v>42156</v>
      </c>
      <c r="B2232" t="s">
        <v>30</v>
      </c>
      <c r="C2232" s="2">
        <v>403054</v>
      </c>
      <c r="D2232" s="2" t="s">
        <v>31</v>
      </c>
      <c r="E2232" s="2">
        <f>IF(Tabla2[[#This Row],[Frecuencia]]="Annual", Tabla2[[#This Row],[Cosecha/Tarea]]/12,Tabla2[[#This Row],[Cosecha/Tarea]])</f>
        <v>33587.833333333336</v>
      </c>
      <c r="F2232" s="2">
        <v>2279103</v>
      </c>
      <c r="G2232" t="s">
        <v>18</v>
      </c>
      <c r="H2232">
        <f>F2232/Tabla2[[#This Row],[Cosecha Mensual]]</f>
        <v>67.855016945620179</v>
      </c>
      <c r="I2232">
        <f>H2232*_xlfn.XLOOKUP(Tabla2[[#This Row],[Unidad de producción]],Tabla3[Medida],Tabla3[Equivalencia en Kg],"ELVIS",0)</f>
        <v>3077.9035686533311</v>
      </c>
      <c r="J2232">
        <v>165.914285714286</v>
      </c>
      <c r="K2232" t="s">
        <v>32</v>
      </c>
      <c r="L2232">
        <f>J2232/_xlfn.XLOOKUP(Tabla2[[#This Row],[Unidad de precio]],Tabla3[Medida],Tabla3[Equivalencia en Kg],"ELVIS",0)</f>
        <v>6.0975481703155454</v>
      </c>
      <c r="M2232" s="2">
        <v>22429.7248632058</v>
      </c>
      <c r="N2232" s="2">
        <f>(Tabla2[[#This Row],[Productividad (kg/TAS)]]*Tabla2[[#This Row],[Precio por kg]]-Tabla2[[#This Row],[Costos (En RD$/Tarea)]])</f>
        <v>-3662.0595897559942</v>
      </c>
      <c r="O2232" s="6">
        <f>IF(Tabla2[[#This Row],[Costos (En RD$/Tarea)]]=0,0,Tabla2[[#This Row],[Beneficio Neto  (En RD$/Tarea)]]/Tabla2[[#This Row],[Costos (En RD$/Tarea)]])</f>
        <v>-0.16326814582390686</v>
      </c>
      <c r="P2232" s="4">
        <f>Tabla2[[#This Row],[Rentabilidad (%)]]/12</f>
        <v>-1.3605678818658906E-2</v>
      </c>
    </row>
    <row r="2233" spans="1:16" x14ac:dyDescent="0.35">
      <c r="A2233" s="1">
        <v>42156</v>
      </c>
      <c r="B2233" t="s">
        <v>33</v>
      </c>
      <c r="C2233" s="2">
        <v>726521</v>
      </c>
      <c r="D2233" s="2" t="s">
        <v>31</v>
      </c>
      <c r="E2233" s="8">
        <f>IF(Tabla2[[#This Row],[Frecuencia]]="Annual", Tabla2[[#This Row],[Cosecha/Tarea]]/12,Tabla2[[#This Row],[Cosecha/Tarea]])</f>
        <v>60543.416666666664</v>
      </c>
      <c r="F2233" s="2">
        <v>1754469</v>
      </c>
      <c r="G2233" t="s">
        <v>18</v>
      </c>
      <c r="H2233">
        <f>F2233/Tabla2[[#This Row],[Cosecha Mensual]]</f>
        <v>28.978691600105162</v>
      </c>
      <c r="I2233">
        <f>H2233*_xlfn.XLOOKUP(Tabla2[[#This Row],[Unidad de producción]],Tabla3[Medida],Tabla3[Equivalencia en Kg],"ELVIS",0)</f>
        <v>1314.4734509807702</v>
      </c>
      <c r="J2233">
        <v>6450.9656249999998</v>
      </c>
      <c r="K2233" t="s">
        <v>34</v>
      </c>
      <c r="L2233">
        <f>J2233/_xlfn.XLOOKUP(Tabla2[[#This Row],[Unidad de precio]],Tabla3[Medida],Tabla3[Equivalencia en Kg],"ELVIS",0)</f>
        <v>15.805379456082322</v>
      </c>
      <c r="M2233" s="2">
        <v>16317.7474581161</v>
      </c>
      <c r="N2233" s="2">
        <f>(Tabla2[[#This Row],[Productividad (kg/TAS)]]*Tabla2[[#This Row],[Precio por kg]]-Tabla2[[#This Row],[Costos (En RD$/Tarea)]])</f>
        <v>4458.0042195809983</v>
      </c>
      <c r="O2233" s="6">
        <f>IF(Tabla2[[#This Row],[Costos (En RD$/Tarea)]]=0,0,Tabla2[[#This Row],[Beneficio Neto  (En RD$/Tarea)]]/Tabla2[[#This Row],[Costos (En RD$/Tarea)]])</f>
        <v>0.27319973121435226</v>
      </c>
      <c r="P2233" s="4">
        <f>Tabla2[[#This Row],[Rentabilidad (%)]]/12</f>
        <v>2.2766644267862689E-2</v>
      </c>
    </row>
    <row r="2234" spans="1:16" x14ac:dyDescent="0.35">
      <c r="A2234" s="1">
        <v>42186</v>
      </c>
      <c r="B2234" t="s">
        <v>16</v>
      </c>
      <c r="C2234" s="2">
        <v>30731</v>
      </c>
      <c r="D2234" s="5" t="s">
        <v>17</v>
      </c>
      <c r="E2234" s="2">
        <f>IF(Tabla2[[#This Row],[Frecuencia]]="Annual", Tabla2[[#This Row],[Cosecha/Tarea]]/12,Tabla2[[#This Row],[Cosecha/Tarea]])</f>
        <v>30731</v>
      </c>
      <c r="F2234" s="2">
        <v>137134</v>
      </c>
      <c r="G2234" t="s">
        <v>18</v>
      </c>
      <c r="H2234">
        <f>F2234/Tabla2[[#This Row],[Cosecha Mensual]]</f>
        <v>4.4623995314177867</v>
      </c>
      <c r="I2234">
        <f>H2234*_xlfn.XLOOKUP(Tabla2[[#This Row],[Unidad de producción]],Tabla3[Medida],Tabla3[Equivalencia en Kg],"ELVIS",0)</f>
        <v>202.41444274511079</v>
      </c>
      <c r="J2234">
        <v>1940.19888888889</v>
      </c>
      <c r="K2234" t="s">
        <v>19</v>
      </c>
      <c r="L2234">
        <f>J2234/_xlfn.XLOOKUP(Tabla2[[#This Row],[Unidad de precio]],Tabla3[Medida],Tabla3[Equivalencia en Kg],"ELVIS",0)</f>
        <v>17.638171717171726</v>
      </c>
      <c r="M2234">
        <v>7019.0666646612499</v>
      </c>
      <c r="N2234" s="2">
        <f>(Tabla2[[#This Row],[Productividad (kg/TAS)]]*Tabla2[[#This Row],[Precio por kg]]-Tabla2[[#This Row],[Costos (En RD$/Tarea)]])</f>
        <v>-3448.8459654873609</v>
      </c>
      <c r="O2234" s="6">
        <f>IF(Tabla2[[#This Row],[Costos (En RD$/Tarea)]]=0,0,Tabla2[[#This Row],[Beneficio Neto  (En RD$/Tarea)]]/Tabla2[[#This Row],[Costos (En RD$/Tarea)]])</f>
        <v>-0.49135392642033088</v>
      </c>
      <c r="P2234" s="4">
        <f>Tabla2[[#This Row],[Rentabilidad (%)]]/12</f>
        <v>-4.0946160535027573E-2</v>
      </c>
    </row>
    <row r="2235" spans="1:16" x14ac:dyDescent="0.35">
      <c r="A2235" s="1">
        <v>42186</v>
      </c>
      <c r="B2235" t="s">
        <v>20</v>
      </c>
      <c r="C2235" s="2">
        <v>18274</v>
      </c>
      <c r="D2235" s="5" t="s">
        <v>17</v>
      </c>
      <c r="E2235" s="2">
        <f>IF(Tabla2[[#This Row],[Frecuencia]]="Annual", Tabla2[[#This Row],[Cosecha/Tarea]]/12,Tabla2[[#This Row],[Cosecha/Tarea]])</f>
        <v>18274</v>
      </c>
      <c r="F2235" s="2">
        <v>45158</v>
      </c>
      <c r="G2235" t="s">
        <v>18</v>
      </c>
      <c r="H2235">
        <f>F2235/Tabla2[[#This Row],[Cosecha Mensual]]</f>
        <v>2.4711612126518552</v>
      </c>
      <c r="I2235">
        <f>H2235*_xlfn.XLOOKUP(Tabla2[[#This Row],[Unidad de producción]],Tabla3[Medida],Tabla3[Equivalencia en Kg],"ELVIS",0)</f>
        <v>112.09187260588816</v>
      </c>
      <c r="J2235">
        <v>923.01178571428602</v>
      </c>
      <c r="K2235" t="s">
        <v>18</v>
      </c>
      <c r="L2235">
        <f>J2235/_xlfn.XLOOKUP(Tabla2[[#This Row],[Unidad de precio]],Tabla3[Medida],Tabla3[Equivalencia en Kg],"ELVIS",0)</f>
        <v>20.348584341143873</v>
      </c>
      <c r="M2235">
        <v>2574.5849057760001</v>
      </c>
      <c r="N2235" s="2">
        <f>(Tabla2[[#This Row],[Productividad (kg/TAS)]]*Tabla2[[#This Row],[Precio por kg]]-Tabla2[[#This Row],[Costos (En RD$/Tarea)]])</f>
        <v>-293.67398209833073</v>
      </c>
      <c r="O2235" s="6">
        <f>IF(Tabla2[[#This Row],[Costos (En RD$/Tarea)]]=0,0,Tabla2[[#This Row],[Beneficio Neto  (En RD$/Tarea)]]/Tabla2[[#This Row],[Costos (En RD$/Tarea)]])</f>
        <v>-0.11406653610043406</v>
      </c>
      <c r="P2235" s="4">
        <f>Tabla2[[#This Row],[Rentabilidad (%)]]/12</f>
        <v>-9.5055446750361722E-3</v>
      </c>
    </row>
    <row r="2236" spans="1:16" x14ac:dyDescent="0.35">
      <c r="A2236" s="1">
        <v>42186</v>
      </c>
      <c r="B2236" t="s">
        <v>21</v>
      </c>
      <c r="C2236" s="2">
        <v>6078</v>
      </c>
      <c r="D2236" s="5" t="s">
        <v>17</v>
      </c>
      <c r="E2236" s="2">
        <f>IF(Tabla2[[#This Row],[Frecuencia]]="Annual", Tabla2[[#This Row],[Cosecha/Tarea]]/12,Tabla2[[#This Row],[Cosecha/Tarea]])</f>
        <v>6078</v>
      </c>
      <c r="F2236" s="2">
        <v>73132</v>
      </c>
      <c r="G2236" t="s">
        <v>18</v>
      </c>
      <c r="H2236">
        <f>F2236/Tabla2[[#This Row],[Cosecha Mensual]]</f>
        <v>12.032247449819019</v>
      </c>
      <c r="I2236">
        <f>H2236*_xlfn.XLOOKUP(Tabla2[[#This Row],[Unidad de producción]],Tabla3[Medida],Tabla3[Equivalencia en Kg],"ELVIS",0)</f>
        <v>545.78274432379067</v>
      </c>
      <c r="J2236">
        <v>297.839</v>
      </c>
      <c r="K2236" t="s">
        <v>18</v>
      </c>
      <c r="L2236">
        <f>J2236/_xlfn.XLOOKUP(Tabla2[[#This Row],[Unidad de precio]],Tabla3[Medida],Tabla3[Equivalencia en Kg],"ELVIS",0)</f>
        <v>6.566115520282187</v>
      </c>
      <c r="M2236">
        <v>5153.8888283303804</v>
      </c>
      <c r="N2236" s="2">
        <f>(Tabla2[[#This Row],[Productividad (kg/TAS)]]*Tabla2[[#This Row],[Precio por kg]]-Tabla2[[#This Row],[Costos (En RD$/Tarea)]])</f>
        <v>-1570.2162801237337</v>
      </c>
      <c r="O2236" s="6">
        <f>IF(Tabla2[[#This Row],[Costos (En RD$/Tarea)]]=0,0,Tabla2[[#This Row],[Beneficio Neto  (En RD$/Tarea)]]/Tabla2[[#This Row],[Costos (En RD$/Tarea)]])</f>
        <v>-0.30466630779702142</v>
      </c>
      <c r="P2236" s="4">
        <f>Tabla2[[#This Row],[Rentabilidad (%)]]/12</f>
        <v>-2.5388858983085117E-2</v>
      </c>
    </row>
    <row r="2237" spans="1:16" x14ac:dyDescent="0.35">
      <c r="A2237" s="1">
        <v>42186</v>
      </c>
      <c r="B2237" t="s">
        <v>22</v>
      </c>
      <c r="C2237" s="2">
        <v>2670</v>
      </c>
      <c r="D2237" s="5" t="s">
        <v>17</v>
      </c>
      <c r="E2237" s="2">
        <f>IF(Tabla2[[#This Row],[Frecuencia]]="Annual", Tabla2[[#This Row],[Cosecha/Tarea]]/12,Tabla2[[#This Row],[Cosecha/Tarea]])</f>
        <v>2670</v>
      </c>
      <c r="F2237" s="2">
        <v>26586</v>
      </c>
      <c r="G2237" t="s">
        <v>18</v>
      </c>
      <c r="H2237">
        <f>F2237/Tabla2[[#This Row],[Cosecha Mensual]]</f>
        <v>9.9573033707865175</v>
      </c>
      <c r="I2237">
        <f>H2237*_xlfn.XLOOKUP(Tabla2[[#This Row],[Unidad de producción]],Tabla3[Medida],Tabla3[Equivalencia en Kg],"ELVIS",0)</f>
        <v>451.66328089887645</v>
      </c>
      <c r="J2237">
        <v>1219.9000000000001</v>
      </c>
      <c r="K2237" t="s">
        <v>18</v>
      </c>
      <c r="L2237">
        <f>J2237/_xlfn.XLOOKUP(Tabla2[[#This Row],[Unidad de precio]],Tabla3[Medida],Tabla3[Equivalencia en Kg],"ELVIS",0)</f>
        <v>26.893738977072314</v>
      </c>
      <c r="M2237">
        <v>9360.0920089845204</v>
      </c>
      <c r="N2237" s="2">
        <f>(Tabla2[[#This Row],[Productividad (kg/TAS)]]*Tabla2[[#This Row],[Precio por kg]]-Tabla2[[#This Row],[Costos (En RD$/Tarea)]])</f>
        <v>2786.8223730379541</v>
      </c>
      <c r="O2237" s="6">
        <f>IF(Tabla2[[#This Row],[Costos (En RD$/Tarea)]]=0,0,Tabla2[[#This Row],[Beneficio Neto  (En RD$/Tarea)]]/Tabla2[[#This Row],[Costos (En RD$/Tarea)]])</f>
        <v>0.29773450628080922</v>
      </c>
      <c r="P2237" s="4">
        <f>Tabla2[[#This Row],[Rentabilidad (%)]]/12</f>
        <v>2.4811208856734102E-2</v>
      </c>
    </row>
    <row r="2238" spans="1:16" x14ac:dyDescent="0.35">
      <c r="A2238" s="1">
        <v>42186</v>
      </c>
      <c r="B2238" t="s">
        <v>23</v>
      </c>
      <c r="C2238" s="2">
        <v>2735</v>
      </c>
      <c r="D2238" s="5" t="s">
        <v>17</v>
      </c>
      <c r="E2238" s="2">
        <f>IF(Tabla2[[#This Row],[Frecuencia]]="Annual", Tabla2[[#This Row],[Cosecha/Tarea]]/12,Tabla2[[#This Row],[Cosecha/Tarea]])</f>
        <v>2735</v>
      </c>
      <c r="F2238" s="2">
        <v>103365</v>
      </c>
      <c r="G2238" t="s">
        <v>18</v>
      </c>
      <c r="H2238">
        <f>F2238/Tabla2[[#This Row],[Cosecha Mensual]]</f>
        <v>37.793418647166362</v>
      </c>
      <c r="I2238">
        <f>H2238*_xlfn.XLOOKUP(Tabla2[[#This Row],[Unidad de producción]],Tabla3[Medida],Tabla3[Equivalencia en Kg],"ELVIS",0)</f>
        <v>1714.3094698354662</v>
      </c>
      <c r="J2238">
        <v>1016.03333333333</v>
      </c>
      <c r="K2238" t="s">
        <v>18</v>
      </c>
      <c r="L2238">
        <f>J2238/_xlfn.XLOOKUP(Tabla2[[#This Row],[Unidad de precio]],Tabla3[Medida],Tabla3[Equivalencia en Kg],"ELVIS",0)</f>
        <v>22.399323927101634</v>
      </c>
      <c r="M2238">
        <v>25505.193937477801</v>
      </c>
      <c r="N2238" s="2">
        <f>(Tabla2[[#This Row],[Productividad (kg/TAS)]]*Tabla2[[#This Row],[Precio por kg]]-Tabla2[[#This Row],[Costos (En RD$/Tarea)]])</f>
        <v>12894.179188664675</v>
      </c>
      <c r="O2238" s="6">
        <f>IF(Tabla2[[#This Row],[Costos (En RD$/Tarea)]]=0,0,Tabla2[[#This Row],[Beneficio Neto  (En RD$/Tarea)]]/Tabla2[[#This Row],[Costos (En RD$/Tarea)]])</f>
        <v>0.50555111324669177</v>
      </c>
      <c r="P2238" s="4">
        <f>Tabla2[[#This Row],[Rentabilidad (%)]]/12</f>
        <v>4.2129259437224315E-2</v>
      </c>
    </row>
    <row r="2239" spans="1:16" x14ac:dyDescent="0.35">
      <c r="A2239" s="1">
        <v>42186</v>
      </c>
      <c r="B2239" t="s">
        <v>24</v>
      </c>
      <c r="C2239" s="2">
        <v>6144</v>
      </c>
      <c r="D2239" s="5" t="s">
        <v>17</v>
      </c>
      <c r="E2239" s="2">
        <f>IF(Tabla2[[#This Row],[Frecuencia]]="Annual", Tabla2[[#This Row],[Cosecha/Tarea]]/12,Tabla2[[#This Row],[Cosecha/Tarea]])</f>
        <v>6144</v>
      </c>
      <c r="F2239" s="2">
        <v>53570</v>
      </c>
      <c r="G2239" t="s">
        <v>18</v>
      </c>
      <c r="H2239">
        <f>F2239/Tabla2[[#This Row],[Cosecha Mensual]]</f>
        <v>8.7190755208333339</v>
      </c>
      <c r="I2239">
        <f>H2239*_xlfn.XLOOKUP(Tabla2[[#This Row],[Unidad de producción]],Tabla3[Medida],Tabla3[Equivalencia en Kg],"ELVIS",0)</f>
        <v>395.49726562500001</v>
      </c>
      <c r="J2239">
        <v>1562.0572916666699</v>
      </c>
      <c r="K2239" t="s">
        <v>18</v>
      </c>
      <c r="L2239">
        <f>J2239/_xlfn.XLOOKUP(Tabla2[[#This Row],[Unidad de precio]],Tabla3[Medida],Tabla3[Equivalencia en Kg],"ELVIS",0)</f>
        <v>34.436889146090607</v>
      </c>
      <c r="M2239">
        <v>9240.5655642007696</v>
      </c>
      <c r="N2239" s="2">
        <f>(Tabla2[[#This Row],[Productividad (kg/TAS)]]*Tabla2[[#This Row],[Precio por kg]]-Tabla2[[#This Row],[Costos (En RD$/Tarea)]])</f>
        <v>4379.1299297093065</v>
      </c>
      <c r="O2239" s="6">
        <f>IF(Tabla2[[#This Row],[Costos (En RD$/Tarea)]]=0,0,Tabla2[[#This Row],[Beneficio Neto  (En RD$/Tarea)]]/Tabla2[[#This Row],[Costos (En RD$/Tarea)]])</f>
        <v>0.47390280381480782</v>
      </c>
      <c r="P2239" s="4">
        <f>Tabla2[[#This Row],[Rentabilidad (%)]]/12</f>
        <v>3.9491900317900654E-2</v>
      </c>
    </row>
    <row r="2240" spans="1:16" x14ac:dyDescent="0.35">
      <c r="A2240" s="1">
        <v>42186</v>
      </c>
      <c r="B2240" t="s">
        <v>25</v>
      </c>
      <c r="C2240" s="2">
        <v>21744</v>
      </c>
      <c r="D2240" s="5" t="s">
        <v>17</v>
      </c>
      <c r="E2240" s="2">
        <f>IF(Tabla2[[#This Row],[Frecuencia]]="Annual", Tabla2[[#This Row],[Cosecha/Tarea]]/12,Tabla2[[#This Row],[Cosecha/Tarea]])</f>
        <v>21744</v>
      </c>
      <c r="F2240" s="2">
        <v>211753</v>
      </c>
      <c r="G2240" t="s">
        <v>18</v>
      </c>
      <c r="H2240">
        <f>F2240/Tabla2[[#This Row],[Cosecha Mensual]]</f>
        <v>9.7384565857247978</v>
      </c>
      <c r="I2240">
        <f>H2240*_xlfn.XLOOKUP(Tabla2[[#This Row],[Unidad de producción]],Tabla3[Medida],Tabla3[Equivalencia en Kg],"ELVIS",0)</f>
        <v>441.73639072847681</v>
      </c>
      <c r="J2240">
        <v>495.03918125000001</v>
      </c>
      <c r="K2240" t="s">
        <v>18</v>
      </c>
      <c r="L2240">
        <f>J2240/_xlfn.XLOOKUP(Tabla2[[#This Row],[Unidad de precio]],Tabla3[Medida],Tabla3[Equivalencia en Kg],"ELVIS",0)</f>
        <v>10.913562196869488</v>
      </c>
      <c r="M2240">
        <v>5033.4530378825102</v>
      </c>
      <c r="N2240" s="2">
        <f>(Tabla2[[#This Row],[Productividad (kg/TAS)]]*Tabla2[[#This Row],[Precio por kg]]-Tabla2[[#This Row],[Costos (En RD$/Tarea)]])</f>
        <v>-212.53546304663632</v>
      </c>
      <c r="O2240" s="6">
        <f>IF(Tabla2[[#This Row],[Costos (En RD$/Tarea)]]=0,0,Tabla2[[#This Row],[Beneficio Neto  (En RD$/Tarea)]]/Tabla2[[#This Row],[Costos (En RD$/Tarea)]])</f>
        <v>-4.2224584484460877E-2</v>
      </c>
      <c r="P2240" s="4">
        <f>Tabla2[[#This Row],[Rentabilidad (%)]]/12</f>
        <v>-3.5187153737050729E-3</v>
      </c>
    </row>
    <row r="2241" spans="1:16" x14ac:dyDescent="0.35">
      <c r="A2241" s="1">
        <v>42186</v>
      </c>
      <c r="B2241" t="s">
        <v>26</v>
      </c>
      <c r="C2241" s="2">
        <v>8108</v>
      </c>
      <c r="D2241" s="5" t="s">
        <v>17</v>
      </c>
      <c r="E2241" s="2">
        <f>IF(Tabla2[[#This Row],[Frecuencia]]="Annual", Tabla2[[#This Row],[Cosecha/Tarea]]/12,Tabla2[[#This Row],[Cosecha/Tarea]])</f>
        <v>8108</v>
      </c>
      <c r="F2241" s="2">
        <v>45872</v>
      </c>
      <c r="G2241" t="s">
        <v>18</v>
      </c>
      <c r="H2241">
        <f>F2241/Tabla2[[#This Row],[Cosecha Mensual]]</f>
        <v>5.6576221016280215</v>
      </c>
      <c r="I2241">
        <f>H2241*_xlfn.XLOOKUP(Tabla2[[#This Row],[Unidad de producción]],Tabla3[Medida],Tabla3[Equivalencia en Kg],"ELVIS",0)</f>
        <v>256.62973852984703</v>
      </c>
      <c r="J2241">
        <v>875.34749999999997</v>
      </c>
      <c r="K2241" t="s">
        <v>18</v>
      </c>
      <c r="L2241">
        <f>J2241/_xlfn.XLOOKUP(Tabla2[[#This Row],[Unidad de precio]],Tabla3[Medida],Tabla3[Equivalencia en Kg],"ELVIS",0)</f>
        <v>19.297784391534393</v>
      </c>
      <c r="M2241">
        <v>2123.3608896042601</v>
      </c>
      <c r="N2241" s="2">
        <f>(Tabla2[[#This Row],[Productividad (kg/TAS)]]*Tabla2[[#This Row],[Precio por kg]]-Tabla2[[#This Row],[Costos (En RD$/Tarea)]])</f>
        <v>2829.0244730005738</v>
      </c>
      <c r="O2241" s="6">
        <f>IF(Tabla2[[#This Row],[Costos (En RD$/Tarea)]]=0,0,Tabla2[[#This Row],[Beneficio Neto  (En RD$/Tarea)]]/Tabla2[[#This Row],[Costos (En RD$/Tarea)]])</f>
        <v>1.3323333244250493</v>
      </c>
      <c r="P2241" s="4">
        <f>Tabla2[[#This Row],[Rentabilidad (%)]]/12</f>
        <v>0.11102777703542077</v>
      </c>
    </row>
    <row r="2242" spans="1:16" x14ac:dyDescent="0.35">
      <c r="A2242" s="1">
        <v>42186</v>
      </c>
      <c r="B2242" t="s">
        <v>27</v>
      </c>
      <c r="C2242" s="2">
        <v>4543</v>
      </c>
      <c r="D2242" s="5" t="s">
        <v>17</v>
      </c>
      <c r="E2242" s="2">
        <f>IF(Tabla2[[#This Row],[Frecuencia]]="Annual", Tabla2[[#This Row],[Cosecha/Tarea]]/12,Tabla2[[#This Row],[Cosecha/Tarea]])</f>
        <v>4543</v>
      </c>
      <c r="F2242" s="2">
        <v>41748</v>
      </c>
      <c r="G2242" t="s">
        <v>18</v>
      </c>
      <c r="H2242">
        <f>F2242/Tabla2[[#This Row],[Cosecha Mensual]]</f>
        <v>9.1895223420647145</v>
      </c>
      <c r="I2242">
        <f>H2242*_xlfn.XLOOKUP(Tabla2[[#This Row],[Unidad de producción]],Tabla3[Medida],Tabla3[Equivalencia en Kg],"ELVIS",0)</f>
        <v>416.83673343605545</v>
      </c>
      <c r="J2242">
        <v>747.29195000000004</v>
      </c>
      <c r="K2242" t="s">
        <v>18</v>
      </c>
      <c r="L2242">
        <f>J2242/_xlfn.XLOOKUP(Tabla2[[#This Row],[Unidad de precio]],Tabla3[Medida],Tabla3[Equivalencia en Kg],"ELVIS",0)</f>
        <v>16.474690255731925</v>
      </c>
      <c r="M2242">
        <v>8682.6925456059998</v>
      </c>
      <c r="N2242" s="2">
        <f>(Tabla2[[#This Row],[Productividad (kg/TAS)]]*Tabla2[[#This Row],[Precio por kg]]-Tabla2[[#This Row],[Costos (En RD$/Tarea)]])</f>
        <v>-1815.4364750358909</v>
      </c>
      <c r="O2242" s="6">
        <f>IF(Tabla2[[#This Row],[Costos (En RD$/Tarea)]]=0,0,Tabla2[[#This Row],[Beneficio Neto  (En RD$/Tarea)]]/Tabla2[[#This Row],[Costos (En RD$/Tarea)]])</f>
        <v>-0.20908680867142052</v>
      </c>
      <c r="P2242" s="4">
        <f>Tabla2[[#This Row],[Rentabilidad (%)]]/12</f>
        <v>-1.7423900722618377E-2</v>
      </c>
    </row>
    <row r="2243" spans="1:16" x14ac:dyDescent="0.35">
      <c r="A2243" s="1">
        <v>42186</v>
      </c>
      <c r="B2243" t="s">
        <v>28</v>
      </c>
      <c r="C2243" s="2">
        <v>37377</v>
      </c>
      <c r="D2243" s="5" t="s">
        <v>17</v>
      </c>
      <c r="E2243" s="2">
        <f>IF(Tabla2[[#This Row],[Frecuencia]]="Annual", Tabla2[[#This Row],[Cosecha/Tarea]]/12,Tabla2[[#This Row],[Cosecha/Tarea]])</f>
        <v>37377</v>
      </c>
      <c r="F2243" s="2">
        <v>966036</v>
      </c>
      <c r="G2243" t="s">
        <v>18</v>
      </c>
      <c r="H2243">
        <f>F2243/Tabla2[[#This Row],[Cosecha Mensual]]</f>
        <v>25.845734007544745</v>
      </c>
      <c r="I2243">
        <f>H2243*_xlfn.XLOOKUP(Tabla2[[#This Row],[Unidad de producción]],Tabla3[Medida],Tabla3[Equivalencia en Kg],"ELVIS",0)</f>
        <v>1172.3624945822296</v>
      </c>
      <c r="J2243">
        <v>10084.25</v>
      </c>
      <c r="K2243" t="s">
        <v>29</v>
      </c>
      <c r="L2243">
        <f>J2243/_xlfn.XLOOKUP(Tabla2[[#This Row],[Unidad de precio]],Tabla3[Medida],Tabla3[Equivalencia en Kg],"ELVIS",0)</f>
        <v>17.932656400042678</v>
      </c>
      <c r="M2243">
        <v>7427.3786743830897</v>
      </c>
      <c r="N2243" s="2">
        <f>(Tabla2[[#This Row],[Productividad (kg/TAS)]]*Tabla2[[#This Row],[Precio por kg]]-Tabla2[[#This Row],[Costos (En RD$/Tarea)]])</f>
        <v>13596.195117256928</v>
      </c>
      <c r="O2243" s="6">
        <f>IF(Tabla2[[#This Row],[Costos (En RD$/Tarea)]]=0,0,Tabla2[[#This Row],[Beneficio Neto  (En RD$/Tarea)]]/Tabla2[[#This Row],[Costos (En RD$/Tarea)]])</f>
        <v>1.8305509538849807</v>
      </c>
      <c r="P2243" s="4">
        <f>Tabla2[[#This Row],[Rentabilidad (%)]]/12</f>
        <v>0.15254591282374838</v>
      </c>
    </row>
    <row r="2244" spans="1:16" x14ac:dyDescent="0.35">
      <c r="A2244" s="1">
        <v>42186</v>
      </c>
      <c r="B2244" t="s">
        <v>30</v>
      </c>
      <c r="C2244" s="2">
        <v>406275</v>
      </c>
      <c r="D2244" s="2" t="s">
        <v>31</v>
      </c>
      <c r="E2244" s="2">
        <f>IF(Tabla2[[#This Row],[Frecuencia]]="Annual", Tabla2[[#This Row],[Cosecha/Tarea]]/12,Tabla2[[#This Row],[Cosecha/Tarea]])</f>
        <v>33856.25</v>
      </c>
      <c r="F2244" s="2">
        <v>2102224.7999999998</v>
      </c>
      <c r="G2244" t="s">
        <v>18</v>
      </c>
      <c r="H2244">
        <f>F2244/Tabla2[[#This Row],[Cosecha Mensual]]</f>
        <v>62.092665312903819</v>
      </c>
      <c r="I2244">
        <f>H2244*_xlfn.XLOOKUP(Tabla2[[#This Row],[Unidad de producción]],Tabla3[Medida],Tabla3[Equivalencia en Kg],"ELVIS",0)</f>
        <v>2816.5232985933171</v>
      </c>
      <c r="J2244">
        <v>169.35</v>
      </c>
      <c r="K2244" t="s">
        <v>32</v>
      </c>
      <c r="L2244">
        <f>J2244/_xlfn.XLOOKUP(Tabla2[[#This Row],[Unidad de precio]],Tabla3[Medida],Tabla3[Equivalencia en Kg],"ELVIS",0)</f>
        <v>6.2238147739801537</v>
      </c>
      <c r="M2244" s="2">
        <v>22429.7248632058</v>
      </c>
      <c r="N2244" s="2">
        <f>(Tabla2[[#This Row],[Productividad (kg/TAS)]]*Tabla2[[#This Row],[Precio por kg]]-Tabla2[[#This Row],[Costos (En RD$/Tarea)]])</f>
        <v>-4900.2055461613963</v>
      </c>
      <c r="O2244" s="6">
        <f>IF(Tabla2[[#This Row],[Costos (En RD$/Tarea)]]=0,0,Tabla2[[#This Row],[Beneficio Neto  (En RD$/Tarea)]]/Tabla2[[#This Row],[Costos (En RD$/Tarea)]])</f>
        <v>-0.21846926683437826</v>
      </c>
      <c r="P2244" s="4">
        <f>Tabla2[[#This Row],[Rentabilidad (%)]]/12</f>
        <v>-1.8205772236198188E-2</v>
      </c>
    </row>
    <row r="2245" spans="1:16" x14ac:dyDescent="0.35">
      <c r="A2245" s="1">
        <v>42186</v>
      </c>
      <c r="B2245" t="s">
        <v>33</v>
      </c>
      <c r="C2245" s="2">
        <v>762021</v>
      </c>
      <c r="D2245" s="2" t="s">
        <v>31</v>
      </c>
      <c r="E2245" s="8">
        <f>IF(Tabla2[[#This Row],[Frecuencia]]="Annual", Tabla2[[#This Row],[Cosecha/Tarea]]/12,Tabla2[[#This Row],[Cosecha/Tarea]])</f>
        <v>63501.75</v>
      </c>
      <c r="F2245" s="2">
        <v>1768734</v>
      </c>
      <c r="G2245" t="s">
        <v>18</v>
      </c>
      <c r="H2245">
        <f>F2245/Tabla2[[#This Row],[Cosecha Mensual]]</f>
        <v>27.853311129220849</v>
      </c>
      <c r="I2245">
        <f>H2245*_xlfn.XLOOKUP(Tabla2[[#This Row],[Unidad de producción]],Tabla3[Medida],Tabla3[Equivalencia en Kg],"ELVIS",0)</f>
        <v>1263.4261928214578</v>
      </c>
      <c r="J2245">
        <v>7165.6666666666697</v>
      </c>
      <c r="K2245" t="s">
        <v>34</v>
      </c>
      <c r="L2245">
        <f>J2245/_xlfn.XLOOKUP(Tabla2[[#This Row],[Unidad de precio]],Tabla3[Medida],Tabla3[Equivalencia en Kg],"ELVIS",0)</f>
        <v>17.55645391808568</v>
      </c>
      <c r="M2245" s="2">
        <v>16317.7474581161</v>
      </c>
      <c r="N2245" s="2">
        <f>(Tabla2[[#This Row],[Productividad (kg/TAS)]]*Tabla2[[#This Row],[Precio por kg]]-Tabla2[[#This Row],[Costos (En RD$/Tarea)]])</f>
        <v>5863.5362750562563</v>
      </c>
      <c r="O2245" s="6">
        <f>IF(Tabla2[[#This Row],[Costos (En RD$/Tarea)]]=0,0,Tabla2[[#This Row],[Beneficio Neto  (En RD$/Tarea)]]/Tabla2[[#This Row],[Costos (En RD$/Tarea)]])</f>
        <v>0.35933490759717929</v>
      </c>
      <c r="P2245" s="4">
        <f>Tabla2[[#This Row],[Rentabilidad (%)]]/12</f>
        <v>2.9944575633098273E-2</v>
      </c>
    </row>
    <row r="2246" spans="1:16" x14ac:dyDescent="0.35">
      <c r="A2246" s="1">
        <v>42217</v>
      </c>
      <c r="B2246" t="s">
        <v>16</v>
      </c>
      <c r="C2246" s="2">
        <v>135879</v>
      </c>
      <c r="D2246" s="5" t="s">
        <v>17</v>
      </c>
      <c r="E2246" s="2">
        <f>IF(Tabla2[[#This Row],[Frecuencia]]="Annual", Tabla2[[#This Row],[Cosecha/Tarea]]/12,Tabla2[[#This Row],[Cosecha/Tarea]])</f>
        <v>135879</v>
      </c>
      <c r="F2246" s="2">
        <v>560703</v>
      </c>
      <c r="G2246" t="s">
        <v>18</v>
      </c>
      <c r="H2246">
        <f>F2246/Tabla2[[#This Row],[Cosecha Mensual]]</f>
        <v>4.1264875367054508</v>
      </c>
      <c r="I2246">
        <f>H2246*_xlfn.XLOOKUP(Tabla2[[#This Row],[Unidad de producción]],Tabla3[Medida],Tabla3[Equivalencia en Kg],"ELVIS",0)</f>
        <v>187.17747466495925</v>
      </c>
      <c r="J2246">
        <v>1872.0243333333301</v>
      </c>
      <c r="K2246" t="s">
        <v>19</v>
      </c>
      <c r="L2246">
        <f>J2246/_xlfn.XLOOKUP(Tabla2[[#This Row],[Unidad de precio]],Tabla3[Medida],Tabla3[Equivalencia en Kg],"ELVIS",0)</f>
        <v>17.018403030303002</v>
      </c>
      <c r="M2246">
        <v>7019.0666646612499</v>
      </c>
      <c r="N2246" s="2">
        <f>(Tabla2[[#This Row],[Productividad (kg/TAS)]]*Tabla2[[#This Row],[Precio por kg]]-Tabla2[[#This Row],[Costos (En RD$/Tarea)]])</f>
        <v>-3833.6049626186441</v>
      </c>
      <c r="O2246" s="6">
        <f>IF(Tabla2[[#This Row],[Costos (En RD$/Tarea)]]=0,0,Tabla2[[#This Row],[Beneficio Neto  (En RD$/Tarea)]]/Tabla2[[#This Row],[Costos (En RD$/Tarea)]])</f>
        <v>-0.54617018839835441</v>
      </c>
      <c r="P2246" s="4">
        <f>Tabla2[[#This Row],[Rentabilidad (%)]]/12</f>
        <v>-4.5514182366529536E-2</v>
      </c>
    </row>
    <row r="2247" spans="1:16" x14ac:dyDescent="0.35">
      <c r="A2247" s="1">
        <v>42217</v>
      </c>
      <c r="B2247" t="s">
        <v>20</v>
      </c>
      <c r="C2247" s="2">
        <v>35202</v>
      </c>
      <c r="D2247" s="5" t="s">
        <v>17</v>
      </c>
      <c r="E2247" s="2">
        <f>IF(Tabla2[[#This Row],[Frecuencia]]="Annual", Tabla2[[#This Row],[Cosecha/Tarea]]/12,Tabla2[[#This Row],[Cosecha/Tarea]])</f>
        <v>35202</v>
      </c>
      <c r="F2247" s="2">
        <v>56850</v>
      </c>
      <c r="G2247" t="s">
        <v>18</v>
      </c>
      <c r="H2247">
        <f>F2247/Tabla2[[#This Row],[Cosecha Mensual]]</f>
        <v>1.6149650588034772</v>
      </c>
      <c r="I2247">
        <f>H2247*_xlfn.XLOOKUP(Tabla2[[#This Row],[Unidad de producción]],Tabla3[Medida],Tabla3[Equivalencia en Kg],"ELVIS",0)</f>
        <v>73.254815067325723</v>
      </c>
      <c r="J2247">
        <v>989.24428571428598</v>
      </c>
      <c r="K2247" t="s">
        <v>18</v>
      </c>
      <c r="L2247">
        <f>J2247/_xlfn.XLOOKUP(Tabla2[[#This Row],[Unidad de precio]],Tabla3[Medida],Tabla3[Equivalencia en Kg],"ELVIS",0)</f>
        <v>21.808736457545987</v>
      </c>
      <c r="M2247">
        <v>2574.5849057760001</v>
      </c>
      <c r="N2247" s="2">
        <f>(Tabla2[[#This Row],[Productividad (kg/TAS)]]*Tabla2[[#This Row],[Precio por kg]]-Tabla2[[#This Row],[Costos (En RD$/Tarea)]])</f>
        <v>-976.98994972642458</v>
      </c>
      <c r="O2247" s="6">
        <f>IF(Tabla2[[#This Row],[Costos (En RD$/Tarea)]]=0,0,Tabla2[[#This Row],[Beneficio Neto  (En RD$/Tarea)]]/Tabla2[[#This Row],[Costos (En RD$/Tarea)]])</f>
        <v>-0.37947474466061631</v>
      </c>
      <c r="P2247" s="4">
        <f>Tabla2[[#This Row],[Rentabilidad (%)]]/12</f>
        <v>-3.1622895388384691E-2</v>
      </c>
    </row>
    <row r="2248" spans="1:16" x14ac:dyDescent="0.35">
      <c r="A2248" s="1">
        <v>42217</v>
      </c>
      <c r="B2248" t="s">
        <v>21</v>
      </c>
      <c r="C2248" s="2">
        <v>4557</v>
      </c>
      <c r="D2248" s="5" t="s">
        <v>17</v>
      </c>
      <c r="E2248" s="2">
        <f>IF(Tabla2[[#This Row],[Frecuencia]]="Annual", Tabla2[[#This Row],[Cosecha/Tarea]]/12,Tabla2[[#This Row],[Cosecha/Tarea]])</f>
        <v>4557</v>
      </c>
      <c r="F2248" s="2">
        <v>53857</v>
      </c>
      <c r="G2248" t="s">
        <v>18</v>
      </c>
      <c r="H2248">
        <f>F2248/Tabla2[[#This Row],[Cosecha Mensual]]</f>
        <v>11.818520956769804</v>
      </c>
      <c r="I2248">
        <f>H2248*_xlfn.XLOOKUP(Tabla2[[#This Row],[Unidad de producción]],Tabla3[Medida],Tabla3[Equivalencia en Kg],"ELVIS",0)</f>
        <v>536.08811059907828</v>
      </c>
      <c r="J2248">
        <v>407.42207999999999</v>
      </c>
      <c r="K2248" t="s">
        <v>18</v>
      </c>
      <c r="L2248">
        <f>J2248/_xlfn.XLOOKUP(Tabla2[[#This Row],[Unidad de precio]],Tabla3[Medida],Tabla3[Equivalencia en Kg],"ELVIS",0)</f>
        <v>8.9819682539682546</v>
      </c>
      <c r="M2248">
        <v>5153.8888283303804</v>
      </c>
      <c r="N2248" s="2">
        <f>(Tabla2[[#This Row],[Productividad (kg/TAS)]]*Tabla2[[#This Row],[Precio por kg]]-Tabla2[[#This Row],[Costos (En RD$/Tarea)]])</f>
        <v>-338.76243759963654</v>
      </c>
      <c r="O2248" s="6">
        <f>IF(Tabla2[[#This Row],[Costos (En RD$/Tarea)]]=0,0,Tabla2[[#This Row],[Beneficio Neto  (En RD$/Tarea)]]/Tabla2[[#This Row],[Costos (En RD$/Tarea)]])</f>
        <v>-6.5729480957659653E-2</v>
      </c>
      <c r="P2248" s="4">
        <f>Tabla2[[#This Row],[Rentabilidad (%)]]/12</f>
        <v>-5.4774567464716374E-3</v>
      </c>
    </row>
    <row r="2249" spans="1:16" x14ac:dyDescent="0.35">
      <c r="A2249" s="1">
        <v>42217</v>
      </c>
      <c r="B2249" t="s">
        <v>22</v>
      </c>
      <c r="C2249" s="2">
        <v>4201</v>
      </c>
      <c r="D2249" s="5" t="s">
        <v>17</v>
      </c>
      <c r="E2249" s="2">
        <f>IF(Tabla2[[#This Row],[Frecuencia]]="Annual", Tabla2[[#This Row],[Cosecha/Tarea]]/12,Tabla2[[#This Row],[Cosecha/Tarea]])</f>
        <v>4201</v>
      </c>
      <c r="F2249" s="2">
        <v>32154</v>
      </c>
      <c r="G2249" t="s">
        <v>18</v>
      </c>
      <c r="H2249">
        <f>F2249/Tabla2[[#This Row],[Cosecha Mensual]]</f>
        <v>7.6538919304927395</v>
      </c>
      <c r="I2249">
        <f>H2249*_xlfn.XLOOKUP(Tabla2[[#This Row],[Unidad de producción]],Tabla3[Medida],Tabla3[Equivalencia en Kg],"ELVIS",0)</f>
        <v>347.18053796715066</v>
      </c>
      <c r="J2249">
        <v>1746.2638888888901</v>
      </c>
      <c r="K2249" t="s">
        <v>18</v>
      </c>
      <c r="L2249">
        <f>J2249/_xlfn.XLOOKUP(Tabla2[[#This Row],[Unidad de precio]],Tabla3[Medida],Tabla3[Equivalencia en Kg],"ELVIS",0)</f>
        <v>38.497881148344135</v>
      </c>
      <c r="M2249">
        <v>9360.0920089845204</v>
      </c>
      <c r="N2249" s="2">
        <f>(Tabla2[[#This Row],[Productividad (kg/TAS)]]*Tabla2[[#This Row],[Precio por kg]]-Tabla2[[#This Row],[Costos (En RD$/Tarea)]])</f>
        <v>4005.6230786930246</v>
      </c>
      <c r="O2249" s="6">
        <f>IF(Tabla2[[#This Row],[Costos (En RD$/Tarea)]]=0,0,Tabla2[[#This Row],[Beneficio Neto  (En RD$/Tarea)]]/Tabla2[[#This Row],[Costos (En RD$/Tarea)]])</f>
        <v>0.42794697689383032</v>
      </c>
      <c r="P2249" s="4">
        <f>Tabla2[[#This Row],[Rentabilidad (%)]]/12</f>
        <v>3.5662248074485862E-2</v>
      </c>
    </row>
    <row r="2250" spans="1:16" x14ac:dyDescent="0.35">
      <c r="A2250" s="1">
        <v>42217</v>
      </c>
      <c r="B2250" t="s">
        <v>23</v>
      </c>
      <c r="C2250" s="2">
        <v>2659</v>
      </c>
      <c r="D2250" s="5" t="s">
        <v>17</v>
      </c>
      <c r="E2250" s="2">
        <f>IF(Tabla2[[#This Row],[Frecuencia]]="Annual", Tabla2[[#This Row],[Cosecha/Tarea]]/12,Tabla2[[#This Row],[Cosecha/Tarea]])</f>
        <v>2659</v>
      </c>
      <c r="F2250" s="2">
        <v>102200</v>
      </c>
      <c r="G2250" t="s">
        <v>18</v>
      </c>
      <c r="H2250">
        <f>F2250/Tabla2[[#This Row],[Cosecha Mensual]]</f>
        <v>38.435502068446787</v>
      </c>
      <c r="I2250">
        <f>H2250*_xlfn.XLOOKUP(Tabla2[[#This Row],[Unidad de producción]],Tabla3[Medida],Tabla3[Equivalencia en Kg],"ELVIS",0)</f>
        <v>1743.4343738247462</v>
      </c>
      <c r="J2250">
        <v>1041.75</v>
      </c>
      <c r="K2250" t="s">
        <v>18</v>
      </c>
      <c r="L2250">
        <f>J2250/_xlfn.XLOOKUP(Tabla2[[#This Row],[Unidad de precio]],Tabla3[Medida],Tabla3[Equivalencia en Kg],"ELVIS",0)</f>
        <v>22.966269841269842</v>
      </c>
      <c r="M2250">
        <v>25505.193937477801</v>
      </c>
      <c r="N2250" s="2">
        <f>(Tabla2[[#This Row],[Productividad (kg/TAS)]]*Tabla2[[#This Row],[Precio por kg]]-Tabla2[[#This Row],[Costos (En RD$/Tarea)]])</f>
        <v>14534.990342326637</v>
      </c>
      <c r="O2250" s="6">
        <f>IF(Tabla2[[#This Row],[Costos (En RD$/Tarea)]]=0,0,Tabla2[[#This Row],[Beneficio Neto  (En RD$/Tarea)]]/Tabla2[[#This Row],[Costos (En RD$/Tarea)]])</f>
        <v>0.56988354520875273</v>
      </c>
      <c r="P2250" s="4">
        <f>Tabla2[[#This Row],[Rentabilidad (%)]]/12</f>
        <v>4.7490295434062725E-2</v>
      </c>
    </row>
    <row r="2251" spans="1:16" x14ac:dyDescent="0.35">
      <c r="A2251" s="1">
        <v>42217</v>
      </c>
      <c r="B2251" t="s">
        <v>24</v>
      </c>
      <c r="C2251" s="2">
        <v>4324</v>
      </c>
      <c r="D2251" s="5" t="s">
        <v>17</v>
      </c>
      <c r="E2251" s="2">
        <f>IF(Tabla2[[#This Row],[Frecuencia]]="Annual", Tabla2[[#This Row],[Cosecha/Tarea]]/12,Tabla2[[#This Row],[Cosecha/Tarea]])</f>
        <v>4324</v>
      </c>
      <c r="F2251" s="2">
        <v>47243</v>
      </c>
      <c r="G2251" t="s">
        <v>18</v>
      </c>
      <c r="H2251">
        <f>F2251/Tabla2[[#This Row],[Cosecha Mensual]]</f>
        <v>10.925763182238668</v>
      </c>
      <c r="I2251">
        <f>H2251*_xlfn.XLOOKUP(Tabla2[[#This Row],[Unidad de producción]],Tabla3[Medida],Tabla3[Equivalencia en Kg],"ELVIS",0)</f>
        <v>495.59261794634602</v>
      </c>
      <c r="J2251">
        <v>1597.1071428571399</v>
      </c>
      <c r="K2251" t="s">
        <v>18</v>
      </c>
      <c r="L2251">
        <f>J2251/_xlfn.XLOOKUP(Tabla2[[#This Row],[Unidad de precio]],Tabla3[Medida],Tabla3[Equivalencia en Kg],"ELVIS",0)</f>
        <v>35.209593096497791</v>
      </c>
      <c r="M2251">
        <v>9240.5655642007696</v>
      </c>
      <c r="N2251" s="2">
        <f>(Tabla2[[#This Row],[Productividad (kg/TAS)]]*Tabla2[[#This Row],[Precio por kg]]-Tabla2[[#This Row],[Costos (En RD$/Tarea)]])</f>
        <v>8209.048855318164</v>
      </c>
      <c r="O2251" s="6">
        <f>IF(Tabla2[[#This Row],[Costos (En RD$/Tarea)]]=0,0,Tabla2[[#This Row],[Beneficio Neto  (En RD$/Tarea)]]/Tabla2[[#This Row],[Costos (En RD$/Tarea)]])</f>
        <v>0.88837082517125965</v>
      </c>
      <c r="P2251" s="4">
        <f>Tabla2[[#This Row],[Rentabilidad (%)]]/12</f>
        <v>7.4030902097604975E-2</v>
      </c>
    </row>
    <row r="2252" spans="1:16" x14ac:dyDescent="0.35">
      <c r="A2252" s="1">
        <v>42217</v>
      </c>
      <c r="B2252" t="s">
        <v>25</v>
      </c>
      <c r="C2252" s="2">
        <v>21371</v>
      </c>
      <c r="D2252" s="5" t="s">
        <v>17</v>
      </c>
      <c r="E2252" s="2">
        <f>IF(Tabla2[[#This Row],[Frecuencia]]="Annual", Tabla2[[#This Row],[Cosecha/Tarea]]/12,Tabla2[[#This Row],[Cosecha/Tarea]])</f>
        <v>21371</v>
      </c>
      <c r="F2252" s="2">
        <v>205752</v>
      </c>
      <c r="G2252" t="s">
        <v>18</v>
      </c>
      <c r="H2252">
        <f>F2252/Tabla2[[#This Row],[Cosecha Mensual]]</f>
        <v>9.627626222450985</v>
      </c>
      <c r="I2252">
        <f>H2252*_xlfn.XLOOKUP(Tabla2[[#This Row],[Unidad de producción]],Tabla3[Medida],Tabla3[Equivalencia en Kg],"ELVIS",0)</f>
        <v>436.70912545037669</v>
      </c>
      <c r="J2252">
        <v>969.71428571428601</v>
      </c>
      <c r="K2252" t="s">
        <v>18</v>
      </c>
      <c r="L2252">
        <f>J2252/_xlfn.XLOOKUP(Tabla2[[#This Row],[Unidad de precio]],Tabla3[Medida],Tabla3[Equivalencia en Kg],"ELVIS",0)</f>
        <v>21.378180901990433</v>
      </c>
      <c r="M2252">
        <v>5033.4530378825102</v>
      </c>
      <c r="N2252" s="2">
        <f>(Tabla2[[#This Row],[Productividad (kg/TAS)]]*Tabla2[[#This Row],[Precio por kg]]-Tabla2[[#This Row],[Costos (En RD$/Tarea)]])</f>
        <v>4302.5936475456774</v>
      </c>
      <c r="O2252" s="6">
        <f>IF(Tabla2[[#This Row],[Costos (En RD$/Tarea)]]=0,0,Tabla2[[#This Row],[Beneficio Neto  (En RD$/Tarea)]]/Tabla2[[#This Row],[Costos (En RD$/Tarea)]])</f>
        <v>0.85479960082347506</v>
      </c>
      <c r="P2252" s="4">
        <f>Tabla2[[#This Row],[Rentabilidad (%)]]/12</f>
        <v>7.1233300068622926E-2</v>
      </c>
    </row>
    <row r="2253" spans="1:16" x14ac:dyDescent="0.35">
      <c r="A2253" s="1">
        <v>42217</v>
      </c>
      <c r="B2253" t="s">
        <v>26</v>
      </c>
      <c r="C2253" s="2">
        <v>7572</v>
      </c>
      <c r="D2253" s="5" t="s">
        <v>17</v>
      </c>
      <c r="E2253" s="2">
        <f>IF(Tabla2[[#This Row],[Frecuencia]]="Annual", Tabla2[[#This Row],[Cosecha/Tarea]]/12,Tabla2[[#This Row],[Cosecha/Tarea]])</f>
        <v>7572</v>
      </c>
      <c r="F2253" s="2">
        <v>49326</v>
      </c>
      <c r="G2253" t="s">
        <v>18</v>
      </c>
      <c r="H2253">
        <f>F2253/Tabla2[[#This Row],[Cosecha Mensual]]</f>
        <v>6.5142630744849441</v>
      </c>
      <c r="I2253">
        <f>H2253*_xlfn.XLOOKUP(Tabla2[[#This Row],[Unidad de producción]],Tabla3[Medida],Tabla3[Equivalencia en Kg],"ELVIS",0)</f>
        <v>295.48697305863703</v>
      </c>
      <c r="J2253">
        <v>928.95529999999997</v>
      </c>
      <c r="K2253" t="s">
        <v>18</v>
      </c>
      <c r="L2253">
        <f>J2253/_xlfn.XLOOKUP(Tabla2[[#This Row],[Unidad de precio]],Tabla3[Medida],Tabla3[Equivalencia en Kg],"ELVIS",0)</f>
        <v>20.479614197530864</v>
      </c>
      <c r="M2253">
        <v>2123.3608896042601</v>
      </c>
      <c r="N2253" s="2">
        <f>(Tabla2[[#This Row],[Productividad (kg/TAS)]]*Tabla2[[#This Row],[Precio por kg]]-Tabla2[[#This Row],[Costos (En RD$/Tarea)]])</f>
        <v>3928.0983190328229</v>
      </c>
      <c r="O2253" s="6">
        <f>IF(Tabla2[[#This Row],[Costos (En RD$/Tarea)]]=0,0,Tabla2[[#This Row],[Beneficio Neto  (En RD$/Tarea)]]/Tabla2[[#This Row],[Costos (En RD$/Tarea)]])</f>
        <v>1.8499438028949093</v>
      </c>
      <c r="P2253" s="4">
        <f>Tabla2[[#This Row],[Rentabilidad (%)]]/12</f>
        <v>0.15416198357457578</v>
      </c>
    </row>
    <row r="2254" spans="1:16" x14ac:dyDescent="0.35">
      <c r="A2254" s="1">
        <v>42217</v>
      </c>
      <c r="B2254" t="s">
        <v>27</v>
      </c>
      <c r="C2254" s="2">
        <v>3983</v>
      </c>
      <c r="D2254" s="5" t="s">
        <v>17</v>
      </c>
      <c r="E2254" s="2">
        <f>IF(Tabla2[[#This Row],[Frecuencia]]="Annual", Tabla2[[#This Row],[Cosecha/Tarea]]/12,Tabla2[[#This Row],[Cosecha/Tarea]])</f>
        <v>3983</v>
      </c>
      <c r="F2254" s="2">
        <v>39458</v>
      </c>
      <c r="G2254" t="s">
        <v>18</v>
      </c>
      <c r="H2254">
        <f>F2254/Tabla2[[#This Row],[Cosecha Mensual]]</f>
        <v>9.9066030630178261</v>
      </c>
      <c r="I2254">
        <f>H2254*_xlfn.XLOOKUP(Tabla2[[#This Row],[Unidad de producción]],Tabla3[Medida],Tabla3[Equivalencia en Kg],"ELVIS",0)</f>
        <v>449.36351493848861</v>
      </c>
      <c r="J2254">
        <v>815.34185714285695</v>
      </c>
      <c r="K2254" t="s">
        <v>18</v>
      </c>
      <c r="L2254">
        <f>J2254/_xlfn.XLOOKUP(Tabla2[[#This Row],[Unidad de precio]],Tabla3[Medida],Tabla3[Equivalencia en Kg],"ELVIS",0)</f>
        <v>17.974908667170567</v>
      </c>
      <c r="M2254">
        <v>8682.6925456059998</v>
      </c>
      <c r="N2254" s="2">
        <f>(Tabla2[[#This Row],[Productividad (kg/TAS)]]*Tabla2[[#This Row],[Precio por kg]]-Tabla2[[#This Row],[Costos (En RD$/Tarea)]])</f>
        <v>-605.42440622793038</v>
      </c>
      <c r="O2254" s="6">
        <f>IF(Tabla2[[#This Row],[Costos (En RD$/Tarea)]]=0,0,Tabla2[[#This Row],[Beneficio Neto  (En RD$/Tarea)]]/Tabla2[[#This Row],[Costos (En RD$/Tarea)]])</f>
        <v>-6.9727725938460647E-2</v>
      </c>
      <c r="P2254" s="4">
        <f>Tabla2[[#This Row],[Rentabilidad (%)]]/12</f>
        <v>-5.8106438282050539E-3</v>
      </c>
    </row>
    <row r="2255" spans="1:16" x14ac:dyDescent="0.35">
      <c r="A2255" s="1">
        <v>42217</v>
      </c>
      <c r="B2255" t="s">
        <v>28</v>
      </c>
      <c r="C2255" s="2">
        <v>64687</v>
      </c>
      <c r="D2255" s="5" t="s">
        <v>17</v>
      </c>
      <c r="E2255" s="2">
        <f>IF(Tabla2[[#This Row],[Frecuencia]]="Annual", Tabla2[[#This Row],[Cosecha/Tarea]]/12,Tabla2[[#This Row],[Cosecha/Tarea]])</f>
        <v>64687</v>
      </c>
      <c r="F2255" s="2">
        <v>1582800</v>
      </c>
      <c r="G2255" t="s">
        <v>18</v>
      </c>
      <c r="H2255">
        <f>F2255/Tabla2[[#This Row],[Cosecha Mensual]]</f>
        <v>24.468594926337595</v>
      </c>
      <c r="I2255">
        <f>H2255*_xlfn.XLOOKUP(Tabla2[[#This Row],[Unidad de producción]],Tabla3[Medida],Tabla3[Equivalencia en Kg],"ELVIS",0)</f>
        <v>1109.8954658586733</v>
      </c>
      <c r="J2255">
        <v>7137.0450000000001</v>
      </c>
      <c r="K2255" t="s">
        <v>29</v>
      </c>
      <c r="L2255">
        <f>J2255/_xlfn.XLOOKUP(Tabla2[[#This Row],[Unidad de precio]],Tabla3[Medida],Tabla3[Equivalencia en Kg],"ELVIS",0)</f>
        <v>12.691690080734075</v>
      </c>
      <c r="M2255">
        <v>7427.3786743830897</v>
      </c>
      <c r="N2255" s="2">
        <f>(Tabla2[[#This Row],[Productividad (kg/TAS)]]*Tabla2[[#This Row],[Precio por kg]]-Tabla2[[#This Row],[Costos (En RD$/Tarea)]])</f>
        <v>6659.0706003071591</v>
      </c>
      <c r="O2255" s="6">
        <f>IF(Tabla2[[#This Row],[Costos (En RD$/Tarea)]]=0,0,Tabla2[[#This Row],[Beneficio Neto  (En RD$/Tarea)]]/Tabla2[[#This Row],[Costos (En RD$/Tarea)]])</f>
        <v>0.89655730402896883</v>
      </c>
      <c r="P2255" s="4">
        <f>Tabla2[[#This Row],[Rentabilidad (%)]]/12</f>
        <v>7.4713108669080736E-2</v>
      </c>
    </row>
    <row r="2256" spans="1:16" x14ac:dyDescent="0.35">
      <c r="A2256" s="1">
        <v>42217</v>
      </c>
      <c r="B2256" t="s">
        <v>30</v>
      </c>
      <c r="C2256" s="2">
        <v>400214</v>
      </c>
      <c r="D2256" s="2" t="s">
        <v>31</v>
      </c>
      <c r="E2256" s="2">
        <f>IF(Tabla2[[#This Row],[Frecuencia]]="Annual", Tabla2[[#This Row],[Cosecha/Tarea]]/12,Tabla2[[#This Row],[Cosecha/Tarea]])</f>
        <v>33351.166666666664</v>
      </c>
      <c r="F2256" s="2">
        <v>2003383.2</v>
      </c>
      <c r="G2256" t="s">
        <v>18</v>
      </c>
      <c r="H2256">
        <f>F2256/Tabla2[[#This Row],[Cosecha Mensual]]</f>
        <v>60.069358892992256</v>
      </c>
      <c r="I2256">
        <f>H2256*_xlfn.XLOOKUP(Tabla2[[#This Row],[Unidad de producción]],Tabla3[Medida],Tabla3[Equivalencia en Kg],"ELVIS",0)</f>
        <v>2724.7461193861286</v>
      </c>
      <c r="J2256">
        <v>190.78</v>
      </c>
      <c r="K2256" t="s">
        <v>32</v>
      </c>
      <c r="L2256">
        <f>J2256/_xlfn.XLOOKUP(Tabla2[[#This Row],[Unidad de precio]],Tabla3[Medida],Tabla3[Equivalencia en Kg],"ELVIS",0)</f>
        <v>7.0113928702682839</v>
      </c>
      <c r="M2256" s="2">
        <v>22429.7248632058</v>
      </c>
      <c r="N2256" s="2">
        <f>(Tabla2[[#This Row],[Productividad (kg/TAS)]]*Tabla2[[#This Row],[Precio por kg]]-Tabla2[[#This Row],[Costos (En RD$/Tarea)]])</f>
        <v>-3325.4593484507241</v>
      </c>
      <c r="O2256" s="6">
        <f>IF(Tabla2[[#This Row],[Costos (En RD$/Tarea)]]=0,0,Tabla2[[#This Row],[Beneficio Neto  (En RD$/Tarea)]]/Tabla2[[#This Row],[Costos (En RD$/Tarea)]])</f>
        <v>-0.14826126351223679</v>
      </c>
      <c r="P2256" s="4">
        <f>Tabla2[[#This Row],[Rentabilidad (%)]]/12</f>
        <v>-1.2355105292686399E-2</v>
      </c>
    </row>
    <row r="2257" spans="1:16" x14ac:dyDescent="0.35">
      <c r="A2257" s="1">
        <v>42217</v>
      </c>
      <c r="B2257" t="s">
        <v>33</v>
      </c>
      <c r="C2257" s="2">
        <v>762767</v>
      </c>
      <c r="D2257" s="2" t="s">
        <v>31</v>
      </c>
      <c r="E2257" s="8">
        <f>IF(Tabla2[[#This Row],[Frecuencia]]="Annual", Tabla2[[#This Row],[Cosecha/Tarea]]/12,Tabla2[[#This Row],[Cosecha/Tarea]])</f>
        <v>63563.916666666664</v>
      </c>
      <c r="F2257" s="2">
        <v>1839699</v>
      </c>
      <c r="G2257" t="s">
        <v>18</v>
      </c>
      <c r="H2257">
        <f>F2257/Tabla2[[#This Row],[Cosecha Mensual]]</f>
        <v>28.942505378444533</v>
      </c>
      <c r="I2257">
        <f>H2257*_xlfn.XLOOKUP(Tabla2[[#This Row],[Unidad de producción]],Tabla3[Medida],Tabla3[Equivalencia en Kg],"ELVIS",0)</f>
        <v>1312.8320439662441</v>
      </c>
      <c r="J2257">
        <v>7607.8335714285704</v>
      </c>
      <c r="K2257" t="s">
        <v>34</v>
      </c>
      <c r="L2257">
        <f>J2257/_xlfn.XLOOKUP(Tabla2[[#This Row],[Unidad de precio]],Tabla3[Medida],Tabla3[Equivalencia en Kg],"ELVIS",0)</f>
        <v>18.639798043436411</v>
      </c>
      <c r="M2257" s="2">
        <v>16317.7474581161</v>
      </c>
      <c r="N2257" s="2">
        <f>(Tabla2[[#This Row],[Productividad (kg/TAS)]]*Tabla2[[#This Row],[Precio por kg]]-Tabla2[[#This Row],[Costos (En RD$/Tarea)]])</f>
        <v>8153.1767063665211</v>
      </c>
      <c r="O2257" s="6">
        <f>IF(Tabla2[[#This Row],[Costos (En RD$/Tarea)]]=0,0,Tabla2[[#This Row],[Beneficio Neto  (En RD$/Tarea)]]/Tabla2[[#This Row],[Costos (En RD$/Tarea)]])</f>
        <v>0.49965086953906157</v>
      </c>
      <c r="P2257" s="4">
        <f>Tabla2[[#This Row],[Rentabilidad (%)]]/12</f>
        <v>4.1637572461588467E-2</v>
      </c>
    </row>
    <row r="2258" spans="1:16" x14ac:dyDescent="0.35">
      <c r="A2258" s="1">
        <v>42248</v>
      </c>
      <c r="B2258" t="s">
        <v>16</v>
      </c>
      <c r="C2258" s="2">
        <v>236773</v>
      </c>
      <c r="D2258" s="5" t="s">
        <v>17</v>
      </c>
      <c r="E2258" s="2">
        <f>IF(Tabla2[[#This Row],[Frecuencia]]="Annual", Tabla2[[#This Row],[Cosecha/Tarea]]/12,Tabla2[[#This Row],[Cosecha/Tarea]])</f>
        <v>236773</v>
      </c>
      <c r="F2258" s="2">
        <v>990503</v>
      </c>
      <c r="G2258" t="s">
        <v>18</v>
      </c>
      <c r="H2258">
        <f>F2258/Tabla2[[#This Row],[Cosecha Mensual]]</f>
        <v>4.1833443847060261</v>
      </c>
      <c r="I2258">
        <f>H2258*_xlfn.XLOOKUP(Tabla2[[#This Row],[Unidad de producción]],Tabla3[Medida],Tabla3[Equivalencia en Kg],"ELVIS",0)</f>
        <v>189.75650129026533</v>
      </c>
      <c r="J2258">
        <v>1859.5243333333301</v>
      </c>
      <c r="K2258" t="s">
        <v>19</v>
      </c>
      <c r="L2258">
        <f>J2258/_xlfn.XLOOKUP(Tabla2[[#This Row],[Unidad de precio]],Tabla3[Medida],Tabla3[Equivalencia en Kg],"ELVIS",0)</f>
        <v>16.904766666666639</v>
      </c>
      <c r="M2258">
        <v>7019.0666646612499</v>
      </c>
      <c r="N2258" s="2">
        <f>(Tabla2[[#This Row],[Productividad (kg/TAS)]]*Tabla2[[#This Row],[Precio por kg]]-Tabla2[[#This Row],[Costos (En RD$/Tarea)]])</f>
        <v>-3811.2772868662873</v>
      </c>
      <c r="O2258" s="6">
        <f>IF(Tabla2[[#This Row],[Costos (En RD$/Tarea)]]=0,0,Tabla2[[#This Row],[Beneficio Neto  (En RD$/Tarea)]]/Tabla2[[#This Row],[Costos (En RD$/Tarea)]])</f>
        <v>-0.54298918488049797</v>
      </c>
      <c r="P2258" s="4">
        <f>Tabla2[[#This Row],[Rentabilidad (%)]]/12</f>
        <v>-4.5249098740041495E-2</v>
      </c>
    </row>
    <row r="2259" spans="1:16" x14ac:dyDescent="0.35">
      <c r="A2259" s="1">
        <v>42248</v>
      </c>
      <c r="B2259" t="s">
        <v>20</v>
      </c>
      <c r="C2259" s="2">
        <v>42517</v>
      </c>
      <c r="D2259" s="5" t="s">
        <v>17</v>
      </c>
      <c r="E2259" s="2">
        <f>IF(Tabla2[[#This Row],[Frecuencia]]="Annual", Tabla2[[#This Row],[Cosecha/Tarea]]/12,Tabla2[[#This Row],[Cosecha/Tarea]])</f>
        <v>42517</v>
      </c>
      <c r="F2259" s="2">
        <v>65477</v>
      </c>
      <c r="G2259" t="s">
        <v>18</v>
      </c>
      <c r="H2259">
        <f>F2259/Tabla2[[#This Row],[Cosecha Mensual]]</f>
        <v>1.5400192864030857</v>
      </c>
      <c r="I2259">
        <f>H2259*_xlfn.XLOOKUP(Tabla2[[#This Row],[Unidad de producción]],Tabla3[Medida],Tabla3[Equivalencia en Kg],"ELVIS",0)</f>
        <v>69.85527483124396</v>
      </c>
      <c r="J2259">
        <v>1042.39857142857</v>
      </c>
      <c r="K2259" t="s">
        <v>18</v>
      </c>
      <c r="L2259">
        <f>J2259/_xlfn.XLOOKUP(Tabla2[[#This Row],[Unidad de precio]],Tabla3[Medida],Tabla3[Equivalencia en Kg],"ELVIS",0)</f>
        <v>22.980568153187168</v>
      </c>
      <c r="M2259">
        <v>2574.5849057760001</v>
      </c>
      <c r="N2259" s="2">
        <f>(Tabla2[[#This Row],[Productividad (kg/TAS)]]*Tabla2[[#This Row],[Precio por kg]]-Tabla2[[#This Row],[Costos (En RD$/Tarea)]])</f>
        <v>-969.27100165697811</v>
      </c>
      <c r="O2259" s="6">
        <f>IF(Tabla2[[#This Row],[Costos (En RD$/Tarea)]]=0,0,Tabla2[[#This Row],[Beneficio Neto  (En RD$/Tarea)]]/Tabla2[[#This Row],[Costos (En RD$/Tarea)]])</f>
        <v>-0.37647661162094487</v>
      </c>
      <c r="P2259" s="4">
        <f>Tabla2[[#This Row],[Rentabilidad (%)]]/12</f>
        <v>-3.1373050968412072E-2</v>
      </c>
    </row>
    <row r="2260" spans="1:16" x14ac:dyDescent="0.35">
      <c r="A2260" s="1">
        <v>42248</v>
      </c>
      <c r="B2260" t="s">
        <v>21</v>
      </c>
      <c r="C2260" s="2">
        <v>4760</v>
      </c>
      <c r="D2260" s="5" t="s">
        <v>17</v>
      </c>
      <c r="E2260" s="2">
        <f>IF(Tabla2[[#This Row],[Frecuencia]]="Annual", Tabla2[[#This Row],[Cosecha/Tarea]]/12,Tabla2[[#This Row],[Cosecha/Tarea]])</f>
        <v>4760</v>
      </c>
      <c r="F2260" s="2">
        <v>45235</v>
      </c>
      <c r="G2260" t="s">
        <v>18</v>
      </c>
      <c r="H2260">
        <f>F2260/Tabla2[[#This Row],[Cosecha Mensual]]</f>
        <v>9.5031512605042021</v>
      </c>
      <c r="I2260">
        <f>H2260*_xlfn.XLOOKUP(Tabla2[[#This Row],[Unidad de producción]],Tabla3[Medida],Tabla3[Equivalencia en Kg],"ELVIS",0)</f>
        <v>431.06294117647059</v>
      </c>
      <c r="J2260">
        <v>632.56888888888898</v>
      </c>
      <c r="K2260" t="s">
        <v>18</v>
      </c>
      <c r="L2260">
        <f>J2260/_xlfn.XLOOKUP(Tabla2[[#This Row],[Unidad de precio]],Tabla3[Medida],Tabla3[Equivalencia en Kg],"ELVIS",0)</f>
        <v>13.945522241818541</v>
      </c>
      <c r="M2260">
        <v>5153.8888283303804</v>
      </c>
      <c r="N2260" s="2">
        <f>(Tabla2[[#This Row],[Productividad (kg/TAS)]]*Tabla2[[#This Row],[Precio por kg]]-Tabla2[[#This Row],[Costos (En RD$/Tarea)]])</f>
        <v>857.50900546980756</v>
      </c>
      <c r="O2260" s="6">
        <f>IF(Tabla2[[#This Row],[Costos (En RD$/Tarea)]]=0,0,Tabla2[[#This Row],[Beneficio Neto  (En RD$/Tarea)]]/Tabla2[[#This Row],[Costos (En RD$/Tarea)]])</f>
        <v>0.16638096668988503</v>
      </c>
      <c r="P2260" s="4">
        <f>Tabla2[[#This Row],[Rentabilidad (%)]]/12</f>
        <v>1.3865080557490419E-2</v>
      </c>
    </row>
    <row r="2261" spans="1:16" x14ac:dyDescent="0.35">
      <c r="A2261" s="1">
        <v>42248</v>
      </c>
      <c r="B2261" t="s">
        <v>22</v>
      </c>
      <c r="C2261" s="2">
        <v>2704</v>
      </c>
      <c r="D2261" s="5" t="s">
        <v>17</v>
      </c>
      <c r="E2261" s="2">
        <f>IF(Tabla2[[#This Row],[Frecuencia]]="Annual", Tabla2[[#This Row],[Cosecha/Tarea]]/12,Tabla2[[#This Row],[Cosecha/Tarea]])</f>
        <v>2704</v>
      </c>
      <c r="F2261" s="2">
        <v>29214</v>
      </c>
      <c r="G2261" t="s">
        <v>18</v>
      </c>
      <c r="H2261">
        <f>F2261/Tabla2[[#This Row],[Cosecha Mensual]]</f>
        <v>10.803994082840237</v>
      </c>
      <c r="I2261">
        <f>H2261*_xlfn.XLOOKUP(Tabla2[[#This Row],[Unidad de producción]],Tabla3[Medida],Tabla3[Equivalencia en Kg],"ELVIS",0)</f>
        <v>490.06917159763316</v>
      </c>
      <c r="J2261">
        <v>1435.72</v>
      </c>
      <c r="K2261" t="s">
        <v>18</v>
      </c>
      <c r="L2261">
        <f>J2261/_xlfn.XLOOKUP(Tabla2[[#This Row],[Unidad de precio]],Tabla3[Medida],Tabla3[Equivalencia en Kg],"ELVIS",0)</f>
        <v>31.65167548500882</v>
      </c>
      <c r="M2261">
        <v>9360.0920089845204</v>
      </c>
      <c r="N2261" s="2">
        <f>(Tabla2[[#This Row],[Productividad (kg/TAS)]]*Tabla2[[#This Row],[Precio por kg]]-Tabla2[[#This Row],[Costos (En RD$/Tarea)]])</f>
        <v>6151.4183756308648</v>
      </c>
      <c r="O2261" s="6">
        <f>IF(Tabla2[[#This Row],[Costos (En RD$/Tarea)]]=0,0,Tabla2[[#This Row],[Beneficio Neto  (En RD$/Tarea)]]/Tabla2[[#This Row],[Costos (En RD$/Tarea)]])</f>
        <v>0.65719635765612894</v>
      </c>
      <c r="P2261" s="4">
        <f>Tabla2[[#This Row],[Rentabilidad (%)]]/12</f>
        <v>5.4766363138010747E-2</v>
      </c>
    </row>
    <row r="2262" spans="1:16" x14ac:dyDescent="0.35">
      <c r="A2262" s="1">
        <v>42248</v>
      </c>
      <c r="B2262" t="s">
        <v>23</v>
      </c>
      <c r="C2262" s="2">
        <v>4865</v>
      </c>
      <c r="D2262" s="5" t="s">
        <v>17</v>
      </c>
      <c r="E2262" s="2">
        <f>IF(Tabla2[[#This Row],[Frecuencia]]="Annual", Tabla2[[#This Row],[Cosecha/Tarea]]/12,Tabla2[[#This Row],[Cosecha/Tarea]])</f>
        <v>4865</v>
      </c>
      <c r="F2262" s="2">
        <v>191375</v>
      </c>
      <c r="G2262" t="s">
        <v>18</v>
      </c>
      <c r="H2262">
        <f>F2262/Tabla2[[#This Row],[Cosecha Mensual]]</f>
        <v>39.337101747173691</v>
      </c>
      <c r="I2262">
        <f>H2262*_xlfn.XLOOKUP(Tabla2[[#This Row],[Unidad de producción]],Tabla3[Medida],Tabla3[Equivalencia en Kg],"ELVIS",0)</f>
        <v>1784.3309352517986</v>
      </c>
      <c r="J2262">
        <v>989.58333333333303</v>
      </c>
      <c r="K2262" t="s">
        <v>18</v>
      </c>
      <c r="L2262">
        <f>J2262/_xlfn.XLOOKUP(Tabla2[[#This Row],[Unidad de precio]],Tabla3[Medida],Tabla3[Equivalencia en Kg],"ELVIS",0)</f>
        <v>21.816211052322156</v>
      </c>
      <c r="M2262">
        <v>25505.193937477801</v>
      </c>
      <c r="N2262" s="2">
        <f>(Tabla2[[#This Row],[Productividad (kg/TAS)]]*Tabla2[[#This Row],[Precio por kg]]-Tabla2[[#This Row],[Costos (En RD$/Tarea)]])</f>
        <v>13422.146333162818</v>
      </c>
      <c r="O2262" s="6">
        <f>IF(Tabla2[[#This Row],[Costos (En RD$/Tarea)]]=0,0,Tabla2[[#This Row],[Beneficio Neto  (En RD$/Tarea)]]/Tabla2[[#This Row],[Costos (En RD$/Tarea)]])</f>
        <v>0.52625149081654576</v>
      </c>
      <c r="P2262" s="4">
        <f>Tabla2[[#This Row],[Rentabilidad (%)]]/12</f>
        <v>4.3854290901378816E-2</v>
      </c>
    </row>
    <row r="2263" spans="1:16" x14ac:dyDescent="0.35">
      <c r="A2263" s="1">
        <v>42248</v>
      </c>
      <c r="B2263" t="s">
        <v>24</v>
      </c>
      <c r="C2263" s="2">
        <v>4190</v>
      </c>
      <c r="D2263" s="5" t="s">
        <v>17</v>
      </c>
      <c r="E2263" s="2">
        <f>IF(Tabla2[[#This Row],[Frecuencia]]="Annual", Tabla2[[#This Row],[Cosecha/Tarea]]/12,Tabla2[[#This Row],[Cosecha/Tarea]])</f>
        <v>4190</v>
      </c>
      <c r="F2263" s="2">
        <v>32463</v>
      </c>
      <c r="G2263" t="s">
        <v>18</v>
      </c>
      <c r="H2263">
        <f>F2263/Tabla2[[#This Row],[Cosecha Mensual]]</f>
        <v>7.7477326968973745</v>
      </c>
      <c r="I2263">
        <f>H2263*_xlfn.XLOOKUP(Tabla2[[#This Row],[Unidad de producción]],Tabla3[Medida],Tabla3[Equivalencia en Kg],"ELVIS",0)</f>
        <v>351.43715513126489</v>
      </c>
      <c r="J2263">
        <v>1750.8928571428601</v>
      </c>
      <c r="K2263" t="s">
        <v>18</v>
      </c>
      <c r="L2263">
        <f>J2263/_xlfn.XLOOKUP(Tabla2[[#This Row],[Unidad de precio]],Tabla3[Medida],Tabla3[Equivalencia en Kg],"ELVIS",0)</f>
        <v>38.599930713026019</v>
      </c>
      <c r="M2263">
        <v>9240.5655642007696</v>
      </c>
      <c r="N2263" s="2">
        <f>(Tabla2[[#This Row],[Productividad (kg/TAS)]]*Tabla2[[#This Row],[Precio por kg]]-Tabla2[[#This Row],[Costos (En RD$/Tarea)]])</f>
        <v>4324.8842738490312</v>
      </c>
      <c r="O2263" s="6">
        <f>IF(Tabla2[[#This Row],[Costos (En RD$/Tarea)]]=0,0,Tabla2[[#This Row],[Beneficio Neto  (En RD$/Tarea)]]/Tabla2[[#This Row],[Costos (En RD$/Tarea)]])</f>
        <v>0.46803242115441845</v>
      </c>
      <c r="P2263" s="4">
        <f>Tabla2[[#This Row],[Rentabilidad (%)]]/12</f>
        <v>3.9002701762868207E-2</v>
      </c>
    </row>
    <row r="2264" spans="1:16" x14ac:dyDescent="0.35">
      <c r="A2264" s="1">
        <v>42248</v>
      </c>
      <c r="B2264" t="s">
        <v>25</v>
      </c>
      <c r="C2264" s="2">
        <v>26144</v>
      </c>
      <c r="D2264" s="5" t="s">
        <v>17</v>
      </c>
      <c r="E2264" s="2">
        <f>IF(Tabla2[[#This Row],[Frecuencia]]="Annual", Tabla2[[#This Row],[Cosecha/Tarea]]/12,Tabla2[[#This Row],[Cosecha/Tarea]])</f>
        <v>26144</v>
      </c>
      <c r="F2264" s="2">
        <v>258474</v>
      </c>
      <c r="G2264" t="s">
        <v>18</v>
      </c>
      <c r="H2264">
        <f>F2264/Tabla2[[#This Row],[Cosecha Mensual]]</f>
        <v>9.8865514075887386</v>
      </c>
      <c r="I2264">
        <f>H2264*_xlfn.XLOOKUP(Tabla2[[#This Row],[Unidad de producción]],Tabla3[Medida],Tabla3[Equivalencia en Kg],"ELVIS",0)</f>
        <v>448.45397184822519</v>
      </c>
      <c r="J2264">
        <v>1060.1276190476201</v>
      </c>
      <c r="K2264" t="s">
        <v>18</v>
      </c>
      <c r="L2264">
        <f>J2264/_xlfn.XLOOKUP(Tabla2[[#This Row],[Unidad de precio]],Tabla3[Medida],Tabla3[Equivalencia en Kg],"ELVIS",0)</f>
        <v>23.371420173007497</v>
      </c>
      <c r="M2264">
        <v>5033.4530378825102</v>
      </c>
      <c r="N2264" s="2">
        <f>(Tabla2[[#This Row],[Productividad (kg/TAS)]]*Tabla2[[#This Row],[Precio por kg]]-Tabla2[[#This Row],[Costos (En RD$/Tarea)]])</f>
        <v>5447.5531664364362</v>
      </c>
      <c r="O2264" s="6">
        <f>IF(Tabla2[[#This Row],[Costos (En RD$/Tarea)]]=0,0,Tabla2[[#This Row],[Beneficio Neto  (En RD$/Tarea)]]/Tabla2[[#This Row],[Costos (En RD$/Tarea)]])</f>
        <v>1.0822695921542025</v>
      </c>
      <c r="P2264" s="4">
        <f>Tabla2[[#This Row],[Rentabilidad (%)]]/12</f>
        <v>9.0189132679516879E-2</v>
      </c>
    </row>
    <row r="2265" spans="1:16" x14ac:dyDescent="0.35">
      <c r="A2265" s="1">
        <v>42248</v>
      </c>
      <c r="B2265" t="s">
        <v>26</v>
      </c>
      <c r="C2265" s="2">
        <v>9955</v>
      </c>
      <c r="D2265" s="5" t="s">
        <v>17</v>
      </c>
      <c r="E2265" s="2">
        <f>IF(Tabla2[[#This Row],[Frecuencia]]="Annual", Tabla2[[#This Row],[Cosecha/Tarea]]/12,Tabla2[[#This Row],[Cosecha/Tarea]])</f>
        <v>9955</v>
      </c>
      <c r="F2265" s="2">
        <v>59895</v>
      </c>
      <c r="G2265" t="s">
        <v>18</v>
      </c>
      <c r="H2265">
        <f>F2265/Tabla2[[#This Row],[Cosecha Mensual]]</f>
        <v>6.0165745856353592</v>
      </c>
      <c r="I2265">
        <f>H2265*_xlfn.XLOOKUP(Tabla2[[#This Row],[Unidad de producción]],Tabla3[Medida],Tabla3[Equivalencia en Kg],"ELVIS",0)</f>
        <v>272.91182320441987</v>
      </c>
      <c r="J2265">
        <v>1043.69444444444</v>
      </c>
      <c r="K2265" t="s">
        <v>18</v>
      </c>
      <c r="L2265">
        <f>J2265/_xlfn.XLOOKUP(Tabla2[[#This Row],[Unidad de precio]],Tabla3[Medida],Tabla3[Equivalencia en Kg],"ELVIS",0)</f>
        <v>23.009136782284834</v>
      </c>
      <c r="M2265">
        <v>2123.3608896042601</v>
      </c>
      <c r="N2265" s="2">
        <f>(Tabla2[[#This Row],[Productividad (kg/TAS)]]*Tabla2[[#This Row],[Precio por kg]]-Tabla2[[#This Row],[Costos (En RD$/Tarea)]])</f>
        <v>4156.1045800089723</v>
      </c>
      <c r="O2265" s="6">
        <f>IF(Tabla2[[#This Row],[Costos (En RD$/Tarea)]]=0,0,Tabla2[[#This Row],[Beneficio Neto  (En RD$/Tarea)]]/Tabla2[[#This Row],[Costos (En RD$/Tarea)]])</f>
        <v>1.9573236939404886</v>
      </c>
      <c r="P2265" s="4">
        <f>Tabla2[[#This Row],[Rentabilidad (%)]]/12</f>
        <v>0.16311030782837405</v>
      </c>
    </row>
    <row r="2266" spans="1:16" x14ac:dyDescent="0.35">
      <c r="A2266" s="1">
        <v>42248</v>
      </c>
      <c r="B2266" t="s">
        <v>27</v>
      </c>
      <c r="C2266" s="2">
        <v>3754</v>
      </c>
      <c r="D2266" s="5" t="s">
        <v>17</v>
      </c>
      <c r="E2266" s="2">
        <f>IF(Tabla2[[#This Row],[Frecuencia]]="Annual", Tabla2[[#This Row],[Cosecha/Tarea]]/12,Tabla2[[#This Row],[Cosecha/Tarea]])</f>
        <v>3754</v>
      </c>
      <c r="F2266" s="2">
        <v>34121</v>
      </c>
      <c r="G2266" t="s">
        <v>18</v>
      </c>
      <c r="H2266">
        <f>F2266/Tabla2[[#This Row],[Cosecha Mensual]]</f>
        <v>9.0892381459776246</v>
      </c>
      <c r="I2266">
        <f>H2266*_xlfn.XLOOKUP(Tabla2[[#This Row],[Unidad de producción]],Tabla3[Medida],Tabla3[Equivalencia en Kg],"ELVIS",0)</f>
        <v>412.28784230154503</v>
      </c>
      <c r="J2266">
        <v>844.13095238095298</v>
      </c>
      <c r="K2266" t="s">
        <v>18</v>
      </c>
      <c r="L2266">
        <f>J2266/_xlfn.XLOOKUP(Tabla2[[#This Row],[Unidad de precio]],Tabla3[Medida],Tabla3[Equivalencia en Kg],"ELVIS",0)</f>
        <v>18.609588897287324</v>
      </c>
      <c r="M2266">
        <v>8682.6925456059998</v>
      </c>
      <c r="N2266" s="2">
        <f>(Tabla2[[#This Row],[Productividad (kg/TAS)]]*Tabla2[[#This Row],[Precio por kg]]-Tabla2[[#This Row],[Costos (En RD$/Tarea)]])</f>
        <v>-1010.1852930246205</v>
      </c>
      <c r="O2266" s="6">
        <f>IF(Tabla2[[#This Row],[Costos (En RD$/Tarea)]]=0,0,Tabla2[[#This Row],[Beneficio Neto  (En RD$/Tarea)]]/Tabla2[[#This Row],[Costos (En RD$/Tarea)]])</f>
        <v>-0.11634470387136293</v>
      </c>
      <c r="P2266" s="4">
        <f>Tabla2[[#This Row],[Rentabilidad (%)]]/12</f>
        <v>-9.6953919892802439E-3</v>
      </c>
    </row>
    <row r="2267" spans="1:16" x14ac:dyDescent="0.35">
      <c r="A2267" s="1">
        <v>42248</v>
      </c>
      <c r="B2267" t="s">
        <v>28</v>
      </c>
      <c r="C2267" s="2">
        <v>80147</v>
      </c>
      <c r="D2267" s="5" t="s">
        <v>17</v>
      </c>
      <c r="E2267" s="2">
        <f>IF(Tabla2[[#This Row],[Frecuencia]]="Annual", Tabla2[[#This Row],[Cosecha/Tarea]]/12,Tabla2[[#This Row],[Cosecha/Tarea]])</f>
        <v>80147</v>
      </c>
      <c r="F2267" s="2">
        <v>1824168</v>
      </c>
      <c r="G2267" t="s">
        <v>18</v>
      </c>
      <c r="H2267">
        <f>F2267/Tabla2[[#This Row],[Cosecha Mensual]]</f>
        <v>22.760277989194854</v>
      </c>
      <c r="I2267">
        <f>H2267*_xlfn.XLOOKUP(Tabla2[[#This Row],[Unidad de producción]],Tabla3[Medida],Tabla3[Equivalencia en Kg],"ELVIS",0)</f>
        <v>1032.4062095898785</v>
      </c>
      <c r="J2267">
        <v>4466.28071428572</v>
      </c>
      <c r="K2267" t="s">
        <v>29</v>
      </c>
      <c r="L2267">
        <f>J2267/_xlfn.XLOOKUP(Tabla2[[#This Row],[Unidad de precio]],Tabla3[Medida],Tabla3[Equivalencia en Kg],"ELVIS",0)</f>
        <v>7.9423137501968908</v>
      </c>
      <c r="M2267">
        <v>7427.3786743830897</v>
      </c>
      <c r="N2267" s="2">
        <f>(Tabla2[[#This Row],[Productividad (kg/TAS)]]*Tabla2[[#This Row],[Precio por kg]]-Tabla2[[#This Row],[Costos (En RD$/Tarea)]])</f>
        <v>772.31535983125468</v>
      </c>
      <c r="O2267" s="6">
        <f>IF(Tabla2[[#This Row],[Costos (En RD$/Tarea)]]=0,0,Tabla2[[#This Row],[Beneficio Neto  (En RD$/Tarea)]]/Tabla2[[#This Row],[Costos (En RD$/Tarea)]])</f>
        <v>0.10398222491266777</v>
      </c>
      <c r="P2267" s="4">
        <f>Tabla2[[#This Row],[Rentabilidad (%)]]/12</f>
        <v>8.6651854093889816E-3</v>
      </c>
    </row>
    <row r="2268" spans="1:16" x14ac:dyDescent="0.35">
      <c r="A2268" s="1">
        <v>42248</v>
      </c>
      <c r="B2268" t="s">
        <v>30</v>
      </c>
      <c r="C2268" s="2">
        <v>401252</v>
      </c>
      <c r="D2268" s="2" t="s">
        <v>31</v>
      </c>
      <c r="E2268" s="2">
        <f>IF(Tabla2[[#This Row],[Frecuencia]]="Annual", Tabla2[[#This Row],[Cosecha/Tarea]]/12,Tabla2[[#This Row],[Cosecha/Tarea]])</f>
        <v>33437.666666666664</v>
      </c>
      <c r="F2268" s="2">
        <v>1949934.6</v>
      </c>
      <c r="G2268" t="s">
        <v>18</v>
      </c>
      <c r="H2268">
        <f>F2268/Tabla2[[#This Row],[Cosecha Mensual]]</f>
        <v>58.315510452284357</v>
      </c>
      <c r="I2268">
        <f>H2268*_xlfn.XLOOKUP(Tabla2[[#This Row],[Unidad de producción]],Tabla3[Medida],Tabla3[Equivalencia en Kg],"ELVIS",0)</f>
        <v>2645.1915541156186</v>
      </c>
      <c r="J2268">
        <v>173.58190476190501</v>
      </c>
      <c r="K2268" t="s">
        <v>32</v>
      </c>
      <c r="L2268">
        <f>J2268/_xlfn.XLOOKUP(Tabla2[[#This Row],[Unidad de precio]],Tabla3[Medida],Tabla3[Equivalencia en Kg],"ELVIS",0)</f>
        <v>6.3793423286256896</v>
      </c>
      <c r="M2268" s="2">
        <v>22429.7248632058</v>
      </c>
      <c r="N2268" s="2">
        <f>(Tabla2[[#This Row],[Productividad (kg/TAS)]]*Tabla2[[#This Row],[Precio por kg]]-Tabla2[[#This Row],[Costos (En RD$/Tarea)]])</f>
        <v>-5555.1424147128637</v>
      </c>
      <c r="O2268" s="6">
        <f>IF(Tabla2[[#This Row],[Costos (En RD$/Tarea)]]=0,0,Tabla2[[#This Row],[Beneficio Neto  (En RD$/Tarea)]]/Tabla2[[#This Row],[Costos (En RD$/Tarea)]])</f>
        <v>-0.24766877206887358</v>
      </c>
      <c r="P2268" s="4">
        <f>Tabla2[[#This Row],[Rentabilidad (%)]]/12</f>
        <v>-2.06390643390728E-2</v>
      </c>
    </row>
    <row r="2269" spans="1:16" x14ac:dyDescent="0.35">
      <c r="A2269" s="1">
        <v>42248</v>
      </c>
      <c r="B2269" t="s">
        <v>33</v>
      </c>
      <c r="C2269" s="2">
        <v>687987</v>
      </c>
      <c r="D2269" s="2" t="s">
        <v>31</v>
      </c>
      <c r="E2269" s="8">
        <f>IF(Tabla2[[#This Row],[Frecuencia]]="Annual", Tabla2[[#This Row],[Cosecha/Tarea]]/12,Tabla2[[#This Row],[Cosecha/Tarea]])</f>
        <v>57332.25</v>
      </c>
      <c r="F2269" s="2">
        <v>1282923</v>
      </c>
      <c r="G2269" t="s">
        <v>18</v>
      </c>
      <c r="H2269">
        <f>F2269/Tabla2[[#This Row],[Cosecha Mensual]]</f>
        <v>22.3769867744594</v>
      </c>
      <c r="I2269">
        <f>H2269*_xlfn.XLOOKUP(Tabla2[[#This Row],[Unidad de producción]],Tabla3[Medida],Tabla3[Equivalencia en Kg],"ELVIS",0)</f>
        <v>1015.0201200894784</v>
      </c>
      <c r="J2269">
        <v>7389.74285714286</v>
      </c>
      <c r="K2269" t="s">
        <v>34</v>
      </c>
      <c r="L2269">
        <f>J2269/_xlfn.XLOOKUP(Tabla2[[#This Row],[Unidad de precio]],Tabla3[Medida],Tabla3[Equivalencia en Kg],"ELVIS",0)</f>
        <v>18.105458427398897</v>
      </c>
      <c r="M2269" s="2">
        <v>16317.7474581161</v>
      </c>
      <c r="N2269" s="2">
        <f>(Tabla2[[#This Row],[Productividad (kg/TAS)]]*Tabla2[[#This Row],[Precio por kg]]-Tabla2[[#This Row],[Costos (En RD$/Tarea)]])</f>
        <v>2059.6571291373875</v>
      </c>
      <c r="O2269" s="6">
        <f>IF(Tabla2[[#This Row],[Costos (En RD$/Tarea)]]=0,0,Tabla2[[#This Row],[Beneficio Neto  (En RD$/Tarea)]]/Tabla2[[#This Row],[Costos (En RD$/Tarea)]])</f>
        <v>0.12622190252815549</v>
      </c>
      <c r="P2269" s="4">
        <f>Tabla2[[#This Row],[Rentabilidad (%)]]/12</f>
        <v>1.0518491877346291E-2</v>
      </c>
    </row>
    <row r="2270" spans="1:16" x14ac:dyDescent="0.35">
      <c r="A2270" s="1">
        <v>42278</v>
      </c>
      <c r="B2270" t="s">
        <v>16</v>
      </c>
      <c r="C2270" s="2">
        <v>385441</v>
      </c>
      <c r="D2270" s="5" t="s">
        <v>17</v>
      </c>
      <c r="E2270" s="2">
        <f>IF(Tabla2[[#This Row],[Frecuencia]]="Annual", Tabla2[[#This Row],[Cosecha/Tarea]]/12,Tabla2[[#This Row],[Cosecha/Tarea]])</f>
        <v>385441</v>
      </c>
      <c r="F2270" s="2">
        <v>1827549</v>
      </c>
      <c r="G2270" t="s">
        <v>18</v>
      </c>
      <c r="H2270">
        <f>F2270/Tabla2[[#This Row],[Cosecha Mensual]]</f>
        <v>4.7414494047078541</v>
      </c>
      <c r="I2270">
        <f>H2270*_xlfn.XLOOKUP(Tabla2[[#This Row],[Unidad de producción]],Tabla3[Medida],Tabla3[Equivalencia en Kg],"ELVIS",0)</f>
        <v>215.07214499754826</v>
      </c>
      <c r="J2270">
        <v>1926.0861231884101</v>
      </c>
      <c r="K2270" t="s">
        <v>19</v>
      </c>
      <c r="L2270">
        <f>J2270/_xlfn.XLOOKUP(Tabla2[[#This Row],[Unidad de precio]],Tabla3[Medida],Tabla3[Equivalencia en Kg],"ELVIS",0)</f>
        <v>17.509873847167363</v>
      </c>
      <c r="M2270">
        <v>7019.0666646612499</v>
      </c>
      <c r="N2270" s="2">
        <f>(Tabla2[[#This Row],[Productividad (kg/TAS)]]*Tabla2[[#This Row],[Precio por kg]]-Tabla2[[#This Row],[Costos (En RD$/Tarea)]])</f>
        <v>-3253.1805377144924</v>
      </c>
      <c r="O2270" s="6">
        <f>IF(Tabla2[[#This Row],[Costos (En RD$/Tarea)]]=0,0,Tabla2[[#This Row],[Beneficio Neto  (En RD$/Tarea)]]/Tabla2[[#This Row],[Costos (En RD$/Tarea)]])</f>
        <v>-0.46347765210625702</v>
      </c>
      <c r="P2270" s="4">
        <f>Tabla2[[#This Row],[Rentabilidad (%)]]/12</f>
        <v>-3.8623137675521418E-2</v>
      </c>
    </row>
    <row r="2271" spans="1:16" x14ac:dyDescent="0.35">
      <c r="A2271" s="1">
        <v>42278</v>
      </c>
      <c r="B2271" t="s">
        <v>20</v>
      </c>
      <c r="C2271" s="2">
        <v>30144</v>
      </c>
      <c r="D2271" s="5" t="s">
        <v>17</v>
      </c>
      <c r="E2271" s="2">
        <f>IF(Tabla2[[#This Row],[Frecuencia]]="Annual", Tabla2[[#This Row],[Cosecha/Tarea]]/12,Tabla2[[#This Row],[Cosecha/Tarea]])</f>
        <v>30144</v>
      </c>
      <c r="F2271" s="2">
        <v>78541</v>
      </c>
      <c r="G2271" t="s">
        <v>18</v>
      </c>
      <c r="H2271">
        <f>F2271/Tabla2[[#This Row],[Cosecha Mensual]]</f>
        <v>2.6055268046709128</v>
      </c>
      <c r="I2271">
        <f>H2271*_xlfn.XLOOKUP(Tabla2[[#This Row],[Unidad de producción]],Tabla3[Medida],Tabla3[Equivalencia en Kg],"ELVIS",0)</f>
        <v>118.1866958598726</v>
      </c>
      <c r="J2271">
        <v>776.22713999999996</v>
      </c>
      <c r="K2271" t="s">
        <v>18</v>
      </c>
      <c r="L2271">
        <f>J2271/_xlfn.XLOOKUP(Tabla2[[#This Row],[Unidad de precio]],Tabla3[Medida],Tabla3[Equivalencia en Kg],"ELVIS",0)</f>
        <v>17.112591269841268</v>
      </c>
      <c r="M2271">
        <v>2574.5849057760001</v>
      </c>
      <c r="N2271" s="2">
        <f>(Tabla2[[#This Row],[Productividad (kg/TAS)]]*Tabla2[[#This Row],[Precio por kg]]-Tabla2[[#This Row],[Costos (En RD$/Tarea)]])</f>
        <v>-552.10428599295915</v>
      </c>
      <c r="O2271" s="6">
        <f>IF(Tabla2[[#This Row],[Costos (En RD$/Tarea)]]=0,0,Tabla2[[#This Row],[Beneficio Neto  (En RD$/Tarea)]]/Tabla2[[#This Row],[Costos (En RD$/Tarea)]])</f>
        <v>-0.21444400017817652</v>
      </c>
      <c r="P2271" s="4">
        <f>Tabla2[[#This Row],[Rentabilidad (%)]]/12</f>
        <v>-1.7870333348181378E-2</v>
      </c>
    </row>
    <row r="2272" spans="1:16" x14ac:dyDescent="0.35">
      <c r="A2272" s="1">
        <v>42278</v>
      </c>
      <c r="B2272" t="s">
        <v>21</v>
      </c>
      <c r="C2272" s="2">
        <v>5914</v>
      </c>
      <c r="D2272" s="5" t="s">
        <v>17</v>
      </c>
      <c r="E2272" s="2">
        <f>IF(Tabla2[[#This Row],[Frecuencia]]="Annual", Tabla2[[#This Row],[Cosecha/Tarea]]/12,Tabla2[[#This Row],[Cosecha/Tarea]])</f>
        <v>5914</v>
      </c>
      <c r="F2272" s="2">
        <v>72544</v>
      </c>
      <c r="G2272" t="s">
        <v>18</v>
      </c>
      <c r="H2272">
        <f>F2272/Tabla2[[#This Row],[Cosecha Mensual]]</f>
        <v>12.266486303686168</v>
      </c>
      <c r="I2272">
        <f>H2272*_xlfn.XLOOKUP(Tabla2[[#This Row],[Unidad de producción]],Tabla3[Medida],Tabla3[Equivalencia en Kg],"ELVIS",0)</f>
        <v>556.40781873520461</v>
      </c>
      <c r="J2272">
        <v>728.05566666666698</v>
      </c>
      <c r="K2272" t="s">
        <v>18</v>
      </c>
      <c r="L2272">
        <f>J2272/_xlfn.XLOOKUP(Tabla2[[#This Row],[Unidad de precio]],Tabla3[Medida],Tabla3[Equivalencia en Kg],"ELVIS",0)</f>
        <v>16.050609935332165</v>
      </c>
      <c r="M2272">
        <v>5153.8888283303804</v>
      </c>
      <c r="N2272" s="2">
        <f>(Tabla2[[#This Row],[Productividad (kg/TAS)]]*Tabla2[[#This Row],[Precio por kg]]-Tabla2[[#This Row],[Costos (En RD$/Tarea)]])</f>
        <v>3776.7960351573929</v>
      </c>
      <c r="O2272" s="6">
        <f>IF(Tabla2[[#This Row],[Costos (En RD$/Tarea)]]=0,0,Tabla2[[#This Row],[Beneficio Neto  (En RD$/Tarea)]]/Tabla2[[#This Row],[Costos (En RD$/Tarea)]])</f>
        <v>0.73280510328370796</v>
      </c>
      <c r="P2272" s="4">
        <f>Tabla2[[#This Row],[Rentabilidad (%)]]/12</f>
        <v>6.1067091940308994E-2</v>
      </c>
    </row>
    <row r="2273" spans="1:16" x14ac:dyDescent="0.35">
      <c r="A2273" s="1">
        <v>42278</v>
      </c>
      <c r="B2273" t="s">
        <v>22</v>
      </c>
      <c r="C2273" s="2">
        <v>4083</v>
      </c>
      <c r="D2273" s="5" t="s">
        <v>17</v>
      </c>
      <c r="E2273" s="2">
        <f>IF(Tabla2[[#This Row],[Frecuencia]]="Annual", Tabla2[[#This Row],[Cosecha/Tarea]]/12,Tabla2[[#This Row],[Cosecha/Tarea]])</f>
        <v>4083</v>
      </c>
      <c r="F2273" s="2">
        <v>42592</v>
      </c>
      <c r="G2273" t="s">
        <v>18</v>
      </c>
      <c r="H2273">
        <f>F2273/Tabla2[[#This Row],[Cosecha Mensual]]</f>
        <v>10.431545432280187</v>
      </c>
      <c r="I2273">
        <f>H2273*_xlfn.XLOOKUP(Tabla2[[#This Row],[Unidad de producción]],Tabla3[Medida],Tabla3[Equivalencia en Kg],"ELVIS",0)</f>
        <v>473.17490080822927</v>
      </c>
      <c r="J2273">
        <v>1803.88944444444</v>
      </c>
      <c r="K2273" t="s">
        <v>18</v>
      </c>
      <c r="L2273">
        <f>J2273/_xlfn.XLOOKUP(Tabla2[[#This Row],[Unidad de precio]],Tabla3[Medida],Tabla3[Equivalencia en Kg],"ELVIS",0)</f>
        <v>39.768285812267195</v>
      </c>
      <c r="M2273">
        <v>9360.0920089845204</v>
      </c>
      <c r="N2273" s="2">
        <f>(Tabla2[[#This Row],[Productividad (kg/TAS)]]*Tabla2[[#This Row],[Precio por kg]]-Tabla2[[#This Row],[Costos (En RD$/Tarea)]])</f>
        <v>9457.2626855483213</v>
      </c>
      <c r="O2273" s="6">
        <f>IF(Tabla2[[#This Row],[Costos (En RD$/Tarea)]]=0,0,Tabla2[[#This Row],[Beneficio Neto  (En RD$/Tarea)]]/Tabla2[[#This Row],[Costos (En RD$/Tarea)]])</f>
        <v>1.0103813804896928</v>
      </c>
      <c r="P2273" s="4">
        <f>Tabla2[[#This Row],[Rentabilidad (%)]]/12</f>
        <v>8.4198448374141074E-2</v>
      </c>
    </row>
    <row r="2274" spans="1:16" x14ac:dyDescent="0.35">
      <c r="A2274" s="1">
        <v>42278</v>
      </c>
      <c r="B2274" t="s">
        <v>23</v>
      </c>
      <c r="C2274" s="2">
        <v>3759</v>
      </c>
      <c r="D2274" s="5" t="s">
        <v>17</v>
      </c>
      <c r="E2274" s="2">
        <f>IF(Tabla2[[#This Row],[Frecuencia]]="Annual", Tabla2[[#This Row],[Cosecha/Tarea]]/12,Tabla2[[#This Row],[Cosecha/Tarea]])</f>
        <v>3759</v>
      </c>
      <c r="F2274" s="2">
        <v>143545</v>
      </c>
      <c r="G2274" t="s">
        <v>18</v>
      </c>
      <c r="H2274">
        <f>F2274/Tabla2[[#This Row],[Cosecha Mensual]]</f>
        <v>38.187017823889335</v>
      </c>
      <c r="I2274">
        <f>H2274*_xlfn.XLOOKUP(Tabla2[[#This Row],[Unidad de producción]],Tabla3[Medida],Tabla3[Equivalencia en Kg],"ELVIS",0)</f>
        <v>1732.1631284916202</v>
      </c>
      <c r="J2274">
        <v>981.25</v>
      </c>
      <c r="K2274" t="s">
        <v>18</v>
      </c>
      <c r="L2274">
        <f>J2274/_xlfn.XLOOKUP(Tabla2[[#This Row],[Unidad de precio]],Tabla3[Medida],Tabla3[Equivalencia en Kg],"ELVIS",0)</f>
        <v>21.632495590828924</v>
      </c>
      <c r="M2274">
        <v>25505.193937477801</v>
      </c>
      <c r="N2274" s="2">
        <f>(Tabla2[[#This Row],[Productividad (kg/TAS)]]*Tabla2[[#This Row],[Precio por kg]]-Tabla2[[#This Row],[Costos (En RD$/Tarea)]])</f>
        <v>11965.817302213611</v>
      </c>
      <c r="O2274" s="6">
        <f>IF(Tabla2[[#This Row],[Costos (En RD$/Tarea)]]=0,0,Tabla2[[#This Row],[Beneficio Neto  (En RD$/Tarea)]]/Tabla2[[#This Row],[Costos (En RD$/Tarea)]])</f>
        <v>0.46915217863255759</v>
      </c>
      <c r="P2274" s="4">
        <f>Tabla2[[#This Row],[Rentabilidad (%)]]/12</f>
        <v>3.9096014886046464E-2</v>
      </c>
    </row>
    <row r="2275" spans="1:16" x14ac:dyDescent="0.35">
      <c r="A2275" s="1">
        <v>42278</v>
      </c>
      <c r="B2275" t="s">
        <v>24</v>
      </c>
      <c r="C2275" s="2">
        <v>5452</v>
      </c>
      <c r="D2275" s="5" t="s">
        <v>17</v>
      </c>
      <c r="E2275" s="2">
        <f>IF(Tabla2[[#This Row],[Frecuencia]]="Annual", Tabla2[[#This Row],[Cosecha/Tarea]]/12,Tabla2[[#This Row],[Cosecha/Tarea]])</f>
        <v>5452</v>
      </c>
      <c r="F2275" s="2">
        <v>55900</v>
      </c>
      <c r="G2275" t="s">
        <v>18</v>
      </c>
      <c r="H2275">
        <f>F2275/Tabla2[[#This Row],[Cosecha Mensual]]</f>
        <v>10.253118121790168</v>
      </c>
      <c r="I2275">
        <f>H2275*_xlfn.XLOOKUP(Tabla2[[#This Row],[Unidad de producción]],Tabla3[Medida],Tabla3[Equivalencia en Kg],"ELVIS",0)</f>
        <v>465.081438004402</v>
      </c>
      <c r="J2275">
        <v>2106.4885714285701</v>
      </c>
      <c r="K2275" t="s">
        <v>18</v>
      </c>
      <c r="L2275">
        <f>J2275/_xlfn.XLOOKUP(Tabla2[[#This Row],[Unidad de precio]],Tabla3[Medida],Tabla3[Equivalencia en Kg],"ELVIS",0)</f>
        <v>46.439342403628089</v>
      </c>
      <c r="M2275">
        <v>9240.5655642007696</v>
      </c>
      <c r="N2275" s="2">
        <f>(Tabla2[[#This Row],[Productividad (kg/TAS)]]*Tabla2[[#This Row],[Precio por kg]]-Tabla2[[#This Row],[Costos (En RD$/Tarea)]])</f>
        <v>12357.510580857386</v>
      </c>
      <c r="O2275" s="6">
        <f>IF(Tabla2[[#This Row],[Costos (En RD$/Tarea)]]=0,0,Tabla2[[#This Row],[Beneficio Neto  (En RD$/Tarea)]]/Tabla2[[#This Row],[Costos (En RD$/Tarea)]])</f>
        <v>1.3373110655404139</v>
      </c>
      <c r="P2275" s="4">
        <f>Tabla2[[#This Row],[Rentabilidad (%)]]/12</f>
        <v>0.11144258879503449</v>
      </c>
    </row>
    <row r="2276" spans="1:16" x14ac:dyDescent="0.35">
      <c r="A2276" s="1">
        <v>42278</v>
      </c>
      <c r="B2276" t="s">
        <v>25</v>
      </c>
      <c r="C2276" s="2">
        <v>30145</v>
      </c>
      <c r="D2276" s="5" t="s">
        <v>17</v>
      </c>
      <c r="E2276" s="2">
        <f>IF(Tabla2[[#This Row],[Frecuencia]]="Annual", Tabla2[[#This Row],[Cosecha/Tarea]]/12,Tabla2[[#This Row],[Cosecha/Tarea]])</f>
        <v>30145</v>
      </c>
      <c r="F2276" s="2">
        <v>275484</v>
      </c>
      <c r="G2276" t="s">
        <v>18</v>
      </c>
      <c r="H2276">
        <f>F2276/Tabla2[[#This Row],[Cosecha Mensual]]</f>
        <v>9.1386299552164534</v>
      </c>
      <c r="I2276">
        <f>H2276*_xlfn.XLOOKUP(Tabla2[[#This Row],[Unidad de producción]],Tabla3[Medida],Tabla3[Equivalencia en Kg],"ELVIS",0)</f>
        <v>414.5282547686183</v>
      </c>
      <c r="J2276">
        <v>1096.2142857142901</v>
      </c>
      <c r="K2276" t="s">
        <v>18</v>
      </c>
      <c r="L2276">
        <f>J2276/_xlfn.XLOOKUP(Tabla2[[#This Row],[Unidad de precio]],Tabla3[Medida],Tabla3[Equivalencia en Kg],"ELVIS",0)</f>
        <v>24.166981607457895</v>
      </c>
      <c r="M2276">
        <v>5033.4530378825102</v>
      </c>
      <c r="N2276" s="2">
        <f>(Tabla2[[#This Row],[Productividad (kg/TAS)]]*Tabla2[[#This Row],[Precio por kg]]-Tabla2[[#This Row],[Costos (En RD$/Tarea)]])</f>
        <v>4984.4436708823096</v>
      </c>
      <c r="O2276" s="6">
        <f>IF(Tabla2[[#This Row],[Costos (En RD$/Tarea)]]=0,0,Tabla2[[#This Row],[Beneficio Neto  (En RD$/Tarea)]]/Tabla2[[#This Row],[Costos (En RD$/Tarea)]])</f>
        <v>0.99026327123123059</v>
      </c>
      <c r="P2276" s="4">
        <f>Tabla2[[#This Row],[Rentabilidad (%)]]/12</f>
        <v>8.2521939269269221E-2</v>
      </c>
    </row>
    <row r="2277" spans="1:16" x14ac:dyDescent="0.35">
      <c r="A2277" s="1">
        <v>42278</v>
      </c>
      <c r="B2277" t="s">
        <v>26</v>
      </c>
      <c r="C2277" s="2">
        <v>10012</v>
      </c>
      <c r="D2277" s="5" t="s">
        <v>17</v>
      </c>
      <c r="E2277" s="2">
        <f>IF(Tabla2[[#This Row],[Frecuencia]]="Annual", Tabla2[[#This Row],[Cosecha/Tarea]]/12,Tabla2[[#This Row],[Cosecha/Tarea]])</f>
        <v>10012</v>
      </c>
      <c r="F2277" s="2">
        <v>60157</v>
      </c>
      <c r="G2277" t="s">
        <v>18</v>
      </c>
      <c r="H2277">
        <f>F2277/Tabla2[[#This Row],[Cosecha Mensual]]</f>
        <v>6.0084898122253296</v>
      </c>
      <c r="I2277">
        <f>H2277*_xlfn.XLOOKUP(Tabla2[[#This Row],[Unidad de producción]],Tabla3[Medida],Tabla3[Equivalencia en Kg],"ELVIS",0)</f>
        <v>272.54509788254097</v>
      </c>
      <c r="J2277">
        <v>1105.2083333333301</v>
      </c>
      <c r="K2277" t="s">
        <v>18</v>
      </c>
      <c r="L2277">
        <f>J2277/_xlfn.XLOOKUP(Tabla2[[#This Row],[Unidad de precio]],Tabla3[Medida],Tabla3[Equivalencia en Kg],"ELVIS",0)</f>
        <v>24.365263080540785</v>
      </c>
      <c r="M2277">
        <v>2123.3608896042601</v>
      </c>
      <c r="N2277" s="2">
        <f>(Tabla2[[#This Row],[Productividad (kg/TAS)]]*Tabla2[[#This Row],[Precio por kg]]-Tabla2[[#This Row],[Costos (En RD$/Tarea)]])</f>
        <v>4517.2721216155896</v>
      </c>
      <c r="O2277" s="6">
        <f>IF(Tabla2[[#This Row],[Costos (En RD$/Tarea)]]=0,0,Tabla2[[#This Row],[Beneficio Neto  (En RD$/Tarea)]]/Tabla2[[#This Row],[Costos (En RD$/Tarea)]])</f>
        <v>2.1274160900917285</v>
      </c>
      <c r="P2277" s="4">
        <f>Tabla2[[#This Row],[Rentabilidad (%)]]/12</f>
        <v>0.17728467417431071</v>
      </c>
    </row>
    <row r="2278" spans="1:16" x14ac:dyDescent="0.35">
      <c r="A2278" s="1">
        <v>42278</v>
      </c>
      <c r="B2278" t="s">
        <v>27</v>
      </c>
      <c r="C2278" s="2">
        <v>3274</v>
      </c>
      <c r="D2278" s="5" t="s">
        <v>17</v>
      </c>
      <c r="E2278" s="2">
        <f>IF(Tabla2[[#This Row],[Frecuencia]]="Annual", Tabla2[[#This Row],[Cosecha/Tarea]]/12,Tabla2[[#This Row],[Cosecha/Tarea]])</f>
        <v>3274</v>
      </c>
      <c r="F2278" s="2">
        <v>27275</v>
      </c>
      <c r="G2278" t="s">
        <v>18</v>
      </c>
      <c r="H2278">
        <f>F2278/Tabla2[[#This Row],[Cosecha Mensual]]</f>
        <v>8.3307880268784356</v>
      </c>
      <c r="I2278">
        <f>H2278*_xlfn.XLOOKUP(Tabla2[[#This Row],[Unidad de producción]],Tabla3[Medida],Tabla3[Equivalencia en Kg],"ELVIS",0)</f>
        <v>377.88454489920582</v>
      </c>
      <c r="J2278">
        <v>778.19915416666697</v>
      </c>
      <c r="K2278" t="s">
        <v>18</v>
      </c>
      <c r="L2278">
        <f>J2278/_xlfn.XLOOKUP(Tabla2[[#This Row],[Unidad de precio]],Tabla3[Medida],Tabla3[Equivalencia en Kg],"ELVIS",0)</f>
        <v>17.156066008965322</v>
      </c>
      <c r="M2278">
        <v>8682.6925456059998</v>
      </c>
      <c r="N2278" s="2">
        <f>(Tabla2[[#This Row],[Productividad (kg/TAS)]]*Tabla2[[#This Row],[Precio por kg]]-Tabla2[[#This Row],[Costos (En RD$/Tarea)]])</f>
        <v>-2199.6803495474051</v>
      </c>
      <c r="O2278" s="6">
        <f>IF(Tabla2[[#This Row],[Costos (En RD$/Tarea)]]=0,0,Tabla2[[#This Row],[Beneficio Neto  (En RD$/Tarea)]]/Tabla2[[#This Row],[Costos (En RD$/Tarea)]])</f>
        <v>-0.25334080850998053</v>
      </c>
      <c r="P2278" s="4">
        <f>Tabla2[[#This Row],[Rentabilidad (%)]]/12</f>
        <v>-2.1111734042498376E-2</v>
      </c>
    </row>
    <row r="2279" spans="1:16" x14ac:dyDescent="0.35">
      <c r="A2279" s="1">
        <v>42278</v>
      </c>
      <c r="B2279" t="s">
        <v>28</v>
      </c>
      <c r="C2279" s="2">
        <v>54225</v>
      </c>
      <c r="D2279" s="5" t="s">
        <v>17</v>
      </c>
      <c r="E2279" s="2">
        <f>IF(Tabla2[[#This Row],[Frecuencia]]="Annual", Tabla2[[#This Row],[Cosecha/Tarea]]/12,Tabla2[[#This Row],[Cosecha/Tarea]])</f>
        <v>54225</v>
      </c>
      <c r="F2279" s="2">
        <v>930780</v>
      </c>
      <c r="G2279" t="s">
        <v>18</v>
      </c>
      <c r="H2279">
        <f>F2279/Tabla2[[#This Row],[Cosecha Mensual]]</f>
        <v>17.165145228215767</v>
      </c>
      <c r="I2279">
        <f>H2279*_xlfn.XLOOKUP(Tabla2[[#This Row],[Unidad de producción]],Tabla3[Medida],Tabla3[Equivalencia en Kg],"ELVIS",0)</f>
        <v>778.6109875518672</v>
      </c>
      <c r="J2279">
        <v>4799.2220833333304</v>
      </c>
      <c r="K2279" t="s">
        <v>29</v>
      </c>
      <c r="L2279">
        <f>J2279/_xlfn.XLOOKUP(Tabla2[[#This Row],[Unidad de precio]],Tabla3[Medida],Tabla3[Equivalencia en Kg],"ELVIS",0)</f>
        <v>8.5343779267584203</v>
      </c>
      <c r="M2279">
        <v>7427.3786743830897</v>
      </c>
      <c r="N2279" s="2">
        <f>(Tabla2[[#This Row],[Productividad (kg/TAS)]]*Tabla2[[#This Row],[Precio por kg]]-Tabla2[[#This Row],[Costos (En RD$/Tarea)]])</f>
        <v>-782.41824868885942</v>
      </c>
      <c r="O2279" s="6">
        <f>IF(Tabla2[[#This Row],[Costos (En RD$/Tarea)]]=0,0,Tabla2[[#This Row],[Beneficio Neto  (En RD$/Tarea)]]/Tabla2[[#This Row],[Costos (En RD$/Tarea)]])</f>
        <v>-0.10534244758348021</v>
      </c>
      <c r="P2279" s="4">
        <f>Tabla2[[#This Row],[Rentabilidad (%)]]/12</f>
        <v>-8.7785372986233512E-3</v>
      </c>
    </row>
    <row r="2280" spans="1:16" x14ac:dyDescent="0.35">
      <c r="A2280" s="1">
        <v>42278</v>
      </c>
      <c r="B2280" t="s">
        <v>30</v>
      </c>
      <c r="C2280" s="2">
        <v>413014</v>
      </c>
      <c r="D2280" s="2" t="s">
        <v>31</v>
      </c>
      <c r="E2280" s="2">
        <f>IF(Tabla2[[#This Row],[Frecuencia]]="Annual", Tabla2[[#This Row],[Cosecha/Tarea]]/12,Tabla2[[#This Row],[Cosecha/Tarea]])</f>
        <v>34417.833333333336</v>
      </c>
      <c r="F2280" s="2">
        <v>2314799.4</v>
      </c>
      <c r="G2280" t="s">
        <v>18</v>
      </c>
      <c r="H2280">
        <f>F2280/Tabla2[[#This Row],[Cosecha Mensual]]</f>
        <v>67.255814088626522</v>
      </c>
      <c r="I2280">
        <f>H2280*_xlfn.XLOOKUP(Tabla2[[#This Row],[Unidad de producción]],Tabla3[Medida],Tabla3[Equivalencia en Kg],"ELVIS",0)</f>
        <v>3050.723727060099</v>
      </c>
      <c r="J2280">
        <v>215.88928571428599</v>
      </c>
      <c r="K2280" t="s">
        <v>32</v>
      </c>
      <c r="L2280">
        <f>J2280/_xlfn.XLOOKUP(Tabla2[[#This Row],[Unidad de precio]],Tabla3[Medida],Tabla3[Equivalencia en Kg],"ELVIS",0)</f>
        <v>7.9341891111461225</v>
      </c>
      <c r="M2280" s="2">
        <v>22429.7248632058</v>
      </c>
      <c r="N2280" s="2">
        <f>(Tabla2[[#This Row],[Productividad (kg/TAS)]]*Tabla2[[#This Row],[Precio por kg]]-Tabla2[[#This Row],[Costos (En RD$/Tarea)]])</f>
        <v>1775.2941131495536</v>
      </c>
      <c r="O2280" s="6">
        <f>IF(Tabla2[[#This Row],[Costos (En RD$/Tarea)]]=0,0,Tabla2[[#This Row],[Beneficio Neto  (En RD$/Tarea)]]/Tabla2[[#This Row],[Costos (En RD$/Tarea)]])</f>
        <v>7.9149170307558428E-2</v>
      </c>
      <c r="P2280" s="4">
        <f>Tabla2[[#This Row],[Rentabilidad (%)]]/12</f>
        <v>6.595764192296536E-3</v>
      </c>
    </row>
    <row r="2281" spans="1:16" x14ac:dyDescent="0.35">
      <c r="A2281" s="1">
        <v>42278</v>
      </c>
      <c r="B2281" t="s">
        <v>33</v>
      </c>
      <c r="C2281" s="2">
        <v>709985</v>
      </c>
      <c r="D2281" s="2" t="s">
        <v>31</v>
      </c>
      <c r="E2281" s="8">
        <f>IF(Tabla2[[#This Row],[Frecuencia]]="Annual", Tabla2[[#This Row],[Cosecha/Tarea]]/12,Tabla2[[#This Row],[Cosecha/Tarea]])</f>
        <v>59165.416666666664</v>
      </c>
      <c r="F2281" s="2">
        <v>1188126</v>
      </c>
      <c r="G2281" t="s">
        <v>18</v>
      </c>
      <c r="H2281">
        <f>F2281/Tabla2[[#This Row],[Cosecha Mensual]]</f>
        <v>20.081427072402938</v>
      </c>
      <c r="I2281">
        <f>H2281*_xlfn.XLOOKUP(Tabla2[[#This Row],[Unidad de producción]],Tabla3[Medida],Tabla3[Equivalencia en Kg],"ELVIS",0)</f>
        <v>910.89353200419725</v>
      </c>
      <c r="J2281">
        <v>9828.6546428571401</v>
      </c>
      <c r="K2281" t="s">
        <v>34</v>
      </c>
      <c r="L2281">
        <f>J2281/_xlfn.XLOOKUP(Tabla2[[#This Row],[Unidad de precio]],Tabla3[Medida],Tabla3[Equivalencia en Kg],"ELVIS",0)</f>
        <v>24.080986507061475</v>
      </c>
      <c r="M2281" s="2">
        <v>16317.7474581161</v>
      </c>
      <c r="N2281" s="2">
        <f>(Tabla2[[#This Row],[Productividad (kg/TAS)]]*Tabla2[[#This Row],[Precio por kg]]-Tabla2[[#This Row],[Costos (En RD$/Tarea)]])</f>
        <v>5617.4673954465434</v>
      </c>
      <c r="O2281" s="6">
        <f>IF(Tabla2[[#This Row],[Costos (En RD$/Tarea)]]=0,0,Tabla2[[#This Row],[Beneficio Neto  (En RD$/Tarea)]]/Tabla2[[#This Row],[Costos (En RD$/Tarea)]])</f>
        <v>0.34425507625150398</v>
      </c>
      <c r="P2281" s="4">
        <f>Tabla2[[#This Row],[Rentabilidad (%)]]/12</f>
        <v>2.8687923020958666E-2</v>
      </c>
    </row>
    <row r="2282" spans="1:16" x14ac:dyDescent="0.35">
      <c r="A2282" s="1">
        <v>42309</v>
      </c>
      <c r="B2282" t="s">
        <v>16</v>
      </c>
      <c r="C2282" s="2">
        <v>296868</v>
      </c>
      <c r="D2282" s="5" t="s">
        <v>17</v>
      </c>
      <c r="E2282" s="2">
        <f>IF(Tabla2[[#This Row],[Frecuencia]]="Annual", Tabla2[[#This Row],[Cosecha/Tarea]]/12,Tabla2[[#This Row],[Cosecha/Tarea]])</f>
        <v>296868</v>
      </c>
      <c r="F2282" s="2">
        <v>1185362</v>
      </c>
      <c r="G2282" t="s">
        <v>18</v>
      </c>
      <c r="H2282">
        <f>F2282/Tabla2[[#This Row],[Cosecha Mensual]]</f>
        <v>3.9928924639907297</v>
      </c>
      <c r="I2282">
        <f>H2282*_xlfn.XLOOKUP(Tabla2[[#This Row],[Unidad de producción]],Tabla3[Medida],Tabla3[Equivalencia en Kg],"ELVIS",0)</f>
        <v>181.11760216661949</v>
      </c>
      <c r="J2282">
        <v>1726.7265833333299</v>
      </c>
      <c r="K2282" t="s">
        <v>19</v>
      </c>
      <c r="L2282">
        <f>J2282/_xlfn.XLOOKUP(Tabla2[[#This Row],[Unidad de precio]],Tabla3[Medida],Tabla3[Equivalencia en Kg],"ELVIS",0)</f>
        <v>15.697514393939363</v>
      </c>
      <c r="M2282">
        <v>7019.0666646612499</v>
      </c>
      <c r="N2282" s="2">
        <f>(Tabla2[[#This Row],[Productividad (kg/TAS)]]*Tabla2[[#This Row],[Precio por kg]]-Tabla2[[#This Row],[Costos (En RD$/Tarea)]])</f>
        <v>-4175.9704976549574</v>
      </c>
      <c r="O2282" s="6">
        <f>IF(Tabla2[[#This Row],[Costos (En RD$/Tarea)]]=0,0,Tabla2[[#This Row],[Beneficio Neto  (En RD$/Tarea)]]/Tabla2[[#This Row],[Costos (En RD$/Tarea)]])</f>
        <v>-0.59494669265354461</v>
      </c>
      <c r="P2282" s="4">
        <f>Tabla2[[#This Row],[Rentabilidad (%)]]/12</f>
        <v>-4.9578891054462053E-2</v>
      </c>
    </row>
    <row r="2283" spans="1:16" x14ac:dyDescent="0.35">
      <c r="A2283" s="1">
        <v>42309</v>
      </c>
      <c r="B2283" t="s">
        <v>20</v>
      </c>
      <c r="C2283" s="2">
        <v>36201</v>
      </c>
      <c r="D2283" s="5" t="s">
        <v>17</v>
      </c>
      <c r="E2283" s="2">
        <f>IF(Tabla2[[#This Row],[Frecuencia]]="Annual", Tabla2[[#This Row],[Cosecha/Tarea]]/12,Tabla2[[#This Row],[Cosecha/Tarea]])</f>
        <v>36201</v>
      </c>
      <c r="F2283" s="2">
        <v>57895</v>
      </c>
      <c r="G2283" t="s">
        <v>18</v>
      </c>
      <c r="H2283">
        <f>F2283/Tabla2[[#This Row],[Cosecha Mensual]]</f>
        <v>1.5992652136681307</v>
      </c>
      <c r="I2283">
        <f>H2283*_xlfn.XLOOKUP(Tabla2[[#This Row],[Unidad de producción]],Tabla3[Medida],Tabla3[Equivalencia en Kg],"ELVIS",0)</f>
        <v>72.542670091986409</v>
      </c>
      <c r="J2283">
        <v>850.66866000000005</v>
      </c>
      <c r="K2283" t="s">
        <v>18</v>
      </c>
      <c r="L2283">
        <f>J2283/_xlfn.XLOOKUP(Tabla2[[#This Row],[Unidad de precio]],Tabla3[Medida],Tabla3[Equivalencia en Kg],"ELVIS",0)</f>
        <v>18.753718253968255</v>
      </c>
      <c r="M2283">
        <v>2574.5849057760001</v>
      </c>
      <c r="N2283" s="2">
        <f>(Tabla2[[#This Row],[Productividad (kg/TAS)]]*Tabla2[[#This Row],[Precio por kg]]-Tabla2[[#This Row],[Costos (En RD$/Tarea)]])</f>
        <v>-1214.1401094803175</v>
      </c>
      <c r="O2283" s="6">
        <f>IF(Tabla2[[#This Row],[Costos (En RD$/Tarea)]]=0,0,Tabla2[[#This Row],[Beneficio Neto  (En RD$/Tarea)]]/Tabla2[[#This Row],[Costos (En RD$/Tarea)]])</f>
        <v>-0.47158674268478479</v>
      </c>
      <c r="P2283" s="4">
        <f>Tabla2[[#This Row],[Rentabilidad (%)]]/12</f>
        <v>-3.9298895223732068E-2</v>
      </c>
    </row>
    <row r="2284" spans="1:16" x14ac:dyDescent="0.35">
      <c r="A2284" s="1">
        <v>42309</v>
      </c>
      <c r="B2284" t="s">
        <v>21</v>
      </c>
      <c r="C2284" s="2">
        <v>11795</v>
      </c>
      <c r="D2284" s="5" t="s">
        <v>17</v>
      </c>
      <c r="E2284" s="2">
        <f>IF(Tabla2[[#This Row],[Frecuencia]]="Annual", Tabla2[[#This Row],[Cosecha/Tarea]]/12,Tabla2[[#This Row],[Cosecha/Tarea]])</f>
        <v>11795</v>
      </c>
      <c r="F2284" s="2">
        <v>85906</v>
      </c>
      <c r="G2284" t="s">
        <v>18</v>
      </c>
      <c r="H2284">
        <f>F2284/Tabla2[[#This Row],[Cosecha Mensual]]</f>
        <v>7.2832556167867741</v>
      </c>
      <c r="I2284">
        <f>H2284*_xlfn.XLOOKUP(Tabla2[[#This Row],[Unidad de producción]],Tabla3[Medida],Tabla3[Equivalencia en Kg],"ELVIS",0)</f>
        <v>330.36847477744806</v>
      </c>
      <c r="J2284">
        <v>830.97222222222194</v>
      </c>
      <c r="K2284" t="s">
        <v>18</v>
      </c>
      <c r="L2284">
        <f>J2284/_xlfn.XLOOKUP(Tabla2[[#This Row],[Unidad de precio]],Tabla3[Medida],Tabla3[Equivalencia en Kg],"ELVIS",0)</f>
        <v>18.319493435234172</v>
      </c>
      <c r="M2284">
        <v>5153.8888283303804</v>
      </c>
      <c r="N2284" s="2">
        <f>(Tabla2[[#This Row],[Productividad (kg/TAS)]]*Tabla2[[#This Row],[Precio por kg]]-Tabla2[[#This Row],[Costos (En RD$/Tarea)]])</f>
        <v>898.29427656340522</v>
      </c>
      <c r="O2284" s="6">
        <f>IF(Tabla2[[#This Row],[Costos (En RD$/Tarea)]]=0,0,Tabla2[[#This Row],[Beneficio Neto  (En RD$/Tarea)]]/Tabla2[[#This Row],[Costos (En RD$/Tarea)]])</f>
        <v>0.17429446122810738</v>
      </c>
      <c r="P2284" s="4">
        <f>Tabla2[[#This Row],[Rentabilidad (%)]]/12</f>
        <v>1.4524538435675615E-2</v>
      </c>
    </row>
    <row r="2285" spans="1:16" x14ac:dyDescent="0.35">
      <c r="A2285" s="1">
        <v>42309</v>
      </c>
      <c r="B2285" t="s">
        <v>22</v>
      </c>
      <c r="C2285" s="2">
        <v>6987</v>
      </c>
      <c r="D2285" s="5" t="s">
        <v>17</v>
      </c>
      <c r="E2285" s="2">
        <f>IF(Tabla2[[#This Row],[Frecuencia]]="Annual", Tabla2[[#This Row],[Cosecha/Tarea]]/12,Tabla2[[#This Row],[Cosecha/Tarea]])</f>
        <v>6987</v>
      </c>
      <c r="F2285" s="2">
        <v>54628</v>
      </c>
      <c r="G2285" t="s">
        <v>18</v>
      </c>
      <c r="H2285">
        <f>F2285/Tabla2[[#This Row],[Cosecha Mensual]]</f>
        <v>7.818520108773436</v>
      </c>
      <c r="I2285">
        <f>H2285*_xlfn.XLOOKUP(Tabla2[[#This Row],[Unidad de producción]],Tabla3[Medida],Tabla3[Equivalencia en Kg],"ELVIS",0)</f>
        <v>354.64807213396307</v>
      </c>
      <c r="J2285">
        <v>1524.42857142857</v>
      </c>
      <c r="K2285" t="s">
        <v>18</v>
      </c>
      <c r="L2285">
        <f>J2285/_xlfn.XLOOKUP(Tabla2[[#This Row],[Unidad de precio]],Tabla3[Medida],Tabla3[Equivalencia en Kg],"ELVIS",0)</f>
        <v>33.607331821617507</v>
      </c>
      <c r="M2285">
        <v>9360.0920089845204</v>
      </c>
      <c r="N2285" s="2">
        <f>(Tabla2[[#This Row],[Productividad (kg/TAS)]]*Tabla2[[#This Row],[Precio por kg]]-Tabla2[[#This Row],[Costos (En RD$/Tarea)]])</f>
        <v>2558.6834311185175</v>
      </c>
      <c r="O2285" s="6">
        <f>IF(Tabla2[[#This Row],[Costos (En RD$/Tarea)]]=0,0,Tabla2[[#This Row],[Beneficio Neto  (En RD$/Tarea)]]/Tabla2[[#This Row],[Costos (En RD$/Tarea)]])</f>
        <v>0.27336092729243483</v>
      </c>
      <c r="P2285" s="4">
        <f>Tabla2[[#This Row],[Rentabilidad (%)]]/12</f>
        <v>2.2780077274369568E-2</v>
      </c>
    </row>
    <row r="2286" spans="1:16" x14ac:dyDescent="0.35">
      <c r="A2286" s="1">
        <v>42309</v>
      </c>
      <c r="B2286" t="s">
        <v>23</v>
      </c>
      <c r="C2286" s="2">
        <v>3662</v>
      </c>
      <c r="D2286" s="5" t="s">
        <v>17</v>
      </c>
      <c r="E2286" s="2">
        <f>IF(Tabla2[[#This Row],[Frecuencia]]="Annual", Tabla2[[#This Row],[Cosecha/Tarea]]/12,Tabla2[[#This Row],[Cosecha/Tarea]])</f>
        <v>3662</v>
      </c>
      <c r="F2286" s="2">
        <v>102147</v>
      </c>
      <c r="G2286" t="s">
        <v>18</v>
      </c>
      <c r="H2286">
        <f>F2286/Tabla2[[#This Row],[Cosecha Mensual]]</f>
        <v>27.893773894046969</v>
      </c>
      <c r="I2286">
        <f>H2286*_xlfn.XLOOKUP(Tabla2[[#This Row],[Unidad de producción]],Tabla3[Medida],Tabla3[Equivalencia en Kg],"ELVIS",0)</f>
        <v>1265.2615838339705</v>
      </c>
      <c r="J2286">
        <v>1000</v>
      </c>
      <c r="K2286" t="s">
        <v>18</v>
      </c>
      <c r="L2286">
        <f>J2286/_xlfn.XLOOKUP(Tabla2[[#This Row],[Unidad de precio]],Tabla3[Medida],Tabla3[Equivalencia en Kg],"ELVIS",0)</f>
        <v>22.045855379188712</v>
      </c>
      <c r="M2286">
        <v>25505.193937477801</v>
      </c>
      <c r="N2286" s="2">
        <f>(Tabla2[[#This Row],[Productividad (kg/TAS)]]*Tabla2[[#This Row],[Precio por kg]]-Tabla2[[#This Row],[Costos (En RD$/Tarea)]])</f>
        <v>2388.5799565691668</v>
      </c>
      <c r="O2286" s="6">
        <f>IF(Tabla2[[#This Row],[Costos (En RD$/Tarea)]]=0,0,Tabla2[[#This Row],[Beneficio Neto  (En RD$/Tarea)]]/Tabla2[[#This Row],[Costos (En RD$/Tarea)]])</f>
        <v>9.3650727080312204E-2</v>
      </c>
      <c r="P2286" s="4">
        <f>Tabla2[[#This Row],[Rentabilidad (%)]]/12</f>
        <v>7.804227256692684E-3</v>
      </c>
    </row>
    <row r="2287" spans="1:16" x14ac:dyDescent="0.35">
      <c r="A2287" s="1">
        <v>42309</v>
      </c>
      <c r="B2287" t="s">
        <v>24</v>
      </c>
      <c r="C2287" s="2">
        <v>6624</v>
      </c>
      <c r="D2287" s="5" t="s">
        <v>17</v>
      </c>
      <c r="E2287" s="2">
        <f>IF(Tabla2[[#This Row],[Frecuencia]]="Annual", Tabla2[[#This Row],[Cosecha/Tarea]]/12,Tabla2[[#This Row],[Cosecha/Tarea]])</f>
        <v>6624</v>
      </c>
      <c r="F2287" s="2">
        <v>49130</v>
      </c>
      <c r="G2287" t="s">
        <v>18</v>
      </c>
      <c r="H2287">
        <f>F2287/Tabla2[[#This Row],[Cosecha Mensual]]</f>
        <v>7.4169685990338161</v>
      </c>
      <c r="I2287">
        <f>H2287*_xlfn.XLOOKUP(Tabla2[[#This Row],[Unidad de producción]],Tabla3[Medida],Tabla3[Equivalencia en Kg],"ELVIS",0)</f>
        <v>336.43369565217387</v>
      </c>
      <c r="J2287">
        <v>1946.2147619047601</v>
      </c>
      <c r="K2287" t="s">
        <v>18</v>
      </c>
      <c r="L2287">
        <f>J2287/_xlfn.XLOOKUP(Tabla2[[#This Row],[Unidad de precio]],Tabla3[Medida],Tabla3[Equivalencia en Kg],"ELVIS",0)</f>
        <v>42.905969177794532</v>
      </c>
      <c r="M2287">
        <v>9240.5655642007696</v>
      </c>
      <c r="N2287" s="2">
        <f>(Tabla2[[#This Row],[Productividad (kg/TAS)]]*Tabla2[[#This Row],[Precio por kg]]-Tabla2[[#This Row],[Costos (En RD$/Tarea)]])</f>
        <v>5194.448211822908</v>
      </c>
      <c r="O2287" s="6">
        <f>IF(Tabla2[[#This Row],[Costos (En RD$/Tarea)]]=0,0,Tabla2[[#This Row],[Beneficio Neto  (En RD$/Tarea)]]/Tabla2[[#This Row],[Costos (En RD$/Tarea)]])</f>
        <v>0.56213531257728633</v>
      </c>
      <c r="P2287" s="4">
        <f>Tabla2[[#This Row],[Rentabilidad (%)]]/12</f>
        <v>4.6844609381440527E-2</v>
      </c>
    </row>
    <row r="2288" spans="1:16" x14ac:dyDescent="0.35">
      <c r="A2288" s="1">
        <v>42309</v>
      </c>
      <c r="B2288" t="s">
        <v>25</v>
      </c>
      <c r="C2288" s="2">
        <v>45744</v>
      </c>
      <c r="D2288" s="5" t="s">
        <v>17</v>
      </c>
      <c r="E2288" s="2">
        <f>IF(Tabla2[[#This Row],[Frecuencia]]="Annual", Tabla2[[#This Row],[Cosecha/Tarea]]/12,Tabla2[[#This Row],[Cosecha/Tarea]])</f>
        <v>45744</v>
      </c>
      <c r="F2288" s="2">
        <v>415067</v>
      </c>
      <c r="G2288" t="s">
        <v>18</v>
      </c>
      <c r="H2288">
        <f>F2288/Tabla2[[#This Row],[Cosecha Mensual]]</f>
        <v>9.073692724728927</v>
      </c>
      <c r="I2288">
        <f>H2288*_xlfn.XLOOKUP(Tabla2[[#This Row],[Unidad de producción]],Tabla3[Medida],Tabla3[Equivalencia en Kg],"ELVIS",0)</f>
        <v>411.58270199370412</v>
      </c>
      <c r="J2288">
        <v>981.107142857143</v>
      </c>
      <c r="K2288" t="s">
        <v>18</v>
      </c>
      <c r="L2288">
        <f>J2288/_xlfn.XLOOKUP(Tabla2[[#This Row],[Unidad de precio]],Tabla3[Medida],Tabla3[Equivalencia en Kg],"ELVIS",0)</f>
        <v>21.629346182917615</v>
      </c>
      <c r="M2288">
        <v>5033.4530378825102</v>
      </c>
      <c r="N2288" s="2">
        <f>(Tabla2[[#This Row],[Productividad (kg/TAS)]]*Tabla2[[#This Row],[Precio por kg]]-Tabla2[[#This Row],[Costos (En RD$/Tarea)]])</f>
        <v>3868.811706439933</v>
      </c>
      <c r="O2288" s="6">
        <f>IF(Tabla2[[#This Row],[Costos (En RD$/Tarea)]]=0,0,Tabla2[[#This Row],[Beneficio Neto  (En RD$/Tarea)]]/Tabla2[[#This Row],[Costos (En RD$/Tarea)]])</f>
        <v>0.7686198077786135</v>
      </c>
      <c r="P2288" s="4">
        <f>Tabla2[[#This Row],[Rentabilidad (%)]]/12</f>
        <v>6.4051650648217787E-2</v>
      </c>
    </row>
    <row r="2289" spans="1:16" x14ac:dyDescent="0.35">
      <c r="A2289" s="1">
        <v>42309</v>
      </c>
      <c r="B2289" t="s">
        <v>26</v>
      </c>
      <c r="C2289" s="2">
        <v>11940</v>
      </c>
      <c r="D2289" s="5" t="s">
        <v>17</v>
      </c>
      <c r="E2289" s="2">
        <f>IF(Tabla2[[#This Row],[Frecuencia]]="Annual", Tabla2[[#This Row],[Cosecha/Tarea]]/12,Tabla2[[#This Row],[Cosecha/Tarea]])</f>
        <v>11940</v>
      </c>
      <c r="F2289" s="2">
        <v>76072</v>
      </c>
      <c r="G2289" t="s">
        <v>18</v>
      </c>
      <c r="H2289">
        <f>F2289/Tabla2[[#This Row],[Cosecha Mensual]]</f>
        <v>6.3711892797319933</v>
      </c>
      <c r="I2289">
        <f>H2289*_xlfn.XLOOKUP(Tabla2[[#This Row],[Unidad de producción]],Tabla3[Medida],Tabla3[Equivalencia en Kg],"ELVIS",0)</f>
        <v>288.9971457286432</v>
      </c>
      <c r="J2289">
        <v>1059.3333333333301</v>
      </c>
      <c r="K2289" t="s">
        <v>18</v>
      </c>
      <c r="L2289">
        <f>J2289/_xlfn.XLOOKUP(Tabla2[[#This Row],[Unidad de precio]],Tabla3[Medida],Tabla3[Equivalencia en Kg],"ELVIS",0)</f>
        <v>23.353909465020504</v>
      </c>
      <c r="M2289">
        <v>2123.3608896042601</v>
      </c>
      <c r="N2289" s="2">
        <f>(Tabla2[[#This Row],[Productividad (kg/TAS)]]*Tabla2[[#This Row],[Precio por kg]]-Tabla2[[#This Row],[Costos (En RD$/Tarea)]])</f>
        <v>4625.85228739181</v>
      </c>
      <c r="O2289" s="6">
        <f>IF(Tabla2[[#This Row],[Costos (En RD$/Tarea)]]=0,0,Tabla2[[#This Row],[Beneficio Neto  (En RD$/Tarea)]]/Tabla2[[#This Row],[Costos (En RD$/Tarea)]])</f>
        <v>2.1785520822388085</v>
      </c>
      <c r="P2289" s="4">
        <f>Tabla2[[#This Row],[Rentabilidad (%)]]/12</f>
        <v>0.18154600685323405</v>
      </c>
    </row>
    <row r="2290" spans="1:16" x14ac:dyDescent="0.35">
      <c r="A2290" s="1">
        <v>42309</v>
      </c>
      <c r="B2290" t="s">
        <v>27</v>
      </c>
      <c r="C2290" s="2">
        <v>5225</v>
      </c>
      <c r="D2290" s="5" t="s">
        <v>17</v>
      </c>
      <c r="E2290" s="2">
        <f>IF(Tabla2[[#This Row],[Frecuencia]]="Annual", Tabla2[[#This Row],[Cosecha/Tarea]]/12,Tabla2[[#This Row],[Cosecha/Tarea]])</f>
        <v>5225</v>
      </c>
      <c r="F2290" s="2">
        <v>27764</v>
      </c>
      <c r="G2290" t="s">
        <v>18</v>
      </c>
      <c r="H2290">
        <f>F2290/Tabla2[[#This Row],[Cosecha Mensual]]</f>
        <v>5.3136842105263158</v>
      </c>
      <c r="I2290">
        <f>H2290*_xlfn.XLOOKUP(Tabla2[[#This Row],[Unidad de producción]],Tabla3[Medida],Tabla3[Equivalencia en Kg],"ELVIS",0)</f>
        <v>241.02871578947369</v>
      </c>
      <c r="J2290">
        <v>815.58</v>
      </c>
      <c r="K2290" t="s">
        <v>18</v>
      </c>
      <c r="L2290">
        <f>J2290/_xlfn.XLOOKUP(Tabla2[[#This Row],[Unidad de precio]],Tabla3[Medida],Tabla3[Equivalencia en Kg],"ELVIS",0)</f>
        <v>17.980158730158731</v>
      </c>
      <c r="M2290">
        <v>8682.6925456059998</v>
      </c>
      <c r="N2290" s="2">
        <f>(Tabla2[[#This Row],[Productividad (kg/TAS)]]*Tabla2[[#This Row],[Precio por kg]]-Tabla2[[#This Row],[Costos (En RD$/Tarea)]])</f>
        <v>-4348.9579771849467</v>
      </c>
      <c r="O2290" s="6">
        <f>IF(Tabla2[[#This Row],[Costos (En RD$/Tarea)]]=0,0,Tabla2[[#This Row],[Beneficio Neto  (En RD$/Tarea)]]/Tabla2[[#This Row],[Costos (En RD$/Tarea)]])</f>
        <v>-0.50087665252938141</v>
      </c>
      <c r="P2290" s="4">
        <f>Tabla2[[#This Row],[Rentabilidad (%)]]/12</f>
        <v>-4.1739721044115115E-2</v>
      </c>
    </row>
    <row r="2291" spans="1:16" x14ac:dyDescent="0.35">
      <c r="A2291" s="1">
        <v>42309</v>
      </c>
      <c r="B2291" t="s">
        <v>28</v>
      </c>
      <c r="C2291" s="2">
        <v>58547</v>
      </c>
      <c r="D2291" s="5" t="s">
        <v>17</v>
      </c>
      <c r="E2291" s="2">
        <f>IF(Tabla2[[#This Row],[Frecuencia]]="Annual", Tabla2[[#This Row],[Cosecha/Tarea]]/12,Tabla2[[#This Row],[Cosecha/Tarea]])</f>
        <v>58547</v>
      </c>
      <c r="F2291" s="2">
        <v>858072</v>
      </c>
      <c r="G2291" t="s">
        <v>18</v>
      </c>
      <c r="H2291">
        <f>F2291/Tabla2[[#This Row],[Cosecha Mensual]]</f>
        <v>14.65612243155072</v>
      </c>
      <c r="I2291">
        <f>H2291*_xlfn.XLOOKUP(Tabla2[[#This Row],[Unidad de producción]],Tabla3[Medida],Tabla3[Equivalencia en Kg],"ELVIS",0)</f>
        <v>664.80171349514069</v>
      </c>
      <c r="J2291">
        <v>5653.8888888888896</v>
      </c>
      <c r="K2291" t="s">
        <v>29</v>
      </c>
      <c r="L2291">
        <f>J2291/_xlfn.XLOOKUP(Tabla2[[#This Row],[Unidad de precio]],Tabla3[Medida],Tabla3[Equivalencia en Kg],"ELVIS",0)</f>
        <v>10.054217891113719</v>
      </c>
      <c r="M2291">
        <v>7427.3786743830897</v>
      </c>
      <c r="N2291" s="2">
        <f>(Tabla2[[#This Row],[Productividad (kg/TAS)]]*Tabla2[[#This Row],[Precio por kg]]-Tabla2[[#This Row],[Costos (En RD$/Tarea)]])</f>
        <v>-743.31739251718955</v>
      </c>
      <c r="O2291" s="6">
        <f>IF(Tabla2[[#This Row],[Costos (En RD$/Tarea)]]=0,0,Tabla2[[#This Row],[Beneficio Neto  (En RD$/Tarea)]]/Tabla2[[#This Row],[Costos (En RD$/Tarea)]])</f>
        <v>-0.10007802551940422</v>
      </c>
      <c r="P2291" s="4">
        <f>Tabla2[[#This Row],[Rentabilidad (%)]]/12</f>
        <v>-8.3398354599503507E-3</v>
      </c>
    </row>
    <row r="2292" spans="1:16" x14ac:dyDescent="0.35">
      <c r="A2292" s="1">
        <v>42309</v>
      </c>
      <c r="B2292" t="s">
        <v>30</v>
      </c>
      <c r="C2292" s="2">
        <v>424547</v>
      </c>
      <c r="D2292" s="2" t="s">
        <v>31</v>
      </c>
      <c r="E2292" s="2">
        <f>IF(Tabla2[[#This Row],[Frecuencia]]="Annual", Tabla2[[#This Row],[Cosecha/Tarea]]/12,Tabla2[[#This Row],[Cosecha/Tarea]])</f>
        <v>35378.916666666664</v>
      </c>
      <c r="F2292" s="2">
        <v>1959286.2</v>
      </c>
      <c r="G2292" t="s">
        <v>18</v>
      </c>
      <c r="H2292">
        <f>F2292/Tabla2[[#This Row],[Cosecha Mensual]]</f>
        <v>55.380050736432011</v>
      </c>
      <c r="I2292">
        <f>H2292*_xlfn.XLOOKUP(Tabla2[[#This Row],[Unidad de producción]],Tabla3[Medida],Tabla3[Equivalencia en Kg],"ELVIS",0)</f>
        <v>2512.0391014045558</v>
      </c>
      <c r="J2292">
        <v>230.39238095238099</v>
      </c>
      <c r="K2292" t="s">
        <v>32</v>
      </c>
      <c r="L2292">
        <f>J2292/_xlfn.XLOOKUP(Tabla2[[#This Row],[Unidad de precio]],Tabla3[Medida],Tabla3[Equivalencia en Kg],"ELVIS",0)</f>
        <v>8.4671951838434758</v>
      </c>
      <c r="M2292" s="2">
        <v>22429.7248632058</v>
      </c>
      <c r="N2292" s="2">
        <f>(Tabla2[[#This Row],[Productividad (kg/TAS)]]*Tabla2[[#This Row],[Precio por kg]]-Tabla2[[#This Row],[Costos (En RD$/Tarea)]])</f>
        <v>-1159.7994821666507</v>
      </c>
      <c r="O2292" s="6">
        <f>IF(Tabla2[[#This Row],[Costos (En RD$/Tarea)]]=0,0,Tabla2[[#This Row],[Beneficio Neto  (En RD$/Tarea)]]/Tabla2[[#This Row],[Costos (En RD$/Tarea)]])</f>
        <v>-5.1708145741422379E-2</v>
      </c>
      <c r="P2292" s="4">
        <f>Tabla2[[#This Row],[Rentabilidad (%)]]/12</f>
        <v>-4.3090121451185319E-3</v>
      </c>
    </row>
    <row r="2293" spans="1:16" x14ac:dyDescent="0.35">
      <c r="A2293" s="1">
        <v>42309</v>
      </c>
      <c r="B2293" t="s">
        <v>33</v>
      </c>
      <c r="C2293" s="2">
        <v>733457</v>
      </c>
      <c r="D2293" s="2" t="s">
        <v>31</v>
      </c>
      <c r="E2293" s="8">
        <f>IF(Tabla2[[#This Row],[Frecuencia]]="Annual", Tabla2[[#This Row],[Cosecha/Tarea]]/12,Tabla2[[#This Row],[Cosecha/Tarea]])</f>
        <v>61121.416666666664</v>
      </c>
      <c r="F2293" s="2">
        <v>1126926</v>
      </c>
      <c r="G2293" t="s">
        <v>18</v>
      </c>
      <c r="H2293">
        <f>F2293/Tabla2[[#This Row],[Cosecha Mensual]]</f>
        <v>18.43749804010324</v>
      </c>
      <c r="I2293">
        <f>H2293*_xlfn.XLOOKUP(Tabla2[[#This Row],[Unidad de producción]],Tabla3[Medida],Tabla3[Equivalencia en Kg],"ELVIS",0)</f>
        <v>836.3249110990829</v>
      </c>
      <c r="J2293">
        <v>9084.8095238095302</v>
      </c>
      <c r="K2293" t="s">
        <v>34</v>
      </c>
      <c r="L2293">
        <f>J2293/_xlfn.XLOOKUP(Tabla2[[#This Row],[Unidad de precio]],Tabla3[Medida],Tabla3[Equivalencia en Kg],"ELVIS",0)</f>
        <v>22.258506734802232</v>
      </c>
      <c r="M2293" s="2">
        <v>16317.7474581161</v>
      </c>
      <c r="N2293" s="2">
        <f>(Tabla2[[#This Row],[Productividad (kg/TAS)]]*Tabla2[[#This Row],[Precio por kg]]-Tabla2[[#This Row],[Costos (En RD$/Tarea)]])</f>
        <v>2297.5962080657155</v>
      </c>
      <c r="O2293" s="6">
        <f>IF(Tabla2[[#This Row],[Costos (En RD$/Tarea)]]=0,0,Tabla2[[#This Row],[Beneficio Neto  (En RD$/Tarea)]]/Tabla2[[#This Row],[Costos (En RD$/Tarea)]])</f>
        <v>0.14080351555648937</v>
      </c>
      <c r="P2293" s="4">
        <f>Tabla2[[#This Row],[Rentabilidad (%)]]/12</f>
        <v>1.1733626296374115E-2</v>
      </c>
    </row>
    <row r="2294" spans="1:16" x14ac:dyDescent="0.35">
      <c r="A2294" s="1">
        <v>42339</v>
      </c>
      <c r="B2294" t="s">
        <v>16</v>
      </c>
      <c r="C2294" s="2">
        <v>105381</v>
      </c>
      <c r="D2294" s="5" t="s">
        <v>17</v>
      </c>
      <c r="E2294" s="2">
        <f>IF(Tabla2[[#This Row],[Frecuencia]]="Annual", Tabla2[[#This Row],[Cosecha/Tarea]]/12,Tabla2[[#This Row],[Cosecha/Tarea]])</f>
        <v>105381</v>
      </c>
      <c r="F2294" s="2">
        <v>328406</v>
      </c>
      <c r="G2294" t="s">
        <v>18</v>
      </c>
      <c r="H2294">
        <f>F2294/Tabla2[[#This Row],[Cosecha Mensual]]</f>
        <v>3.1163682257712493</v>
      </c>
      <c r="I2294">
        <f>H2294*_xlfn.XLOOKUP(Tabla2[[#This Row],[Unidad de producción]],Tabla3[Medida],Tabla3[Equivalencia en Kg],"ELVIS",0)</f>
        <v>141.35846272098385</v>
      </c>
      <c r="J2294">
        <v>1769.8280326086999</v>
      </c>
      <c r="K2294" t="s">
        <v>19</v>
      </c>
      <c r="L2294">
        <f>J2294/_xlfn.XLOOKUP(Tabla2[[#This Row],[Unidad de precio]],Tabla3[Medida],Tabla3[Equivalencia en Kg],"ELVIS",0)</f>
        <v>16.08934575098818</v>
      </c>
      <c r="M2294">
        <v>7019.0666646612499</v>
      </c>
      <c r="N2294" s="2">
        <f>(Tabla2[[#This Row],[Productividad (kg/TAS)]]*Tabla2[[#This Row],[Precio por kg]]-Tabla2[[#This Row],[Costos (En RD$/Tarea)]])</f>
        <v>-4744.7014831151673</v>
      </c>
      <c r="O2294" s="6">
        <f>IF(Tabla2[[#This Row],[Costos (En RD$/Tarea)]]=0,0,Tabla2[[#This Row],[Beneficio Neto  (En RD$/Tarea)]]/Tabla2[[#This Row],[Costos (En RD$/Tarea)]])</f>
        <v>-0.67597327533633755</v>
      </c>
      <c r="P2294" s="4">
        <f>Tabla2[[#This Row],[Rentabilidad (%)]]/12</f>
        <v>-5.6331106278028127E-2</v>
      </c>
    </row>
    <row r="2295" spans="1:16" x14ac:dyDescent="0.35">
      <c r="A2295" s="1">
        <v>42339</v>
      </c>
      <c r="B2295" t="s">
        <v>20</v>
      </c>
      <c r="C2295" s="2">
        <v>54201</v>
      </c>
      <c r="D2295" s="5" t="s">
        <v>17</v>
      </c>
      <c r="E2295" s="2">
        <f>IF(Tabla2[[#This Row],[Frecuencia]]="Annual", Tabla2[[#This Row],[Cosecha/Tarea]]/12,Tabla2[[#This Row],[Cosecha/Tarea]])</f>
        <v>54201</v>
      </c>
      <c r="F2295" s="2">
        <v>99898</v>
      </c>
      <c r="G2295" t="s">
        <v>18</v>
      </c>
      <c r="H2295">
        <f>F2295/Tabla2[[#This Row],[Cosecha Mensual]]</f>
        <v>1.8431025257836571</v>
      </c>
      <c r="I2295">
        <f>H2295*_xlfn.XLOOKUP(Tabla2[[#This Row],[Unidad de producción]],Tabla3[Medida],Tabla3[Equivalencia en Kg],"ELVIS",0)</f>
        <v>83.603130569546678</v>
      </c>
      <c r="J2295">
        <v>847.09821933333296</v>
      </c>
      <c r="K2295" t="s">
        <v>18</v>
      </c>
      <c r="L2295">
        <f>J2295/_xlfn.XLOOKUP(Tabla2[[#This Row],[Unidad de precio]],Tabla3[Medida],Tabla3[Equivalencia en Kg],"ELVIS",0)</f>
        <v>18.67500483539094</v>
      </c>
      <c r="M2295">
        <v>2574.5849057760001</v>
      </c>
      <c r="N2295" s="2">
        <f>(Tabla2[[#This Row],[Productividad (kg/TAS)]]*Tabla2[[#This Row],[Precio por kg]]-Tabla2[[#This Row],[Costos (En RD$/Tarea)]])</f>
        <v>-1013.2960381358957</v>
      </c>
      <c r="O2295" s="6">
        <f>IF(Tabla2[[#This Row],[Costos (En RD$/Tarea)]]=0,0,Tabla2[[#This Row],[Beneficio Neto  (En RD$/Tarea)]]/Tabla2[[#This Row],[Costos (En RD$/Tarea)]])</f>
        <v>-0.39357646969132692</v>
      </c>
      <c r="P2295" s="4">
        <f>Tabla2[[#This Row],[Rentabilidad (%)]]/12</f>
        <v>-3.279803914094391E-2</v>
      </c>
    </row>
    <row r="2296" spans="1:16" x14ac:dyDescent="0.35">
      <c r="A2296" s="1">
        <v>42339</v>
      </c>
      <c r="B2296" t="s">
        <v>21</v>
      </c>
      <c r="C2296" s="2">
        <v>7958</v>
      </c>
      <c r="D2296" s="5" t="s">
        <v>17</v>
      </c>
      <c r="E2296" s="2">
        <f>IF(Tabla2[[#This Row],[Frecuencia]]="Annual", Tabla2[[#This Row],[Cosecha/Tarea]]/12,Tabla2[[#This Row],[Cosecha/Tarea]])</f>
        <v>7958</v>
      </c>
      <c r="F2296" s="2">
        <v>82014</v>
      </c>
      <c r="G2296" t="s">
        <v>18</v>
      </c>
      <c r="H2296">
        <f>F2296/Tabla2[[#This Row],[Cosecha Mensual]]</f>
        <v>10.305855742648907</v>
      </c>
      <c r="I2296">
        <f>H2296*_xlfn.XLOOKUP(Tabla2[[#This Row],[Unidad de producción]],Tabla3[Medida],Tabla3[Equivalencia en Kg],"ELVIS",0)</f>
        <v>467.47361648655442</v>
      </c>
      <c r="J2296">
        <v>831.61111111111097</v>
      </c>
      <c r="K2296" t="s">
        <v>18</v>
      </c>
      <c r="L2296">
        <f>J2296/_xlfn.XLOOKUP(Tabla2[[#This Row],[Unidad de precio]],Tabla3[Medida],Tabla3[Equivalencia en Kg],"ELVIS",0)</f>
        <v>18.333578287281988</v>
      </c>
      <c r="M2296">
        <v>5153.8888283303804</v>
      </c>
      <c r="N2296" s="2">
        <f>(Tabla2[[#This Row],[Productividad (kg/TAS)]]*Tabla2[[#This Row],[Precio por kg]]-Tabla2[[#This Row],[Costos (En RD$/Tarea)]])</f>
        <v>3416.5753167646999</v>
      </c>
      <c r="O2296" s="6">
        <f>IF(Tabla2[[#This Row],[Costos (En RD$/Tarea)]]=0,0,Tabla2[[#This Row],[Beneficio Neto  (En RD$/Tarea)]]/Tabla2[[#This Row],[Costos (En RD$/Tarea)]])</f>
        <v>0.66291210978089932</v>
      </c>
      <c r="P2296" s="4">
        <f>Tabla2[[#This Row],[Rentabilidad (%)]]/12</f>
        <v>5.5242675815074943E-2</v>
      </c>
    </row>
    <row r="2297" spans="1:16" x14ac:dyDescent="0.35">
      <c r="A2297" s="1">
        <v>42339</v>
      </c>
      <c r="B2297" t="s">
        <v>22</v>
      </c>
      <c r="C2297" s="2">
        <v>7411</v>
      </c>
      <c r="D2297" s="5" t="s">
        <v>17</v>
      </c>
      <c r="E2297" s="2">
        <f>IF(Tabla2[[#This Row],[Frecuencia]]="Annual", Tabla2[[#This Row],[Cosecha/Tarea]]/12,Tabla2[[#This Row],[Cosecha/Tarea]])</f>
        <v>7411</v>
      </c>
      <c r="F2297" s="2">
        <v>62147</v>
      </c>
      <c r="G2297" t="s">
        <v>18</v>
      </c>
      <c r="H2297">
        <f>F2297/Tabla2[[#This Row],[Cosecha Mensual]]</f>
        <v>8.3857778977196062</v>
      </c>
      <c r="I2297">
        <f>H2297*_xlfn.XLOOKUP(Tabla2[[#This Row],[Unidad de producción]],Tabla3[Medida],Tabla3[Equivalencia en Kg],"ELVIS",0)</f>
        <v>380.37888544056136</v>
      </c>
      <c r="J2297">
        <v>1750.8928571428601</v>
      </c>
      <c r="K2297" t="s">
        <v>18</v>
      </c>
      <c r="L2297">
        <f>J2297/_xlfn.XLOOKUP(Tabla2[[#This Row],[Unidad de precio]],Tabla3[Medida],Tabla3[Equivalencia en Kg],"ELVIS",0)</f>
        <v>38.599930713026019</v>
      </c>
      <c r="M2297">
        <v>9360.0920089845204</v>
      </c>
      <c r="N2297" s="2">
        <f>(Tabla2[[#This Row],[Productividad (kg/TAS)]]*Tabla2[[#This Row],[Precio por kg]]-Tabla2[[#This Row],[Costos (En RD$/Tarea)]])</f>
        <v>5322.5066137192098</v>
      </c>
      <c r="O2297" s="6">
        <f>IF(Tabla2[[#This Row],[Costos (En RD$/Tarea)]]=0,0,Tabla2[[#This Row],[Beneficio Neto  (En RD$/Tarea)]]/Tabla2[[#This Row],[Costos (En RD$/Tarea)]])</f>
        <v>0.56863827926159993</v>
      </c>
      <c r="P2297" s="4">
        <f>Tabla2[[#This Row],[Rentabilidad (%)]]/12</f>
        <v>4.7386523271799992E-2</v>
      </c>
    </row>
    <row r="2298" spans="1:16" x14ac:dyDescent="0.35">
      <c r="A2298" s="1">
        <v>42339</v>
      </c>
      <c r="B2298" t="s">
        <v>23</v>
      </c>
      <c r="C2298" s="2">
        <v>2785</v>
      </c>
      <c r="D2298" s="5" t="s">
        <v>17</v>
      </c>
      <c r="E2298" s="2">
        <f>IF(Tabla2[[#This Row],[Frecuencia]]="Annual", Tabla2[[#This Row],[Cosecha/Tarea]]/12,Tabla2[[#This Row],[Cosecha/Tarea]])</f>
        <v>2785</v>
      </c>
      <c r="F2298" s="2">
        <v>98958</v>
      </c>
      <c r="G2298" t="s">
        <v>18</v>
      </c>
      <c r="H2298">
        <f>F2298/Tabla2[[#This Row],[Cosecha Mensual]]</f>
        <v>35.532495511669659</v>
      </c>
      <c r="I2298">
        <f>H2298*_xlfn.XLOOKUP(Tabla2[[#This Row],[Unidad de producción]],Tabla3[Medida],Tabla3[Equivalencia en Kg],"ELVIS",0)</f>
        <v>1611.7539964093357</v>
      </c>
      <c r="J2298">
        <v>1100</v>
      </c>
      <c r="K2298" t="s">
        <v>18</v>
      </c>
      <c r="L2298">
        <f>J2298/_xlfn.XLOOKUP(Tabla2[[#This Row],[Unidad de precio]],Tabla3[Medida],Tabla3[Equivalencia en Kg],"ELVIS",0)</f>
        <v>24.250440917107586</v>
      </c>
      <c r="M2298">
        <v>25505.193937477801</v>
      </c>
      <c r="N2298" s="2">
        <f>(Tabla2[[#This Row],[Productividad (kg/TAS)]]*Tabla2[[#This Row],[Precio por kg]]-Tabla2[[#This Row],[Costos (En RD$/Tarea)]])</f>
        <v>13580.551125358827</v>
      </c>
      <c r="O2298" s="6">
        <f>IF(Tabla2[[#This Row],[Costos (En RD$/Tarea)]]=0,0,Tabla2[[#This Row],[Beneficio Neto  (En RD$/Tarea)]]/Tabla2[[#This Row],[Costos (En RD$/Tarea)]])</f>
        <v>0.53246217843508792</v>
      </c>
      <c r="P2298" s="4">
        <f>Tabla2[[#This Row],[Rentabilidad (%)]]/12</f>
        <v>4.4371848202923996E-2</v>
      </c>
    </row>
    <row r="2299" spans="1:16" x14ac:dyDescent="0.35">
      <c r="A2299" s="1">
        <v>42339</v>
      </c>
      <c r="B2299" t="s">
        <v>24</v>
      </c>
      <c r="C2299" s="2">
        <v>9895</v>
      </c>
      <c r="D2299" s="5" t="s">
        <v>17</v>
      </c>
      <c r="E2299" s="2">
        <f>IF(Tabla2[[#This Row],[Frecuencia]]="Annual", Tabla2[[#This Row],[Cosecha/Tarea]]/12,Tabla2[[#This Row],[Cosecha/Tarea]])</f>
        <v>9895</v>
      </c>
      <c r="F2299" s="2">
        <v>94311</v>
      </c>
      <c r="G2299" t="s">
        <v>18</v>
      </c>
      <c r="H2299">
        <f>F2299/Tabla2[[#This Row],[Cosecha Mensual]]</f>
        <v>9.5311773623041933</v>
      </c>
      <c r="I2299">
        <f>H2299*_xlfn.XLOOKUP(Tabla2[[#This Row],[Unidad de producción]],Tabla3[Medida],Tabla3[Equivalencia en Kg],"ELVIS",0)</f>
        <v>432.33420515411819</v>
      </c>
      <c r="J2299">
        <v>2422.2614285714299</v>
      </c>
      <c r="K2299" t="s">
        <v>18</v>
      </c>
      <c r="L2299">
        <f>J2299/_xlfn.XLOOKUP(Tabla2[[#This Row],[Unidad de precio]],Tabla3[Medida],Tabla3[Equivalencia en Kg],"ELVIS",0)</f>
        <v>53.40082514487279</v>
      </c>
      <c r="M2299">
        <v>9240.5655642007696</v>
      </c>
      <c r="N2299" s="2">
        <f>(Tabla2[[#This Row],[Productividad (kg/TAS)]]*Tabla2[[#This Row],[Precio por kg]]-Tabla2[[#This Row],[Costos (En RD$/Tarea)]])</f>
        <v>13846.437729381858</v>
      </c>
      <c r="O2299" s="6">
        <f>IF(Tabla2[[#This Row],[Costos (En RD$/Tarea)]]=0,0,Tabla2[[#This Row],[Beneficio Neto  (En RD$/Tarea)]]/Tabla2[[#This Row],[Costos (En RD$/Tarea)]])</f>
        <v>1.498440504878281</v>
      </c>
      <c r="P2299" s="4">
        <f>Tabla2[[#This Row],[Rentabilidad (%)]]/12</f>
        <v>0.12487004207319008</v>
      </c>
    </row>
    <row r="2300" spans="1:16" x14ac:dyDescent="0.35">
      <c r="A2300" s="1">
        <v>42339</v>
      </c>
      <c r="B2300" t="s">
        <v>25</v>
      </c>
      <c r="C2300" s="2">
        <v>28541</v>
      </c>
      <c r="D2300" s="5" t="s">
        <v>17</v>
      </c>
      <c r="E2300" s="2">
        <f>IF(Tabla2[[#This Row],[Frecuencia]]="Annual", Tabla2[[#This Row],[Cosecha/Tarea]]/12,Tabla2[[#This Row],[Cosecha/Tarea]])</f>
        <v>28541</v>
      </c>
      <c r="F2300" s="2">
        <v>342145</v>
      </c>
      <c r="G2300" t="s">
        <v>18</v>
      </c>
      <c r="H2300">
        <f>F2300/Tabla2[[#This Row],[Cosecha Mensual]]</f>
        <v>11.987842051785151</v>
      </c>
      <c r="I2300">
        <f>H2300*_xlfn.XLOOKUP(Tabla2[[#This Row],[Unidad de producción]],Tabla3[Medida],Tabla3[Equivalencia en Kg],"ELVIS",0)</f>
        <v>543.76851546897444</v>
      </c>
      <c r="J2300">
        <v>998.99047619047599</v>
      </c>
      <c r="K2300" t="s">
        <v>18</v>
      </c>
      <c r="L2300">
        <f>J2300/_xlfn.XLOOKUP(Tabla2[[#This Row],[Unidad de precio]],Tabla3[Medida],Tabla3[Equivalencia en Kg],"ELVIS",0)</f>
        <v>22.023599563282097</v>
      </c>
      <c r="M2300">
        <v>5033.4530378825102</v>
      </c>
      <c r="N2300" s="2">
        <f>(Tabla2[[#This Row],[Productividad (kg/TAS)]]*Tabla2[[#This Row],[Precio por kg]]-Tabla2[[#This Row],[Costos (En RD$/Tarea)]])</f>
        <v>6942.2870019265492</v>
      </c>
      <c r="O2300" s="6">
        <f>IF(Tabla2[[#This Row],[Costos (En RD$/Tarea)]]=0,0,Tabla2[[#This Row],[Beneficio Neto  (En RD$/Tarea)]]/Tabla2[[#This Row],[Costos (En RD$/Tarea)]])</f>
        <v>1.3792295169296054</v>
      </c>
      <c r="P2300" s="4">
        <f>Tabla2[[#This Row],[Rentabilidad (%)]]/12</f>
        <v>0.11493579307746711</v>
      </c>
    </row>
    <row r="2301" spans="1:16" x14ac:dyDescent="0.35">
      <c r="A2301" s="1">
        <v>42339</v>
      </c>
      <c r="B2301" t="s">
        <v>26</v>
      </c>
      <c r="C2301" s="2">
        <v>13845</v>
      </c>
      <c r="D2301" s="5" t="s">
        <v>17</v>
      </c>
      <c r="E2301" s="2">
        <f>IF(Tabla2[[#This Row],[Frecuencia]]="Annual", Tabla2[[#This Row],[Cosecha/Tarea]]/12,Tabla2[[#This Row],[Cosecha/Tarea]])</f>
        <v>13845</v>
      </c>
      <c r="F2301" s="2">
        <v>92541</v>
      </c>
      <c r="G2301" t="s">
        <v>18</v>
      </c>
      <c r="H2301">
        <f>F2301/Tabla2[[#This Row],[Cosecha Mensual]]</f>
        <v>6.6840736728060675</v>
      </c>
      <c r="I2301">
        <f>H2301*_xlfn.XLOOKUP(Tabla2[[#This Row],[Unidad de producción]],Tabla3[Medida],Tabla3[Equivalencia en Kg],"ELVIS",0)</f>
        <v>303.18958179848323</v>
      </c>
      <c r="J2301">
        <v>900.944444444444</v>
      </c>
      <c r="K2301" t="s">
        <v>18</v>
      </c>
      <c r="L2301">
        <f>J2301/_xlfn.XLOOKUP(Tabla2[[#This Row],[Unidad de precio]],Tabla3[Medida],Tabla3[Equivalencia en Kg],"ELVIS",0)</f>
        <v>19.862090926905733</v>
      </c>
      <c r="M2301">
        <v>2123.3608896042601</v>
      </c>
      <c r="N2301" s="2">
        <f>(Tabla2[[#This Row],[Productividad (kg/TAS)]]*Tabla2[[#This Row],[Precio por kg]]-Tabla2[[#This Row],[Costos (En RD$/Tarea)]])</f>
        <v>3898.6181521677368</v>
      </c>
      <c r="O2301" s="6">
        <f>IF(Tabla2[[#This Row],[Costos (En RD$/Tarea)]]=0,0,Tabla2[[#This Row],[Beneficio Neto  (En RD$/Tarea)]]/Tabla2[[#This Row],[Costos (En RD$/Tarea)]])</f>
        <v>1.8360600740340183</v>
      </c>
      <c r="P2301" s="4">
        <f>Tabla2[[#This Row],[Rentabilidad (%)]]/12</f>
        <v>0.15300500616950152</v>
      </c>
    </row>
    <row r="2302" spans="1:16" x14ac:dyDescent="0.35">
      <c r="A2302" s="1">
        <v>42339</v>
      </c>
      <c r="B2302" t="s">
        <v>27</v>
      </c>
      <c r="C2302" s="2">
        <v>7102</v>
      </c>
      <c r="D2302" s="5" t="s">
        <v>17</v>
      </c>
      <c r="E2302" s="2">
        <f>IF(Tabla2[[#This Row],[Frecuencia]]="Annual", Tabla2[[#This Row],[Cosecha/Tarea]]/12,Tabla2[[#This Row],[Cosecha/Tarea]])</f>
        <v>7102</v>
      </c>
      <c r="F2302" s="2">
        <v>44521</v>
      </c>
      <c r="G2302" t="s">
        <v>18</v>
      </c>
      <c r="H2302">
        <f>F2302/Tabla2[[#This Row],[Cosecha Mensual]]</f>
        <v>6.2687975218248377</v>
      </c>
      <c r="I2302">
        <f>H2302*_xlfn.XLOOKUP(Tabla2[[#This Row],[Unidad de producción]],Tabla3[Medida],Tabla3[Equivalencia en Kg],"ELVIS",0)</f>
        <v>284.35265558997463</v>
      </c>
      <c r="J2302">
        <v>651.95084999999995</v>
      </c>
      <c r="K2302" t="s">
        <v>18</v>
      </c>
      <c r="L2302">
        <f>J2302/_xlfn.XLOOKUP(Tabla2[[#This Row],[Unidad de precio]],Tabla3[Medida],Tabla3[Equivalencia en Kg],"ELVIS",0)</f>
        <v>14.372814153439153</v>
      </c>
      <c r="M2302">
        <v>8682.6925456059998</v>
      </c>
      <c r="N2302" s="2">
        <f>(Tabla2[[#This Row],[Productividad (kg/TAS)]]*Tabla2[[#This Row],[Precio por kg]]-Tabla2[[#This Row],[Costos (En RD$/Tarea)]])</f>
        <v>-4595.7446727744036</v>
      </c>
      <c r="O2302" s="6">
        <f>IF(Tabla2[[#This Row],[Costos (En RD$/Tarea)]]=0,0,Tabla2[[#This Row],[Beneficio Neto  (En RD$/Tarea)]]/Tabla2[[#This Row],[Costos (En RD$/Tarea)]])</f>
        <v>-0.52929948269332028</v>
      </c>
      <c r="P2302" s="4">
        <f>Tabla2[[#This Row],[Rentabilidad (%)]]/12</f>
        <v>-4.4108290224443354E-2</v>
      </c>
    </row>
    <row r="2303" spans="1:16" x14ac:dyDescent="0.35">
      <c r="A2303" s="1">
        <v>42339</v>
      </c>
      <c r="B2303" t="s">
        <v>28</v>
      </c>
      <c r="C2303" s="2">
        <v>58958</v>
      </c>
      <c r="D2303" s="5" t="s">
        <v>17</v>
      </c>
      <c r="E2303" s="2">
        <f>IF(Tabla2[[#This Row],[Frecuencia]]="Annual", Tabla2[[#This Row],[Cosecha/Tarea]]/12,Tabla2[[#This Row],[Cosecha/Tarea]])</f>
        <v>58958</v>
      </c>
      <c r="F2303" s="2">
        <v>1193460</v>
      </c>
      <c r="G2303" t="s">
        <v>18</v>
      </c>
      <c r="H2303">
        <f>F2303/Tabla2[[#This Row],[Cosecha Mensual]]</f>
        <v>20.242545540893516</v>
      </c>
      <c r="I2303">
        <f>H2303*_xlfn.XLOOKUP(Tabla2[[#This Row],[Unidad de producción]],Tabla3[Medida],Tabla3[Equivalencia en Kg],"ELVIS",0)</f>
        <v>918.20186573492992</v>
      </c>
      <c r="J2303">
        <v>5609.9638095238097</v>
      </c>
      <c r="K2303" t="s">
        <v>29</v>
      </c>
      <c r="L2303">
        <f>J2303/_xlfn.XLOOKUP(Tabla2[[#This Row],[Unidad de precio]],Tabla3[Medida],Tabla3[Equivalencia en Kg],"ELVIS",0)</f>
        <v>9.9761066428207297</v>
      </c>
      <c r="M2303">
        <v>7427.3786743830897</v>
      </c>
      <c r="N2303" s="2">
        <f>(Tabla2[[#This Row],[Productividad (kg/TAS)]]*Tabla2[[#This Row],[Precio por kg]]-Tabla2[[#This Row],[Costos (En RD$/Tarea)]])</f>
        <v>1732.7010578255322</v>
      </c>
      <c r="O2303" s="6">
        <f>IF(Tabla2[[#This Row],[Costos (En RD$/Tarea)]]=0,0,Tabla2[[#This Row],[Beneficio Neto  (En RD$/Tarea)]]/Tabla2[[#This Row],[Costos (En RD$/Tarea)]])</f>
        <v>0.2332856763856124</v>
      </c>
      <c r="P2303" s="4">
        <f>Tabla2[[#This Row],[Rentabilidad (%)]]/12</f>
        <v>1.9440473032134368E-2</v>
      </c>
    </row>
    <row r="2304" spans="1:16" x14ac:dyDescent="0.35">
      <c r="A2304" s="1">
        <v>42339</v>
      </c>
      <c r="B2304" t="s">
        <v>30</v>
      </c>
      <c r="C2304" s="2">
        <v>376214</v>
      </c>
      <c r="D2304" s="2" t="s">
        <v>31</v>
      </c>
      <c r="E2304" s="2">
        <f>IF(Tabla2[[#This Row],[Frecuencia]]="Annual", Tabla2[[#This Row],[Cosecha/Tarea]]/12,Tabla2[[#This Row],[Cosecha/Tarea]])</f>
        <v>31351.166666666668</v>
      </c>
      <c r="F2304" s="2">
        <v>2192937</v>
      </c>
      <c r="G2304" t="s">
        <v>18</v>
      </c>
      <c r="H2304">
        <f>F2304/Tabla2[[#This Row],[Cosecha Mensual]]</f>
        <v>69.947540495569015</v>
      </c>
      <c r="I2304">
        <f>H2304*_xlfn.XLOOKUP(Tabla2[[#This Row],[Unidad de producción]],Tabla3[Medida],Tabla3[Equivalencia en Kg],"ELVIS",0)</f>
        <v>3172.8204368790107</v>
      </c>
      <c r="J2304">
        <v>235.107142857143</v>
      </c>
      <c r="K2304" t="s">
        <v>32</v>
      </c>
      <c r="L2304">
        <f>J2304/_xlfn.XLOOKUP(Tabla2[[#This Row],[Unidad de precio]],Tabla3[Medida],Tabla3[Equivalencia en Kg],"ELVIS",0)</f>
        <v>8.6404683152202502</v>
      </c>
      <c r="M2304" s="2">
        <v>22429.7248632058</v>
      </c>
      <c r="N2304" s="2">
        <f>(Tabla2[[#This Row],[Productividad (kg/TAS)]]*Tabla2[[#This Row],[Precio por kg]]-Tabla2[[#This Row],[Costos (En RD$/Tarea)]])</f>
        <v>4984.9295915305629</v>
      </c>
      <c r="O2304" s="6">
        <f>IF(Tabla2[[#This Row],[Costos (En RD$/Tarea)]]=0,0,Tabla2[[#This Row],[Beneficio Neto  (En RD$/Tarea)]]/Tabla2[[#This Row],[Costos (En RD$/Tarea)]])</f>
        <v>0.22224657778606763</v>
      </c>
      <c r="P2304" s="4">
        <f>Tabla2[[#This Row],[Rentabilidad (%)]]/12</f>
        <v>1.852054814883897E-2</v>
      </c>
    </row>
    <row r="2305" spans="1:16" x14ac:dyDescent="0.35">
      <c r="A2305" s="1">
        <v>42339</v>
      </c>
      <c r="B2305" t="s">
        <v>33</v>
      </c>
      <c r="C2305" s="2">
        <v>734021</v>
      </c>
      <c r="D2305" s="2" t="s">
        <v>31</v>
      </c>
      <c r="E2305" s="8">
        <f>IF(Tabla2[[#This Row],[Frecuencia]]="Annual", Tabla2[[#This Row],[Cosecha/Tarea]]/12,Tabla2[[#This Row],[Cosecha/Tarea]])</f>
        <v>61168.416666666664</v>
      </c>
      <c r="F2305" s="2">
        <v>1178070.8304169499</v>
      </c>
      <c r="G2305" t="s">
        <v>18</v>
      </c>
      <c r="H2305">
        <f>F2305/Tabla2[[#This Row],[Cosecha Mensual]]</f>
        <v>19.259462556253023</v>
      </c>
      <c r="I2305">
        <f>H2305*_xlfn.XLOOKUP(Tabla2[[#This Row],[Unidad de producción]],Tabla3[Medida],Tabla3[Equivalencia en Kg],"ELVIS",0)</f>
        <v>873.60922155163712</v>
      </c>
      <c r="J2305">
        <v>8988.3342857142907</v>
      </c>
      <c r="K2305" t="s">
        <v>34</v>
      </c>
      <c r="L2305">
        <f>J2305/_xlfn.XLOOKUP(Tabla2[[#This Row],[Unidad de precio]],Tabla3[Medida],Tabla3[Equivalencia en Kg],"ELVIS",0)</f>
        <v>22.022134719378393</v>
      </c>
      <c r="M2305" s="2">
        <v>16317.7474581161</v>
      </c>
      <c r="N2305" s="2">
        <f>(Tabla2[[#This Row],[Productividad (kg/TAS)]]*Tabla2[[#This Row],[Precio por kg]]-Tabla2[[#This Row],[Costos (En RD$/Tarea)]])</f>
        <v>2920.9925109853393</v>
      </c>
      <c r="O2305" s="6">
        <f>IF(Tabla2[[#This Row],[Costos (En RD$/Tarea)]]=0,0,Tabla2[[#This Row],[Beneficio Neto  (En RD$/Tarea)]]/Tabla2[[#This Row],[Costos (En RD$/Tarea)]])</f>
        <v>0.17900709141888943</v>
      </c>
      <c r="P2305" s="4">
        <f>Tabla2[[#This Row],[Rentabilidad (%)]]/12</f>
        <v>1.4917257618240786E-2</v>
      </c>
    </row>
    <row r="2306" spans="1:16" x14ac:dyDescent="0.35">
      <c r="A2306" s="1">
        <v>42370</v>
      </c>
      <c r="B2306" t="s">
        <v>16</v>
      </c>
      <c r="C2306" s="2">
        <v>12682</v>
      </c>
      <c r="D2306" s="5" t="s">
        <v>17</v>
      </c>
      <c r="E2306" s="2">
        <f>IF(Tabla2[[#This Row],[Frecuencia]]="Annual", Tabla2[[#This Row],[Cosecha/Tarea]]/12,Tabla2[[#This Row],[Cosecha/Tarea]])</f>
        <v>12682</v>
      </c>
      <c r="F2306" s="2">
        <v>38358</v>
      </c>
      <c r="G2306" t="s">
        <v>18</v>
      </c>
      <c r="H2306">
        <f>F2306/Tabla2[[#This Row],[Cosecha Mensual]]</f>
        <v>3.0246017978236872</v>
      </c>
      <c r="I2306">
        <f>H2306*_xlfn.XLOOKUP(Tabla2[[#This Row],[Unidad de producción]],Tabla3[Medida],Tabla3[Equivalencia en Kg],"ELVIS",0)</f>
        <v>137.19593754928246</v>
      </c>
      <c r="J2306">
        <v>1976.06856435644</v>
      </c>
      <c r="K2306" t="s">
        <v>19</v>
      </c>
      <c r="L2306">
        <f>J2306/_xlfn.XLOOKUP(Tabla2[[#This Row],[Unidad de precio]],Tabla3[Medida],Tabla3[Equivalencia en Kg],"ELVIS",0)</f>
        <v>17.964259675967636</v>
      </c>
      <c r="M2306">
        <v>5924.25478252843</v>
      </c>
      <c r="N2306" s="2">
        <f>(Tabla2[[#This Row],[Productividad (kg/TAS)]]*Tabla2[[#This Row],[Precio por kg]]-Tabla2[[#This Row],[Costos (En RD$/Tarea)]])</f>
        <v>-3459.6313339052813</v>
      </c>
      <c r="O2306" s="6">
        <f>IF(Tabla2[[#This Row],[Costos (En RD$/Tarea)]]=0,0,Tabla2[[#This Row],[Beneficio Neto  (En RD$/Tarea)]]/Tabla2[[#This Row],[Costos (En RD$/Tarea)]])</f>
        <v>-0.58397747242544062</v>
      </c>
      <c r="P2306" s="4">
        <f>Tabla2[[#This Row],[Rentabilidad (%)]]/12</f>
        <v>-4.8664789368786716E-2</v>
      </c>
    </row>
    <row r="2307" spans="1:16" x14ac:dyDescent="0.35">
      <c r="A2307" s="1">
        <v>42370</v>
      </c>
      <c r="B2307" t="s">
        <v>20</v>
      </c>
      <c r="C2307" s="2">
        <v>29471</v>
      </c>
      <c r="D2307" s="5" t="s">
        <v>17</v>
      </c>
      <c r="E2307" s="2">
        <f>IF(Tabla2[[#This Row],[Frecuencia]]="Annual", Tabla2[[#This Row],[Cosecha/Tarea]]/12,Tabla2[[#This Row],[Cosecha/Tarea]])</f>
        <v>29471</v>
      </c>
      <c r="F2307" s="2">
        <v>53654</v>
      </c>
      <c r="G2307" t="s">
        <v>18</v>
      </c>
      <c r="H2307">
        <f>F2307/Tabla2[[#This Row],[Cosecha Mensual]]</f>
        <v>1.8205693732822097</v>
      </c>
      <c r="I2307">
        <f>H2307*_xlfn.XLOOKUP(Tabla2[[#This Row],[Unidad de producción]],Tabla3[Medida],Tabla3[Equivalencia en Kg],"ELVIS",0)</f>
        <v>82.581026772081032</v>
      </c>
      <c r="J2307">
        <v>827.13578099999995</v>
      </c>
      <c r="K2307" t="s">
        <v>18</v>
      </c>
      <c r="L2307">
        <f>J2307/_xlfn.XLOOKUP(Tabla2[[#This Row],[Unidad de precio]],Tabla3[Medida],Tabla3[Equivalencia en Kg],"ELVIS",0)</f>
        <v>18.234915806878305</v>
      </c>
      <c r="M2307">
        <v>2463.2928983520001</v>
      </c>
      <c r="N2307" s="2">
        <f>(Tabla2[[#This Row],[Productividad (kg/TAS)]]*Tabla2[[#This Row],[Precio por kg]]-Tabla2[[#This Row],[Costos (En RD$/Tarea)]])</f>
        <v>-957.43482791753922</v>
      </c>
      <c r="O2307" s="6">
        <f>IF(Tabla2[[#This Row],[Costos (En RD$/Tarea)]]=0,0,Tabla2[[#This Row],[Beneficio Neto  (En RD$/Tarea)]]/Tabla2[[#This Row],[Costos (En RD$/Tarea)]])</f>
        <v>-0.38868087045518834</v>
      </c>
      <c r="P2307" s="4">
        <f>Tabla2[[#This Row],[Rentabilidad (%)]]/12</f>
        <v>-3.2390072537932364E-2</v>
      </c>
    </row>
    <row r="2308" spans="1:16" x14ac:dyDescent="0.35">
      <c r="A2308" s="1">
        <v>42370</v>
      </c>
      <c r="B2308" t="s">
        <v>21</v>
      </c>
      <c r="C2308" s="2">
        <v>4921</v>
      </c>
      <c r="D2308" s="5" t="s">
        <v>17</v>
      </c>
      <c r="E2308" s="2">
        <f>IF(Tabla2[[#This Row],[Frecuencia]]="Annual", Tabla2[[#This Row],[Cosecha/Tarea]]/12,Tabla2[[#This Row],[Cosecha/Tarea]])</f>
        <v>4921</v>
      </c>
      <c r="F2308" s="2">
        <v>65487</v>
      </c>
      <c r="G2308" t="s">
        <v>18</v>
      </c>
      <c r="H2308">
        <f>F2308/Tabla2[[#This Row],[Cosecha Mensual]]</f>
        <v>13.307661044503149</v>
      </c>
      <c r="I2308">
        <f>H2308*_xlfn.XLOOKUP(Tabla2[[#This Row],[Unidad de producción]],Tabla3[Medida],Tabla3[Equivalencia en Kg],"ELVIS",0)</f>
        <v>603.63550497866288</v>
      </c>
      <c r="J2308">
        <v>464.34645833333298</v>
      </c>
      <c r="K2308" t="s">
        <v>18</v>
      </c>
      <c r="L2308">
        <f>J2308/_xlfn.XLOOKUP(Tabla2[[#This Row],[Unidad de precio]],Tabla3[Medida],Tabla3[Equivalencia en Kg],"ELVIS",0)</f>
        <v>10.236914866255136</v>
      </c>
      <c r="M2308">
        <v>4713.6874381607504</v>
      </c>
      <c r="N2308" s="2">
        <f>(Tabla2[[#This Row],[Productividad (kg/TAS)]]*Tabla2[[#This Row],[Precio por kg]]-Tabla2[[#This Row],[Costos (En RD$/Tarea)]])</f>
        <v>1465.6778365547498</v>
      </c>
      <c r="O2308" s="6">
        <f>IF(Tabla2[[#This Row],[Costos (En RD$/Tarea)]]=0,0,Tabla2[[#This Row],[Beneficio Neto  (En RD$/Tarea)]]/Tabla2[[#This Row],[Costos (En RD$/Tarea)]])</f>
        <v>0.31094081985347921</v>
      </c>
      <c r="P2308" s="4">
        <f>Tabla2[[#This Row],[Rentabilidad (%)]]/12</f>
        <v>2.5911734987789935E-2</v>
      </c>
    </row>
    <row r="2309" spans="1:16" x14ac:dyDescent="0.35">
      <c r="A2309" s="1">
        <v>42370</v>
      </c>
      <c r="B2309" t="s">
        <v>22</v>
      </c>
      <c r="C2309" s="2">
        <v>7184</v>
      </c>
      <c r="D2309" s="5" t="s">
        <v>17</v>
      </c>
      <c r="E2309" s="2">
        <f>IF(Tabla2[[#This Row],[Frecuencia]]="Annual", Tabla2[[#This Row],[Cosecha/Tarea]]/12,Tabla2[[#This Row],[Cosecha/Tarea]])</f>
        <v>7184</v>
      </c>
      <c r="F2309" s="2">
        <v>68524</v>
      </c>
      <c r="G2309" t="s">
        <v>18</v>
      </c>
      <c r="H2309">
        <f>F2309/Tabla2[[#This Row],[Cosecha Mensual]]</f>
        <v>9.5384187082405347</v>
      </c>
      <c r="I2309">
        <f>H2309*_xlfn.XLOOKUP(Tabla2[[#This Row],[Unidad de producción]],Tabla3[Medida],Tabla3[Equivalencia en Kg],"ELVIS",0)</f>
        <v>432.66267260579065</v>
      </c>
      <c r="J2309">
        <v>1542.2795138888901</v>
      </c>
      <c r="K2309" t="s">
        <v>18</v>
      </c>
      <c r="L2309">
        <f>J2309/_xlfn.XLOOKUP(Tabla2[[#This Row],[Unidad de precio]],Tabla3[Medida],Tabla3[Equivalencia en Kg],"ELVIS",0)</f>
        <v>34.000871117479939</v>
      </c>
      <c r="M2309">
        <v>8550.1576563690305</v>
      </c>
      <c r="N2309" s="2">
        <f>(Tabla2[[#This Row],[Productividad (kg/TAS)]]*Tabla2[[#This Row],[Precio por kg]]-Tabla2[[#This Row],[Costos (En RD$/Tarea)]])</f>
        <v>6160.7501122448757</v>
      </c>
      <c r="O2309" s="6">
        <f>IF(Tabla2[[#This Row],[Costos (En RD$/Tarea)]]=0,0,Tabla2[[#This Row],[Beneficio Neto  (En RD$/Tarea)]]/Tabla2[[#This Row],[Costos (En RD$/Tarea)]])</f>
        <v>0.72054228235846851</v>
      </c>
      <c r="P2309" s="4">
        <f>Tabla2[[#This Row],[Rentabilidad (%)]]/12</f>
        <v>6.004519019653904E-2</v>
      </c>
    </row>
    <row r="2310" spans="1:16" x14ac:dyDescent="0.35">
      <c r="A2310" s="1">
        <v>42370</v>
      </c>
      <c r="B2310" t="s">
        <v>23</v>
      </c>
      <c r="C2310" s="2">
        <v>4171</v>
      </c>
      <c r="D2310" s="5" t="s">
        <v>17</v>
      </c>
      <c r="E2310" s="2">
        <f>IF(Tabla2[[#This Row],[Frecuencia]]="Annual", Tabla2[[#This Row],[Cosecha/Tarea]]/12,Tabla2[[#This Row],[Cosecha/Tarea]])</f>
        <v>4171</v>
      </c>
      <c r="F2310" s="2">
        <v>133214</v>
      </c>
      <c r="G2310" t="s">
        <v>18</v>
      </c>
      <c r="H2310">
        <f>F2310/Tabla2[[#This Row],[Cosecha Mensual]]</f>
        <v>31.938144329896907</v>
      </c>
      <c r="I2310">
        <f>H2310*_xlfn.XLOOKUP(Tabla2[[#This Row],[Unidad de producción]],Tabla3[Medida],Tabla3[Equivalencia en Kg],"ELVIS",0)</f>
        <v>1448.7142268041237</v>
      </c>
      <c r="J2310">
        <v>1062.5</v>
      </c>
      <c r="K2310" t="s">
        <v>18</v>
      </c>
      <c r="L2310">
        <f>J2310/_xlfn.XLOOKUP(Tabla2[[#This Row],[Unidad de precio]],Tabla3[Medida],Tabla3[Equivalencia en Kg],"ELVIS",0)</f>
        <v>23.423721340388006</v>
      </c>
      <c r="M2310">
        <v>23192.17</v>
      </c>
      <c r="N2310" s="2">
        <f>(Tabla2[[#This Row],[Productividad (kg/TAS)]]*Tabla2[[#This Row],[Precio por kg]]-Tabla2[[#This Row],[Costos (En RD$/Tarea)]])</f>
        <v>10742.10835051546</v>
      </c>
      <c r="O2310" s="6">
        <f>IF(Tabla2[[#This Row],[Costos (En RD$/Tarea)]]=0,0,Tabla2[[#This Row],[Beneficio Neto  (En RD$/Tarea)]]/Tabla2[[#This Row],[Costos (En RD$/Tarea)]])</f>
        <v>0.46317823431423022</v>
      </c>
      <c r="P2310" s="4">
        <f>Tabla2[[#This Row],[Rentabilidad (%)]]/12</f>
        <v>3.8598186192852518E-2</v>
      </c>
    </row>
    <row r="2311" spans="1:16" x14ac:dyDescent="0.35">
      <c r="A2311" s="1">
        <v>42370</v>
      </c>
      <c r="B2311" t="s">
        <v>24</v>
      </c>
      <c r="C2311" s="2">
        <v>4987</v>
      </c>
      <c r="D2311" s="5" t="s">
        <v>17</v>
      </c>
      <c r="E2311" s="2">
        <f>IF(Tabla2[[#This Row],[Frecuencia]]="Annual", Tabla2[[#This Row],[Cosecha/Tarea]]/12,Tabla2[[#This Row],[Cosecha/Tarea]])</f>
        <v>4987</v>
      </c>
      <c r="F2311" s="2">
        <v>71214</v>
      </c>
      <c r="G2311" t="s">
        <v>18</v>
      </c>
      <c r="H2311">
        <f>F2311/Tabla2[[#This Row],[Cosecha Mensual]]</f>
        <v>14.27992781231201</v>
      </c>
      <c r="I2311">
        <f>H2311*_xlfn.XLOOKUP(Tabla2[[#This Row],[Unidad de producción]],Tabla3[Medida],Tabla3[Equivalencia en Kg],"ELVIS",0)</f>
        <v>647.73752556647275</v>
      </c>
      <c r="J2311">
        <v>2589.734375</v>
      </c>
      <c r="K2311" t="s">
        <v>18</v>
      </c>
      <c r="L2311">
        <f>J2311/_xlfn.XLOOKUP(Tabla2[[#This Row],[Unidad de precio]],Tabla3[Medida],Tabla3[Equivalencia en Kg],"ELVIS",0)</f>
        <v>57.092909501763671</v>
      </c>
      <c r="M2311">
        <v>8705.1562241280008</v>
      </c>
      <c r="N2311" s="2">
        <f>(Tabla2[[#This Row],[Productividad (kg/TAS)]]*Tabla2[[#This Row],[Precio por kg]]-Tabla2[[#This Row],[Costos (En RD$/Tarea)]])</f>
        <v>28276.063703934964</v>
      </c>
      <c r="O2311" s="6">
        <f>IF(Tabla2[[#This Row],[Costos (En RD$/Tarea)]]=0,0,Tabla2[[#This Row],[Beneficio Neto  (En RD$/Tarea)]]/Tabla2[[#This Row],[Costos (En RD$/Tarea)]])</f>
        <v>3.2481971576296886</v>
      </c>
      <c r="P2311" s="4">
        <f>Tabla2[[#This Row],[Rentabilidad (%)]]/12</f>
        <v>0.27068309646914074</v>
      </c>
    </row>
    <row r="2312" spans="1:16" x14ac:dyDescent="0.35">
      <c r="A2312" s="1">
        <v>42370</v>
      </c>
      <c r="B2312" t="s">
        <v>25</v>
      </c>
      <c r="C2312" s="2">
        <v>26547</v>
      </c>
      <c r="D2312" s="5" t="s">
        <v>17</v>
      </c>
      <c r="E2312" s="2">
        <f>IF(Tabla2[[#This Row],[Frecuencia]]="Annual", Tabla2[[#This Row],[Cosecha/Tarea]]/12,Tabla2[[#This Row],[Cosecha/Tarea]])</f>
        <v>26547</v>
      </c>
      <c r="F2312" s="2">
        <v>279877</v>
      </c>
      <c r="G2312" t="s">
        <v>18</v>
      </c>
      <c r="H2312">
        <f>F2312/Tabla2[[#This Row],[Cosecha Mensual]]</f>
        <v>10.542697856631634</v>
      </c>
      <c r="I2312">
        <f>H2312*_xlfn.XLOOKUP(Tabla2[[#This Row],[Unidad de producción]],Tabla3[Medida],Tabla3[Equivalencia en Kg],"ELVIS",0)</f>
        <v>478.21677477681089</v>
      </c>
      <c r="J2312">
        <v>921.13020833333303</v>
      </c>
      <c r="K2312" t="s">
        <v>18</v>
      </c>
      <c r="L2312">
        <f>J2312/_xlfn.XLOOKUP(Tabla2[[#This Row],[Unidad de precio]],Tabla3[Medida],Tabla3[Equivalencia en Kg],"ELVIS",0)</f>
        <v>20.307103358318631</v>
      </c>
      <c r="M2312">
        <v>4784.7627198809196</v>
      </c>
      <c r="N2312" s="2">
        <f>(Tabla2[[#This Row],[Productividad (kg/TAS)]]*Tabla2[[#This Row],[Precio por kg]]-Tabla2[[#This Row],[Costos (En RD$/Tarea)]])</f>
        <v>4926.4347531935609</v>
      </c>
      <c r="O2312" s="6">
        <f>IF(Tabla2[[#This Row],[Costos (En RD$/Tarea)]]=0,0,Tabla2[[#This Row],[Beneficio Neto  (En RD$/Tarea)]]/Tabla2[[#This Row],[Costos (En RD$/Tarea)]])</f>
        <v>1.029608998733414</v>
      </c>
      <c r="P2312" s="4">
        <f>Tabla2[[#This Row],[Rentabilidad (%)]]/12</f>
        <v>8.5800749894451175E-2</v>
      </c>
    </row>
    <row r="2313" spans="1:16" x14ac:dyDescent="0.35">
      <c r="A2313" s="1">
        <v>42370</v>
      </c>
      <c r="B2313" t="s">
        <v>26</v>
      </c>
      <c r="C2313" s="2">
        <v>12807</v>
      </c>
      <c r="D2313" s="5" t="s">
        <v>17</v>
      </c>
      <c r="E2313" s="2">
        <f>IF(Tabla2[[#This Row],[Frecuencia]]="Annual", Tabla2[[#This Row],[Cosecha/Tarea]]/12,Tabla2[[#This Row],[Cosecha/Tarea]])</f>
        <v>12807</v>
      </c>
      <c r="F2313" s="2">
        <v>79322</v>
      </c>
      <c r="G2313" t="s">
        <v>18</v>
      </c>
      <c r="H2313">
        <f>F2313/Tabla2[[#This Row],[Cosecha Mensual]]</f>
        <v>6.19364410088233</v>
      </c>
      <c r="I2313">
        <f>H2313*_xlfn.XLOOKUP(Tabla2[[#This Row],[Unidad de producción]],Tabla3[Medida],Tabla3[Equivalencia en Kg],"ELVIS",0)</f>
        <v>280.94369641602248</v>
      </c>
      <c r="J2313">
        <v>819.642857142857</v>
      </c>
      <c r="K2313" t="s">
        <v>18</v>
      </c>
      <c r="L2313">
        <f>J2313/_xlfn.XLOOKUP(Tabla2[[#This Row],[Unidad de precio]],Tabla3[Medida],Tabla3[Equivalencia en Kg],"ELVIS",0)</f>
        <v>18.069727891156461</v>
      </c>
      <c r="M2313">
        <v>1888.4301162085201</v>
      </c>
      <c r="N2313" s="2">
        <f>(Tabla2[[#This Row],[Productividad (kg/TAS)]]*Tabla2[[#This Row],[Precio por kg]]-Tabla2[[#This Row],[Costos (En RD$/Tarea)]])</f>
        <v>3188.1460307646748</v>
      </c>
      <c r="O2313" s="6">
        <f>IF(Tabla2[[#This Row],[Costos (En RD$/Tarea)]]=0,0,Tabla2[[#This Row],[Beneficio Neto  (En RD$/Tarea)]]/Tabla2[[#This Row],[Costos (En RD$/Tarea)]])</f>
        <v>1.6882520583635092</v>
      </c>
      <c r="P2313" s="4">
        <f>Tabla2[[#This Row],[Rentabilidad (%)]]/12</f>
        <v>0.14068767153029244</v>
      </c>
    </row>
    <row r="2314" spans="1:16" x14ac:dyDescent="0.35">
      <c r="A2314" s="1">
        <v>42370</v>
      </c>
      <c r="B2314" t="s">
        <v>27</v>
      </c>
      <c r="C2314" s="2">
        <v>7331</v>
      </c>
      <c r="D2314" s="5" t="s">
        <v>17</v>
      </c>
      <c r="E2314" s="2">
        <f>IF(Tabla2[[#This Row],[Frecuencia]]="Annual", Tabla2[[#This Row],[Cosecha/Tarea]]/12,Tabla2[[#This Row],[Cosecha/Tarea]])</f>
        <v>7331</v>
      </c>
      <c r="F2314" s="2">
        <v>62594</v>
      </c>
      <c r="G2314" t="s">
        <v>18</v>
      </c>
      <c r="H2314">
        <f>F2314/Tabla2[[#This Row],[Cosecha Mensual]]</f>
        <v>8.5382621743281959</v>
      </c>
      <c r="I2314">
        <f>H2314*_xlfn.XLOOKUP(Tabla2[[#This Row],[Unidad de producción]],Tabla3[Medida],Tabla3[Equivalencia en Kg],"ELVIS",0)</f>
        <v>387.29557222752697</v>
      </c>
      <c r="J2314">
        <v>594.59879047619097</v>
      </c>
      <c r="K2314" t="s">
        <v>18</v>
      </c>
      <c r="L2314">
        <f>J2314/_xlfn.XLOOKUP(Tabla2[[#This Row],[Unidad de precio]],Tabla3[Medida],Tabla3[Equivalencia en Kg],"ELVIS",0)</f>
        <v>13.108438943478637</v>
      </c>
      <c r="M2314">
        <v>8287.288275158</v>
      </c>
      <c r="N2314" s="2">
        <f>(Tabla2[[#This Row],[Productividad (kg/TAS)]]*Tabla2[[#This Row],[Precio por kg]]-Tabla2[[#This Row],[Costos (En RD$/Tarea)]])</f>
        <v>-3210.4479135338424</v>
      </c>
      <c r="O2314" s="6">
        <f>IF(Tabla2[[#This Row],[Costos (En RD$/Tarea)]]=0,0,Tabla2[[#This Row],[Beneficio Neto  (En RD$/Tarea)]]/Tabla2[[#This Row],[Costos (En RD$/Tarea)]])</f>
        <v>-0.38739426057586179</v>
      </c>
      <c r="P2314" s="4">
        <f>Tabla2[[#This Row],[Rentabilidad (%)]]/12</f>
        <v>-3.228285504798848E-2</v>
      </c>
    </row>
    <row r="2315" spans="1:16" x14ac:dyDescent="0.35">
      <c r="A2315" s="1">
        <v>42370</v>
      </c>
      <c r="B2315" t="s">
        <v>28</v>
      </c>
      <c r="C2315" s="2">
        <v>67844</v>
      </c>
      <c r="D2315" s="5" t="s">
        <v>17</v>
      </c>
      <c r="E2315" s="2">
        <f>IF(Tabla2[[#This Row],[Frecuencia]]="Annual", Tabla2[[#This Row],[Cosecha/Tarea]]/12,Tabla2[[#This Row],[Cosecha/Tarea]])</f>
        <v>67844</v>
      </c>
      <c r="F2315" s="2">
        <v>1182492</v>
      </c>
      <c r="G2315" t="s">
        <v>18</v>
      </c>
      <c r="H2315">
        <f>F2315/Tabla2[[#This Row],[Cosecha Mensual]]</f>
        <v>17.429573727964154</v>
      </c>
      <c r="I2315">
        <f>H2315*_xlfn.XLOOKUP(Tabla2[[#This Row],[Unidad de producción]],Tabla3[Medida],Tabla3[Equivalencia en Kg],"ELVIS",0)</f>
        <v>790.60546430045406</v>
      </c>
      <c r="J2315">
        <v>8433.0892857142899</v>
      </c>
      <c r="K2315" t="s">
        <v>29</v>
      </c>
      <c r="L2315">
        <f>J2315/_xlfn.XLOOKUP(Tabla2[[#This Row],[Unidad de precio]],Tabla3[Medida],Tabla3[Equivalencia en Kg],"ELVIS",0)</f>
        <v>14.996424379760091</v>
      </c>
      <c r="M2315">
        <v>7046.2499107967797</v>
      </c>
      <c r="N2315" s="2">
        <f>(Tabla2[[#This Row],[Productividad (kg/TAS)]]*Tabla2[[#This Row],[Precio por kg]]-Tabla2[[#This Row],[Costos (En RD$/Tarea)]])</f>
        <v>4810.0051488100962</v>
      </c>
      <c r="O2315" s="6">
        <f>IF(Tabla2[[#This Row],[Costos (En RD$/Tarea)]]=0,0,Tabla2[[#This Row],[Beneficio Neto  (En RD$/Tarea)]]/Tabla2[[#This Row],[Costos (En RD$/Tarea)]])</f>
        <v>0.68263334535436426</v>
      </c>
      <c r="P2315" s="4">
        <f>Tabla2[[#This Row],[Rentabilidad (%)]]/12</f>
        <v>5.6886112112863686E-2</v>
      </c>
    </row>
    <row r="2316" spans="1:16" x14ac:dyDescent="0.35">
      <c r="A2316" s="1">
        <v>42370</v>
      </c>
      <c r="B2316" t="s">
        <v>30</v>
      </c>
      <c r="C2316" s="2">
        <v>415244</v>
      </c>
      <c r="D2316" s="2" t="s">
        <v>31</v>
      </c>
      <c r="E2316" s="2">
        <f>IF(Tabla2[[#This Row],[Frecuencia]]="Annual", Tabla2[[#This Row],[Cosecha/Tarea]]/12,Tabla2[[#This Row],[Cosecha/Tarea]])</f>
        <v>34603.666666666664</v>
      </c>
      <c r="F2316" s="2">
        <v>1959286.8</v>
      </c>
      <c r="G2316" t="s">
        <v>18</v>
      </c>
      <c r="H2316">
        <f>F2316/Tabla2[[#This Row],[Cosecha Mensual]]</f>
        <v>56.620785851210378</v>
      </c>
      <c r="I2316">
        <f>H2316*_xlfn.XLOOKUP(Tabla2[[#This Row],[Unidad de producción]],Tabla3[Medida],Tabla3[Equivalencia en Kg],"ELVIS",0)</f>
        <v>2568.3188462109028</v>
      </c>
      <c r="J2316">
        <v>214.28125</v>
      </c>
      <c r="K2316" t="s">
        <v>32</v>
      </c>
      <c r="L2316">
        <f>J2316/_xlfn.XLOOKUP(Tabla2[[#This Row],[Unidad de precio]],Tabla3[Medida],Tabla3[Equivalencia en Kg],"ELVIS",0)</f>
        <v>7.8750918779860344</v>
      </c>
      <c r="M2316" s="2">
        <v>31633.940308743</v>
      </c>
      <c r="N2316" s="2">
        <f>(Tabla2[[#This Row],[Productividad (kg/TAS)]]*Tabla2[[#This Row],[Precio por kg]]-Tabla2[[#This Row],[Costos (En RD$/Tarea)]])</f>
        <v>-11408.193422869055</v>
      </c>
      <c r="O2316" s="6">
        <f>IF(Tabla2[[#This Row],[Costos (En RD$/Tarea)]]=0,0,Tabla2[[#This Row],[Beneficio Neto  (En RD$/Tarea)]]/Tabla2[[#This Row],[Costos (En RD$/Tarea)]])</f>
        <v>-0.36063143925564195</v>
      </c>
      <c r="P2316" s="4">
        <f>Tabla2[[#This Row],[Rentabilidad (%)]]/12</f>
        <v>-3.0052619937970163E-2</v>
      </c>
    </row>
    <row r="2317" spans="1:16" x14ac:dyDescent="0.35">
      <c r="A2317" s="1">
        <v>42370</v>
      </c>
      <c r="B2317" t="s">
        <v>33</v>
      </c>
      <c r="C2317" s="2">
        <v>701444</v>
      </c>
      <c r="D2317" s="2" t="s">
        <v>31</v>
      </c>
      <c r="E2317" s="8">
        <f>IF(Tabla2[[#This Row],[Frecuencia]]="Annual", Tabla2[[#This Row],[Cosecha/Tarea]]/12,Tabla2[[#This Row],[Cosecha/Tarea]])</f>
        <v>58453.666666666664</v>
      </c>
      <c r="F2317" s="2">
        <v>1278126</v>
      </c>
      <c r="G2317" t="s">
        <v>18</v>
      </c>
      <c r="H2317">
        <f>F2317/Tabla2[[#This Row],[Cosecha Mensual]]</f>
        <v>21.865625766276423</v>
      </c>
      <c r="I2317">
        <f>H2317*_xlfn.XLOOKUP(Tabla2[[#This Row],[Unidad de producción]],Tabla3[Medida],Tabla3[Equivalencia en Kg],"ELVIS",0)</f>
        <v>991.82478475829851</v>
      </c>
      <c r="J2317">
        <v>8355.09375</v>
      </c>
      <c r="K2317" t="s">
        <v>34</v>
      </c>
      <c r="L2317">
        <f>J2317/_xlfn.XLOOKUP(Tabla2[[#This Row],[Unidad de precio]],Tabla3[Medida],Tabla3[Equivalencia en Kg],"ELVIS",0)</f>
        <v>20.470644983461963</v>
      </c>
      <c r="M2317" s="2">
        <v>19988.821444047899</v>
      </c>
      <c r="N2317" s="2">
        <f>(Tabla2[[#This Row],[Productividad (kg/TAS)]]*Tabla2[[#This Row],[Precio por kg]]-Tabla2[[#This Row],[Costos (En RD$/Tarea)]])</f>
        <v>314.47161053780655</v>
      </c>
      <c r="O2317" s="6">
        <f>IF(Tabla2[[#This Row],[Costos (En RD$/Tarea)]]=0,0,Tabla2[[#This Row],[Beneficio Neto  (En RD$/Tarea)]]/Tabla2[[#This Row],[Costos (En RD$/Tarea)]])</f>
        <v>1.5732373787922711E-2</v>
      </c>
      <c r="P2317" s="4">
        <f>Tabla2[[#This Row],[Rentabilidad (%)]]/12</f>
        <v>1.3110311489935593E-3</v>
      </c>
    </row>
    <row r="2318" spans="1:16" x14ac:dyDescent="0.35">
      <c r="A2318" s="1">
        <v>42401</v>
      </c>
      <c r="B2318" t="s">
        <v>16</v>
      </c>
      <c r="C2318" s="2">
        <v>1441</v>
      </c>
      <c r="D2318" s="5" t="s">
        <v>17</v>
      </c>
      <c r="E2318" s="2">
        <f>IF(Tabla2[[#This Row],[Frecuencia]]="Annual", Tabla2[[#This Row],[Cosecha/Tarea]]/12,Tabla2[[#This Row],[Cosecha/Tarea]])</f>
        <v>1441</v>
      </c>
      <c r="F2318" s="2">
        <v>5109</v>
      </c>
      <c r="G2318" t="s">
        <v>18</v>
      </c>
      <c r="H2318">
        <f>F2318/Tabla2[[#This Row],[Cosecha Mensual]]</f>
        <v>3.5454545454545454</v>
      </c>
      <c r="I2318">
        <f>H2318*_xlfn.XLOOKUP(Tabla2[[#This Row],[Unidad de producción]],Tabla3[Medida],Tabla3[Equivalencia en Kg],"ELVIS",0)</f>
        <v>160.82181818181817</v>
      </c>
      <c r="J2318">
        <v>1806.09003712871</v>
      </c>
      <c r="K2318" t="s">
        <v>19</v>
      </c>
      <c r="L2318">
        <f>J2318/_xlfn.XLOOKUP(Tabla2[[#This Row],[Unidad de precio]],Tabla3[Medida],Tabla3[Equivalencia en Kg],"ELVIS",0)</f>
        <v>16.419000337533728</v>
      </c>
      <c r="M2318">
        <v>5924.25478252843</v>
      </c>
      <c r="N2318" s="2">
        <f>(Tabla2[[#This Row],[Productividad (kg/TAS)]]*Tabla2[[#This Row],[Precio por kg]]-Tabla2[[#This Row],[Costos (En RD$/Tarea)]])</f>
        <v>-3283.7212955183695</v>
      </c>
      <c r="O2318" s="6">
        <f>IF(Tabla2[[#This Row],[Costos (En RD$/Tarea)]]=0,0,Tabla2[[#This Row],[Beneficio Neto  (En RD$/Tarea)]]/Tabla2[[#This Row],[Costos (En RD$/Tarea)]])</f>
        <v>-0.55428427980555228</v>
      </c>
      <c r="P2318" s="4">
        <f>Tabla2[[#This Row],[Rentabilidad (%)]]/12</f>
        <v>-4.6190356650462693E-2</v>
      </c>
    </row>
    <row r="2319" spans="1:16" x14ac:dyDescent="0.35">
      <c r="A2319" s="1">
        <v>42401</v>
      </c>
      <c r="B2319" t="s">
        <v>20</v>
      </c>
      <c r="C2319" s="2">
        <v>30170</v>
      </c>
      <c r="D2319" s="5" t="s">
        <v>17</v>
      </c>
      <c r="E2319" s="2">
        <f>IF(Tabla2[[#This Row],[Frecuencia]]="Annual", Tabla2[[#This Row],[Cosecha/Tarea]]/12,Tabla2[[#This Row],[Cosecha/Tarea]])</f>
        <v>30170</v>
      </c>
      <c r="F2319" s="2">
        <v>72991</v>
      </c>
      <c r="G2319" t="s">
        <v>18</v>
      </c>
      <c r="H2319">
        <f>F2319/Tabla2[[#This Row],[Cosecha Mensual]]</f>
        <v>2.4193238316208152</v>
      </c>
      <c r="I2319">
        <f>H2319*_xlfn.XLOOKUP(Tabla2[[#This Row],[Unidad de producción]],Tabla3[Medida],Tabla3[Equivalencia en Kg],"ELVIS",0)</f>
        <v>109.74052900232017</v>
      </c>
      <c r="J2319">
        <v>824.70314427083304</v>
      </c>
      <c r="K2319" t="s">
        <v>18</v>
      </c>
      <c r="L2319">
        <f>J2319/_xlfn.XLOOKUP(Tabla2[[#This Row],[Unidad de precio]],Tabla3[Medida],Tabla3[Equivalencia en Kg],"ELVIS",0)</f>
        <v>18.18128624935699</v>
      </c>
      <c r="M2319">
        <v>2463.2928983520001</v>
      </c>
      <c r="N2319" s="2">
        <f>(Tabla2[[#This Row],[Productividad (kg/TAS)]]*Tabla2[[#This Row],[Precio por kg]]-Tabla2[[#This Row],[Costos (En RD$/Tarea)]])</f>
        <v>-468.06892740495437</v>
      </c>
      <c r="O2319" s="6">
        <f>IF(Tabla2[[#This Row],[Costos (En RD$/Tarea)]]=0,0,Tabla2[[#This Row],[Beneficio Neto  (En RD$/Tarea)]]/Tabla2[[#This Row],[Costos (En RD$/Tarea)]])</f>
        <v>-0.19001756864484257</v>
      </c>
      <c r="P2319" s="4">
        <f>Tabla2[[#This Row],[Rentabilidad (%)]]/12</f>
        <v>-1.5834797387070214E-2</v>
      </c>
    </row>
    <row r="2320" spans="1:16" x14ac:dyDescent="0.35">
      <c r="A2320" s="1">
        <v>42401</v>
      </c>
      <c r="B2320" t="s">
        <v>21</v>
      </c>
      <c r="C2320" s="2">
        <v>9014</v>
      </c>
      <c r="D2320" s="5" t="s">
        <v>17</v>
      </c>
      <c r="E2320" s="2">
        <f>IF(Tabla2[[#This Row],[Frecuencia]]="Annual", Tabla2[[#This Row],[Cosecha/Tarea]]/12,Tabla2[[#This Row],[Cosecha/Tarea]])</f>
        <v>9014</v>
      </c>
      <c r="F2320" s="2">
        <v>87101</v>
      </c>
      <c r="G2320" t="s">
        <v>18</v>
      </c>
      <c r="H2320">
        <f>F2320/Tabla2[[#This Row],[Cosecha Mensual]]</f>
        <v>9.6628577767916575</v>
      </c>
      <c r="I2320">
        <f>H2320*_xlfn.XLOOKUP(Tabla2[[#This Row],[Unidad de producción]],Tabla3[Medida],Tabla3[Equivalencia en Kg],"ELVIS",0)</f>
        <v>438.30722875526959</v>
      </c>
      <c r="J2320">
        <v>403.34583333333302</v>
      </c>
      <c r="K2320" t="s">
        <v>18</v>
      </c>
      <c r="L2320">
        <f>J2320/_xlfn.XLOOKUP(Tabla2[[#This Row],[Unidad de precio]],Tabla3[Medida],Tabla3[Equivalencia en Kg],"ELVIS",0)</f>
        <v>8.8921039094650141</v>
      </c>
      <c r="M2320">
        <v>4713.6874381607504</v>
      </c>
      <c r="N2320" s="2">
        <f>(Tabla2[[#This Row],[Productividad (kg/TAS)]]*Tabla2[[#This Row],[Precio por kg]]-Tabla2[[#This Row],[Costos (En RD$/Tarea)]])</f>
        <v>-816.21401579924122</v>
      </c>
      <c r="O2320" s="6">
        <f>IF(Tabla2[[#This Row],[Costos (En RD$/Tarea)]]=0,0,Tabla2[[#This Row],[Beneficio Neto  (En RD$/Tarea)]]/Tabla2[[#This Row],[Costos (En RD$/Tarea)]])</f>
        <v>-0.17315828138951075</v>
      </c>
      <c r="P2320" s="4">
        <f>Tabla2[[#This Row],[Rentabilidad (%)]]/12</f>
        <v>-1.4429856782459229E-2</v>
      </c>
    </row>
    <row r="2321" spans="1:16" x14ac:dyDescent="0.35">
      <c r="A2321" s="1">
        <v>42401</v>
      </c>
      <c r="B2321" t="s">
        <v>22</v>
      </c>
      <c r="C2321" s="2">
        <v>9514</v>
      </c>
      <c r="D2321" s="5" t="s">
        <v>17</v>
      </c>
      <c r="E2321" s="2">
        <f>IF(Tabla2[[#This Row],[Frecuencia]]="Annual", Tabla2[[#This Row],[Cosecha/Tarea]]/12,Tabla2[[#This Row],[Cosecha/Tarea]])</f>
        <v>9514</v>
      </c>
      <c r="F2321" s="2">
        <v>84587</v>
      </c>
      <c r="G2321" t="s">
        <v>18</v>
      </c>
      <c r="H2321">
        <f>F2321/Tabla2[[#This Row],[Cosecha Mensual]]</f>
        <v>8.8907925162917802</v>
      </c>
      <c r="I2321">
        <f>H2321*_xlfn.XLOOKUP(Tabla2[[#This Row],[Unidad de producción]],Tabla3[Medida],Tabla3[Equivalencia en Kg],"ELVIS",0)</f>
        <v>403.28634853899513</v>
      </c>
      <c r="J2321">
        <v>1492.4010416666699</v>
      </c>
      <c r="K2321" t="s">
        <v>18</v>
      </c>
      <c r="L2321">
        <f>J2321/_xlfn.XLOOKUP(Tabla2[[#This Row],[Unidad de precio]],Tabla3[Medida],Tabla3[Equivalencia en Kg],"ELVIS",0)</f>
        <v>32.901257532333993</v>
      </c>
      <c r="M2321">
        <v>8550.1576563690305</v>
      </c>
      <c r="N2321" s="2">
        <f>(Tabla2[[#This Row],[Productividad (kg/TAS)]]*Tabla2[[#This Row],[Precio por kg]]-Tabla2[[#This Row],[Costos (En RD$/Tarea)]])</f>
        <v>4718.4703561870556</v>
      </c>
      <c r="O2321" s="6">
        <f>IF(Tabla2[[#This Row],[Costos (En RD$/Tarea)]]=0,0,Tabla2[[#This Row],[Beneficio Neto  (En RD$/Tarea)]]/Tabla2[[#This Row],[Costos (En RD$/Tarea)]])</f>
        <v>0.55185770202403894</v>
      </c>
      <c r="P2321" s="4">
        <f>Tabla2[[#This Row],[Rentabilidad (%)]]/12</f>
        <v>4.5988141835336581E-2</v>
      </c>
    </row>
    <row r="2322" spans="1:16" x14ac:dyDescent="0.35">
      <c r="A2322" s="1">
        <v>42401</v>
      </c>
      <c r="B2322" t="s">
        <v>23</v>
      </c>
      <c r="C2322" s="2">
        <v>6214</v>
      </c>
      <c r="D2322" s="5" t="s">
        <v>17</v>
      </c>
      <c r="E2322" s="2">
        <f>IF(Tabla2[[#This Row],[Frecuencia]]="Annual", Tabla2[[#This Row],[Cosecha/Tarea]]/12,Tabla2[[#This Row],[Cosecha/Tarea]])</f>
        <v>6214</v>
      </c>
      <c r="F2322" s="2">
        <v>220211</v>
      </c>
      <c r="G2322" t="s">
        <v>18</v>
      </c>
      <c r="H2322">
        <f>F2322/Tabla2[[#This Row],[Cosecha Mensual]]</f>
        <v>35.437882201480527</v>
      </c>
      <c r="I2322">
        <f>H2322*_xlfn.XLOOKUP(Tabla2[[#This Row],[Unidad de producción]],Tabla3[Medida],Tabla3[Equivalencia en Kg],"ELVIS",0)</f>
        <v>1607.4623366591566</v>
      </c>
      <c r="J2322">
        <v>1041.75</v>
      </c>
      <c r="K2322" t="s">
        <v>18</v>
      </c>
      <c r="L2322">
        <f>J2322/_xlfn.XLOOKUP(Tabla2[[#This Row],[Unidad de precio]],Tabla3[Medida],Tabla3[Equivalencia en Kg],"ELVIS",0)</f>
        <v>22.966269841269842</v>
      </c>
      <c r="M2322">
        <v>23192.17</v>
      </c>
      <c r="N2322" s="2">
        <f>(Tabla2[[#This Row],[Productividad (kg/TAS)]]*Tabla2[[#This Row],[Precio por kg]]-Tabla2[[#This Row],[Costos (En RD$/Tarea)]])</f>
        <v>13725.24378339234</v>
      </c>
      <c r="O2322" s="6">
        <f>IF(Tabla2[[#This Row],[Costos (En RD$/Tarea)]]=0,0,Tabla2[[#This Row],[Beneficio Neto  (En RD$/Tarea)]]/Tabla2[[#This Row],[Costos (En RD$/Tarea)]])</f>
        <v>0.59180506970207358</v>
      </c>
      <c r="P2322" s="4">
        <f>Tabla2[[#This Row],[Rentabilidad (%)]]/12</f>
        <v>4.9317089141839465E-2</v>
      </c>
    </row>
    <row r="2323" spans="1:16" x14ac:dyDescent="0.35">
      <c r="A2323" s="1">
        <v>42401</v>
      </c>
      <c r="B2323" t="s">
        <v>24</v>
      </c>
      <c r="C2323" s="2">
        <v>7547</v>
      </c>
      <c r="D2323" s="5" t="s">
        <v>17</v>
      </c>
      <c r="E2323" s="2">
        <f>IF(Tabla2[[#This Row],[Frecuencia]]="Annual", Tabla2[[#This Row],[Cosecha/Tarea]]/12,Tabla2[[#This Row],[Cosecha/Tarea]])</f>
        <v>7547</v>
      </c>
      <c r="F2323" s="2">
        <v>69879</v>
      </c>
      <c r="G2323" t="s">
        <v>18</v>
      </c>
      <c r="H2323">
        <f>F2323/Tabla2[[#This Row],[Cosecha Mensual]]</f>
        <v>9.2591758314562078</v>
      </c>
      <c r="I2323">
        <f>H2323*_xlfn.XLOOKUP(Tabla2[[#This Row],[Unidad de producción]],Tabla3[Medida],Tabla3[Equivalencia en Kg],"ELVIS",0)</f>
        <v>419.99621571485358</v>
      </c>
      <c r="J2323">
        <v>2629.1041666666702</v>
      </c>
      <c r="K2323" t="s">
        <v>18</v>
      </c>
      <c r="L2323">
        <f>J2323/_xlfn.XLOOKUP(Tabla2[[#This Row],[Unidad de precio]],Tabla3[Medida],Tabla3[Equivalencia en Kg],"ELVIS",0)</f>
        <v>57.960850235155867</v>
      </c>
      <c r="M2323">
        <v>8705.1562241280008</v>
      </c>
      <c r="N2323" s="2">
        <f>(Tabla2[[#This Row],[Productividad (kg/TAS)]]*Tabla2[[#This Row],[Precio por kg]]-Tabla2[[#This Row],[Costos (En RD$/Tarea)]])</f>
        <v>15638.181534252846</v>
      </c>
      <c r="O2323" s="6">
        <f>IF(Tabla2[[#This Row],[Costos (En RD$/Tarea)]]=0,0,Tabla2[[#This Row],[Beneficio Neto  (En RD$/Tarea)]]/Tabla2[[#This Row],[Costos (En RD$/Tarea)]])</f>
        <v>1.7964274427274083</v>
      </c>
      <c r="P2323" s="4">
        <f>Tabla2[[#This Row],[Rentabilidad (%)]]/12</f>
        <v>0.14970228689395068</v>
      </c>
    </row>
    <row r="2324" spans="1:16" x14ac:dyDescent="0.35">
      <c r="A2324" s="1">
        <v>42401</v>
      </c>
      <c r="B2324" t="s">
        <v>25</v>
      </c>
      <c r="C2324" s="2">
        <v>41014</v>
      </c>
      <c r="D2324" s="5" t="s">
        <v>17</v>
      </c>
      <c r="E2324" s="2">
        <f>IF(Tabla2[[#This Row],[Frecuencia]]="Annual", Tabla2[[#This Row],[Cosecha/Tarea]]/12,Tabla2[[#This Row],[Cosecha/Tarea]])</f>
        <v>41014</v>
      </c>
      <c r="F2324" s="2">
        <v>445897</v>
      </c>
      <c r="G2324" t="s">
        <v>18</v>
      </c>
      <c r="H2324">
        <f>F2324/Tabla2[[#This Row],[Cosecha Mensual]]</f>
        <v>10.871824255132394</v>
      </c>
      <c r="I2324">
        <f>H2324*_xlfn.XLOOKUP(Tabla2[[#This Row],[Unidad de producción]],Tabla3[Medida],Tabla3[Equivalencia en Kg],"ELVIS",0)</f>
        <v>493.14594821280537</v>
      </c>
      <c r="J2324">
        <v>936.11270833333299</v>
      </c>
      <c r="K2324" t="s">
        <v>18</v>
      </c>
      <c r="L2324">
        <f>J2324/_xlfn.XLOOKUP(Tabla2[[#This Row],[Unidad de precio]],Tabla3[Medida],Tabla3[Equivalencia en Kg],"ELVIS",0)</f>
        <v>20.637405386537324</v>
      </c>
      <c r="M2324">
        <v>4784.7627198809196</v>
      </c>
      <c r="N2324" s="2">
        <f>(Tabla2[[#This Row],[Productividad (kg/TAS)]]*Tabla2[[#This Row],[Precio por kg]]-Tabla2[[#This Row],[Costos (En RD$/Tarea)]])</f>
        <v>5392.490128115086</v>
      </c>
      <c r="O2324" s="6">
        <f>IF(Tabla2[[#This Row],[Costos (En RD$/Tarea)]]=0,0,Tabla2[[#This Row],[Beneficio Neto  (En RD$/Tarea)]]/Tabla2[[#This Row],[Costos (En RD$/Tarea)]])</f>
        <v>1.1270130712457338</v>
      </c>
      <c r="P2324" s="4">
        <f>Tabla2[[#This Row],[Rentabilidad (%)]]/12</f>
        <v>9.3917755937144479E-2</v>
      </c>
    </row>
    <row r="2325" spans="1:16" x14ac:dyDescent="0.35">
      <c r="A2325" s="1">
        <v>42401</v>
      </c>
      <c r="B2325" t="s">
        <v>26</v>
      </c>
      <c r="C2325" s="2">
        <v>8987</v>
      </c>
      <c r="D2325" s="5" t="s">
        <v>17</v>
      </c>
      <c r="E2325" s="2">
        <f>IF(Tabla2[[#This Row],[Frecuencia]]="Annual", Tabla2[[#This Row],[Cosecha/Tarea]]/12,Tabla2[[#This Row],[Cosecha/Tarea]])</f>
        <v>8987</v>
      </c>
      <c r="F2325" s="2">
        <v>54899</v>
      </c>
      <c r="G2325" t="s">
        <v>18</v>
      </c>
      <c r="H2325">
        <f>F2325/Tabla2[[#This Row],[Cosecha Mensual]]</f>
        <v>6.1087125848447759</v>
      </c>
      <c r="I2325">
        <f>H2325*_xlfn.XLOOKUP(Tabla2[[#This Row],[Unidad de producción]],Tabla3[Medida],Tabla3[Equivalencia en Kg],"ELVIS",0)</f>
        <v>277.09120284855902</v>
      </c>
      <c r="J2325">
        <v>678.33656250000001</v>
      </c>
      <c r="K2325" t="s">
        <v>18</v>
      </c>
      <c r="L2325">
        <f>J2325/_xlfn.XLOOKUP(Tabla2[[#This Row],[Unidad de precio]],Tabla3[Medida],Tabla3[Equivalencia en Kg],"ELVIS",0)</f>
        <v>14.954509755291006</v>
      </c>
      <c r="M2325">
        <v>1888.4301162085201</v>
      </c>
      <c r="N2325" s="2">
        <f>(Tabla2[[#This Row],[Productividad (kg/TAS)]]*Tabla2[[#This Row],[Precio por kg]]-Tabla2[[#This Row],[Costos (En RD$/Tarea)]])</f>
        <v>2255.3329798955747</v>
      </c>
      <c r="O2325" s="6">
        <f>IF(Tabla2[[#This Row],[Costos (En RD$/Tarea)]]=0,0,Tabla2[[#This Row],[Beneficio Neto  (En RD$/Tarea)]]/Tabla2[[#This Row],[Costos (En RD$/Tarea)]])</f>
        <v>1.1942898815994847</v>
      </c>
      <c r="P2325" s="4">
        <f>Tabla2[[#This Row],[Rentabilidad (%)]]/12</f>
        <v>9.9524156799957061E-2</v>
      </c>
    </row>
    <row r="2326" spans="1:16" x14ac:dyDescent="0.35">
      <c r="A2326" s="1">
        <v>42401</v>
      </c>
      <c r="B2326" t="s">
        <v>27</v>
      </c>
      <c r="C2326" s="2">
        <v>5300</v>
      </c>
      <c r="D2326" s="5" t="s">
        <v>17</v>
      </c>
      <c r="E2326" s="2">
        <f>IF(Tabla2[[#This Row],[Frecuencia]]="Annual", Tabla2[[#This Row],[Cosecha/Tarea]]/12,Tabla2[[#This Row],[Cosecha/Tarea]])</f>
        <v>5300</v>
      </c>
      <c r="F2326" s="2">
        <v>46566</v>
      </c>
      <c r="G2326" t="s">
        <v>18</v>
      </c>
      <c r="H2326">
        <f>F2326/Tabla2[[#This Row],[Cosecha Mensual]]</f>
        <v>8.7860377358490567</v>
      </c>
      <c r="I2326">
        <f>H2326*_xlfn.XLOOKUP(Tabla2[[#This Row],[Unidad de producción]],Tabla3[Medida],Tabla3[Equivalencia en Kg],"ELVIS",0)</f>
        <v>398.53467169811319</v>
      </c>
      <c r="J2326">
        <v>485.178857142857</v>
      </c>
      <c r="K2326" t="s">
        <v>18</v>
      </c>
      <c r="L2326">
        <f>J2326/_xlfn.XLOOKUP(Tabla2[[#This Row],[Unidad de precio]],Tabla3[Medida],Tabla3[Equivalencia en Kg],"ELVIS",0)</f>
        <v>10.696182917611486</v>
      </c>
      <c r="M2326">
        <v>8287.288275158</v>
      </c>
      <c r="N2326" s="2">
        <f>(Tabla2[[#This Row],[Productividad (kg/TAS)]]*Tabla2[[#This Row],[Precio por kg]]-Tabla2[[#This Row],[Costos (En RD$/Tarea)]])</f>
        <v>-4024.4885276647401</v>
      </c>
      <c r="O2326" s="6">
        <f>IF(Tabla2[[#This Row],[Costos (En RD$/Tarea)]]=0,0,Tabla2[[#This Row],[Beneficio Neto  (En RD$/Tarea)]]/Tabla2[[#This Row],[Costos (En RD$/Tarea)]])</f>
        <v>-0.48562188185592131</v>
      </c>
      <c r="P2326" s="4">
        <f>Tabla2[[#This Row],[Rentabilidad (%)]]/12</f>
        <v>-4.0468490154660107E-2</v>
      </c>
    </row>
    <row r="2327" spans="1:16" x14ac:dyDescent="0.35">
      <c r="A2327" s="1">
        <v>42401</v>
      </c>
      <c r="B2327" t="s">
        <v>28</v>
      </c>
      <c r="C2327" s="2">
        <v>95474</v>
      </c>
      <c r="D2327" s="5" t="s">
        <v>17</v>
      </c>
      <c r="E2327" s="2">
        <f>IF(Tabla2[[#This Row],[Frecuencia]]="Annual", Tabla2[[#This Row],[Cosecha/Tarea]]/12,Tabla2[[#This Row],[Cosecha/Tarea]])</f>
        <v>95474</v>
      </c>
      <c r="F2327" s="2">
        <v>1964928</v>
      </c>
      <c r="G2327" t="s">
        <v>18</v>
      </c>
      <c r="H2327">
        <f>F2327/Tabla2[[#This Row],[Cosecha Mensual]]</f>
        <v>20.580765443995222</v>
      </c>
      <c r="I2327">
        <f>H2327*_xlfn.XLOOKUP(Tabla2[[#This Row],[Unidad de producción]],Tabla3[Medida],Tabla3[Equivalencia en Kg],"ELVIS",0)</f>
        <v>933.54352053962327</v>
      </c>
      <c r="J2327">
        <v>9325.75</v>
      </c>
      <c r="K2327" t="s">
        <v>29</v>
      </c>
      <c r="L2327">
        <f>J2327/_xlfn.XLOOKUP(Tabla2[[#This Row],[Unidad de precio]],Tabla3[Medida],Tabla3[Equivalencia en Kg],"ELVIS",0)</f>
        <v>16.583828288935518</v>
      </c>
      <c r="M2327">
        <v>7046.2499107967797</v>
      </c>
      <c r="N2327" s="2">
        <f>(Tabla2[[#This Row],[Productividad (kg/TAS)]]*Tabla2[[#This Row],[Precio por kg]]-Tabla2[[#This Row],[Costos (En RD$/Tarea)]])</f>
        <v>8435.4755340806805</v>
      </c>
      <c r="O2327" s="6">
        <f>IF(Tabla2[[#This Row],[Costos (En RD$/Tarea)]]=0,0,Tabla2[[#This Row],[Beneficio Neto  (En RD$/Tarea)]]/Tabla2[[#This Row],[Costos (En RD$/Tarea)]])</f>
        <v>1.1971581537514342</v>
      </c>
      <c r="P2327" s="4">
        <f>Tabla2[[#This Row],[Rentabilidad (%)]]/12</f>
        <v>9.9763179479286188E-2</v>
      </c>
    </row>
    <row r="2328" spans="1:16" x14ac:dyDescent="0.35">
      <c r="A2328" s="1">
        <v>42401</v>
      </c>
      <c r="B2328" t="s">
        <v>30</v>
      </c>
      <c r="C2328" s="2">
        <v>438547</v>
      </c>
      <c r="D2328" s="2" t="s">
        <v>31</v>
      </c>
      <c r="E2328" s="2">
        <f>IF(Tabla2[[#This Row],[Frecuencia]]="Annual", Tabla2[[#This Row],[Cosecha/Tarea]]/12,Tabla2[[#This Row],[Cosecha/Tarea]])</f>
        <v>36545.583333333336</v>
      </c>
      <c r="F2328" s="2">
        <v>2023860</v>
      </c>
      <c r="G2328" t="s">
        <v>18</v>
      </c>
      <c r="H2328">
        <f>F2328/Tabla2[[#This Row],[Cosecha Mensual]]</f>
        <v>55.37905857296937</v>
      </c>
      <c r="I2328">
        <f>H2328*_xlfn.XLOOKUP(Tabla2[[#This Row],[Unidad de producción]],Tabla3[Medida],Tabla3[Equivalencia en Kg],"ELVIS",0)</f>
        <v>2511.9940968698907</v>
      </c>
      <c r="J2328">
        <v>208.40937500000001</v>
      </c>
      <c r="K2328" t="s">
        <v>32</v>
      </c>
      <c r="L2328">
        <f>J2328/_xlfn.XLOOKUP(Tabla2[[#This Row],[Unidad de precio]],Tabla3[Medida],Tabla3[Equivalencia en Kg],"ELVIS",0)</f>
        <v>7.6592934582873946</v>
      </c>
      <c r="M2328" s="2">
        <v>31633.940308743</v>
      </c>
      <c r="N2328" s="2">
        <f>(Tabla2[[#This Row],[Productividad (kg/TAS)]]*Tabla2[[#This Row],[Precio por kg]]-Tabla2[[#This Row],[Costos (En RD$/Tarea)]])</f>
        <v>-12393.840355330896</v>
      </c>
      <c r="O2328" s="6">
        <f>IF(Tabla2[[#This Row],[Costos (En RD$/Tarea)]]=0,0,Tabla2[[#This Row],[Beneficio Neto  (En RD$/Tarea)]]/Tabla2[[#This Row],[Costos (En RD$/Tarea)]])</f>
        <v>-0.39178933241855685</v>
      </c>
      <c r="P2328" s="4">
        <f>Tabla2[[#This Row],[Rentabilidad (%)]]/12</f>
        <v>-3.2649111034879739E-2</v>
      </c>
    </row>
    <row r="2329" spans="1:16" x14ac:dyDescent="0.35">
      <c r="A2329" s="1">
        <v>42401</v>
      </c>
      <c r="B2329" t="s">
        <v>33</v>
      </c>
      <c r="C2329" s="2">
        <v>741021</v>
      </c>
      <c r="D2329" s="2" t="s">
        <v>31</v>
      </c>
      <c r="E2329" s="2">
        <f>IF(Tabla2[[#This Row],[Frecuencia]]="Annual", Tabla2[[#This Row],[Cosecha/Tarea]]/12,Tabla2[[#This Row],[Cosecha/Tarea]])</f>
        <v>61751.75</v>
      </c>
      <c r="F2329" s="2">
        <v>1339668</v>
      </c>
      <c r="G2329" t="s">
        <v>18</v>
      </c>
      <c r="H2329">
        <f>F2329/Tabla2[[#This Row],[Cosecha Mensual]]</f>
        <v>21.69441351864522</v>
      </c>
      <c r="I2329">
        <f>H2329*_xlfn.XLOOKUP(Tabla2[[#This Row],[Unidad de producción]],Tabla3[Medida],Tabla3[Equivalencia en Kg],"ELVIS",0)</f>
        <v>984.05859720574722</v>
      </c>
      <c r="J2329">
        <v>7422.8854166666697</v>
      </c>
      <c r="K2329" t="s">
        <v>34</v>
      </c>
      <c r="L2329">
        <f>J2329/_xlfn.XLOOKUP(Tabla2[[#This Row],[Unidad de precio]],Tabla3[Medida],Tabla3[Equivalencia en Kg],"ELVIS",0)</f>
        <v>18.186660337294303</v>
      </c>
      <c r="M2329" s="2">
        <v>19988.821444047899</v>
      </c>
      <c r="N2329" s="2">
        <f>(Tabla2[[#This Row],[Productividad (kg/TAS)]]*Tabla2[[#This Row],[Precio por kg]]-Tabla2[[#This Row],[Costos (En RD$/Tarea)]])</f>
        <v>-2092.0819846726663</v>
      </c>
      <c r="O2329" s="6">
        <f>IF(Tabla2[[#This Row],[Costos (En RD$/Tarea)]]=0,0,Tabla2[[#This Row],[Beneficio Neto  (En RD$/Tarea)]]/Tabla2[[#This Row],[Costos (En RD$/Tarea)]])</f>
        <v>-0.10466259806906368</v>
      </c>
      <c r="P2329" s="4">
        <f>Tabla2[[#This Row],[Rentabilidad (%)]]/12</f>
        <v>-8.721883172421974E-3</v>
      </c>
    </row>
    <row r="2330" spans="1:16" x14ac:dyDescent="0.35">
      <c r="A2330" s="1">
        <v>42430</v>
      </c>
      <c r="B2330" t="s">
        <v>16</v>
      </c>
      <c r="C2330" s="2">
        <v>79516</v>
      </c>
      <c r="D2330" s="5" t="s">
        <v>17</v>
      </c>
      <c r="E2330" s="2">
        <f>IF(Tabla2[[#This Row],[Frecuencia]]="Annual", Tabla2[[#This Row],[Cosecha/Tarea]]/12,Tabla2[[#This Row],[Cosecha/Tarea]])</f>
        <v>79516</v>
      </c>
      <c r="F2330" s="2">
        <v>418254</v>
      </c>
      <c r="G2330" t="s">
        <v>18</v>
      </c>
      <c r="H2330">
        <f>F2330/Tabla2[[#This Row],[Cosecha Mensual]]</f>
        <v>5.259997987826349</v>
      </c>
      <c r="I2330">
        <f>H2330*_xlfn.XLOOKUP(Tabla2[[#This Row],[Unidad de producción]],Tabla3[Medida],Tabla3[Equivalencia en Kg],"ELVIS",0)</f>
        <v>238.5935087278032</v>
      </c>
      <c r="J2330">
        <v>1849.0603905390501</v>
      </c>
      <c r="K2330" t="s">
        <v>19</v>
      </c>
      <c r="L2330">
        <f>J2330/_xlfn.XLOOKUP(Tabla2[[#This Row],[Unidad de precio]],Tabla3[Medida],Tabla3[Equivalencia en Kg],"ELVIS",0)</f>
        <v>16.809639913991365</v>
      </c>
      <c r="M2330">
        <v>5924.25478252843</v>
      </c>
      <c r="N2330" s="2">
        <f>(Tabla2[[#This Row],[Productividad (kg/TAS)]]*Tabla2[[#This Row],[Precio por kg]]-Tabla2[[#This Row],[Costos (En RD$/Tarea)]])</f>
        <v>-1913.5838149983024</v>
      </c>
      <c r="O2330" s="6">
        <f>IF(Tabla2[[#This Row],[Costos (En RD$/Tarea)]]=0,0,Tabla2[[#This Row],[Beneficio Neto  (En RD$/Tarea)]]/Tabla2[[#This Row],[Costos (En RD$/Tarea)]])</f>
        <v>-0.32300835889802809</v>
      </c>
      <c r="P2330" s="4">
        <f>Tabla2[[#This Row],[Rentabilidad (%)]]/12</f>
        <v>-2.6917363241502342E-2</v>
      </c>
    </row>
    <row r="2331" spans="1:16" x14ac:dyDescent="0.35">
      <c r="A2331" s="1">
        <v>42430</v>
      </c>
      <c r="B2331" t="s">
        <v>20</v>
      </c>
      <c r="C2331" s="2">
        <v>24512</v>
      </c>
      <c r="D2331" s="5" t="s">
        <v>17</v>
      </c>
      <c r="E2331" s="2">
        <f>IF(Tabla2[[#This Row],[Frecuencia]]="Annual", Tabla2[[#This Row],[Cosecha/Tarea]]/12,Tabla2[[#This Row],[Cosecha/Tarea]])</f>
        <v>24512</v>
      </c>
      <c r="F2331" s="2">
        <v>60144</v>
      </c>
      <c r="G2331" t="s">
        <v>18</v>
      </c>
      <c r="H2331">
        <f>F2331/Tabla2[[#This Row],[Cosecha Mensual]]</f>
        <v>2.4536553524804177</v>
      </c>
      <c r="I2331">
        <f>H2331*_xlfn.XLOOKUP(Tabla2[[#This Row],[Unidad de producción]],Tabla3[Medida],Tabla3[Equivalencia en Kg],"ELVIS",0)</f>
        <v>111.29780678851175</v>
      </c>
      <c r="J2331">
        <v>823.9765625</v>
      </c>
      <c r="K2331" t="s">
        <v>18</v>
      </c>
      <c r="L2331">
        <f>J2331/_xlfn.XLOOKUP(Tabla2[[#This Row],[Unidad de precio]],Tabla3[Medida],Tabla3[Equivalencia en Kg],"ELVIS",0)</f>
        <v>18.165268132716051</v>
      </c>
      <c r="M2331">
        <v>2463.2928983520001</v>
      </c>
      <c r="N2331" s="2">
        <f>(Tabla2[[#This Row],[Productividad (kg/TAS)]]*Tabla2[[#This Row],[Precio por kg]]-Tabla2[[#This Row],[Costos (En RD$/Tarea)]])</f>
        <v>-441.53839545545952</v>
      </c>
      <c r="O2331" s="6">
        <f>IF(Tabla2[[#This Row],[Costos (En RD$/Tarea)]]=0,0,Tabla2[[#This Row],[Beneficio Neto  (En RD$/Tarea)]]/Tabla2[[#This Row],[Costos (En RD$/Tarea)]])</f>
        <v>-0.17924721650066824</v>
      </c>
      <c r="P2331" s="4">
        <f>Tabla2[[#This Row],[Rentabilidad (%)]]/12</f>
        <v>-1.4937268041722353E-2</v>
      </c>
    </row>
    <row r="2332" spans="1:16" x14ac:dyDescent="0.35">
      <c r="A2332" s="1">
        <v>42430</v>
      </c>
      <c r="B2332" t="s">
        <v>21</v>
      </c>
      <c r="C2332" s="2">
        <v>9488</v>
      </c>
      <c r="D2332" s="5" t="s">
        <v>17</v>
      </c>
      <c r="E2332" s="2">
        <f>IF(Tabla2[[#This Row],[Frecuencia]]="Annual", Tabla2[[#This Row],[Cosecha/Tarea]]/12,Tabla2[[#This Row],[Cosecha/Tarea]])</f>
        <v>9488</v>
      </c>
      <c r="F2332" s="2">
        <v>113115</v>
      </c>
      <c r="G2332" t="s">
        <v>18</v>
      </c>
      <c r="H2332">
        <f>F2332/Tabla2[[#This Row],[Cosecha Mensual]]</f>
        <v>11.921901349072513</v>
      </c>
      <c r="I2332">
        <f>H2332*_xlfn.XLOOKUP(Tabla2[[#This Row],[Unidad de producción]],Tabla3[Medida],Tabla3[Equivalencia en Kg],"ELVIS",0)</f>
        <v>540.77744519392922</v>
      </c>
      <c r="J2332">
        <v>337.84282291666699</v>
      </c>
      <c r="K2332" t="s">
        <v>18</v>
      </c>
      <c r="L2332">
        <f>J2332/_xlfn.XLOOKUP(Tabla2[[#This Row],[Unidad de precio]],Tabla3[Medida],Tabla3[Equivalencia en Kg],"ELVIS",0)</f>
        <v>7.4480340149177025</v>
      </c>
      <c r="M2332">
        <v>4713.6874381607504</v>
      </c>
      <c r="N2332" s="2">
        <f>(Tabla2[[#This Row],[Productividad (kg/TAS)]]*Tabla2[[#This Row],[Precio por kg]]-Tabla2[[#This Row],[Costos (En RD$/Tarea)]])</f>
        <v>-685.95863185607186</v>
      </c>
      <c r="O2332" s="6">
        <f>IF(Tabla2[[#This Row],[Costos (En RD$/Tarea)]]=0,0,Tabla2[[#This Row],[Beneficio Neto  (En RD$/Tarea)]]/Tabla2[[#This Row],[Costos (En RD$/Tarea)]])</f>
        <v>-0.14552484458403725</v>
      </c>
      <c r="P2332" s="4">
        <f>Tabla2[[#This Row],[Rentabilidad (%)]]/12</f>
        <v>-1.2127070382003105E-2</v>
      </c>
    </row>
    <row r="2333" spans="1:16" x14ac:dyDescent="0.35">
      <c r="A2333" s="1">
        <v>42430</v>
      </c>
      <c r="B2333" t="s">
        <v>22</v>
      </c>
      <c r="C2333" s="2">
        <v>6884</v>
      </c>
      <c r="D2333" s="5" t="s">
        <v>17</v>
      </c>
      <c r="E2333" s="2">
        <f>IF(Tabla2[[#This Row],[Frecuencia]]="Annual", Tabla2[[#This Row],[Cosecha/Tarea]]/12,Tabla2[[#This Row],[Cosecha/Tarea]])</f>
        <v>6884</v>
      </c>
      <c r="F2333" s="2">
        <v>75243</v>
      </c>
      <c r="G2333" t="s">
        <v>18</v>
      </c>
      <c r="H2333">
        <f>F2333/Tabla2[[#This Row],[Cosecha Mensual]]</f>
        <v>10.930127832655433</v>
      </c>
      <c r="I2333">
        <f>H2333*_xlfn.XLOOKUP(Tabla2[[#This Row],[Unidad de producción]],Tabla3[Medida],Tabla3[Equivalencia en Kg],"ELVIS",0)</f>
        <v>495.79059848925044</v>
      </c>
      <c r="J2333">
        <v>1363.953125</v>
      </c>
      <c r="K2333" t="s">
        <v>18</v>
      </c>
      <c r="L2333">
        <f>J2333/_xlfn.XLOOKUP(Tabla2[[#This Row],[Unidad de precio]],Tabla3[Medida],Tabla3[Equivalencia en Kg],"ELVIS",0)</f>
        <v>30.069513337742503</v>
      </c>
      <c r="M2333">
        <v>8550.1576563690305</v>
      </c>
      <c r="N2333" s="2">
        <f>(Tabla2[[#This Row],[Productividad (kg/TAS)]]*Tabla2[[#This Row],[Precio por kg]]-Tabla2[[#This Row],[Costos (En RD$/Tarea)]])</f>
        <v>6358.0243576308239</v>
      </c>
      <c r="O2333" s="6">
        <f>IF(Tabla2[[#This Row],[Costos (En RD$/Tarea)]]=0,0,Tabla2[[#This Row],[Beneficio Neto  (En RD$/Tarea)]]/Tabla2[[#This Row],[Costos (En RD$/Tarea)]])</f>
        <v>0.74361486807143473</v>
      </c>
      <c r="P2333" s="4">
        <f>Tabla2[[#This Row],[Rentabilidad (%)]]/12</f>
        <v>6.1967905672619561E-2</v>
      </c>
    </row>
    <row r="2334" spans="1:16" x14ac:dyDescent="0.35">
      <c r="A2334" s="1">
        <v>42430</v>
      </c>
      <c r="B2334" t="s">
        <v>23</v>
      </c>
      <c r="C2334" s="2">
        <v>4381</v>
      </c>
      <c r="D2334" s="5" t="s">
        <v>17</v>
      </c>
      <c r="E2334" s="2">
        <f>IF(Tabla2[[#This Row],[Frecuencia]]="Annual", Tabla2[[#This Row],[Cosecha/Tarea]]/12,Tabla2[[#This Row],[Cosecha/Tarea]])</f>
        <v>4381</v>
      </c>
      <c r="F2334" s="2">
        <v>164815</v>
      </c>
      <c r="G2334" t="s">
        <v>18</v>
      </c>
      <c r="H2334">
        <f>F2334/Tabla2[[#This Row],[Cosecha Mensual]]</f>
        <v>37.620406299931524</v>
      </c>
      <c r="I2334">
        <f>H2334*_xlfn.XLOOKUP(Tabla2[[#This Row],[Unidad de producción]],Tabla3[Medida],Tabla3[Equivalencia en Kg],"ELVIS",0)</f>
        <v>1706.4616297648938</v>
      </c>
      <c r="J2334">
        <v>917.57500000000005</v>
      </c>
      <c r="K2334" t="s">
        <v>18</v>
      </c>
      <c r="L2334">
        <f>J2334/_xlfn.XLOOKUP(Tabla2[[#This Row],[Unidad de precio]],Tabla3[Medida],Tabla3[Equivalencia en Kg],"ELVIS",0)</f>
        <v>20.228725749559086</v>
      </c>
      <c r="M2334">
        <v>23192.17</v>
      </c>
      <c r="N2334" s="2">
        <f>(Tabla2[[#This Row],[Productividad (kg/TAS)]]*Tabla2[[#This Row],[Precio por kg]]-Tabla2[[#This Row],[Costos (En RD$/Tarea)]])</f>
        <v>11327.374310659674</v>
      </c>
      <c r="O2334" s="6">
        <f>IF(Tabla2[[#This Row],[Costos (En RD$/Tarea)]]=0,0,Tabla2[[#This Row],[Beneficio Neto  (En RD$/Tarea)]]/Tabla2[[#This Row],[Costos (En RD$/Tarea)]])</f>
        <v>0.48841373233551127</v>
      </c>
      <c r="P2334" s="4">
        <f>Tabla2[[#This Row],[Rentabilidad (%)]]/12</f>
        <v>4.0701144361292609E-2</v>
      </c>
    </row>
    <row r="2335" spans="1:16" x14ac:dyDescent="0.35">
      <c r="A2335" s="1">
        <v>42430</v>
      </c>
      <c r="B2335" t="s">
        <v>24</v>
      </c>
      <c r="C2335" s="2">
        <v>5985</v>
      </c>
      <c r="D2335" s="5" t="s">
        <v>17</v>
      </c>
      <c r="E2335" s="2">
        <f>IF(Tabla2[[#This Row],[Frecuencia]]="Annual", Tabla2[[#This Row],[Cosecha/Tarea]]/12,Tabla2[[#This Row],[Cosecha/Tarea]])</f>
        <v>5985</v>
      </c>
      <c r="F2335" s="2">
        <v>52144</v>
      </c>
      <c r="G2335" t="s">
        <v>18</v>
      </c>
      <c r="H2335">
        <f>F2335/Tabla2[[#This Row],[Cosecha Mensual]]</f>
        <v>8.712447786131996</v>
      </c>
      <c r="I2335">
        <f>H2335*_xlfn.XLOOKUP(Tabla2[[#This Row],[Unidad de producción]],Tabla3[Medida],Tabla3[Equivalencia en Kg],"ELVIS",0)</f>
        <v>395.19663157894735</v>
      </c>
      <c r="J2335">
        <v>2429.6927083333298</v>
      </c>
      <c r="K2335" t="s">
        <v>18</v>
      </c>
      <c r="L2335">
        <f>J2335/_xlfn.XLOOKUP(Tabla2[[#This Row],[Unidad de precio]],Tabla3[Medida],Tabla3[Equivalencia en Kg],"ELVIS",0)</f>
        <v>53.56465406378593</v>
      </c>
      <c r="M2335">
        <v>8705.1562241280008</v>
      </c>
      <c r="N2335" s="2">
        <f>(Tabla2[[#This Row],[Productividad (kg/TAS)]]*Tabla2[[#This Row],[Precio por kg]]-Tabla2[[#This Row],[Costos (En RD$/Tarea)]])</f>
        <v>12463.414633571774</v>
      </c>
      <c r="O2335" s="6">
        <f>IF(Tabla2[[#This Row],[Costos (En RD$/Tarea)]]=0,0,Tabla2[[#This Row],[Beneficio Neto  (En RD$/Tarea)]]/Tabla2[[#This Row],[Costos (En RD$/Tarea)]])</f>
        <v>1.4317278533183635</v>
      </c>
      <c r="P2335" s="4">
        <f>Tabla2[[#This Row],[Rentabilidad (%)]]/12</f>
        <v>0.11931065444319695</v>
      </c>
    </row>
    <row r="2336" spans="1:16" x14ac:dyDescent="0.35">
      <c r="A2336" s="1">
        <v>42430</v>
      </c>
      <c r="B2336" t="s">
        <v>25</v>
      </c>
      <c r="C2336" s="2">
        <v>27214</v>
      </c>
      <c r="D2336" s="5" t="s">
        <v>17</v>
      </c>
      <c r="E2336" s="2">
        <f>IF(Tabla2[[#This Row],[Frecuencia]]="Annual", Tabla2[[#This Row],[Cosecha/Tarea]]/12,Tabla2[[#This Row],[Cosecha/Tarea]])</f>
        <v>27214</v>
      </c>
      <c r="F2336" s="2">
        <v>259847</v>
      </c>
      <c r="G2336" t="s">
        <v>18</v>
      </c>
      <c r="H2336">
        <f>F2336/Tabla2[[#This Row],[Cosecha Mensual]]</f>
        <v>9.5482839714852652</v>
      </c>
      <c r="I2336">
        <f>H2336*_xlfn.XLOOKUP(Tabla2[[#This Row],[Unidad de producción]],Tabla3[Medida],Tabla3[Equivalencia en Kg],"ELVIS",0)</f>
        <v>433.11016094657163</v>
      </c>
      <c r="J2336">
        <v>1043.6145833333301</v>
      </c>
      <c r="K2336" t="s">
        <v>18</v>
      </c>
      <c r="L2336">
        <f>J2336/_xlfn.XLOOKUP(Tabla2[[#This Row],[Unidad de precio]],Tabla3[Medida],Tabla3[Equivalencia en Kg],"ELVIS",0)</f>
        <v>23.007376175778884</v>
      </c>
      <c r="M2336">
        <v>4784.7627198809196</v>
      </c>
      <c r="N2336" s="2">
        <f>(Tabla2[[#This Row],[Productividad (kg/TAS)]]*Tabla2[[#This Row],[Precio por kg]]-Tabla2[[#This Row],[Costos (En RD$/Tarea)]])</f>
        <v>5179.9656785689904</v>
      </c>
      <c r="O2336" s="6">
        <f>IF(Tabla2[[#This Row],[Costos (En RD$/Tarea)]]=0,0,Tabla2[[#This Row],[Beneficio Neto  (En RD$/Tarea)]]/Tabla2[[#This Row],[Costos (En RD$/Tarea)]])</f>
        <v>1.0825961456868036</v>
      </c>
      <c r="P2336" s="4">
        <f>Tabla2[[#This Row],[Rentabilidad (%)]]/12</f>
        <v>9.0216345473900297E-2</v>
      </c>
    </row>
    <row r="2337" spans="1:16" x14ac:dyDescent="0.35">
      <c r="A2337" s="1">
        <v>42430</v>
      </c>
      <c r="B2337" t="s">
        <v>26</v>
      </c>
      <c r="C2337" s="2">
        <v>14595</v>
      </c>
      <c r="D2337" s="5" t="s">
        <v>17</v>
      </c>
      <c r="E2337" s="2">
        <f>IF(Tabla2[[#This Row],[Frecuencia]]="Annual", Tabla2[[#This Row],[Cosecha/Tarea]]/12,Tabla2[[#This Row],[Cosecha/Tarea]])</f>
        <v>14595</v>
      </c>
      <c r="F2337" s="2">
        <v>81271</v>
      </c>
      <c r="G2337" t="s">
        <v>18</v>
      </c>
      <c r="H2337">
        <f>F2337/Tabla2[[#This Row],[Cosecha Mensual]]</f>
        <v>5.5684138403562864</v>
      </c>
      <c r="I2337">
        <f>H2337*_xlfn.XLOOKUP(Tabla2[[#This Row],[Unidad de producción]],Tabla3[Medida],Tabla3[Equivalencia en Kg],"ELVIS",0)</f>
        <v>252.58325179856115</v>
      </c>
      <c r="J2337">
        <v>698.65791666666701</v>
      </c>
      <c r="K2337" t="s">
        <v>18</v>
      </c>
      <c r="L2337">
        <f>J2337/_xlfn.XLOOKUP(Tabla2[[#This Row],[Unidad de precio]],Tabla3[Medida],Tabla3[Equivalencia en Kg],"ELVIS",0)</f>
        <v>15.402511390358621</v>
      </c>
      <c r="M2337">
        <v>1888.4301162085201</v>
      </c>
      <c r="N2337" s="2">
        <f>(Tabla2[[#This Row],[Productividad (kg/TAS)]]*Tabla2[[#This Row],[Precio por kg]]-Tabla2[[#This Row],[Costos (En RD$/Tarea)]])</f>
        <v>2001.9862966326375</v>
      </c>
      <c r="O2337" s="6">
        <f>IF(Tabla2[[#This Row],[Costos (En RD$/Tarea)]]=0,0,Tabla2[[#This Row],[Beneficio Neto  (En RD$/Tarea)]]/Tabla2[[#This Row],[Costos (En RD$/Tarea)]])</f>
        <v>1.0601325828525276</v>
      </c>
      <c r="P2337" s="4">
        <f>Tabla2[[#This Row],[Rentabilidad (%)]]/12</f>
        <v>8.8344381904377309E-2</v>
      </c>
    </row>
    <row r="2338" spans="1:16" x14ac:dyDescent="0.35">
      <c r="A2338" s="1">
        <v>42430</v>
      </c>
      <c r="B2338" t="s">
        <v>27</v>
      </c>
      <c r="C2338" s="2">
        <v>6014</v>
      </c>
      <c r="D2338" s="5" t="s">
        <v>17</v>
      </c>
      <c r="E2338" s="2">
        <f>IF(Tabla2[[#This Row],[Frecuencia]]="Annual", Tabla2[[#This Row],[Cosecha/Tarea]]/12,Tabla2[[#This Row],[Cosecha/Tarea]])</f>
        <v>6014</v>
      </c>
      <c r="F2338" s="2">
        <v>58010</v>
      </c>
      <c r="G2338" t="s">
        <v>18</v>
      </c>
      <c r="H2338">
        <f>F2338/Tabla2[[#This Row],[Cosecha Mensual]]</f>
        <v>9.6458264050548728</v>
      </c>
      <c r="I2338">
        <f>H2338*_xlfn.XLOOKUP(Tabla2[[#This Row],[Unidad de producción]],Tabla3[Medida],Tabla3[Equivalencia en Kg],"ELVIS",0)</f>
        <v>437.534685733289</v>
      </c>
      <c r="J2338">
        <v>547.63840000000005</v>
      </c>
      <c r="K2338" t="s">
        <v>18</v>
      </c>
      <c r="L2338">
        <f>J2338/_xlfn.XLOOKUP(Tabla2[[#This Row],[Unidad de precio]],Tabla3[Medida],Tabla3[Equivalencia en Kg],"ELVIS",0)</f>
        <v>12.0731569664903</v>
      </c>
      <c r="M2338">
        <v>8287.288275158</v>
      </c>
      <c r="N2338" s="2">
        <f>(Tabla2[[#This Row],[Productividad (kg/TAS)]]*Tabla2[[#This Row],[Precio por kg]]-Tabla2[[#This Row],[Costos (En RD$/Tarea)]])</f>
        <v>-3004.8633360159974</v>
      </c>
      <c r="O2338" s="6">
        <f>IF(Tabla2[[#This Row],[Costos (En RD$/Tarea)]]=0,0,Tabla2[[#This Row],[Beneficio Neto  (En RD$/Tarea)]]/Tabla2[[#This Row],[Costos (En RD$/Tarea)]])</f>
        <v>-0.3625870412911042</v>
      </c>
      <c r="P2338" s="4">
        <f>Tabla2[[#This Row],[Rentabilidad (%)]]/12</f>
        <v>-3.0215586774258684E-2</v>
      </c>
    </row>
    <row r="2339" spans="1:16" x14ac:dyDescent="0.35">
      <c r="A2339" s="1">
        <v>42430</v>
      </c>
      <c r="B2339" t="s">
        <v>28</v>
      </c>
      <c r="C2339" s="2">
        <v>68547</v>
      </c>
      <c r="D2339" s="5" t="s">
        <v>17</v>
      </c>
      <c r="E2339" s="2">
        <f>IF(Tabla2[[#This Row],[Frecuencia]]="Annual", Tabla2[[#This Row],[Cosecha/Tarea]]/12,Tabla2[[#This Row],[Cosecha/Tarea]])</f>
        <v>68547</v>
      </c>
      <c r="F2339" s="2">
        <v>947448</v>
      </c>
      <c r="G2339" t="s">
        <v>18</v>
      </c>
      <c r="H2339">
        <f>F2339/Tabla2[[#This Row],[Cosecha Mensual]]</f>
        <v>13.821874042627686</v>
      </c>
      <c r="I2339">
        <f>H2339*_xlfn.XLOOKUP(Tabla2[[#This Row],[Unidad de producción]],Tabla3[Medida],Tabla3[Equivalencia en Kg],"ELVIS",0)</f>
        <v>626.96020657359179</v>
      </c>
      <c r="J2339">
        <v>9802.1944444444507</v>
      </c>
      <c r="K2339" t="s">
        <v>29</v>
      </c>
      <c r="L2339">
        <f>J2339/_xlfn.XLOOKUP(Tabla2[[#This Row],[Unidad de precio]],Tabla3[Medida],Tabla3[Equivalencia en Kg],"ELVIS",0)</f>
        <v>17.431081631120765</v>
      </c>
      <c r="M2339">
        <v>7046.2499107967797</v>
      </c>
      <c r="N2339" s="2">
        <f>(Tabla2[[#This Row],[Productividad (kg/TAS)]]*Tabla2[[#This Row],[Precio por kg]]-Tabla2[[#This Row],[Costos (En RD$/Tarea)]])</f>
        <v>3882.3446294518362</v>
      </c>
      <c r="O2339" s="6">
        <f>IF(Tabla2[[#This Row],[Costos (En RD$/Tarea)]]=0,0,Tabla2[[#This Row],[Beneficio Neto  (En RD$/Tarea)]]/Tabla2[[#This Row],[Costos (En RD$/Tarea)]])</f>
        <v>0.55098026306206138</v>
      </c>
      <c r="P2339" s="4">
        <f>Tabla2[[#This Row],[Rentabilidad (%)]]/12</f>
        <v>4.5915021921838446E-2</v>
      </c>
    </row>
    <row r="2340" spans="1:16" x14ac:dyDescent="0.35">
      <c r="A2340" s="1">
        <v>42430</v>
      </c>
      <c r="B2340" t="s">
        <v>30</v>
      </c>
      <c r="C2340" s="2">
        <v>468959</v>
      </c>
      <c r="D2340" s="2" t="s">
        <v>31</v>
      </c>
      <c r="E2340" s="2">
        <f>IF(Tabla2[[#This Row],[Frecuencia]]="Annual", Tabla2[[#This Row],[Cosecha/Tarea]]/12,Tabla2[[#This Row],[Cosecha/Tarea]])</f>
        <v>39079.916666666664</v>
      </c>
      <c r="F2340" s="2">
        <v>2187128.4</v>
      </c>
      <c r="G2340" t="s">
        <v>18</v>
      </c>
      <c r="H2340">
        <f>F2340/Tabla2[[#This Row],[Cosecha Mensual]]</f>
        <v>55.965533873963395</v>
      </c>
      <c r="I2340">
        <f>H2340*_xlfn.XLOOKUP(Tabla2[[#This Row],[Unidad de producción]],Tabla3[Medida],Tabla3[Equivalencia en Kg],"ELVIS",0)</f>
        <v>2538.5966165229797</v>
      </c>
      <c r="J2340">
        <v>226.036458333333</v>
      </c>
      <c r="K2340" t="s">
        <v>32</v>
      </c>
      <c r="L2340">
        <f>J2340/_xlfn.XLOOKUP(Tabla2[[#This Row],[Unidad de precio]],Tabla3[Medida],Tabla3[Equivalencia en Kg],"ELVIS",0)</f>
        <v>8.3071098248192943</v>
      </c>
      <c r="M2340" s="2">
        <v>31633.940308743</v>
      </c>
      <c r="N2340" s="2">
        <f>(Tabla2[[#This Row],[Productividad (kg/TAS)]]*Tabla2[[#This Row],[Precio por kg]]-Tabla2[[#This Row],[Costos (En RD$/Tarea)]])</f>
        <v>-10545.539414371935</v>
      </c>
      <c r="O2340" s="6">
        <f>IF(Tabla2[[#This Row],[Costos (En RD$/Tarea)]]=0,0,Tabla2[[#This Row],[Beneficio Neto  (En RD$/Tarea)]]/Tabla2[[#This Row],[Costos (En RD$/Tarea)]])</f>
        <v>-0.33336155127843353</v>
      </c>
      <c r="P2340" s="4">
        <f>Tabla2[[#This Row],[Rentabilidad (%)]]/12</f>
        <v>-2.7780129273202794E-2</v>
      </c>
    </row>
    <row r="2341" spans="1:16" x14ac:dyDescent="0.35">
      <c r="A2341" s="1">
        <v>42430</v>
      </c>
      <c r="B2341" t="s">
        <v>33</v>
      </c>
      <c r="C2341" s="2">
        <v>725625</v>
      </c>
      <c r="D2341" s="2" t="s">
        <v>31</v>
      </c>
      <c r="E2341" s="2">
        <f>IF(Tabla2[[#This Row],[Frecuencia]]="Annual", Tabla2[[#This Row],[Cosecha/Tarea]]/12,Tabla2[[#This Row],[Cosecha/Tarea]])</f>
        <v>60468.75</v>
      </c>
      <c r="F2341" s="2">
        <v>1528893</v>
      </c>
      <c r="G2341" t="s">
        <v>18</v>
      </c>
      <c r="H2341">
        <f>F2341/Tabla2[[#This Row],[Cosecha Mensual]]</f>
        <v>25.284018604651163</v>
      </c>
      <c r="I2341">
        <f>H2341*_xlfn.XLOOKUP(Tabla2[[#This Row],[Unidad de producción]],Tabla3[Medida],Tabla3[Equivalencia en Kg],"ELVIS",0)</f>
        <v>1146.8830839069767</v>
      </c>
      <c r="J2341">
        <v>6985.0570833333304</v>
      </c>
      <c r="K2341" t="s">
        <v>34</v>
      </c>
      <c r="L2341">
        <f>J2341/_xlfn.XLOOKUP(Tabla2[[#This Row],[Unidad de precio]],Tabla3[Medida],Tabla3[Equivalencia en Kg],"ELVIS",0)</f>
        <v>17.113946057413525</v>
      </c>
      <c r="M2341" s="2">
        <v>19988.821444047899</v>
      </c>
      <c r="N2341" s="2">
        <f>(Tabla2[[#This Row],[Productividad (kg/TAS)]]*Tabla2[[#This Row],[Precio por kg]]-Tabla2[[#This Row],[Costos (En RD$/Tarea)]])</f>
        <v>-361.12621190382924</v>
      </c>
      <c r="O2341" s="6">
        <f>IF(Tabla2[[#This Row],[Costos (En RD$/Tarea)]]=0,0,Tabla2[[#This Row],[Beneficio Neto  (En RD$/Tarea)]]/Tabla2[[#This Row],[Costos (En RD$/Tarea)]])</f>
        <v>-1.8066408413056404E-2</v>
      </c>
      <c r="P2341" s="4">
        <f>Tabla2[[#This Row],[Rentabilidad (%)]]/12</f>
        <v>-1.505534034421367E-3</v>
      </c>
    </row>
    <row r="2342" spans="1:16" x14ac:dyDescent="0.35">
      <c r="A2342" s="1">
        <v>42461</v>
      </c>
      <c r="B2342" t="s">
        <v>16</v>
      </c>
      <c r="C2342" s="2">
        <v>477863</v>
      </c>
      <c r="D2342" s="5" t="s">
        <v>17</v>
      </c>
      <c r="E2342" s="2">
        <f>IF(Tabla2[[#This Row],[Frecuencia]]="Annual", Tabla2[[#This Row],[Cosecha/Tarea]]/12,Tabla2[[#This Row],[Cosecha/Tarea]])</f>
        <v>477863</v>
      </c>
      <c r="F2342" s="2">
        <v>2548568</v>
      </c>
      <c r="G2342" t="s">
        <v>18</v>
      </c>
      <c r="H2342">
        <f>F2342/Tabla2[[#This Row],[Cosecha Mensual]]</f>
        <v>5.3332607881338374</v>
      </c>
      <c r="I2342">
        <f>H2342*_xlfn.XLOOKUP(Tabla2[[#This Row],[Unidad de producción]],Tabla3[Medida],Tabla3[Equivalencia en Kg],"ELVIS",0)</f>
        <v>241.91670934975087</v>
      </c>
      <c r="J2342">
        <v>1896.8609048404801</v>
      </c>
      <c r="K2342" t="s">
        <v>19</v>
      </c>
      <c r="L2342">
        <f>J2342/_xlfn.XLOOKUP(Tabla2[[#This Row],[Unidad de precio]],Tabla3[Medida],Tabla3[Equivalencia en Kg],"ELVIS",0)</f>
        <v>17.244190044004366</v>
      </c>
      <c r="M2342">
        <v>5924.25478252843</v>
      </c>
      <c r="N2342" s="2">
        <f>(Tabla2[[#This Row],[Productividad (kg/TAS)]]*Tabla2[[#This Row],[Precio por kg]]-Tabla2[[#This Row],[Costos (En RD$/Tarea)]])</f>
        <v>-1752.597071681158</v>
      </c>
      <c r="O2342" s="6">
        <f>IF(Tabla2[[#This Row],[Costos (En RD$/Tarea)]]=0,0,Tabla2[[#This Row],[Beneficio Neto  (En RD$/Tarea)]]/Tabla2[[#This Row],[Costos (En RD$/Tarea)]])</f>
        <v>-0.2958341826975176</v>
      </c>
      <c r="P2342" s="4">
        <f>Tabla2[[#This Row],[Rentabilidad (%)]]/12</f>
        <v>-2.4652848558126467E-2</v>
      </c>
    </row>
    <row r="2343" spans="1:16" x14ac:dyDescent="0.35">
      <c r="A2343" s="1">
        <v>42461</v>
      </c>
      <c r="B2343" t="s">
        <v>20</v>
      </c>
      <c r="C2343" s="2">
        <v>26987</v>
      </c>
      <c r="D2343" s="5" t="s">
        <v>17</v>
      </c>
      <c r="E2343" s="2">
        <f>IF(Tabla2[[#This Row],[Frecuencia]]="Annual", Tabla2[[#This Row],[Cosecha/Tarea]]/12,Tabla2[[#This Row],[Cosecha/Tarea]])</f>
        <v>26987</v>
      </c>
      <c r="F2343" s="2">
        <v>65878</v>
      </c>
      <c r="G2343" t="s">
        <v>18</v>
      </c>
      <c r="H2343">
        <f>F2343/Tabla2[[#This Row],[Cosecha Mensual]]</f>
        <v>2.4411012709823248</v>
      </c>
      <c r="I2343">
        <f>H2343*_xlfn.XLOOKUP(Tabla2[[#This Row],[Unidad de producción]],Tabla3[Medida],Tabla3[Equivalencia en Kg],"ELVIS",0)</f>
        <v>110.72835365175825</v>
      </c>
      <c r="J2343">
        <v>844.6796875</v>
      </c>
      <c r="K2343" t="s">
        <v>18</v>
      </c>
      <c r="L2343">
        <f>J2343/_xlfn.XLOOKUP(Tabla2[[#This Row],[Unidad de precio]],Tabla3[Medida],Tabla3[Equivalencia en Kg],"ELVIS",0)</f>
        <v>18.621686232363317</v>
      </c>
      <c r="M2343">
        <v>2463.2928983520001</v>
      </c>
      <c r="N2343" s="2">
        <f>(Tabla2[[#This Row],[Productividad (kg/TAS)]]*Tabla2[[#This Row],[Precio por kg]]-Tabla2[[#This Row],[Costos (En RD$/Tarea)]])</f>
        <v>-401.34423962279698</v>
      </c>
      <c r="O2343" s="6">
        <f>IF(Tabla2[[#This Row],[Costos (En RD$/Tarea)]]=0,0,Tabla2[[#This Row],[Beneficio Neto  (En RD$/Tarea)]]/Tabla2[[#This Row],[Costos (En RD$/Tarea)]])</f>
        <v>-0.1629299706467329</v>
      </c>
      <c r="P2343" s="4">
        <f>Tabla2[[#This Row],[Rentabilidad (%)]]/12</f>
        <v>-1.3577497553894409E-2</v>
      </c>
    </row>
    <row r="2344" spans="1:16" x14ac:dyDescent="0.35">
      <c r="A2344" s="1">
        <v>42461</v>
      </c>
      <c r="B2344" t="s">
        <v>21</v>
      </c>
      <c r="C2344" s="2">
        <v>10864</v>
      </c>
      <c r="D2344" s="5" t="s">
        <v>17</v>
      </c>
      <c r="E2344" s="2">
        <f>IF(Tabla2[[#This Row],[Frecuencia]]="Annual", Tabla2[[#This Row],[Cosecha/Tarea]]/12,Tabla2[[#This Row],[Cosecha/Tarea]])</f>
        <v>10864</v>
      </c>
      <c r="F2344" s="2">
        <v>126578</v>
      </c>
      <c r="G2344" t="s">
        <v>18</v>
      </c>
      <c r="H2344">
        <f>F2344/Tabla2[[#This Row],[Cosecha Mensual]]</f>
        <v>11.651141384388808</v>
      </c>
      <c r="I2344">
        <f>H2344*_xlfn.XLOOKUP(Tabla2[[#This Row],[Unidad de producción]],Tabla3[Medida],Tabla3[Equivalencia en Kg],"ELVIS",0)</f>
        <v>528.49577319587627</v>
      </c>
      <c r="J2344">
        <v>370.97083333333302</v>
      </c>
      <c r="K2344" t="s">
        <v>18</v>
      </c>
      <c r="L2344">
        <f>J2344/_xlfn.XLOOKUP(Tabla2[[#This Row],[Unidad de precio]],Tabla3[Medida],Tabla3[Equivalencia en Kg],"ELVIS",0)</f>
        <v>8.1783693415637799</v>
      </c>
      <c r="M2344">
        <v>4713.6874381607504</v>
      </c>
      <c r="N2344" s="2">
        <f>(Tabla2[[#This Row],[Productividad (kg/TAS)]]*Tabla2[[#This Row],[Precio por kg]]-Tabla2[[#This Row],[Costos (En RD$/Tarea)]])</f>
        <v>-391.45380950955132</v>
      </c>
      <c r="O2344" s="6">
        <f>IF(Tabla2[[#This Row],[Costos (En RD$/Tarea)]]=0,0,Tabla2[[#This Row],[Beneficio Neto  (En RD$/Tarea)]]/Tabla2[[#This Row],[Costos (En RD$/Tarea)]])</f>
        <v>-8.3046195710909085E-2</v>
      </c>
      <c r="P2344" s="4">
        <f>Tabla2[[#This Row],[Rentabilidad (%)]]/12</f>
        <v>-6.920516309242424E-3</v>
      </c>
    </row>
    <row r="2345" spans="1:16" x14ac:dyDescent="0.35">
      <c r="A2345" s="1">
        <v>42461</v>
      </c>
      <c r="B2345" t="s">
        <v>22</v>
      </c>
      <c r="C2345" s="2">
        <v>9214</v>
      </c>
      <c r="D2345" s="5" t="s">
        <v>17</v>
      </c>
      <c r="E2345" s="2">
        <f>IF(Tabla2[[#This Row],[Frecuencia]]="Annual", Tabla2[[#This Row],[Cosecha/Tarea]]/12,Tabla2[[#This Row],[Cosecha/Tarea]])</f>
        <v>9214</v>
      </c>
      <c r="F2345" s="2">
        <v>89201</v>
      </c>
      <c r="G2345" t="s">
        <v>18</v>
      </c>
      <c r="H2345">
        <f>F2345/Tabla2[[#This Row],[Cosecha Mensual]]</f>
        <v>9.6810288691122199</v>
      </c>
      <c r="I2345">
        <f>H2345*_xlfn.XLOOKUP(Tabla2[[#This Row],[Unidad de producción]],Tabla3[Medida],Tabla3[Equivalencia en Kg],"ELVIS",0)</f>
        <v>439.13146950293032</v>
      </c>
      <c r="J2345">
        <v>1411.8489583333301</v>
      </c>
      <c r="K2345" t="s">
        <v>18</v>
      </c>
      <c r="L2345">
        <f>J2345/_xlfn.XLOOKUP(Tabla2[[#This Row],[Unidad de precio]],Tabla3[Medida],Tabla3[Equivalencia en Kg],"ELVIS",0)</f>
        <v>31.125417952674827</v>
      </c>
      <c r="M2345">
        <v>8550.1576563690305</v>
      </c>
      <c r="N2345" s="2">
        <f>(Tabla2[[#This Row],[Productividad (kg/TAS)]]*Tabla2[[#This Row],[Precio por kg]]-Tabla2[[#This Row],[Costos (En RD$/Tarea)]])</f>
        <v>5117.9928680819557</v>
      </c>
      <c r="O2345" s="6">
        <f>IF(Tabla2[[#This Row],[Costos (En RD$/Tarea)]]=0,0,Tabla2[[#This Row],[Beneficio Neto  (En RD$/Tarea)]]/Tabla2[[#This Row],[Costos (En RD$/Tarea)]])</f>
        <v>0.59858461957944742</v>
      </c>
      <c r="P2345" s="4">
        <f>Tabla2[[#This Row],[Rentabilidad (%)]]/12</f>
        <v>4.9882051631620621E-2</v>
      </c>
    </row>
    <row r="2346" spans="1:16" x14ac:dyDescent="0.35">
      <c r="A2346" s="1">
        <v>42461</v>
      </c>
      <c r="B2346" t="s">
        <v>23</v>
      </c>
      <c r="C2346" s="2">
        <v>3201</v>
      </c>
      <c r="D2346" s="5" t="s">
        <v>17</v>
      </c>
      <c r="E2346" s="2">
        <f>IF(Tabla2[[#This Row],[Frecuencia]]="Annual", Tabla2[[#This Row],[Cosecha/Tarea]]/12,Tabla2[[#This Row],[Cosecha/Tarea]])</f>
        <v>3201</v>
      </c>
      <c r="F2346" s="2">
        <v>119452</v>
      </c>
      <c r="G2346" t="s">
        <v>18</v>
      </c>
      <c r="H2346">
        <f>F2346/Tabla2[[#This Row],[Cosecha Mensual]]</f>
        <v>37.317088409871914</v>
      </c>
      <c r="I2346">
        <f>H2346*_xlfn.XLOOKUP(Tabla2[[#This Row],[Unidad de producción]],Tabla3[Medida],Tabla3[Equivalencia en Kg],"ELVIS",0)</f>
        <v>1692.7031302717901</v>
      </c>
      <c r="J2346">
        <v>790.594444444445</v>
      </c>
      <c r="K2346" t="s">
        <v>18</v>
      </c>
      <c r="L2346">
        <f>J2346/_xlfn.XLOOKUP(Tabla2[[#This Row],[Unidad de precio]],Tabla3[Medida],Tabla3[Equivalencia en Kg],"ELVIS",0)</f>
        <v>17.429330785812279</v>
      </c>
      <c r="M2346">
        <v>23192.17</v>
      </c>
      <c r="N2346" s="2">
        <f>(Tabla2[[#This Row],[Productividad (kg/TAS)]]*Tabla2[[#This Row],[Precio por kg]]-Tabla2[[#This Row],[Costos (En RD$/Tarea)]])</f>
        <v>6310.5127796869274</v>
      </c>
      <c r="O2346" s="6">
        <f>IF(Tabla2[[#This Row],[Costos (En RD$/Tarea)]]=0,0,Tabla2[[#This Row],[Beneficio Neto  (En RD$/Tarea)]]/Tabla2[[#This Row],[Costos (En RD$/Tarea)]])</f>
        <v>0.27209669382756885</v>
      </c>
      <c r="P2346" s="4">
        <f>Tabla2[[#This Row],[Rentabilidad (%)]]/12</f>
        <v>2.2674724485630737E-2</v>
      </c>
    </row>
    <row r="2347" spans="1:16" x14ac:dyDescent="0.35">
      <c r="A2347" s="1">
        <v>42461</v>
      </c>
      <c r="B2347" t="s">
        <v>24</v>
      </c>
      <c r="C2347" s="2">
        <v>6544</v>
      </c>
      <c r="D2347" s="5" t="s">
        <v>17</v>
      </c>
      <c r="E2347" s="2">
        <f>IF(Tabla2[[#This Row],[Frecuencia]]="Annual", Tabla2[[#This Row],[Cosecha/Tarea]]/12,Tabla2[[#This Row],[Cosecha/Tarea]])</f>
        <v>6544</v>
      </c>
      <c r="F2347" s="2">
        <v>62014</v>
      </c>
      <c r="G2347" t="s">
        <v>18</v>
      </c>
      <c r="H2347">
        <f>F2347/Tabla2[[#This Row],[Cosecha Mensual]]</f>
        <v>9.4764669926650367</v>
      </c>
      <c r="I2347">
        <f>H2347*_xlfn.XLOOKUP(Tabla2[[#This Row],[Unidad de producción]],Tabla3[Medida],Tabla3[Equivalencia en Kg],"ELVIS",0)</f>
        <v>429.85254278728604</v>
      </c>
      <c r="J2347">
        <v>2482.1875</v>
      </c>
      <c r="K2347" t="s">
        <v>18</v>
      </c>
      <c r="L2347">
        <f>J2347/_xlfn.XLOOKUP(Tabla2[[#This Row],[Unidad de precio]],Tabla3[Medida],Tabla3[Equivalencia en Kg],"ELVIS",0)</f>
        <v>54.721946649029981</v>
      </c>
      <c r="M2347">
        <v>8705.1562241280008</v>
      </c>
      <c r="N2347" s="2">
        <f>(Tabla2[[#This Row],[Productividad (kg/TAS)]]*Tabla2[[#This Row],[Precio por kg]]-Tabla2[[#This Row],[Costos (En RD$/Tarea)]])</f>
        <v>14817.211689227745</v>
      </c>
      <c r="O2347" s="6">
        <f>IF(Tabla2[[#This Row],[Costos (En RD$/Tarea)]]=0,0,Tabla2[[#This Row],[Beneficio Neto  (En RD$/Tarea)]]/Tabla2[[#This Row],[Costos (En RD$/Tarea)]])</f>
        <v>1.7021189864644837</v>
      </c>
      <c r="P2347" s="4">
        <f>Tabla2[[#This Row],[Rentabilidad (%)]]/12</f>
        <v>0.14184324887204031</v>
      </c>
    </row>
    <row r="2348" spans="1:16" x14ac:dyDescent="0.35">
      <c r="A2348" s="1">
        <v>42461</v>
      </c>
      <c r="B2348" t="s">
        <v>25</v>
      </c>
      <c r="C2348" s="2">
        <v>27012</v>
      </c>
      <c r="D2348" s="5" t="s">
        <v>17</v>
      </c>
      <c r="E2348" s="2">
        <f>IF(Tabla2[[#This Row],[Frecuencia]]="Annual", Tabla2[[#This Row],[Cosecha/Tarea]]/12,Tabla2[[#This Row],[Cosecha/Tarea]])</f>
        <v>27012</v>
      </c>
      <c r="F2348" s="2">
        <v>260989</v>
      </c>
      <c r="G2348" t="s">
        <v>18</v>
      </c>
      <c r="H2348">
        <f>F2348/Tabla2[[#This Row],[Cosecha Mensual]]</f>
        <v>9.6619650525692293</v>
      </c>
      <c r="I2348">
        <f>H2348*_xlfn.XLOOKUP(Tabla2[[#This Row],[Unidad de producción]],Tabla3[Medida],Tabla3[Equivalencia en Kg],"ELVIS",0)</f>
        <v>438.26673478454023</v>
      </c>
      <c r="J2348">
        <v>956.31770833333303</v>
      </c>
      <c r="K2348" t="s">
        <v>18</v>
      </c>
      <c r="L2348">
        <f>J2348/_xlfn.XLOOKUP(Tabla2[[#This Row],[Unidad de precio]],Tabla3[Medida],Tabla3[Equivalencia en Kg],"ELVIS",0)</f>
        <v>21.082841894473834</v>
      </c>
      <c r="M2348">
        <v>4784.7627198809196</v>
      </c>
      <c r="N2348" s="2">
        <f>(Tabla2[[#This Row],[Productividad (kg/TAS)]]*Tabla2[[#This Row],[Precio por kg]]-Tabla2[[#This Row],[Costos (En RD$/Tarea)]])</f>
        <v>4455.1455571888373</v>
      </c>
      <c r="O2348" s="6">
        <f>IF(Tabla2[[#This Row],[Costos (En RD$/Tarea)]]=0,0,Tabla2[[#This Row],[Beneficio Neto  (En RD$/Tarea)]]/Tabla2[[#This Row],[Costos (En RD$/Tarea)]])</f>
        <v>0.93111107446927155</v>
      </c>
      <c r="P2348" s="4">
        <f>Tabla2[[#This Row],[Rentabilidad (%)]]/12</f>
        <v>7.7592589539105958E-2</v>
      </c>
    </row>
    <row r="2349" spans="1:16" x14ac:dyDescent="0.35">
      <c r="A2349" s="1">
        <v>42461</v>
      </c>
      <c r="B2349" t="s">
        <v>26</v>
      </c>
      <c r="C2349" s="2">
        <v>7541</v>
      </c>
      <c r="D2349" s="5" t="s">
        <v>17</v>
      </c>
      <c r="E2349" s="2">
        <f>IF(Tabla2[[#This Row],[Frecuencia]]="Annual", Tabla2[[#This Row],[Cosecha/Tarea]]/12,Tabla2[[#This Row],[Cosecha/Tarea]])</f>
        <v>7541</v>
      </c>
      <c r="F2349" s="2">
        <v>52414</v>
      </c>
      <c r="G2349" t="s">
        <v>18</v>
      </c>
      <c r="H2349">
        <f>F2349/Tabla2[[#This Row],[Cosecha Mensual]]</f>
        <v>6.9505370640498612</v>
      </c>
      <c r="I2349">
        <f>H2349*_xlfn.XLOOKUP(Tabla2[[#This Row],[Unidad de producción]],Tabla3[Medida],Tabla3[Equivalencia en Kg],"ELVIS",0)</f>
        <v>315.27636122530168</v>
      </c>
      <c r="J2349">
        <v>739.8671875</v>
      </c>
      <c r="K2349" t="s">
        <v>18</v>
      </c>
      <c r="L2349">
        <f>J2349/_xlfn.XLOOKUP(Tabla2[[#This Row],[Unidad de precio]],Tabla3[Medida],Tabla3[Equivalencia en Kg],"ELVIS",0)</f>
        <v>16.311005015432098</v>
      </c>
      <c r="M2349">
        <v>1888.4301162085201</v>
      </c>
      <c r="N2349" s="2">
        <f>(Tabla2[[#This Row],[Productividad (kg/TAS)]]*Tabla2[[#This Row],[Precio por kg]]-Tabla2[[#This Row],[Costos (En RD$/Tarea)]])</f>
        <v>3254.0441929845574</v>
      </c>
      <c r="O2349" s="6">
        <f>IF(Tabla2[[#This Row],[Costos (En RD$/Tarea)]]=0,0,Tabla2[[#This Row],[Beneficio Neto  (En RD$/Tarea)]]/Tabla2[[#This Row],[Costos (En RD$/Tarea)]])</f>
        <v>1.7231477961799495</v>
      </c>
      <c r="P2349" s="4">
        <f>Tabla2[[#This Row],[Rentabilidad (%)]]/12</f>
        <v>0.14359564968166247</v>
      </c>
    </row>
    <row r="2350" spans="1:16" x14ac:dyDescent="0.35">
      <c r="A2350" s="1">
        <v>42461</v>
      </c>
      <c r="B2350" t="s">
        <v>27</v>
      </c>
      <c r="C2350" s="2">
        <v>4998</v>
      </c>
      <c r="D2350" s="5" t="s">
        <v>17</v>
      </c>
      <c r="E2350" s="2">
        <f>IF(Tabla2[[#This Row],[Frecuencia]]="Annual", Tabla2[[#This Row],[Cosecha/Tarea]]/12,Tabla2[[#This Row],[Cosecha/Tarea]])</f>
        <v>4998</v>
      </c>
      <c r="F2350" s="2">
        <v>48998</v>
      </c>
      <c r="G2350" t="s">
        <v>18</v>
      </c>
      <c r="H2350">
        <f>F2350/Tabla2[[#This Row],[Cosecha Mensual]]</f>
        <v>9.8035214085634248</v>
      </c>
      <c r="I2350">
        <f>H2350*_xlfn.XLOOKUP(Tabla2[[#This Row],[Unidad de producción]],Tabla3[Medida],Tabla3[Equivalencia en Kg],"ELVIS",0)</f>
        <v>444.68773109243693</v>
      </c>
      <c r="J2350">
        <v>563.51996666666696</v>
      </c>
      <c r="K2350" t="s">
        <v>18</v>
      </c>
      <c r="L2350">
        <f>J2350/_xlfn.XLOOKUP(Tabla2[[#This Row],[Unidad de precio]],Tabla3[Medida],Tabla3[Equivalencia en Kg],"ELVIS",0)</f>
        <v>12.423279688418583</v>
      </c>
      <c r="M2350">
        <v>8287.288275158</v>
      </c>
      <c r="N2350" s="2">
        <f>(Tabla2[[#This Row],[Productividad (kg/TAS)]]*Tabla2[[#This Row],[Precio por kg]]-Tabla2[[#This Row],[Costos (En RD$/Tarea)]])</f>
        <v>-2762.8082177883834</v>
      </c>
      <c r="O2350" s="6">
        <f>IF(Tabla2[[#This Row],[Costos (En RD$/Tarea)]]=0,0,Tabla2[[#This Row],[Beneficio Neto  (En RD$/Tarea)]]/Tabla2[[#This Row],[Costos (En RD$/Tarea)]])</f>
        <v>-0.33337904101516364</v>
      </c>
      <c r="P2350" s="4">
        <f>Tabla2[[#This Row],[Rentabilidad (%)]]/12</f>
        <v>-2.7781586751263635E-2</v>
      </c>
    </row>
    <row r="2351" spans="1:16" x14ac:dyDescent="0.35">
      <c r="A2351" s="1">
        <v>42461</v>
      </c>
      <c r="B2351" t="s">
        <v>28</v>
      </c>
      <c r="C2351" s="2">
        <v>15698</v>
      </c>
      <c r="D2351" s="5" t="s">
        <v>17</v>
      </c>
      <c r="E2351" s="2">
        <f>IF(Tabla2[[#This Row],[Frecuencia]]="Annual", Tabla2[[#This Row],[Cosecha/Tarea]]/12,Tabla2[[#This Row],[Cosecha/Tarea]])</f>
        <v>15698</v>
      </c>
      <c r="F2351" s="2">
        <v>218568</v>
      </c>
      <c r="G2351" t="s">
        <v>18</v>
      </c>
      <c r="H2351">
        <f>F2351/Tabla2[[#This Row],[Cosecha Mensual]]</f>
        <v>13.923302331507198</v>
      </c>
      <c r="I2351">
        <f>H2351*_xlfn.XLOOKUP(Tabla2[[#This Row],[Unidad de producción]],Tabla3[Medida],Tabla3[Equivalencia en Kg],"ELVIS",0)</f>
        <v>631.56099375716656</v>
      </c>
      <c r="J2351">
        <v>6409.2875000000004</v>
      </c>
      <c r="K2351" t="s">
        <v>29</v>
      </c>
      <c r="L2351">
        <f>J2351/_xlfn.XLOOKUP(Tabla2[[#This Row],[Unidad de precio]],Tabla3[Medida],Tabla3[Equivalencia en Kg],"ELVIS",0)</f>
        <v>11.397530853220472</v>
      </c>
      <c r="M2351">
        <v>7046.2499107967797</v>
      </c>
      <c r="N2351" s="2">
        <f>(Tabla2[[#This Row],[Productividad (kg/TAS)]]*Tabla2[[#This Row],[Precio por kg]]-Tabla2[[#This Row],[Costos (En RD$/Tarea)]])</f>
        <v>151.98600124110817</v>
      </c>
      <c r="O2351" s="6">
        <f>IF(Tabla2[[#This Row],[Costos (En RD$/Tarea)]]=0,0,Tabla2[[#This Row],[Beneficio Neto  (En RD$/Tarea)]]/Tabla2[[#This Row],[Costos (En RD$/Tarea)]])</f>
        <v>2.1569771604073269E-2</v>
      </c>
      <c r="P2351" s="4">
        <f>Tabla2[[#This Row],[Rentabilidad (%)]]/12</f>
        <v>1.7974809670061058E-3</v>
      </c>
    </row>
    <row r="2352" spans="1:16" x14ac:dyDescent="0.35">
      <c r="A2352" s="1">
        <v>42461</v>
      </c>
      <c r="B2352" t="s">
        <v>30</v>
      </c>
      <c r="C2352" s="2">
        <v>452477</v>
      </c>
      <c r="D2352" s="2" t="s">
        <v>31</v>
      </c>
      <c r="E2352" s="2">
        <f>IF(Tabla2[[#This Row],[Frecuencia]]="Annual", Tabla2[[#This Row],[Cosecha/Tarea]]/12,Tabla2[[#This Row],[Cosecha/Tarea]])</f>
        <v>37706.416666666664</v>
      </c>
      <c r="F2352" s="2">
        <v>2195387.4</v>
      </c>
      <c r="G2352" t="s">
        <v>18</v>
      </c>
      <c r="H2352">
        <f>F2352/Tabla2[[#This Row],[Cosecha Mensual]]</f>
        <v>58.223177752681352</v>
      </c>
      <c r="I2352">
        <f>H2352*_xlfn.XLOOKUP(Tabla2[[#This Row],[Unidad de producción]],Tabla3[Medida],Tabla3[Equivalencia en Kg],"ELVIS",0)</f>
        <v>2641.0033428616262</v>
      </c>
      <c r="J2352">
        <v>221.479166666667</v>
      </c>
      <c r="K2352" t="s">
        <v>32</v>
      </c>
      <c r="L2352">
        <f>J2352/_xlfn.XLOOKUP(Tabla2[[#This Row],[Unidad de precio]],Tabla3[Medida],Tabla3[Equivalencia en Kg],"ELVIS",0)</f>
        <v>8.1396239127771768</v>
      </c>
      <c r="M2352" s="2">
        <v>31633.940308743</v>
      </c>
      <c r="N2352" s="2">
        <f>(Tabla2[[#This Row],[Productividad (kg/TAS)]]*Tabla2[[#This Row],[Precio por kg]]-Tabla2[[#This Row],[Costos (En RD$/Tarea)]])</f>
        <v>-10137.166345462047</v>
      </c>
      <c r="O2352" s="6">
        <f>IF(Tabla2[[#This Row],[Costos (En RD$/Tarea)]]=0,0,Tabla2[[#This Row],[Beneficio Neto  (En RD$/Tarea)]]/Tabla2[[#This Row],[Costos (En RD$/Tarea)]])</f>
        <v>-0.32045221829859533</v>
      </c>
      <c r="P2352" s="4">
        <f>Tabla2[[#This Row],[Rentabilidad (%)]]/12</f>
        <v>-2.6704351524882944E-2</v>
      </c>
    </row>
    <row r="2353" spans="1:16" x14ac:dyDescent="0.35">
      <c r="A2353" s="1">
        <v>42461</v>
      </c>
      <c r="B2353" t="s">
        <v>33</v>
      </c>
      <c r="C2353" s="2">
        <v>752144</v>
      </c>
      <c r="D2353" s="2" t="s">
        <v>31</v>
      </c>
      <c r="E2353" s="8">
        <f>IF(Tabla2[[#This Row],[Frecuencia]]="Annual", Tabla2[[#This Row],[Cosecha/Tarea]]/12,Tabla2[[#This Row],[Cosecha/Tarea]])</f>
        <v>62678.666666666664</v>
      </c>
      <c r="F2353" s="2">
        <v>2989323</v>
      </c>
      <c r="G2353" t="s">
        <v>18</v>
      </c>
      <c r="H2353">
        <f>F2353/Tabla2[[#This Row],[Cosecha Mensual]]</f>
        <v>47.692830096364531</v>
      </c>
      <c r="I2353">
        <f>H2353*_xlfn.XLOOKUP(Tabla2[[#This Row],[Unidad de producción]],Tabla3[Medida],Tabla3[Equivalencia en Kg],"ELVIS",0)</f>
        <v>2163.3467731710953</v>
      </c>
      <c r="J2353">
        <v>6252.6796875</v>
      </c>
      <c r="K2353" t="s">
        <v>34</v>
      </c>
      <c r="L2353">
        <f>J2353/_xlfn.XLOOKUP(Tabla2[[#This Row],[Unidad de precio]],Tabla3[Medida],Tabla3[Equivalencia en Kg],"ELVIS",0)</f>
        <v>15.319563120176406</v>
      </c>
      <c r="M2353" s="2">
        <v>19988.821444047899</v>
      </c>
      <c r="N2353" s="2">
        <f>(Tabla2[[#This Row],[Productividad (kg/TAS)]]*Tabla2[[#This Row],[Precio por kg]]-Tabla2[[#This Row],[Costos (En RD$/Tarea)]])</f>
        <v>13152.705998376645</v>
      </c>
      <c r="O2353" s="6">
        <f>IF(Tabla2[[#This Row],[Costos (En RD$/Tarea)]]=0,0,Tabla2[[#This Row],[Beneficio Neto  (En RD$/Tarea)]]/Tabla2[[#This Row],[Costos (En RD$/Tarea)]])</f>
        <v>0.65800307612899034</v>
      </c>
      <c r="P2353" s="4">
        <f>Tabla2[[#This Row],[Rentabilidad (%)]]/12</f>
        <v>5.4833589677415862E-2</v>
      </c>
    </row>
    <row r="2354" spans="1:16" x14ac:dyDescent="0.35">
      <c r="A2354" s="1">
        <v>42491</v>
      </c>
      <c r="B2354" t="s">
        <v>16</v>
      </c>
      <c r="C2354" s="2">
        <v>417077</v>
      </c>
      <c r="D2354" s="5" t="s">
        <v>17</v>
      </c>
      <c r="E2354" s="2">
        <f>IF(Tabla2[[#This Row],[Frecuencia]]="Annual", Tabla2[[#This Row],[Cosecha/Tarea]]/12,Tabla2[[#This Row],[Cosecha/Tarea]])</f>
        <v>417077</v>
      </c>
      <c r="F2354" s="2">
        <v>2208602</v>
      </c>
      <c r="G2354" t="s">
        <v>18</v>
      </c>
      <c r="H2354">
        <f>F2354/Tabla2[[#This Row],[Cosecha Mensual]]</f>
        <v>5.2954298606732086</v>
      </c>
      <c r="I2354">
        <f>H2354*_xlfn.XLOOKUP(Tabla2[[#This Row],[Unidad de producción]],Tabla3[Medida],Tabla3[Equivalencia en Kg],"ELVIS",0)</f>
        <v>240.20069848013674</v>
      </c>
      <c r="J2354">
        <v>1985.6647216721699</v>
      </c>
      <c r="K2354" t="s">
        <v>19</v>
      </c>
      <c r="L2354">
        <f>J2354/_xlfn.XLOOKUP(Tabla2[[#This Row],[Unidad de precio]],Tabla3[Medida],Tabla3[Equivalencia en Kg],"ELVIS",0)</f>
        <v>18.051497469746998</v>
      </c>
      <c r="M2354">
        <v>5924.25478252843</v>
      </c>
      <c r="N2354" s="2">
        <f>(Tabla2[[#This Row],[Productividad (kg/TAS)]]*Tabla2[[#This Row],[Precio por kg]]-Tabla2[[#This Row],[Costos (En RD$/Tarea)]])</f>
        <v>-1588.2724816827804</v>
      </c>
      <c r="O2354" s="6">
        <f>IF(Tabla2[[#This Row],[Costos (En RD$/Tarea)]]=0,0,Tabla2[[#This Row],[Beneficio Neto  (En RD$/Tarea)]]/Tabla2[[#This Row],[Costos (En RD$/Tarea)]])</f>
        <v>-0.26809658598189406</v>
      </c>
      <c r="P2354" s="4">
        <f>Tabla2[[#This Row],[Rentabilidad (%)]]/12</f>
        <v>-2.2341382165157839E-2</v>
      </c>
    </row>
    <row r="2355" spans="1:16" x14ac:dyDescent="0.35">
      <c r="A2355" s="1">
        <v>42491</v>
      </c>
      <c r="B2355" t="s">
        <v>20</v>
      </c>
      <c r="C2355" s="2">
        <v>20733</v>
      </c>
      <c r="D2355" s="5" t="s">
        <v>17</v>
      </c>
      <c r="E2355" s="2">
        <f>IF(Tabla2[[#This Row],[Frecuencia]]="Annual", Tabla2[[#This Row],[Cosecha/Tarea]]/12,Tabla2[[#This Row],[Cosecha/Tarea]])</f>
        <v>20733</v>
      </c>
      <c r="F2355" s="2">
        <v>75913</v>
      </c>
      <c r="G2355" t="s">
        <v>18</v>
      </c>
      <c r="H2355">
        <f>F2355/Tabla2[[#This Row],[Cosecha Mensual]]</f>
        <v>3.6614575797038538</v>
      </c>
      <c r="I2355">
        <f>H2355*_xlfn.XLOOKUP(Tabla2[[#This Row],[Unidad de producción]],Tabla3[Medida],Tabla3[Equivalencia en Kg],"ELVIS",0)</f>
        <v>166.08371581536682</v>
      </c>
      <c r="J2355">
        <v>845.83868055555604</v>
      </c>
      <c r="K2355" t="s">
        <v>18</v>
      </c>
      <c r="L2355">
        <f>J2355/_xlfn.XLOOKUP(Tabla2[[#This Row],[Unidad de precio]],Tabla3[Medida],Tabla3[Equivalencia en Kg],"ELVIS",0)</f>
        <v>18.647237225651587</v>
      </c>
      <c r="M2355">
        <v>2463.2928983520001</v>
      </c>
      <c r="N2355" s="2">
        <f>(Tabla2[[#This Row],[Productividad (kg/TAS)]]*Tabla2[[#This Row],[Precio por kg]]-Tabla2[[#This Row],[Costos (En RD$/Tarea)]])</f>
        <v>633.70954977484735</v>
      </c>
      <c r="O2355" s="6">
        <f>IF(Tabla2[[#This Row],[Costos (En RD$/Tarea)]]=0,0,Tabla2[[#This Row],[Beneficio Neto  (En RD$/Tarea)]]/Tabla2[[#This Row],[Costos (En RD$/Tarea)]])</f>
        <v>0.25726114429949182</v>
      </c>
      <c r="P2355" s="4">
        <f>Tabla2[[#This Row],[Rentabilidad (%)]]/12</f>
        <v>2.1438428691624319E-2</v>
      </c>
    </row>
    <row r="2356" spans="1:16" x14ac:dyDescent="0.35">
      <c r="A2356" s="1">
        <v>42491</v>
      </c>
      <c r="B2356" t="s">
        <v>21</v>
      </c>
      <c r="C2356" s="2">
        <v>9248</v>
      </c>
      <c r="D2356" s="5" t="s">
        <v>17</v>
      </c>
      <c r="E2356" s="2">
        <f>IF(Tabla2[[#This Row],[Frecuencia]]="Annual", Tabla2[[#This Row],[Cosecha/Tarea]]/12,Tabla2[[#This Row],[Cosecha/Tarea]])</f>
        <v>9248</v>
      </c>
      <c r="F2356" s="2">
        <v>104132</v>
      </c>
      <c r="G2356" t="s">
        <v>18</v>
      </c>
      <c r="H2356">
        <f>F2356/Tabla2[[#This Row],[Cosecha Mensual]]</f>
        <v>11.259948096885813</v>
      </c>
      <c r="I2356">
        <f>H2356*_xlfn.XLOOKUP(Tabla2[[#This Row],[Unidad de producción]],Tabla3[Medida],Tabla3[Equivalencia en Kg],"ELVIS",0)</f>
        <v>510.75124567474046</v>
      </c>
      <c r="J2356">
        <v>357.72916666666703</v>
      </c>
      <c r="K2356" t="s">
        <v>18</v>
      </c>
      <c r="L2356">
        <f>J2356/_xlfn.XLOOKUP(Tabla2[[#This Row],[Unidad de precio]],Tabla3[Medida],Tabla3[Equivalencia en Kg],"ELVIS",0)</f>
        <v>7.8864454732510367</v>
      </c>
      <c r="M2356">
        <v>4713.6874381607504</v>
      </c>
      <c r="N2356" s="2">
        <f>(Tabla2[[#This Row],[Productividad (kg/TAS)]]*Tabla2[[#This Row],[Precio por kg]]-Tabla2[[#This Row],[Costos (En RD$/Tarea)]])</f>
        <v>-685.67558875186523</v>
      </c>
      <c r="O2356" s="6">
        <f>IF(Tabla2[[#This Row],[Costos (En RD$/Tarea)]]=0,0,Tabla2[[#This Row],[Beneficio Neto  (En RD$/Tarea)]]/Tabla2[[#This Row],[Costos (En RD$/Tarea)]])</f>
        <v>-0.14546479751729388</v>
      </c>
      <c r="P2356" s="4">
        <f>Tabla2[[#This Row],[Rentabilidad (%)]]/12</f>
        <v>-1.212206645977449E-2</v>
      </c>
    </row>
    <row r="2357" spans="1:16" x14ac:dyDescent="0.35">
      <c r="A2357" s="1">
        <v>42491</v>
      </c>
      <c r="B2357" t="s">
        <v>22</v>
      </c>
      <c r="C2357" s="2">
        <v>4390</v>
      </c>
      <c r="D2357" s="5" t="s">
        <v>17</v>
      </c>
      <c r="E2357" s="2">
        <f>IF(Tabla2[[#This Row],[Frecuencia]]="Annual", Tabla2[[#This Row],[Cosecha/Tarea]]/12,Tabla2[[#This Row],[Cosecha/Tarea]])</f>
        <v>4390</v>
      </c>
      <c r="F2357" s="2">
        <v>43654</v>
      </c>
      <c r="G2357" t="s">
        <v>18</v>
      </c>
      <c r="H2357">
        <f>F2357/Tabla2[[#This Row],[Cosecha Mensual]]</f>
        <v>9.943963553530752</v>
      </c>
      <c r="I2357">
        <f>H2357*_xlfn.XLOOKUP(Tabla2[[#This Row],[Unidad de producción]],Tabla3[Medida],Tabla3[Equivalencia en Kg],"ELVIS",0)</f>
        <v>451.0581867881549</v>
      </c>
      <c r="J2357">
        <v>1488.875</v>
      </c>
      <c r="K2357" t="s">
        <v>18</v>
      </c>
      <c r="L2357">
        <f>J2357/_xlfn.XLOOKUP(Tabla2[[#This Row],[Unidad de precio]],Tabla3[Medida],Tabla3[Equivalencia en Kg],"ELVIS",0)</f>
        <v>32.823522927689595</v>
      </c>
      <c r="M2357">
        <v>8550.1576563690305</v>
      </c>
      <c r="N2357" s="2">
        <f>(Tabla2[[#This Row],[Productividad (kg/TAS)]]*Tabla2[[#This Row],[Precio por kg]]-Tabla2[[#This Row],[Costos (En RD$/Tarea)]])</f>
        <v>6255.1610793940672</v>
      </c>
      <c r="O2357" s="6">
        <f>IF(Tabla2[[#This Row],[Costos (En RD$/Tarea)]]=0,0,Tabla2[[#This Row],[Beneficio Neto  (En RD$/Tarea)]]/Tabla2[[#This Row],[Costos (En RD$/Tarea)]])</f>
        <v>0.7315842971310107</v>
      </c>
      <c r="P2357" s="4">
        <f>Tabla2[[#This Row],[Rentabilidad (%)]]/12</f>
        <v>6.0965358094250889E-2</v>
      </c>
    </row>
    <row r="2358" spans="1:16" x14ac:dyDescent="0.35">
      <c r="A2358" s="1">
        <v>42491</v>
      </c>
      <c r="B2358" t="s">
        <v>23</v>
      </c>
      <c r="C2358" s="2">
        <v>4402</v>
      </c>
      <c r="D2358" s="5" t="s">
        <v>17</v>
      </c>
      <c r="E2358" s="2">
        <f>IF(Tabla2[[#This Row],[Frecuencia]]="Annual", Tabla2[[#This Row],[Cosecha/Tarea]]/12,Tabla2[[#This Row],[Cosecha/Tarea]])</f>
        <v>4402</v>
      </c>
      <c r="F2358" s="2">
        <v>176021</v>
      </c>
      <c r="G2358" t="s">
        <v>18</v>
      </c>
      <c r="H2358">
        <f>F2358/Tabla2[[#This Row],[Cosecha Mensual]]</f>
        <v>39.986597001363016</v>
      </c>
      <c r="I2358">
        <f>H2358*_xlfn.XLOOKUP(Tabla2[[#This Row],[Unidad de producción]],Tabla3[Medida],Tabla3[Equivalencia en Kg],"ELVIS",0)</f>
        <v>1813.7920399818263</v>
      </c>
      <c r="J2358">
        <v>727.8125</v>
      </c>
      <c r="K2358" t="s">
        <v>18</v>
      </c>
      <c r="L2358">
        <f>J2358/_xlfn.XLOOKUP(Tabla2[[#This Row],[Unidad de precio]],Tabla3[Medida],Tabla3[Equivalencia en Kg],"ELVIS",0)</f>
        <v>16.045249118165785</v>
      </c>
      <c r="M2358">
        <v>23192.17</v>
      </c>
      <c r="N2358" s="2">
        <f>(Tabla2[[#This Row],[Productividad (kg/TAS)]]*Tabla2[[#This Row],[Precio por kg]]-Tabla2[[#This Row],[Costos (En RD$/Tarea)]])</f>
        <v>5910.5751300545198</v>
      </c>
      <c r="O2358" s="6">
        <f>IF(Tabla2[[#This Row],[Costos (En RD$/Tarea)]]=0,0,Tabla2[[#This Row],[Beneficio Neto  (En RD$/Tarea)]]/Tabla2[[#This Row],[Costos (En RD$/Tarea)]])</f>
        <v>0.25485218201033022</v>
      </c>
      <c r="P2358" s="4">
        <f>Tabla2[[#This Row],[Rentabilidad (%)]]/12</f>
        <v>2.1237681834194184E-2</v>
      </c>
    </row>
    <row r="2359" spans="1:16" x14ac:dyDescent="0.35">
      <c r="A2359" s="1">
        <v>42491</v>
      </c>
      <c r="B2359" t="s">
        <v>24</v>
      </c>
      <c r="C2359" s="2">
        <v>6201</v>
      </c>
      <c r="D2359" s="5" t="s">
        <v>17</v>
      </c>
      <c r="E2359" s="2">
        <f>IF(Tabla2[[#This Row],[Frecuencia]]="Annual", Tabla2[[#This Row],[Cosecha/Tarea]]/12,Tabla2[[#This Row],[Cosecha/Tarea]])</f>
        <v>6201</v>
      </c>
      <c r="F2359" s="2">
        <v>39521</v>
      </c>
      <c r="G2359" t="s">
        <v>18</v>
      </c>
      <c r="H2359">
        <f>F2359/Tabla2[[#This Row],[Cosecha Mensual]]</f>
        <v>6.3733268827608454</v>
      </c>
      <c r="I2359">
        <f>H2359*_xlfn.XLOOKUP(Tabla2[[#This Row],[Unidad de producción]],Tabla3[Medida],Tabla3[Equivalencia en Kg],"ELVIS",0)</f>
        <v>289.09410740203197</v>
      </c>
      <c r="J2359">
        <v>2210.5260416666702</v>
      </c>
      <c r="K2359" t="s">
        <v>18</v>
      </c>
      <c r="L2359">
        <f>J2359/_xlfn.XLOOKUP(Tabla2[[#This Row],[Unidad de precio]],Tabla3[Medida],Tabla3[Equivalencia en Kg],"ELVIS",0)</f>
        <v>48.732937426513892</v>
      </c>
      <c r="M2359">
        <v>8705.1562241280008</v>
      </c>
      <c r="N2359" s="2">
        <f>(Tabla2[[#This Row],[Productividad (kg/TAS)]]*Tabla2[[#This Row],[Precio por kg]]-Tabla2[[#This Row],[Costos (En RD$/Tarea)]])</f>
        <v>5383.24882226911</v>
      </c>
      <c r="O2359" s="6">
        <f>IF(Tabla2[[#This Row],[Costos (En RD$/Tarea)]]=0,0,Tabla2[[#This Row],[Beneficio Neto  (En RD$/Tarea)]]/Tabla2[[#This Row],[Costos (En RD$/Tarea)]])</f>
        <v>0.61839772701016082</v>
      </c>
      <c r="P2359" s="4">
        <f>Tabla2[[#This Row],[Rentabilidad (%)]]/12</f>
        <v>5.1533143917513402E-2</v>
      </c>
    </row>
    <row r="2360" spans="1:16" x14ac:dyDescent="0.35">
      <c r="A2360" s="1">
        <v>42491</v>
      </c>
      <c r="B2360" t="s">
        <v>25</v>
      </c>
      <c r="C2360" s="2">
        <v>31025</v>
      </c>
      <c r="D2360" s="5" t="s">
        <v>17</v>
      </c>
      <c r="E2360" s="2">
        <f>IF(Tabla2[[#This Row],[Frecuencia]]="Annual", Tabla2[[#This Row],[Cosecha/Tarea]]/12,Tabla2[[#This Row],[Cosecha/Tarea]])</f>
        <v>31025</v>
      </c>
      <c r="F2360" s="2">
        <v>291222</v>
      </c>
      <c r="G2360" t="s">
        <v>18</v>
      </c>
      <c r="H2360">
        <f>F2360/Tabla2[[#This Row],[Cosecha Mensual]]</f>
        <v>9.3866881547139407</v>
      </c>
      <c r="I2360">
        <f>H2360*_xlfn.XLOOKUP(Tabla2[[#This Row],[Unidad de producción]],Tabla3[Medida],Tabla3[Equivalencia en Kg],"ELVIS",0)</f>
        <v>425.78017469782435</v>
      </c>
      <c r="J2360">
        <v>935.96701388888903</v>
      </c>
      <c r="K2360" t="s">
        <v>18</v>
      </c>
      <c r="L2360">
        <f>J2360/_xlfn.XLOOKUP(Tabla2[[#This Row],[Unidad de precio]],Tabla3[Medida],Tabla3[Equivalencia en Kg],"ELVIS",0)</f>
        <v>20.63419342788556</v>
      </c>
      <c r="M2360">
        <v>4784.7627198809196</v>
      </c>
      <c r="N2360" s="2">
        <f>(Tabla2[[#This Row],[Productividad (kg/TAS)]]*Tabla2[[#This Row],[Precio por kg]]-Tabla2[[#This Row],[Costos (En RD$/Tarea)]])</f>
        <v>4000.8677625928931</v>
      </c>
      <c r="O2360" s="6">
        <f>IF(Tabla2[[#This Row],[Costos (En RD$/Tarea)]]=0,0,Tabla2[[#This Row],[Beneficio Neto  (En RD$/Tarea)]]/Tabla2[[#This Row],[Costos (En RD$/Tarea)]])</f>
        <v>0.83616847831745023</v>
      </c>
      <c r="P2360" s="4">
        <f>Tabla2[[#This Row],[Rentabilidad (%)]]/12</f>
        <v>6.9680706526454181E-2</v>
      </c>
    </row>
    <row r="2361" spans="1:16" x14ac:dyDescent="0.35">
      <c r="A2361" s="1">
        <v>42491</v>
      </c>
      <c r="B2361" t="s">
        <v>26</v>
      </c>
      <c r="C2361" s="2">
        <v>6989</v>
      </c>
      <c r="D2361" s="5" t="s">
        <v>17</v>
      </c>
      <c r="E2361" s="2">
        <f>IF(Tabla2[[#This Row],[Frecuencia]]="Annual", Tabla2[[#This Row],[Cosecha/Tarea]]/12,Tabla2[[#This Row],[Cosecha/Tarea]])</f>
        <v>6989</v>
      </c>
      <c r="F2361" s="2">
        <v>46988</v>
      </c>
      <c r="G2361" t="s">
        <v>18</v>
      </c>
      <c r="H2361">
        <f>F2361/Tabla2[[#This Row],[Cosecha Mensual]]</f>
        <v>6.7231363571326366</v>
      </c>
      <c r="I2361">
        <f>H2361*_xlfn.XLOOKUP(Tabla2[[#This Row],[Unidad de producción]],Tabla3[Medida],Tabla3[Equivalencia en Kg],"ELVIS",0)</f>
        <v>304.96146515953637</v>
      </c>
      <c r="J2361">
        <v>824.05952380952397</v>
      </c>
      <c r="K2361" t="s">
        <v>18</v>
      </c>
      <c r="L2361">
        <f>J2361/_xlfn.XLOOKUP(Tabla2[[#This Row],[Unidad de precio]],Tabla3[Medida],Tabla3[Equivalencia en Kg],"ELVIS",0)</f>
        <v>18.167097085747884</v>
      </c>
      <c r="M2361">
        <v>1888.4301162085201</v>
      </c>
      <c r="N2361" s="2">
        <f>(Tabla2[[#This Row],[Productividad (kg/TAS)]]*Tabla2[[#This Row],[Precio por kg]]-Tabla2[[#This Row],[Costos (En RD$/Tarea)]])</f>
        <v>3651.8344287566979</v>
      </c>
      <c r="O2361" s="6">
        <f>IF(Tabla2[[#This Row],[Costos (En RD$/Tarea)]]=0,0,Tabla2[[#This Row],[Beneficio Neto  (En RD$/Tarea)]]/Tabla2[[#This Row],[Costos (En RD$/Tarea)]])</f>
        <v>1.9337937885086467</v>
      </c>
      <c r="P2361" s="4">
        <f>Tabla2[[#This Row],[Rentabilidad (%)]]/12</f>
        <v>0.16114948237572055</v>
      </c>
    </row>
    <row r="2362" spans="1:16" x14ac:dyDescent="0.35">
      <c r="A2362" s="1">
        <v>42491</v>
      </c>
      <c r="B2362" t="s">
        <v>27</v>
      </c>
      <c r="C2362" s="2">
        <v>3987</v>
      </c>
      <c r="D2362" s="5" t="s">
        <v>17</v>
      </c>
      <c r="E2362" s="2">
        <f>IF(Tabla2[[#This Row],[Frecuencia]]="Annual", Tabla2[[#This Row],[Cosecha/Tarea]]/12,Tabla2[[#This Row],[Cosecha/Tarea]])</f>
        <v>3987</v>
      </c>
      <c r="F2362" s="2">
        <v>45209</v>
      </c>
      <c r="G2362" t="s">
        <v>18</v>
      </c>
      <c r="H2362">
        <f>F2362/Tabla2[[#This Row],[Cosecha Mensual]]</f>
        <v>11.33910208176574</v>
      </c>
      <c r="I2362">
        <f>H2362*_xlfn.XLOOKUP(Tabla2[[#This Row],[Unidad de producción]],Tabla3[Medida],Tabla3[Equivalencia en Kg],"ELVIS",0)</f>
        <v>514.34167042889396</v>
      </c>
      <c r="J2362">
        <v>623.53214285714296</v>
      </c>
      <c r="K2362" t="s">
        <v>18</v>
      </c>
      <c r="L2362">
        <f>J2362/_xlfn.XLOOKUP(Tabla2[[#This Row],[Unidad de precio]],Tabla3[Medida],Tabla3[Equivalencia en Kg],"ELVIS",0)</f>
        <v>13.74629944570421</v>
      </c>
      <c r="M2362">
        <v>8287.288275158</v>
      </c>
      <c r="N2362" s="2">
        <f>(Tabla2[[#This Row],[Productividad (kg/TAS)]]*Tabla2[[#This Row],[Precio por kg]]-Tabla2[[#This Row],[Costos (En RD$/Tarea)]])</f>
        <v>-1216.9936560387177</v>
      </c>
      <c r="O2362" s="6">
        <f>IF(Tabla2[[#This Row],[Costos (En RD$/Tarea)]]=0,0,Tabla2[[#This Row],[Beneficio Neto  (En RD$/Tarea)]]/Tabla2[[#This Row],[Costos (En RD$/Tarea)]])</f>
        <v>-0.14685064832205505</v>
      </c>
      <c r="P2362" s="4">
        <f>Tabla2[[#This Row],[Rentabilidad (%)]]/12</f>
        <v>-1.223755402683792E-2</v>
      </c>
    </row>
    <row r="2363" spans="1:16" x14ac:dyDescent="0.35">
      <c r="A2363" s="1">
        <v>42491</v>
      </c>
      <c r="B2363" t="s">
        <v>28</v>
      </c>
      <c r="C2363" s="2">
        <v>12225</v>
      </c>
      <c r="D2363" s="5" t="s">
        <v>17</v>
      </c>
      <c r="E2363" s="2">
        <f>IF(Tabla2[[#This Row],[Frecuencia]]="Annual", Tabla2[[#This Row],[Cosecha/Tarea]]/12,Tabla2[[#This Row],[Cosecha/Tarea]])</f>
        <v>12225</v>
      </c>
      <c r="F2363" s="2">
        <v>346860</v>
      </c>
      <c r="G2363" t="s">
        <v>18</v>
      </c>
      <c r="H2363">
        <f>F2363/Tabla2[[#This Row],[Cosecha Mensual]]</f>
        <v>28.373006134969327</v>
      </c>
      <c r="I2363">
        <f>H2363*_xlfn.XLOOKUP(Tabla2[[#This Row],[Unidad de producción]],Tabla3[Medida],Tabla3[Equivalencia en Kg],"ELVIS",0)</f>
        <v>1286.9995582822087</v>
      </c>
      <c r="J2363">
        <v>5812.5</v>
      </c>
      <c r="K2363" t="s">
        <v>29</v>
      </c>
      <c r="L2363">
        <f>J2363/_xlfn.XLOOKUP(Tabla2[[#This Row],[Unidad de precio]],Tabla3[Medida],Tabla3[Equivalencia en Kg],"ELVIS",0)</f>
        <v>10.336273428886438</v>
      </c>
      <c r="M2363">
        <v>7046.2499107967797</v>
      </c>
      <c r="N2363" s="2">
        <f>(Tabla2[[#This Row],[Productividad (kg/TAS)]]*Tabla2[[#This Row],[Precio por kg]]-Tabla2[[#This Row],[Costos (En RD$/Tarea)]])</f>
        <v>6256.5294264641961</v>
      </c>
      <c r="O2363" s="6">
        <f>IF(Tabla2[[#This Row],[Costos (En RD$/Tarea)]]=0,0,Tabla2[[#This Row],[Beneficio Neto  (En RD$/Tarea)]]/Tabla2[[#This Row],[Costos (En RD$/Tarea)]])</f>
        <v>0.88792329333614528</v>
      </c>
      <c r="P2363" s="4">
        <f>Tabla2[[#This Row],[Rentabilidad (%)]]/12</f>
        <v>7.3993607778012102E-2</v>
      </c>
    </row>
    <row r="2364" spans="1:16" x14ac:dyDescent="0.35">
      <c r="A2364" s="1">
        <v>42491</v>
      </c>
      <c r="B2364" t="s">
        <v>30</v>
      </c>
      <c r="C2364" s="2">
        <v>465899</v>
      </c>
      <c r="D2364" s="2" t="s">
        <v>31</v>
      </c>
      <c r="E2364" s="2">
        <f>IF(Tabla2[[#This Row],[Frecuencia]]="Annual", Tabla2[[#This Row],[Cosecha/Tarea]]/12,Tabla2[[#This Row],[Cosecha/Tarea]])</f>
        <v>38824.916666666664</v>
      </c>
      <c r="F2364" s="2">
        <v>2141925</v>
      </c>
      <c r="G2364" t="s">
        <v>18</v>
      </c>
      <c r="H2364">
        <f>F2364/Tabla2[[#This Row],[Cosecha Mensual]]</f>
        <v>55.168824144288784</v>
      </c>
      <c r="I2364">
        <f>H2364*_xlfn.XLOOKUP(Tabla2[[#This Row],[Unidad de producción]],Tabla3[Medida],Tabla3[Equivalencia en Kg],"ELVIS",0)</f>
        <v>2502.457863184939</v>
      </c>
      <c r="J2364">
        <v>174.932291666667</v>
      </c>
      <c r="K2364" t="s">
        <v>32</v>
      </c>
      <c r="L2364">
        <f>J2364/_xlfn.XLOOKUP(Tabla2[[#This Row],[Unidad de precio]],Tabla3[Medida],Tabla3[Equivalencia en Kg],"ELVIS",0)</f>
        <v>6.4289706602964714</v>
      </c>
      <c r="M2364" s="2">
        <v>31633.940308743</v>
      </c>
      <c r="N2364" s="2">
        <f>(Tabla2[[#This Row],[Productividad (kg/TAS)]]*Tabla2[[#This Row],[Precio por kg]]-Tabla2[[#This Row],[Costos (En RD$/Tarea)]])</f>
        <v>-15545.712127698825</v>
      </c>
      <c r="O2364" s="6">
        <f>IF(Tabla2[[#This Row],[Costos (En RD$/Tarea)]]=0,0,Tabla2[[#This Row],[Beneficio Neto  (En RD$/Tarea)]]/Tabla2[[#This Row],[Costos (En RD$/Tarea)]])</f>
        <v>-0.49142509519758737</v>
      </c>
      <c r="P2364" s="4">
        <f>Tabla2[[#This Row],[Rentabilidad (%)]]/12</f>
        <v>-4.0952091266465616E-2</v>
      </c>
    </row>
    <row r="2365" spans="1:16" x14ac:dyDescent="0.35">
      <c r="A2365" s="1">
        <v>42491</v>
      </c>
      <c r="B2365" t="s">
        <v>33</v>
      </c>
      <c r="C2365" s="2">
        <v>765899</v>
      </c>
      <c r="D2365" s="2" t="s">
        <v>31</v>
      </c>
      <c r="E2365" s="8">
        <f>IF(Tabla2[[#This Row],[Frecuencia]]="Annual", Tabla2[[#This Row],[Cosecha/Tarea]]/12,Tabla2[[#This Row],[Cosecha/Tarea]])</f>
        <v>63824.916666666664</v>
      </c>
      <c r="F2365" s="2">
        <v>2330541</v>
      </c>
      <c r="G2365" t="s">
        <v>18</v>
      </c>
      <c r="H2365">
        <f>F2365/Tabla2[[#This Row],[Cosecha Mensual]]</f>
        <v>36.514595266477698</v>
      </c>
      <c r="I2365">
        <f>H2365*_xlfn.XLOOKUP(Tabla2[[#This Row],[Unidad de producción]],Tabla3[Medida],Tabla3[Equivalencia en Kg],"ELVIS",0)</f>
        <v>1656.3020412874284</v>
      </c>
      <c r="J2365">
        <v>5976.5590277777801</v>
      </c>
      <c r="K2365" t="s">
        <v>34</v>
      </c>
      <c r="L2365">
        <f>J2365/_xlfn.XLOOKUP(Tabla2[[#This Row],[Unidad de precio]],Tabla3[Medida],Tabla3[Equivalencia en Kg],"ELVIS",0)</f>
        <v>14.643045517034865</v>
      </c>
      <c r="M2365" s="2">
        <v>19988.821444047899</v>
      </c>
      <c r="N2365" s="2">
        <f>(Tabla2[[#This Row],[Productividad (kg/TAS)]]*Tabla2[[#This Row],[Precio por kg]]-Tabla2[[#This Row],[Costos (En RD$/Tarea)]])</f>
        <v>4264.4847364816778</v>
      </c>
      <c r="O2365" s="6">
        <f>IF(Tabla2[[#This Row],[Costos (En RD$/Tarea)]]=0,0,Tabla2[[#This Row],[Beneficio Neto  (En RD$/Tarea)]]/Tabla2[[#This Row],[Costos (En RD$/Tarea)]])</f>
        <v>0.21334348042573165</v>
      </c>
      <c r="P2365" s="4">
        <f>Tabla2[[#This Row],[Rentabilidad (%)]]/12</f>
        <v>1.7778623368810972E-2</v>
      </c>
    </row>
    <row r="2366" spans="1:16" x14ac:dyDescent="0.35">
      <c r="A2366" s="1">
        <v>42522</v>
      </c>
      <c r="B2366" t="s">
        <v>16</v>
      </c>
      <c r="C2366" s="2">
        <v>151521</v>
      </c>
      <c r="D2366" s="5" t="s">
        <v>17</v>
      </c>
      <c r="E2366" s="2">
        <f>IF(Tabla2[[#This Row],[Frecuencia]]="Annual", Tabla2[[#This Row],[Cosecha/Tarea]]/12,Tabla2[[#This Row],[Cosecha/Tarea]])</f>
        <v>151521</v>
      </c>
      <c r="F2366" s="2">
        <v>817893</v>
      </c>
      <c r="G2366" t="s">
        <v>18</v>
      </c>
      <c r="H2366">
        <f>F2366/Tabla2[[#This Row],[Cosecha Mensual]]</f>
        <v>5.3978854416219537</v>
      </c>
      <c r="I2366">
        <f>H2366*_xlfn.XLOOKUP(Tabla2[[#This Row],[Unidad de producción]],Tabla3[Medida],Tabla3[Equivalencia en Kg],"ELVIS",0)</f>
        <v>244.8480836319718</v>
      </c>
      <c r="J2366">
        <v>1993.9133127979501</v>
      </c>
      <c r="K2366" t="s">
        <v>19</v>
      </c>
      <c r="L2366">
        <f>J2366/_xlfn.XLOOKUP(Tabla2[[#This Row],[Unidad de precio]],Tabla3[Medida],Tabla3[Equivalencia en Kg],"ELVIS",0)</f>
        <v>18.126484661799545</v>
      </c>
      <c r="M2366">
        <v>5924.25478252843</v>
      </c>
      <c r="N2366" s="2">
        <f>(Tabla2[[#This Row],[Productividad (kg/TAS)]]*Tabla2[[#This Row],[Precio por kg]]-Tabla2[[#This Row],[Costos (En RD$/Tarea)]])</f>
        <v>-1486.0197501024813</v>
      </c>
      <c r="O2366" s="6">
        <f>IF(Tabla2[[#This Row],[Costos (En RD$/Tarea)]]=0,0,Tabla2[[#This Row],[Beneficio Neto  (En RD$/Tarea)]]/Tabla2[[#This Row],[Costos (En RD$/Tarea)]])</f>
        <v>-0.25083657010920429</v>
      </c>
      <c r="P2366" s="4">
        <f>Tabla2[[#This Row],[Rentabilidad (%)]]/12</f>
        <v>-2.0903047509100357E-2</v>
      </c>
    </row>
    <row r="2367" spans="1:16" x14ac:dyDescent="0.35">
      <c r="A2367" s="1">
        <v>42522</v>
      </c>
      <c r="B2367" t="s">
        <v>20</v>
      </c>
      <c r="C2367" s="2">
        <v>32458</v>
      </c>
      <c r="D2367" s="5" t="s">
        <v>17</v>
      </c>
      <c r="E2367" s="2">
        <f>IF(Tabla2[[#This Row],[Frecuencia]]="Annual", Tabla2[[#This Row],[Cosecha/Tarea]]/12,Tabla2[[#This Row],[Cosecha/Tarea]])</f>
        <v>32458</v>
      </c>
      <c r="F2367" s="2">
        <v>86547</v>
      </c>
      <c r="G2367" t="s">
        <v>18</v>
      </c>
      <c r="H2367">
        <f>F2367/Tabla2[[#This Row],[Cosecha Mensual]]</f>
        <v>2.6664304639842258</v>
      </c>
      <c r="I2367">
        <f>H2367*_xlfn.XLOOKUP(Tabla2[[#This Row],[Unidad de producción]],Tabla3[Medida],Tabla3[Equivalencia en Kg],"ELVIS",0)</f>
        <v>120.94928584632449</v>
      </c>
      <c r="J2367">
        <v>803.65354166666702</v>
      </c>
      <c r="K2367" t="s">
        <v>18</v>
      </c>
      <c r="L2367">
        <f>J2367/_xlfn.XLOOKUP(Tabla2[[#This Row],[Unidad de precio]],Tabla3[Medida],Tabla3[Equivalencia en Kg],"ELVIS",0)</f>
        <v>17.717229754556151</v>
      </c>
      <c r="M2367">
        <v>2463.2928983520001</v>
      </c>
      <c r="N2367" s="2">
        <f>(Tabla2[[#This Row],[Productividad (kg/TAS)]]*Tabla2[[#This Row],[Precio por kg]]-Tabla2[[#This Row],[Costos (En RD$/Tarea)]])</f>
        <v>-320.40661236318283</v>
      </c>
      <c r="O2367" s="6">
        <f>IF(Tabla2[[#This Row],[Costos (En RD$/Tarea)]]=0,0,Tabla2[[#This Row],[Beneficio Neto  (En RD$/Tarea)]]/Tabla2[[#This Row],[Costos (En RD$/Tarea)]])</f>
        <v>-0.13007247842006214</v>
      </c>
      <c r="P2367" s="4">
        <f>Tabla2[[#This Row],[Rentabilidad (%)]]/12</f>
        <v>-1.0839373201671845E-2</v>
      </c>
    </row>
    <row r="2368" spans="1:16" x14ac:dyDescent="0.35">
      <c r="A2368" s="1">
        <v>42522</v>
      </c>
      <c r="B2368" t="s">
        <v>21</v>
      </c>
      <c r="C2368" s="2">
        <v>6805</v>
      </c>
      <c r="D2368" s="5" t="s">
        <v>17</v>
      </c>
      <c r="E2368" s="2">
        <f>IF(Tabla2[[#This Row],[Frecuencia]]="Annual", Tabla2[[#This Row],[Cosecha/Tarea]]/12,Tabla2[[#This Row],[Cosecha/Tarea]])</f>
        <v>6805</v>
      </c>
      <c r="F2368" s="2">
        <v>78363</v>
      </c>
      <c r="G2368" t="s">
        <v>18</v>
      </c>
      <c r="H2368">
        <f>F2368/Tabla2[[#This Row],[Cosecha Mensual]]</f>
        <v>11.515503306392359</v>
      </c>
      <c r="I2368">
        <f>H2368*_xlfn.XLOOKUP(Tabla2[[#This Row],[Unidad de producción]],Tabla3[Medida],Tabla3[Equivalencia en Kg],"ELVIS",0)</f>
        <v>522.34322997795744</v>
      </c>
      <c r="J2368">
        <v>344.36029687500002</v>
      </c>
      <c r="K2368" t="s">
        <v>18</v>
      </c>
      <c r="L2368">
        <f>J2368/_xlfn.XLOOKUP(Tabla2[[#This Row],[Unidad de precio]],Tabla3[Medida],Tabla3[Equivalencia en Kg],"ELVIS",0)</f>
        <v>7.591717303240741</v>
      </c>
      <c r="M2368">
        <v>4713.6874381607504</v>
      </c>
      <c r="N2368" s="2">
        <f>(Tabla2[[#This Row],[Productividad (kg/TAS)]]*Tabla2[[#This Row],[Precio por kg]]-Tabla2[[#This Row],[Costos (En RD$/Tarea)]])</f>
        <v>-748.20530090643297</v>
      </c>
      <c r="O2368" s="6">
        <f>IF(Tabla2[[#This Row],[Costos (En RD$/Tarea)]]=0,0,Tabla2[[#This Row],[Beneficio Neto  (En RD$/Tarea)]]/Tabla2[[#This Row],[Costos (En RD$/Tarea)]])</f>
        <v>-0.15873035934651997</v>
      </c>
      <c r="P2368" s="4">
        <f>Tabla2[[#This Row],[Rentabilidad (%)]]/12</f>
        <v>-1.3227529945543331E-2</v>
      </c>
    </row>
    <row r="2369" spans="1:16" x14ac:dyDescent="0.35">
      <c r="A2369" s="1">
        <v>42522</v>
      </c>
      <c r="B2369" t="s">
        <v>22</v>
      </c>
      <c r="C2369" s="2">
        <v>4521</v>
      </c>
      <c r="D2369" s="5" t="s">
        <v>17</v>
      </c>
      <c r="E2369" s="2">
        <f>IF(Tabla2[[#This Row],[Frecuencia]]="Annual", Tabla2[[#This Row],[Cosecha/Tarea]]/12,Tabla2[[#This Row],[Cosecha/Tarea]])</f>
        <v>4521</v>
      </c>
      <c r="F2369" s="2">
        <v>33214</v>
      </c>
      <c r="G2369" t="s">
        <v>18</v>
      </c>
      <c r="H2369">
        <f>F2369/Tabla2[[#This Row],[Cosecha Mensual]]</f>
        <v>7.3466047334660471</v>
      </c>
      <c r="I2369">
        <f>H2369*_xlfn.XLOOKUP(Tabla2[[#This Row],[Unidad de producción]],Tabla3[Medida],Tabla3[Equivalencia en Kg],"ELVIS",0)</f>
        <v>333.24199071001988</v>
      </c>
      <c r="J2369">
        <v>1415.82361111111</v>
      </c>
      <c r="K2369" t="s">
        <v>18</v>
      </c>
      <c r="L2369">
        <f>J2369/_xlfn.XLOOKUP(Tabla2[[#This Row],[Unidad de precio]],Tabla3[Medida],Tabla3[Equivalencia en Kg],"ELVIS",0)</f>
        <v>31.213042572996255</v>
      </c>
      <c r="M2369">
        <v>8550.1576563690305</v>
      </c>
      <c r="N2369" s="2">
        <f>(Tabla2[[#This Row],[Productividad (kg/TAS)]]*Tabla2[[#This Row],[Precio por kg]]-Tabla2[[#This Row],[Costos (En RD$/Tarea)]])</f>
        <v>1851.3387867728416</v>
      </c>
      <c r="O2369" s="6">
        <f>IF(Tabla2[[#This Row],[Costos (En RD$/Tarea)]]=0,0,Tabla2[[#This Row],[Beneficio Neto  (En RD$/Tarea)]]/Tabla2[[#This Row],[Costos (En RD$/Tarea)]])</f>
        <v>0.21652685964144477</v>
      </c>
      <c r="P2369" s="4">
        <f>Tabla2[[#This Row],[Rentabilidad (%)]]/12</f>
        <v>1.8043904970120397E-2</v>
      </c>
    </row>
    <row r="2370" spans="1:16" x14ac:dyDescent="0.35">
      <c r="A2370" s="1">
        <v>42522</v>
      </c>
      <c r="B2370" t="s">
        <v>23</v>
      </c>
      <c r="C2370" s="2">
        <v>4210</v>
      </c>
      <c r="D2370" s="5" t="s">
        <v>17</v>
      </c>
      <c r="E2370" s="2">
        <f>IF(Tabla2[[#This Row],[Frecuencia]]="Annual", Tabla2[[#This Row],[Cosecha/Tarea]]/12,Tabla2[[#This Row],[Cosecha/Tarea]])</f>
        <v>4210</v>
      </c>
      <c r="F2370" s="2">
        <v>157220</v>
      </c>
      <c r="G2370" t="s">
        <v>18</v>
      </c>
      <c r="H2370">
        <f>F2370/Tabla2[[#This Row],[Cosecha Mensual]]</f>
        <v>37.344418052256529</v>
      </c>
      <c r="I2370">
        <f>H2370*_xlfn.XLOOKUP(Tabla2[[#This Row],[Unidad de producción]],Tabla3[Medida],Tabla3[Equivalencia en Kg],"ELVIS",0)</f>
        <v>1693.9428028503562</v>
      </c>
      <c r="J2370">
        <v>818.75</v>
      </c>
      <c r="K2370" t="s">
        <v>18</v>
      </c>
      <c r="L2370">
        <f>J2370/_xlfn.XLOOKUP(Tabla2[[#This Row],[Unidad de precio]],Tabla3[Medida],Tabla3[Equivalencia en Kg],"ELVIS",0)</f>
        <v>18.05004409171076</v>
      </c>
      <c r="M2370">
        <v>23192.17</v>
      </c>
      <c r="N2370" s="2">
        <f>(Tabla2[[#This Row],[Productividad (kg/TAS)]]*Tabla2[[#This Row],[Precio por kg]]-Tabla2[[#This Row],[Costos (En RD$/Tarea)]])</f>
        <v>7383.5722802850396</v>
      </c>
      <c r="O2370" s="6">
        <f>IF(Tabla2[[#This Row],[Costos (En RD$/Tarea)]]=0,0,Tabla2[[#This Row],[Beneficio Neto  (En RD$/Tarea)]]/Tabla2[[#This Row],[Costos (En RD$/Tarea)]])</f>
        <v>0.31836487401933672</v>
      </c>
      <c r="P2370" s="4">
        <f>Tabla2[[#This Row],[Rentabilidad (%)]]/12</f>
        <v>2.6530406168278061E-2</v>
      </c>
    </row>
    <row r="2371" spans="1:16" x14ac:dyDescent="0.35">
      <c r="A2371" s="1">
        <v>42522</v>
      </c>
      <c r="B2371" t="s">
        <v>24</v>
      </c>
      <c r="C2371" s="2">
        <v>6455</v>
      </c>
      <c r="D2371" s="5" t="s">
        <v>17</v>
      </c>
      <c r="E2371" s="2">
        <f>IF(Tabla2[[#This Row],[Frecuencia]]="Annual", Tabla2[[#This Row],[Cosecha/Tarea]]/12,Tabla2[[#This Row],[Cosecha/Tarea]])</f>
        <v>6455</v>
      </c>
      <c r="F2371" s="2">
        <v>61090</v>
      </c>
      <c r="G2371" t="s">
        <v>18</v>
      </c>
      <c r="H2371">
        <f>F2371/Tabla2[[#This Row],[Cosecha Mensual]]</f>
        <v>9.4639814097598762</v>
      </c>
      <c r="I2371">
        <f>H2371*_xlfn.XLOOKUP(Tabla2[[#This Row],[Unidad de producción]],Tabla3[Medida],Tabla3[Equivalencia en Kg],"ELVIS",0)</f>
        <v>429.28619674670796</v>
      </c>
      <c r="J2371">
        <v>2149.0500000000002</v>
      </c>
      <c r="K2371" t="s">
        <v>18</v>
      </c>
      <c r="L2371">
        <f>J2371/_xlfn.XLOOKUP(Tabla2[[#This Row],[Unidad de precio]],Tabla3[Medida],Tabla3[Equivalencia en Kg],"ELVIS",0)</f>
        <v>47.377645502645507</v>
      </c>
      <c r="M2371">
        <v>8705.1562241280008</v>
      </c>
      <c r="N2371" s="2">
        <f>(Tabla2[[#This Row],[Productividad (kg/TAS)]]*Tabla2[[#This Row],[Precio por kg]]-Tabla2[[#This Row],[Costos (En RD$/Tarea)]])</f>
        <v>11633.413024516463</v>
      </c>
      <c r="O2371" s="6">
        <f>IF(Tabla2[[#This Row],[Costos (En RD$/Tarea)]]=0,0,Tabla2[[#This Row],[Beneficio Neto  (En RD$/Tarea)]]/Tabla2[[#This Row],[Costos (En RD$/Tarea)]])</f>
        <v>1.3363818781646033</v>
      </c>
      <c r="P2371" s="4">
        <f>Tabla2[[#This Row],[Rentabilidad (%)]]/12</f>
        <v>0.11136515651371694</v>
      </c>
    </row>
    <row r="2372" spans="1:16" x14ac:dyDescent="0.35">
      <c r="A2372" s="1">
        <v>42522</v>
      </c>
      <c r="B2372" t="s">
        <v>25</v>
      </c>
      <c r="C2372" s="2">
        <v>26877</v>
      </c>
      <c r="D2372" s="5" t="s">
        <v>17</v>
      </c>
      <c r="E2372" s="2">
        <f>IF(Tabla2[[#This Row],[Frecuencia]]="Annual", Tabla2[[#This Row],[Cosecha/Tarea]]/12,Tabla2[[#This Row],[Cosecha/Tarea]])</f>
        <v>26877</v>
      </c>
      <c r="F2372" s="2">
        <v>254792</v>
      </c>
      <c r="G2372" t="s">
        <v>18</v>
      </c>
      <c r="H2372">
        <f>F2372/Tabla2[[#This Row],[Cosecha Mensual]]</f>
        <v>9.4799270751944036</v>
      </c>
      <c r="I2372">
        <f>H2372*_xlfn.XLOOKUP(Tabla2[[#This Row],[Unidad de producción]],Tabla3[Medida],Tabla3[Equivalencia en Kg],"ELVIS",0)</f>
        <v>430.00949213081816</v>
      </c>
      <c r="J2372">
        <v>947.71875</v>
      </c>
      <c r="K2372" t="s">
        <v>18</v>
      </c>
      <c r="L2372">
        <f>J2372/_xlfn.XLOOKUP(Tabla2[[#This Row],[Unidad de precio]],Tabla3[Medida],Tabla3[Equivalencia en Kg],"ELVIS",0)</f>
        <v>20.893270502645503</v>
      </c>
      <c r="M2372">
        <v>4784.7627198809196</v>
      </c>
      <c r="N2372" s="2">
        <f>(Tabla2[[#This Row],[Productividad (kg/TAS)]]*Tabla2[[#This Row],[Precio por kg]]-Tabla2[[#This Row],[Costos (En RD$/Tarea)]])</f>
        <v>4199.5419179134778</v>
      </c>
      <c r="O2372" s="6">
        <f>IF(Tabla2[[#This Row],[Costos (En RD$/Tarea)]]=0,0,Tabla2[[#This Row],[Beneficio Neto  (En RD$/Tarea)]]/Tabla2[[#This Row],[Costos (En RD$/Tarea)]])</f>
        <v>0.87769073698559363</v>
      </c>
      <c r="P2372" s="4">
        <f>Tabla2[[#This Row],[Rentabilidad (%)]]/12</f>
        <v>7.3140894748799465E-2</v>
      </c>
    </row>
    <row r="2373" spans="1:16" x14ac:dyDescent="0.35">
      <c r="A2373" s="1">
        <v>42522</v>
      </c>
      <c r="B2373" t="s">
        <v>26</v>
      </c>
      <c r="C2373" s="2">
        <v>11568</v>
      </c>
      <c r="D2373" s="5" t="s">
        <v>17</v>
      </c>
      <c r="E2373" s="2">
        <f>IF(Tabla2[[#This Row],[Frecuencia]]="Annual", Tabla2[[#This Row],[Cosecha/Tarea]]/12,Tabla2[[#This Row],[Cosecha/Tarea]])</f>
        <v>11568</v>
      </c>
      <c r="F2373" s="2">
        <v>70124</v>
      </c>
      <c r="G2373" t="s">
        <v>18</v>
      </c>
      <c r="H2373">
        <f>F2373/Tabla2[[#This Row],[Cosecha Mensual]]</f>
        <v>6.0618948824343013</v>
      </c>
      <c r="I2373">
        <f>H2373*_xlfn.XLOOKUP(Tabla2[[#This Row],[Unidad de producción]],Tabla3[Medida],Tabla3[Equivalencia en Kg],"ELVIS",0)</f>
        <v>274.96755186721992</v>
      </c>
      <c r="J2373">
        <v>882.84226190476204</v>
      </c>
      <c r="K2373" t="s">
        <v>18</v>
      </c>
      <c r="L2373">
        <f>J2373/_xlfn.XLOOKUP(Tabla2[[#This Row],[Unidad de precio]],Tabla3[Medida],Tabla3[Equivalencia en Kg],"ELVIS",0)</f>
        <v>19.46301282858823</v>
      </c>
      <c r="M2373">
        <v>1888.4301162085201</v>
      </c>
      <c r="N2373" s="2">
        <f>(Tabla2[[#This Row],[Productividad (kg/TAS)]]*Tabla2[[#This Row],[Precio por kg]]-Tabla2[[#This Row],[Costos (En RD$/Tarea)]])</f>
        <v>3463.2668732286802</v>
      </c>
      <c r="O2373" s="6">
        <f>IF(Tabla2[[#This Row],[Costos (En RD$/Tarea)]]=0,0,Tabla2[[#This Row],[Beneficio Neto  (En RD$/Tarea)]]/Tabla2[[#This Row],[Costos (En RD$/Tarea)]])</f>
        <v>1.8339396536325239</v>
      </c>
      <c r="P2373" s="4">
        <f>Tabla2[[#This Row],[Rentabilidad (%)]]/12</f>
        <v>0.15282830446937698</v>
      </c>
    </row>
    <row r="2374" spans="1:16" x14ac:dyDescent="0.35">
      <c r="A2374" s="1">
        <v>42522</v>
      </c>
      <c r="B2374" t="s">
        <v>27</v>
      </c>
      <c r="C2374" s="2">
        <v>7952</v>
      </c>
      <c r="D2374" s="5" t="s">
        <v>17</v>
      </c>
      <c r="E2374" s="2">
        <f>IF(Tabla2[[#This Row],[Frecuencia]]="Annual", Tabla2[[#This Row],[Cosecha/Tarea]]/12,Tabla2[[#This Row],[Cosecha/Tarea]])</f>
        <v>7952</v>
      </c>
      <c r="F2374" s="2">
        <v>53760</v>
      </c>
      <c r="G2374" t="s">
        <v>18</v>
      </c>
      <c r="H2374">
        <f>F2374/Tabla2[[#This Row],[Cosecha Mensual]]</f>
        <v>6.76056338028169</v>
      </c>
      <c r="I2374">
        <f>H2374*_xlfn.XLOOKUP(Tabla2[[#This Row],[Unidad de producción]],Tabla3[Medida],Tabla3[Equivalencia en Kg],"ELVIS",0)</f>
        <v>306.65915492957748</v>
      </c>
      <c r="J2374">
        <v>592.45000000000005</v>
      </c>
      <c r="K2374" t="s">
        <v>18</v>
      </c>
      <c r="L2374">
        <f>J2374/_xlfn.XLOOKUP(Tabla2[[#This Row],[Unidad de precio]],Tabla3[Medida],Tabla3[Equivalencia en Kg],"ELVIS",0)</f>
        <v>13.061067019400355</v>
      </c>
      <c r="M2374">
        <v>8287.288275158</v>
      </c>
      <c r="N2374" s="2">
        <f>(Tabla2[[#This Row],[Productividad (kg/TAS)]]*Tabla2[[#This Row],[Precio por kg]]-Tabla2[[#This Row],[Costos (En RD$/Tarea)]])</f>
        <v>-4281.9925005101122</v>
      </c>
      <c r="O2374" s="6">
        <f>IF(Tabla2[[#This Row],[Costos (En RD$/Tarea)]]=0,0,Tabla2[[#This Row],[Beneficio Neto  (En RD$/Tarea)]]/Tabla2[[#This Row],[Costos (En RD$/Tarea)]])</f>
        <v>-0.51669404494421001</v>
      </c>
      <c r="P2374" s="4">
        <f>Tabla2[[#This Row],[Rentabilidad (%)]]/12</f>
        <v>-4.3057837078684165E-2</v>
      </c>
    </row>
    <row r="2375" spans="1:16" x14ac:dyDescent="0.35">
      <c r="A2375" s="1">
        <v>42522</v>
      </c>
      <c r="B2375" t="s">
        <v>28</v>
      </c>
      <c r="C2375" s="2">
        <v>39524</v>
      </c>
      <c r="D2375" s="5" t="s">
        <v>17</v>
      </c>
      <c r="E2375" s="2">
        <f>IF(Tabla2[[#This Row],[Frecuencia]]="Annual", Tabla2[[#This Row],[Cosecha/Tarea]]/12,Tabla2[[#This Row],[Cosecha/Tarea]])</f>
        <v>39524</v>
      </c>
      <c r="F2375" s="2">
        <v>1006812</v>
      </c>
      <c r="G2375" t="s">
        <v>18</v>
      </c>
      <c r="H2375">
        <f>F2375/Tabla2[[#This Row],[Cosecha Mensual]]</f>
        <v>25.473433862969333</v>
      </c>
      <c r="I2375">
        <f>H2375*_xlfn.XLOOKUP(Tabla2[[#This Row],[Unidad de producción]],Tabla3[Medida],Tabla3[Equivalencia en Kg],"ELVIS",0)</f>
        <v>1155.474960024289</v>
      </c>
      <c r="J2375">
        <v>7875</v>
      </c>
      <c r="K2375" t="s">
        <v>29</v>
      </c>
      <c r="L2375">
        <f>J2375/_xlfn.XLOOKUP(Tabla2[[#This Row],[Unidad de precio]],Tabla3[Medida],Tabla3[Equivalencia en Kg],"ELVIS",0)</f>
        <v>14.003983355265497</v>
      </c>
      <c r="M2375">
        <v>7046.2499107967797</v>
      </c>
      <c r="N2375" s="2">
        <f>(Tabla2[[#This Row],[Productividad (kg/TAS)]]*Tabla2[[#This Row],[Precio por kg]]-Tabla2[[#This Row],[Costos (En RD$/Tarea)]])</f>
        <v>9135.0021968094279</v>
      </c>
      <c r="O2375" s="6">
        <f>IF(Tabla2[[#This Row],[Costos (En RD$/Tarea)]]=0,0,Tabla2[[#This Row],[Beneficio Neto  (En RD$/Tarea)]]/Tabla2[[#This Row],[Costos (En RD$/Tarea)]])</f>
        <v>1.2964346017322079</v>
      </c>
      <c r="P2375" s="4">
        <f>Tabla2[[#This Row],[Rentabilidad (%)]]/12</f>
        <v>0.10803621681101733</v>
      </c>
    </row>
    <row r="2376" spans="1:16" x14ac:dyDescent="0.35">
      <c r="A2376" s="1">
        <v>42522</v>
      </c>
      <c r="B2376" t="s">
        <v>30</v>
      </c>
      <c r="C2376" s="2">
        <v>444102</v>
      </c>
      <c r="D2376" s="2" t="s">
        <v>31</v>
      </c>
      <c r="E2376" s="2">
        <f>IF(Tabla2[[#This Row],[Frecuencia]]="Annual", Tabla2[[#This Row],[Cosecha/Tarea]]/12,Tabla2[[#This Row],[Cosecha/Tarea]])</f>
        <v>37008.5</v>
      </c>
      <c r="F2376" s="2">
        <v>2279872.7999999998</v>
      </c>
      <c r="G2376" t="s">
        <v>18</v>
      </c>
      <c r="H2376">
        <f>F2376/Tabla2[[#This Row],[Cosecha Mensual]]</f>
        <v>61.604031506275582</v>
      </c>
      <c r="I2376">
        <f>H2376*_xlfn.XLOOKUP(Tabla2[[#This Row],[Unidad de producción]],Tabla3[Medida],Tabla3[Equivalencia en Kg],"ELVIS",0)</f>
        <v>2794.3588691246605</v>
      </c>
      <c r="J2376">
        <v>168.11739583333301</v>
      </c>
      <c r="K2376" t="s">
        <v>32</v>
      </c>
      <c r="L2376">
        <f>J2376/_xlfn.XLOOKUP(Tabla2[[#This Row],[Unidad de precio]],Tabla3[Medida],Tabla3[Equivalencia en Kg],"ELVIS",0)</f>
        <v>6.1785150986156925</v>
      </c>
      <c r="M2376" s="2">
        <v>31633.940308743</v>
      </c>
      <c r="N2376" s="2">
        <f>(Tabla2[[#This Row],[Productividad (kg/TAS)]]*Tabla2[[#This Row],[Precio por kg]]-Tabla2[[#This Row],[Costos (En RD$/Tarea)]])</f>
        <v>-14368.951844905612</v>
      </c>
      <c r="O2376" s="6">
        <f>IF(Tabla2[[#This Row],[Costos (En RD$/Tarea)]]=0,0,Tabla2[[#This Row],[Beneficio Neto  (En RD$/Tarea)]]/Tabla2[[#This Row],[Costos (En RD$/Tarea)]])</f>
        <v>-0.45422580003207241</v>
      </c>
      <c r="P2376" s="4">
        <f>Tabla2[[#This Row],[Rentabilidad (%)]]/12</f>
        <v>-3.7852150002672703E-2</v>
      </c>
    </row>
    <row r="2377" spans="1:16" x14ac:dyDescent="0.35">
      <c r="A2377" s="1">
        <v>42522</v>
      </c>
      <c r="B2377" t="s">
        <v>33</v>
      </c>
      <c r="C2377" s="2">
        <v>762989</v>
      </c>
      <c r="D2377" s="2" t="s">
        <v>31</v>
      </c>
      <c r="E2377" s="2">
        <f>IF(Tabla2[[#This Row],[Frecuencia]]="Annual", Tabla2[[#This Row],[Cosecha/Tarea]]/12,Tabla2[[#This Row],[Cosecha/Tarea]])</f>
        <v>63582.416666666664</v>
      </c>
      <c r="F2377" s="2">
        <v>1774890</v>
      </c>
      <c r="G2377" t="s">
        <v>18</v>
      </c>
      <c r="H2377">
        <f>F2377/Tabla2[[#This Row],[Cosecha Mensual]]</f>
        <v>27.914793004879495</v>
      </c>
      <c r="I2377">
        <f>H2377*_xlfn.XLOOKUP(Tabla2[[#This Row],[Unidad de producción]],Tabla3[Medida],Tabla3[Equivalencia en Kg],"ELVIS",0)</f>
        <v>1266.215010701334</v>
      </c>
      <c r="J2377">
        <v>5444.5197916666702</v>
      </c>
      <c r="K2377" t="s">
        <v>34</v>
      </c>
      <c r="L2377">
        <f>J2377/_xlfn.XLOOKUP(Tabla2[[#This Row],[Unidad de precio]],Tabla3[Medida],Tabla3[Equivalencia en Kg],"ELVIS",0)</f>
        <v>13.339507023561609</v>
      </c>
      <c r="M2377" s="2">
        <v>19988.821444047899</v>
      </c>
      <c r="N2377" s="2">
        <f>(Tabla2[[#This Row],[Productividad (kg/TAS)]]*Tabla2[[#This Row],[Precio por kg]]-Tabla2[[#This Row],[Costos (En RD$/Tarea)]])</f>
        <v>-3098.1374154583173</v>
      </c>
      <c r="O2377" s="6">
        <f>IF(Tabla2[[#This Row],[Costos (En RD$/Tarea)]]=0,0,Tabla2[[#This Row],[Beneficio Neto  (En RD$/Tarea)]]/Tabla2[[#This Row],[Costos (En RD$/Tarea)]])</f>
        <v>-0.1549935009490444</v>
      </c>
      <c r="P2377" s="4">
        <f>Tabla2[[#This Row],[Rentabilidad (%)]]/12</f>
        <v>-1.2916125079087034E-2</v>
      </c>
    </row>
    <row r="2378" spans="1:16" x14ac:dyDescent="0.35">
      <c r="A2378" s="1">
        <v>42552</v>
      </c>
      <c r="B2378" t="s">
        <v>16</v>
      </c>
      <c r="C2378" s="2">
        <v>77897</v>
      </c>
      <c r="D2378" s="5" t="s">
        <v>17</v>
      </c>
      <c r="E2378" s="2">
        <f>IF(Tabla2[[#This Row],[Frecuencia]]="Annual", Tabla2[[#This Row],[Cosecha/Tarea]]/12,Tabla2[[#This Row],[Cosecha/Tarea]])</f>
        <v>77897</v>
      </c>
      <c r="F2378" s="2">
        <v>327707</v>
      </c>
      <c r="G2378" t="s">
        <v>18</v>
      </c>
      <c r="H2378">
        <f>F2378/Tabla2[[#This Row],[Cosecha Mensual]]</f>
        <v>4.2069270960370746</v>
      </c>
      <c r="I2378">
        <f>H2378*_xlfn.XLOOKUP(Tabla2[[#This Row],[Unidad de producción]],Tabla3[Medida],Tabla3[Equivalencia en Kg],"ELVIS",0)</f>
        <v>190.82621307624171</v>
      </c>
      <c r="J2378">
        <v>2030.5749335350199</v>
      </c>
      <c r="K2378" t="s">
        <v>19</v>
      </c>
      <c r="L2378">
        <f>J2378/_xlfn.XLOOKUP(Tabla2[[#This Row],[Unidad de precio]],Tabla3[Medida],Tabla3[Equivalencia en Kg],"ELVIS",0)</f>
        <v>18.459772123045635</v>
      </c>
      <c r="M2378">
        <v>5924.25478252843</v>
      </c>
      <c r="N2378" s="2">
        <f>(Tabla2[[#This Row],[Productividad (kg/TAS)]]*Tabla2[[#This Row],[Precio por kg]]-Tabla2[[#This Row],[Costos (En RD$/Tarea)]])</f>
        <v>-2401.6463740372569</v>
      </c>
      <c r="O2378" s="6">
        <f>IF(Tabla2[[#This Row],[Costos (En RD$/Tarea)]]=0,0,Tabla2[[#This Row],[Beneficio Neto  (En RD$/Tarea)]]/Tabla2[[#This Row],[Costos (En RD$/Tarea)]])</f>
        <v>-0.40539214841334881</v>
      </c>
      <c r="P2378" s="4">
        <f>Tabla2[[#This Row],[Rentabilidad (%)]]/12</f>
        <v>-3.3782679034445734E-2</v>
      </c>
    </row>
    <row r="2379" spans="1:16" x14ac:dyDescent="0.35">
      <c r="A2379" s="1">
        <v>42552</v>
      </c>
      <c r="B2379" t="s">
        <v>20</v>
      </c>
      <c r="C2379" s="2">
        <v>34911</v>
      </c>
      <c r="D2379" s="5" t="s">
        <v>17</v>
      </c>
      <c r="E2379" s="2">
        <f>IF(Tabla2[[#This Row],[Frecuencia]]="Annual", Tabla2[[#This Row],[Cosecha/Tarea]]/12,Tabla2[[#This Row],[Cosecha/Tarea]])</f>
        <v>34911</v>
      </c>
      <c r="F2379" s="2">
        <v>72736</v>
      </c>
      <c r="G2379" t="s">
        <v>18</v>
      </c>
      <c r="H2379">
        <f>F2379/Tabla2[[#This Row],[Cosecha Mensual]]</f>
        <v>2.0834693936008706</v>
      </c>
      <c r="I2379">
        <f>H2379*_xlfn.XLOOKUP(Tabla2[[#This Row],[Unidad de producción]],Tabla3[Medida],Tabla3[Equivalencia en Kg],"ELVIS",0)</f>
        <v>94.506171693735482</v>
      </c>
      <c r="J2379">
        <v>784.12760416666697</v>
      </c>
      <c r="K2379" t="s">
        <v>18</v>
      </c>
      <c r="L2379">
        <f>J2379/_xlfn.XLOOKUP(Tabla2[[#This Row],[Unidad de precio]],Tabla3[Medida],Tabla3[Equivalencia en Kg],"ELVIS",0)</f>
        <v>17.286763760288071</v>
      </c>
      <c r="M2379">
        <v>2463.2928983520001</v>
      </c>
      <c r="N2379" s="2">
        <f>(Tabla2[[#This Row],[Productividad (kg/TAS)]]*Tabla2[[#This Row],[Precio por kg]]-Tabla2[[#This Row],[Costos (En RD$/Tarea)]])</f>
        <v>-829.58703439317128</v>
      </c>
      <c r="O2379" s="6">
        <f>IF(Tabla2[[#This Row],[Costos (En RD$/Tarea)]]=0,0,Tabla2[[#This Row],[Beneficio Neto  (En RD$/Tarea)]]/Tabla2[[#This Row],[Costos (En RD$/Tarea)]])</f>
        <v>-0.33677969637641719</v>
      </c>
      <c r="P2379" s="4">
        <f>Tabla2[[#This Row],[Rentabilidad (%)]]/12</f>
        <v>-2.8064974698034765E-2</v>
      </c>
    </row>
    <row r="2380" spans="1:16" x14ac:dyDescent="0.35">
      <c r="A2380" s="1">
        <v>42552</v>
      </c>
      <c r="B2380" t="s">
        <v>21</v>
      </c>
      <c r="C2380" s="2">
        <v>7544</v>
      </c>
      <c r="D2380" s="5" t="s">
        <v>17</v>
      </c>
      <c r="E2380" s="2">
        <f>IF(Tabla2[[#This Row],[Frecuencia]]="Annual", Tabla2[[#This Row],[Cosecha/Tarea]]/12,Tabla2[[#This Row],[Cosecha/Tarea]])</f>
        <v>7544</v>
      </c>
      <c r="F2380" s="2">
        <v>91446</v>
      </c>
      <c r="G2380" t="s">
        <v>18</v>
      </c>
      <c r="H2380">
        <f>F2380/Tabla2[[#This Row],[Cosecha Mensual]]</f>
        <v>12.121686108165429</v>
      </c>
      <c r="I2380">
        <f>H2380*_xlfn.XLOOKUP(Tabla2[[#This Row],[Unidad de producción]],Tabla3[Medida],Tabla3[Equivalencia en Kg],"ELVIS",0)</f>
        <v>549.8396818663839</v>
      </c>
      <c r="J2380">
        <v>377.91979166666698</v>
      </c>
      <c r="K2380" t="s">
        <v>18</v>
      </c>
      <c r="L2380">
        <f>J2380/_xlfn.XLOOKUP(Tabla2[[#This Row],[Unidad de precio]],Tabla3[Medida],Tabla3[Equivalencia en Kg],"ELVIS",0)</f>
        <v>8.3315650720164687</v>
      </c>
      <c r="M2380">
        <v>4713.6874381607504</v>
      </c>
      <c r="N2380" s="2">
        <f>(Tabla2[[#This Row],[Productividad (kg/TAS)]]*Tabla2[[#This Row],[Precio por kg]]-Tabla2[[#This Row],[Costos (En RD$/Tarea)]])</f>
        <v>-132.66234951413935</v>
      </c>
      <c r="O2380" s="6">
        <f>IF(Tabla2[[#This Row],[Costos (En RD$/Tarea)]]=0,0,Tabla2[[#This Row],[Beneficio Neto  (En RD$/Tarea)]]/Tabla2[[#This Row],[Costos (En RD$/Tarea)]])</f>
        <v>-2.8144070062885485E-2</v>
      </c>
      <c r="P2380" s="4">
        <f>Tabla2[[#This Row],[Rentabilidad (%)]]/12</f>
        <v>-2.3453391719071236E-3</v>
      </c>
    </row>
    <row r="2381" spans="1:16" x14ac:dyDescent="0.35">
      <c r="A2381" s="1">
        <v>42552</v>
      </c>
      <c r="B2381" t="s">
        <v>22</v>
      </c>
      <c r="C2381" s="2">
        <v>6189</v>
      </c>
      <c r="D2381" s="5" t="s">
        <v>17</v>
      </c>
      <c r="E2381" s="2">
        <f>IF(Tabla2[[#This Row],[Frecuencia]]="Annual", Tabla2[[#This Row],[Cosecha/Tarea]]/12,Tabla2[[#This Row],[Cosecha/Tarea]])</f>
        <v>6189</v>
      </c>
      <c r="F2381" s="2">
        <v>60936</v>
      </c>
      <c r="G2381" t="s">
        <v>18</v>
      </c>
      <c r="H2381">
        <f>F2381/Tabla2[[#This Row],[Cosecha Mensual]]</f>
        <v>9.8458555501696559</v>
      </c>
      <c r="I2381">
        <f>H2381*_xlfn.XLOOKUP(Tabla2[[#This Row],[Unidad de producción]],Tabla3[Medida],Tabla3[Equivalencia en Kg],"ELVIS",0)</f>
        <v>446.60800775569561</v>
      </c>
      <c r="J2381">
        <v>1706.6726190476199</v>
      </c>
      <c r="K2381" t="s">
        <v>18</v>
      </c>
      <c r="L2381">
        <f>J2381/_xlfn.XLOOKUP(Tabla2[[#This Row],[Unidad de precio]],Tabla3[Medida],Tabla3[Equivalencia en Kg],"ELVIS",0)</f>
        <v>37.625057739145063</v>
      </c>
      <c r="M2381">
        <v>8550.1576563690305</v>
      </c>
      <c r="N2381" s="2">
        <f>(Tabla2[[#This Row],[Productividad (kg/TAS)]]*Tabla2[[#This Row],[Precio por kg]]-Tabla2[[#This Row],[Costos (En RD$/Tarea)]])</f>
        <v>8253.4944222035647</v>
      </c>
      <c r="O2381" s="6">
        <f>IF(Tabla2[[#This Row],[Costos (En RD$/Tarea)]]=0,0,Tabla2[[#This Row],[Beneficio Neto  (En RD$/Tarea)]]/Tabla2[[#This Row],[Costos (En RD$/Tarea)]])</f>
        <v>0.96530318549804972</v>
      </c>
      <c r="P2381" s="4">
        <f>Tabla2[[#This Row],[Rentabilidad (%)]]/12</f>
        <v>8.0441932124837481E-2</v>
      </c>
    </row>
    <row r="2382" spans="1:16" x14ac:dyDescent="0.35">
      <c r="A2382" s="1">
        <v>42552</v>
      </c>
      <c r="B2382" t="s">
        <v>23</v>
      </c>
      <c r="C2382" s="2">
        <v>2801</v>
      </c>
      <c r="D2382" s="5" t="s">
        <v>17</v>
      </c>
      <c r="E2382" s="2">
        <f>IF(Tabla2[[#This Row],[Frecuencia]]="Annual", Tabla2[[#This Row],[Cosecha/Tarea]]/12,Tabla2[[#This Row],[Cosecha/Tarea]])</f>
        <v>2801</v>
      </c>
      <c r="F2382" s="2">
        <v>107698</v>
      </c>
      <c r="G2382" t="s">
        <v>18</v>
      </c>
      <c r="H2382">
        <f>F2382/Tabla2[[#This Row],[Cosecha Mensual]]</f>
        <v>38.449839343091753</v>
      </c>
      <c r="I2382">
        <f>H2382*_xlfn.XLOOKUP(Tabla2[[#This Row],[Unidad de producción]],Tabla3[Medida],Tabla3[Equivalencia en Kg],"ELVIS",0)</f>
        <v>1744.084712602642</v>
      </c>
      <c r="J2382">
        <v>914.58333333333303</v>
      </c>
      <c r="K2382" t="s">
        <v>18</v>
      </c>
      <c r="L2382">
        <f>J2382/_xlfn.XLOOKUP(Tabla2[[#This Row],[Unidad de precio]],Tabla3[Medida],Tabla3[Equivalencia en Kg],"ELVIS",0)</f>
        <v>20.162771898883005</v>
      </c>
      <c r="M2382">
        <v>23192.17</v>
      </c>
      <c r="N2382" s="2">
        <f>(Tabla2[[#This Row],[Productividad (kg/TAS)]]*Tabla2[[#This Row],[Precio por kg]]-Tabla2[[#This Row],[Costos (En RD$/Tarea)]])</f>
        <v>11973.412232535993</v>
      </c>
      <c r="O2382" s="6">
        <f>IF(Tabla2[[#This Row],[Costos (En RD$/Tarea)]]=0,0,Tabla2[[#This Row],[Beneficio Neto  (En RD$/Tarea)]]/Tabla2[[#This Row],[Costos (En RD$/Tarea)]])</f>
        <v>0.51626959583928511</v>
      </c>
      <c r="P2382" s="4">
        <f>Tabla2[[#This Row],[Rentabilidad (%)]]/12</f>
        <v>4.3022466319940424E-2</v>
      </c>
    </row>
    <row r="2383" spans="1:16" x14ac:dyDescent="0.35">
      <c r="A2383" s="1">
        <v>42552</v>
      </c>
      <c r="B2383" t="s">
        <v>24</v>
      </c>
      <c r="C2383" s="2">
        <v>5201</v>
      </c>
      <c r="D2383" s="5" t="s">
        <v>17</v>
      </c>
      <c r="E2383" s="2">
        <f>IF(Tabla2[[#This Row],[Frecuencia]]="Annual", Tabla2[[#This Row],[Cosecha/Tarea]]/12,Tabla2[[#This Row],[Cosecha/Tarea]])</f>
        <v>5201</v>
      </c>
      <c r="F2383" s="2">
        <v>50124</v>
      </c>
      <c r="G2383" t="s">
        <v>18</v>
      </c>
      <c r="H2383">
        <f>F2383/Tabla2[[#This Row],[Cosecha Mensual]]</f>
        <v>9.637377427417805</v>
      </c>
      <c r="I2383">
        <f>H2383*_xlfn.XLOOKUP(Tabla2[[#This Row],[Unidad de producción]],Tabla3[Medida],Tabla3[Equivalencia en Kg],"ELVIS",0)</f>
        <v>437.15144010767165</v>
      </c>
      <c r="J2383">
        <v>2202.59375</v>
      </c>
      <c r="K2383" t="s">
        <v>18</v>
      </c>
      <c r="L2383">
        <f>J2383/_xlfn.XLOOKUP(Tabla2[[#This Row],[Unidad de precio]],Tabla3[Medida],Tabla3[Equivalencia en Kg],"ELVIS",0)</f>
        <v>48.558063271604937</v>
      </c>
      <c r="M2383">
        <v>8705.1562241280008</v>
      </c>
      <c r="N2383" s="2">
        <f>(Tabla2[[#This Row],[Productividad (kg/TAS)]]*Tabla2[[#This Row],[Precio por kg]]-Tabla2[[#This Row],[Costos (En RD$/Tarea)]])</f>
        <v>12522.071063893534</v>
      </c>
      <c r="O2383" s="6">
        <f>IF(Tabla2[[#This Row],[Costos (En RD$/Tarea)]]=0,0,Tabla2[[#This Row],[Beneficio Neto  (En RD$/Tarea)]]/Tabla2[[#This Row],[Costos (En RD$/Tarea)]])</f>
        <v>1.438465978265413</v>
      </c>
      <c r="P2383" s="4">
        <f>Tabla2[[#This Row],[Rentabilidad (%)]]/12</f>
        <v>0.11987216485545109</v>
      </c>
    </row>
    <row r="2384" spans="1:16" x14ac:dyDescent="0.35">
      <c r="A2384" s="1">
        <v>42552</v>
      </c>
      <c r="B2384" t="s">
        <v>25</v>
      </c>
      <c r="C2384" s="2">
        <v>24578</v>
      </c>
      <c r="D2384" s="5" t="s">
        <v>17</v>
      </c>
      <c r="E2384" s="2">
        <f>IF(Tabla2[[#This Row],[Frecuencia]]="Annual", Tabla2[[#This Row],[Cosecha/Tarea]]/12,Tabla2[[#This Row],[Cosecha/Tarea]])</f>
        <v>24578</v>
      </c>
      <c r="F2384" s="2">
        <v>245651</v>
      </c>
      <c r="G2384" t="s">
        <v>18</v>
      </c>
      <c r="H2384">
        <f>F2384/Tabla2[[#This Row],[Cosecha Mensual]]</f>
        <v>9.9947514036943605</v>
      </c>
      <c r="I2384">
        <f>H2384*_xlfn.XLOOKUP(Tabla2[[#This Row],[Unidad de producción]],Tabla3[Medida],Tabla3[Equivalencia en Kg],"ELVIS",0)</f>
        <v>453.36192367157616</v>
      </c>
      <c r="J2384">
        <v>858.65277777777806</v>
      </c>
      <c r="K2384" t="s">
        <v>18</v>
      </c>
      <c r="L2384">
        <f>J2384/_xlfn.XLOOKUP(Tabla2[[#This Row],[Unidad de precio]],Tabla3[Medida],Tabla3[Equivalencia en Kg],"ELVIS",0)</f>
        <v>18.929734959827559</v>
      </c>
      <c r="M2384">
        <v>4784.7627198809196</v>
      </c>
      <c r="N2384" s="2">
        <f>(Tabla2[[#This Row],[Productividad (kg/TAS)]]*Tabla2[[#This Row],[Precio por kg]]-Tabla2[[#This Row],[Costos (En RD$/Tarea)]])</f>
        <v>3797.2583360995895</v>
      </c>
      <c r="O2384" s="6">
        <f>IF(Tabla2[[#This Row],[Costos (En RD$/Tarea)]]=0,0,Tabla2[[#This Row],[Beneficio Neto  (En RD$/Tarea)]]/Tabla2[[#This Row],[Costos (En RD$/Tarea)]])</f>
        <v>0.79361476386734875</v>
      </c>
      <c r="P2384" s="4">
        <f>Tabla2[[#This Row],[Rentabilidad (%)]]/12</f>
        <v>6.6134563655612391E-2</v>
      </c>
    </row>
    <row r="2385" spans="1:16" x14ac:dyDescent="0.35">
      <c r="A2385" s="1">
        <v>42552</v>
      </c>
      <c r="B2385" t="s">
        <v>26</v>
      </c>
      <c r="C2385" s="2">
        <v>9021</v>
      </c>
      <c r="D2385" s="5" t="s">
        <v>17</v>
      </c>
      <c r="E2385" s="2">
        <f>IF(Tabla2[[#This Row],[Frecuencia]]="Annual", Tabla2[[#This Row],[Cosecha/Tarea]]/12,Tabla2[[#This Row],[Cosecha/Tarea]])</f>
        <v>9021</v>
      </c>
      <c r="F2385" s="2">
        <v>47530</v>
      </c>
      <c r="G2385" t="s">
        <v>18</v>
      </c>
      <c r="H2385">
        <f>F2385/Tabla2[[#This Row],[Cosecha Mensual]]</f>
        <v>5.268817204301075</v>
      </c>
      <c r="I2385">
        <f>H2385*_xlfn.XLOOKUP(Tabla2[[#This Row],[Unidad de producción]],Tabla3[Medida],Tabla3[Equivalencia en Kg],"ELVIS",0)</f>
        <v>238.99354838709675</v>
      </c>
      <c r="J2385">
        <v>801.67361111111097</v>
      </c>
      <c r="K2385" t="s">
        <v>18</v>
      </c>
      <c r="L2385">
        <f>J2385/_xlfn.XLOOKUP(Tabla2[[#This Row],[Unidad de precio]],Tabla3[Medida],Tabla3[Equivalencia en Kg],"ELVIS",0)</f>
        <v>17.673580491867526</v>
      </c>
      <c r="M2385">
        <v>1888.4301162085201</v>
      </c>
      <c r="N2385" s="2">
        <f>(Tabla2[[#This Row],[Productividad (kg/TAS)]]*Tabla2[[#This Row],[Precio por kg]]-Tabla2[[#This Row],[Costos (En RD$/Tarea)]])</f>
        <v>2335.4415982478704</v>
      </c>
      <c r="O2385" s="6">
        <f>IF(Tabla2[[#This Row],[Costos (En RD$/Tarea)]]=0,0,Tabla2[[#This Row],[Beneficio Neto  (En RD$/Tarea)]]/Tabla2[[#This Row],[Costos (En RD$/Tarea)]])</f>
        <v>1.2367106297461692</v>
      </c>
      <c r="P2385" s="4">
        <f>Tabla2[[#This Row],[Rentabilidad (%)]]/12</f>
        <v>0.10305921914551409</v>
      </c>
    </row>
    <row r="2386" spans="1:16" x14ac:dyDescent="0.35">
      <c r="A2386" s="1">
        <v>42552</v>
      </c>
      <c r="B2386" t="s">
        <v>27</v>
      </c>
      <c r="C2386" s="2">
        <v>4102</v>
      </c>
      <c r="D2386" s="5" t="s">
        <v>17</v>
      </c>
      <c r="E2386" s="2">
        <f>IF(Tabla2[[#This Row],[Frecuencia]]="Annual", Tabla2[[#This Row],[Cosecha/Tarea]]/12,Tabla2[[#This Row],[Cosecha/Tarea]])</f>
        <v>4102</v>
      </c>
      <c r="F2386" s="2">
        <v>39874</v>
      </c>
      <c r="G2386" t="s">
        <v>18</v>
      </c>
      <c r="H2386">
        <f>F2386/Tabla2[[#This Row],[Cosecha Mensual]]</f>
        <v>9.7206240858117994</v>
      </c>
      <c r="I2386">
        <f>H2386*_xlfn.XLOOKUP(Tabla2[[#This Row],[Unidad de producción]],Tabla3[Medida],Tabla3[Equivalencia en Kg],"ELVIS",0)</f>
        <v>440.92750853242319</v>
      </c>
      <c r="J2386">
        <v>577.89880952380895</v>
      </c>
      <c r="K2386" t="s">
        <v>18</v>
      </c>
      <c r="L2386">
        <f>J2386/_xlfn.XLOOKUP(Tabla2[[#This Row],[Unidad de precio]],Tabla3[Medida],Tabla3[Equivalencia en Kg],"ELVIS",0)</f>
        <v>12.740273578567217</v>
      </c>
      <c r="M2386">
        <v>8287.288275158</v>
      </c>
      <c r="N2386" s="2">
        <f>(Tabla2[[#This Row],[Productividad (kg/TAS)]]*Tabla2[[#This Row],[Precio por kg]]-Tabla2[[#This Row],[Costos (En RD$/Tarea)]])</f>
        <v>-2669.7511881388973</v>
      </c>
      <c r="O2386" s="6">
        <f>IF(Tabla2[[#This Row],[Costos (En RD$/Tarea)]]=0,0,Tabla2[[#This Row],[Beneficio Neto  (En RD$/Tarea)]]/Tabla2[[#This Row],[Costos (En RD$/Tarea)]])</f>
        <v>-0.32215015328255825</v>
      </c>
      <c r="P2386" s="4">
        <f>Tabla2[[#This Row],[Rentabilidad (%)]]/12</f>
        <v>-2.6845846106879855E-2</v>
      </c>
    </row>
    <row r="2387" spans="1:16" x14ac:dyDescent="0.35">
      <c r="A2387" s="1">
        <v>42552</v>
      </c>
      <c r="B2387" t="s">
        <v>28</v>
      </c>
      <c r="C2387" s="2">
        <v>27801</v>
      </c>
      <c r="D2387" s="5" t="s">
        <v>17</v>
      </c>
      <c r="E2387" s="2">
        <f>IF(Tabla2[[#This Row],[Frecuencia]]="Annual", Tabla2[[#This Row],[Cosecha/Tarea]]/12,Tabla2[[#This Row],[Cosecha/Tarea]])</f>
        <v>27801</v>
      </c>
      <c r="F2387" s="2">
        <v>972288</v>
      </c>
      <c r="G2387" t="s">
        <v>18</v>
      </c>
      <c r="H2387">
        <f>F2387/Tabla2[[#This Row],[Cosecha Mensual]]</f>
        <v>34.973130462932986</v>
      </c>
      <c r="I2387">
        <f>H2387*_xlfn.XLOOKUP(Tabla2[[#This Row],[Unidad de producción]],Tabla3[Medida],Tabla3[Equivalencia en Kg],"ELVIS",0)</f>
        <v>1586.3811977986402</v>
      </c>
      <c r="J2387">
        <v>3738.0791203703702</v>
      </c>
      <c r="K2387" t="s">
        <v>29</v>
      </c>
      <c r="L2387">
        <f>J2387/_xlfn.XLOOKUP(Tabla2[[#This Row],[Unidad de precio]],Tabla3[Medida],Tabla3[Equivalencia en Kg],"ELVIS",0)</f>
        <v>6.647364797756464</v>
      </c>
      <c r="M2387">
        <v>7046.2499107967797</v>
      </c>
      <c r="N2387" s="2">
        <f>(Tabla2[[#This Row],[Productividad (kg/TAS)]]*Tabla2[[#This Row],[Precio por kg]]-Tabla2[[#This Row],[Costos (En RD$/Tarea)]])</f>
        <v>3499.004619272635</v>
      </c>
      <c r="O2387" s="6">
        <f>IF(Tabla2[[#This Row],[Costos (En RD$/Tarea)]]=0,0,Tabla2[[#This Row],[Beneficio Neto  (En RD$/Tarea)]]/Tabla2[[#This Row],[Costos (En RD$/Tarea)]])</f>
        <v>0.49657685486164832</v>
      </c>
      <c r="P2387" s="4">
        <f>Tabla2[[#This Row],[Rentabilidad (%)]]/12</f>
        <v>4.1381404571804024E-2</v>
      </c>
    </row>
    <row r="2388" spans="1:16" x14ac:dyDescent="0.35">
      <c r="A2388" s="1">
        <v>42552</v>
      </c>
      <c r="B2388" t="s">
        <v>30</v>
      </c>
      <c r="C2388" s="2">
        <v>435214</v>
      </c>
      <c r="D2388" s="2" t="s">
        <v>31</v>
      </c>
      <c r="E2388" s="2">
        <f>IF(Tabla2[[#This Row],[Frecuencia]]="Annual", Tabla2[[#This Row],[Cosecha/Tarea]]/12,Tabla2[[#This Row],[Cosecha/Tarea]])</f>
        <v>36267.833333333336</v>
      </c>
      <c r="F2388" s="2">
        <v>2291933.4</v>
      </c>
      <c r="G2388" t="s">
        <v>18</v>
      </c>
      <c r="H2388">
        <f>F2388/Tabla2[[#This Row],[Cosecha Mensual]]</f>
        <v>63.194660098250509</v>
      </c>
      <c r="I2388">
        <f>H2388*_xlfn.XLOOKUP(Tabla2[[#This Row],[Unidad de producción]],Tabla3[Medida],Tabla3[Equivalencia en Kg],"ELVIS",0)</f>
        <v>2866.509782056643</v>
      </c>
      <c r="J2388">
        <v>160.01718750000001</v>
      </c>
      <c r="K2388" t="s">
        <v>32</v>
      </c>
      <c r="L2388">
        <f>J2388/_xlfn.XLOOKUP(Tabla2[[#This Row],[Unidad de precio]],Tabla3[Medida],Tabla3[Equivalencia en Kg],"ELVIS",0)</f>
        <v>5.8808227673649398</v>
      </c>
      <c r="M2388" s="2">
        <v>31633.940308743</v>
      </c>
      <c r="N2388" s="2">
        <f>(Tabla2[[#This Row],[Productividad (kg/TAS)]]*Tabla2[[#This Row],[Precio por kg]]-Tabla2[[#This Row],[Costos (En RD$/Tarea)]])</f>
        <v>-14776.504319549982</v>
      </c>
      <c r="O2388" s="6">
        <f>IF(Tabla2[[#This Row],[Costos (En RD$/Tarea)]]=0,0,Tabla2[[#This Row],[Beneficio Neto  (En RD$/Tarea)]]/Tabla2[[#This Row],[Costos (En RD$/Tarea)]])</f>
        <v>-0.46710919270041257</v>
      </c>
      <c r="P2388" s="4">
        <f>Tabla2[[#This Row],[Rentabilidad (%)]]/12</f>
        <v>-3.8925766058367714E-2</v>
      </c>
    </row>
    <row r="2389" spans="1:16" x14ac:dyDescent="0.35">
      <c r="A2389" s="1">
        <v>42552</v>
      </c>
      <c r="B2389" t="s">
        <v>33</v>
      </c>
      <c r="C2389" s="2">
        <v>781040</v>
      </c>
      <c r="D2389" s="2" t="s">
        <v>31</v>
      </c>
      <c r="E2389" s="2">
        <f>IF(Tabla2[[#This Row],[Frecuencia]]="Annual", Tabla2[[#This Row],[Cosecha/Tarea]]/12,Tabla2[[#This Row],[Cosecha/Tarea]])</f>
        <v>65086.666666666664</v>
      </c>
      <c r="F2389" s="2">
        <v>1917162</v>
      </c>
      <c r="G2389" t="s">
        <v>18</v>
      </c>
      <c r="H2389">
        <f>F2389/Tabla2[[#This Row],[Cosecha Mensual]]</f>
        <v>29.455525965379493</v>
      </c>
      <c r="I2389">
        <f>H2389*_xlfn.XLOOKUP(Tabla2[[#This Row],[Unidad de producción]],Tabla3[Medida],Tabla3[Equivalencia en Kg],"ELVIS",0)</f>
        <v>1336.1026577896139</v>
      </c>
      <c r="J2389">
        <v>5603.3177083333303</v>
      </c>
      <c r="K2389" t="s">
        <v>34</v>
      </c>
      <c r="L2389">
        <f>J2389/_xlfn.XLOOKUP(Tabla2[[#This Row],[Unidad de precio]],Tabla3[Medida],Tabla3[Equivalencia en Kg],"ELVIS",0)</f>
        <v>13.728574564089993</v>
      </c>
      <c r="M2389" s="2">
        <v>19988.821444047899</v>
      </c>
      <c r="N2389" s="2">
        <f>(Tabla2[[#This Row],[Productividad (kg/TAS)]]*Tabla2[[#This Row],[Precio por kg]]-Tabla2[[#This Row],[Costos (En RD$/Tarea)]])</f>
        <v>-1646.0364813043707</v>
      </c>
      <c r="O2389" s="6">
        <f>IF(Tabla2[[#This Row],[Costos (En RD$/Tarea)]]=0,0,Tabla2[[#This Row],[Beneficio Neto  (En RD$/Tarea)]]/Tabla2[[#This Row],[Costos (En RD$/Tarea)]])</f>
        <v>-8.2347850567974001E-2</v>
      </c>
      <c r="P2389" s="4">
        <f>Tabla2[[#This Row],[Rentabilidad (%)]]/12</f>
        <v>-6.8623208806645004E-3</v>
      </c>
    </row>
    <row r="2390" spans="1:16" x14ac:dyDescent="0.35">
      <c r="A2390" s="1">
        <v>42583</v>
      </c>
      <c r="B2390" t="s">
        <v>16</v>
      </c>
      <c r="C2390" s="2">
        <v>138612</v>
      </c>
      <c r="D2390" s="5" t="s">
        <v>17</v>
      </c>
      <c r="E2390" s="2">
        <f>IF(Tabla2[[#This Row],[Frecuencia]]="Annual", Tabla2[[#This Row],[Cosecha/Tarea]]/12,Tabla2[[#This Row],[Cosecha/Tarea]])</f>
        <v>138612</v>
      </c>
      <c r="F2390" s="2">
        <v>560173</v>
      </c>
      <c r="G2390" t="s">
        <v>18</v>
      </c>
      <c r="H2390">
        <f>F2390/Tabla2[[#This Row],[Cosecha Mensual]]</f>
        <v>4.0413023403457133</v>
      </c>
      <c r="I2390">
        <f>H2390*_xlfn.XLOOKUP(Tabla2[[#This Row],[Unidad de producción]],Tabla3[Medida],Tabla3[Equivalencia en Kg],"ELVIS",0)</f>
        <v>183.31347415808156</v>
      </c>
      <c r="J2390">
        <v>1996.70803080308</v>
      </c>
      <c r="K2390" t="s">
        <v>19</v>
      </c>
      <c r="L2390">
        <f>J2390/_xlfn.XLOOKUP(Tabla2[[#This Row],[Unidad de precio]],Tabla3[Medida],Tabla3[Equivalencia en Kg],"ELVIS",0)</f>
        <v>18.15189118911891</v>
      </c>
      <c r="M2390">
        <v>5924.25478252843</v>
      </c>
      <c r="N2390" s="2">
        <f>(Tabla2[[#This Row],[Productividad (kg/TAS)]]*Tabla2[[#This Row],[Precio por kg]]-Tabla2[[#This Row],[Costos (En RD$/Tarea)]])</f>
        <v>-2596.7685461115725</v>
      </c>
      <c r="O2390" s="6">
        <f>IF(Tabla2[[#This Row],[Costos (En RD$/Tarea)]]=0,0,Tabla2[[#This Row],[Beneficio Neto  (En RD$/Tarea)]]/Tabla2[[#This Row],[Costos (En RD$/Tarea)]])</f>
        <v>-0.43832830312596549</v>
      </c>
      <c r="P2390" s="4">
        <f>Tabla2[[#This Row],[Rentabilidad (%)]]/12</f>
        <v>-3.652735859383046E-2</v>
      </c>
    </row>
    <row r="2391" spans="1:16" x14ac:dyDescent="0.35">
      <c r="A2391" s="1">
        <v>42583</v>
      </c>
      <c r="B2391" t="s">
        <v>20</v>
      </c>
      <c r="C2391" s="2">
        <v>36545</v>
      </c>
      <c r="D2391" s="5" t="s">
        <v>17</v>
      </c>
      <c r="E2391" s="2">
        <f>IF(Tabla2[[#This Row],[Frecuencia]]="Annual", Tabla2[[#This Row],[Cosecha/Tarea]]/12,Tabla2[[#This Row],[Cosecha/Tarea]])</f>
        <v>36545</v>
      </c>
      <c r="F2391" s="2">
        <v>72491</v>
      </c>
      <c r="G2391" t="s">
        <v>18</v>
      </c>
      <c r="H2391">
        <f>F2391/Tabla2[[#This Row],[Cosecha Mensual]]</f>
        <v>1.9836092488712547</v>
      </c>
      <c r="I2391">
        <f>H2391*_xlfn.XLOOKUP(Tabla2[[#This Row],[Unidad de producción]],Tabla3[Medida],Tabla3[Equivalencia en Kg],"ELVIS",0)</f>
        <v>89.976515528800107</v>
      </c>
      <c r="J2391">
        <v>775.23645833333296</v>
      </c>
      <c r="K2391" t="s">
        <v>18</v>
      </c>
      <c r="L2391">
        <f>J2391/_xlfn.XLOOKUP(Tabla2[[#This Row],[Unidad de precio]],Tabla3[Medida],Tabla3[Equivalencia en Kg],"ELVIS",0)</f>
        <v>17.090750845091115</v>
      </c>
      <c r="M2391">
        <v>2463.2928983520001</v>
      </c>
      <c r="N2391" s="2">
        <f>(Tabla2[[#This Row],[Productividad (kg/TAS)]]*Tabla2[[#This Row],[Precio por kg]]-Tabla2[[#This Row],[Costos (En RD$/Tarea)]])</f>
        <v>-925.52668953980583</v>
      </c>
      <c r="O2391" s="6">
        <f>IF(Tabla2[[#This Row],[Costos (En RD$/Tarea)]]=0,0,Tabla2[[#This Row],[Beneficio Neto  (En RD$/Tarea)]]/Tabla2[[#This Row],[Costos (En RD$/Tarea)]])</f>
        <v>-0.37572742167973794</v>
      </c>
      <c r="P2391" s="4">
        <f>Tabla2[[#This Row],[Rentabilidad (%)]]/12</f>
        <v>-3.1310618473311493E-2</v>
      </c>
    </row>
    <row r="2392" spans="1:16" x14ac:dyDescent="0.35">
      <c r="A2392" s="1">
        <v>42583</v>
      </c>
      <c r="B2392" t="s">
        <v>21</v>
      </c>
      <c r="C2392" s="2">
        <v>5838</v>
      </c>
      <c r="D2392" s="5" t="s">
        <v>17</v>
      </c>
      <c r="E2392" s="2">
        <f>IF(Tabla2[[#This Row],[Frecuencia]]="Annual", Tabla2[[#This Row],[Cosecha/Tarea]]/12,Tabla2[[#This Row],[Cosecha/Tarea]])</f>
        <v>5838</v>
      </c>
      <c r="F2392" s="2">
        <v>73013</v>
      </c>
      <c r="G2392" t="s">
        <v>18</v>
      </c>
      <c r="H2392">
        <f>F2392/Tabla2[[#This Row],[Cosecha Mensual]]</f>
        <v>12.506509078451524</v>
      </c>
      <c r="I2392">
        <f>H2392*_xlfn.XLOOKUP(Tabla2[[#This Row],[Unidad de producción]],Tabla3[Medida],Tabla3[Equivalencia en Kg],"ELVIS",0)</f>
        <v>567.29525179856114</v>
      </c>
      <c r="J2392">
        <v>429.87036458333301</v>
      </c>
      <c r="K2392" t="s">
        <v>18</v>
      </c>
      <c r="L2392">
        <f>J2392/_xlfn.XLOOKUP(Tabla2[[#This Row],[Unidad de precio]],Tabla3[Medida],Tabla3[Equivalencia en Kg],"ELVIS",0)</f>
        <v>9.4768598894032845</v>
      </c>
      <c r="M2392">
        <v>4713.6874381607504</v>
      </c>
      <c r="N2392" s="2">
        <f>(Tabla2[[#This Row],[Productividad (kg/TAS)]]*Tabla2[[#This Row],[Precio por kg]]-Tabla2[[#This Row],[Costos (En RD$/Tarea)]])</f>
        <v>662.49017905796973</v>
      </c>
      <c r="O2392" s="6">
        <f>IF(Tabla2[[#This Row],[Costos (En RD$/Tarea)]]=0,0,Tabla2[[#This Row],[Beneficio Neto  (En RD$/Tarea)]]/Tabla2[[#This Row],[Costos (En RD$/Tarea)]])</f>
        <v>0.14054605608649967</v>
      </c>
      <c r="P2392" s="4">
        <f>Tabla2[[#This Row],[Rentabilidad (%)]]/12</f>
        <v>1.1712171340541639E-2</v>
      </c>
    </row>
    <row r="2393" spans="1:16" x14ac:dyDescent="0.35">
      <c r="A2393" s="1">
        <v>42583</v>
      </c>
      <c r="B2393" t="s">
        <v>22</v>
      </c>
      <c r="C2393" s="2">
        <v>4014</v>
      </c>
      <c r="D2393" s="5" t="s">
        <v>17</v>
      </c>
      <c r="E2393" s="2">
        <f>IF(Tabla2[[#This Row],[Frecuencia]]="Annual", Tabla2[[#This Row],[Cosecha/Tarea]]/12,Tabla2[[#This Row],[Cosecha/Tarea]])</f>
        <v>4014</v>
      </c>
      <c r="F2393" s="2">
        <v>30159</v>
      </c>
      <c r="G2393" t="s">
        <v>18</v>
      </c>
      <c r="H2393">
        <f>F2393/Tabla2[[#This Row],[Cosecha Mensual]]</f>
        <v>7.5134529147982061</v>
      </c>
      <c r="I2393">
        <f>H2393*_xlfn.XLOOKUP(Tabla2[[#This Row],[Unidad de producción]],Tabla3[Medida],Tabla3[Equivalencia en Kg],"ELVIS",0)</f>
        <v>340.81022421524665</v>
      </c>
      <c r="J2393">
        <v>1579.8541666666699</v>
      </c>
      <c r="K2393" t="s">
        <v>18</v>
      </c>
      <c r="L2393">
        <f>J2393/_xlfn.XLOOKUP(Tabla2[[#This Row],[Unidad de precio]],Tabla3[Medida],Tabla3[Equivalencia en Kg],"ELVIS",0)</f>
        <v>34.829236478542107</v>
      </c>
      <c r="M2393">
        <v>8550.1576563690305</v>
      </c>
      <c r="N2393" s="2">
        <f>(Tabla2[[#This Row],[Productividad (kg/TAS)]]*Tabla2[[#This Row],[Precio por kg]]-Tabla2[[#This Row],[Costos (En RD$/Tarea)]])</f>
        <v>3320.0022371287523</v>
      </c>
      <c r="O2393" s="6">
        <f>IF(Tabla2[[#This Row],[Costos (En RD$/Tarea)]]=0,0,Tabla2[[#This Row],[Beneficio Neto  (En RD$/Tarea)]]/Tabla2[[#This Row],[Costos (En RD$/Tarea)]])</f>
        <v>0.38829719527518602</v>
      </c>
      <c r="P2393" s="4">
        <f>Tabla2[[#This Row],[Rentabilidad (%)]]/12</f>
        <v>3.2358099606265504E-2</v>
      </c>
    </row>
    <row r="2394" spans="1:16" x14ac:dyDescent="0.35">
      <c r="A2394" s="1">
        <v>42583</v>
      </c>
      <c r="B2394" t="s">
        <v>23</v>
      </c>
      <c r="C2394" s="2">
        <v>2698</v>
      </c>
      <c r="D2394" s="5" t="s">
        <v>17</v>
      </c>
      <c r="E2394" s="2">
        <f>IF(Tabla2[[#This Row],[Frecuencia]]="Annual", Tabla2[[#This Row],[Cosecha/Tarea]]/12,Tabla2[[#This Row],[Cosecha/Tarea]])</f>
        <v>2698</v>
      </c>
      <c r="F2394" s="2">
        <v>104210</v>
      </c>
      <c r="G2394" t="s">
        <v>18</v>
      </c>
      <c r="H2394">
        <f>F2394/Tabla2[[#This Row],[Cosecha Mensual]]</f>
        <v>38.624907338769461</v>
      </c>
      <c r="I2394">
        <f>H2394*_xlfn.XLOOKUP(Tabla2[[#This Row],[Unidad de producción]],Tabla3[Medida],Tabla3[Equivalencia en Kg],"ELVIS",0)</f>
        <v>1752.0257968865826</v>
      </c>
      <c r="J2394">
        <v>987.5</v>
      </c>
      <c r="K2394" t="s">
        <v>18</v>
      </c>
      <c r="L2394">
        <f>J2394/_xlfn.XLOOKUP(Tabla2[[#This Row],[Unidad de precio]],Tabla3[Medida],Tabla3[Equivalencia en Kg],"ELVIS",0)</f>
        <v>21.770282186948855</v>
      </c>
      <c r="M2394">
        <v>23192.17</v>
      </c>
      <c r="N2394" s="2">
        <f>(Tabla2[[#This Row],[Productividad (kg/TAS)]]*Tabla2[[#This Row],[Precio por kg]]-Tabla2[[#This Row],[Costos (En RD$/Tarea)]])</f>
        <v>14949.925997034843</v>
      </c>
      <c r="O2394" s="6">
        <f>IF(Tabla2[[#This Row],[Costos (En RD$/Tarea)]]=0,0,Tabla2[[#This Row],[Beneficio Neto  (En RD$/Tarea)]]/Tabla2[[#This Row],[Costos (En RD$/Tarea)]])</f>
        <v>0.64461091812602456</v>
      </c>
      <c r="P2394" s="4">
        <f>Tabla2[[#This Row],[Rentabilidad (%)]]/12</f>
        <v>5.3717576510502046E-2</v>
      </c>
    </row>
    <row r="2395" spans="1:16" x14ac:dyDescent="0.35">
      <c r="A2395" s="1">
        <v>42583</v>
      </c>
      <c r="B2395" t="s">
        <v>24</v>
      </c>
      <c r="C2395" s="2">
        <v>4401</v>
      </c>
      <c r="D2395" s="5" t="s">
        <v>17</v>
      </c>
      <c r="E2395" s="2">
        <f>IF(Tabla2[[#This Row],[Frecuencia]]="Annual", Tabla2[[#This Row],[Cosecha/Tarea]]/12,Tabla2[[#This Row],[Cosecha/Tarea]])</f>
        <v>4401</v>
      </c>
      <c r="F2395" s="2">
        <v>47545</v>
      </c>
      <c r="G2395" t="s">
        <v>18</v>
      </c>
      <c r="H2395">
        <f>F2395/Tabla2[[#This Row],[Cosecha Mensual]]</f>
        <v>10.803226539422859</v>
      </c>
      <c r="I2395">
        <f>H2395*_xlfn.XLOOKUP(Tabla2[[#This Row],[Unidad de producción]],Tabla3[Medida],Tabla3[Equivalencia en Kg],"ELVIS",0)</f>
        <v>490.0343558282209</v>
      </c>
      <c r="J2395">
        <v>2091.5062499999999</v>
      </c>
      <c r="K2395" t="s">
        <v>18</v>
      </c>
      <c r="L2395">
        <f>J2395/_xlfn.XLOOKUP(Tabla2[[#This Row],[Unidad de precio]],Tabla3[Medida],Tabla3[Equivalencia en Kg],"ELVIS",0)</f>
        <v>46.10904431216931</v>
      </c>
      <c r="M2395">
        <v>8705.1562241280008</v>
      </c>
      <c r="N2395" s="2">
        <f>(Tabla2[[#This Row],[Productividad (kg/TAS)]]*Tabla2[[#This Row],[Precio por kg]]-Tabla2[[#This Row],[Costos (En RD$/Tarea)]])</f>
        <v>13889.85960324078</v>
      </c>
      <c r="O2395" s="6">
        <f>IF(Tabla2[[#This Row],[Costos (En RD$/Tarea)]]=0,0,Tabla2[[#This Row],[Beneficio Neto  (En RD$/Tarea)]]/Tabla2[[#This Row],[Costos (En RD$/Tarea)]])</f>
        <v>1.5955899291895974</v>
      </c>
      <c r="P2395" s="4">
        <f>Tabla2[[#This Row],[Rentabilidad (%)]]/12</f>
        <v>0.13296582743246646</v>
      </c>
    </row>
    <row r="2396" spans="1:16" x14ac:dyDescent="0.35">
      <c r="A2396" s="1">
        <v>42583</v>
      </c>
      <c r="B2396" t="s">
        <v>25</v>
      </c>
      <c r="C2396" s="2">
        <v>26541</v>
      </c>
      <c r="D2396" s="5" t="s">
        <v>17</v>
      </c>
      <c r="E2396" s="2">
        <f>IF(Tabla2[[#This Row],[Frecuencia]]="Annual", Tabla2[[#This Row],[Cosecha/Tarea]]/12,Tabla2[[#This Row],[Cosecha/Tarea]])</f>
        <v>26541</v>
      </c>
      <c r="F2396" s="2">
        <v>278047</v>
      </c>
      <c r="G2396" t="s">
        <v>18</v>
      </c>
      <c r="H2396">
        <f>F2396/Tabla2[[#This Row],[Cosecha Mensual]]</f>
        <v>10.476131268603293</v>
      </c>
      <c r="I2396">
        <f>H2396*_xlfn.XLOOKUP(Tabla2[[#This Row],[Unidad de producción]],Tabla3[Medida],Tabla3[Equivalencia en Kg],"ELVIS",0)</f>
        <v>475.19731434384539</v>
      </c>
      <c r="J2396">
        <v>772.70203125</v>
      </c>
      <c r="K2396" t="s">
        <v>18</v>
      </c>
      <c r="L2396">
        <f>J2396/_xlfn.XLOOKUP(Tabla2[[#This Row],[Unidad de precio]],Tabla3[Medida],Tabla3[Equivalencia en Kg],"ELVIS",0)</f>
        <v>17.034877232142858</v>
      </c>
      <c r="M2396">
        <v>4784.7627198809196</v>
      </c>
      <c r="N2396" s="2">
        <f>(Tabla2[[#This Row],[Productividad (kg/TAS)]]*Tabla2[[#This Row],[Precio por kg]]-Tabla2[[#This Row],[Costos (En RD$/Tarea)]])</f>
        <v>3310.1651910104847</v>
      </c>
      <c r="O2396" s="6">
        <f>IF(Tabla2[[#This Row],[Costos (En RD$/Tarea)]]=0,0,Tabla2[[#This Row],[Beneficio Neto  (En RD$/Tarea)]]/Tabla2[[#This Row],[Costos (En RD$/Tarea)]])</f>
        <v>0.69181386513830434</v>
      </c>
      <c r="P2396" s="4">
        <f>Tabla2[[#This Row],[Rentabilidad (%)]]/12</f>
        <v>5.7651155428192026E-2</v>
      </c>
    </row>
    <row r="2397" spans="1:16" x14ac:dyDescent="0.35">
      <c r="A2397" s="1">
        <v>42583</v>
      </c>
      <c r="B2397" t="s">
        <v>26</v>
      </c>
      <c r="C2397" s="2">
        <v>8875</v>
      </c>
      <c r="D2397" s="5" t="s">
        <v>17</v>
      </c>
      <c r="E2397" s="2">
        <f>IF(Tabla2[[#This Row],[Frecuencia]]="Annual", Tabla2[[#This Row],[Cosecha/Tarea]]/12,Tabla2[[#This Row],[Cosecha/Tarea]])</f>
        <v>8875</v>
      </c>
      <c r="F2397" s="2">
        <v>72862</v>
      </c>
      <c r="G2397" t="s">
        <v>18</v>
      </c>
      <c r="H2397">
        <f>F2397/Tabla2[[#This Row],[Cosecha Mensual]]</f>
        <v>8.2098028169014086</v>
      </c>
      <c r="I2397">
        <f>H2397*_xlfn.XLOOKUP(Tabla2[[#This Row],[Unidad de producción]],Tabla3[Medida],Tabla3[Equivalencia en Kg],"ELVIS",0)</f>
        <v>372.39665577464791</v>
      </c>
      <c r="J2397">
        <v>724.7734375</v>
      </c>
      <c r="K2397" t="s">
        <v>18</v>
      </c>
      <c r="L2397">
        <f>J2397/_xlfn.XLOOKUP(Tabla2[[#This Row],[Unidad de precio]],Tabla3[Medida],Tabla3[Equivalencia en Kg],"ELVIS",0)</f>
        <v>15.97825038580247</v>
      </c>
      <c r="M2397">
        <v>1888.4301162085201</v>
      </c>
      <c r="N2397" s="2">
        <f>(Tabla2[[#This Row],[Productividad (kg/TAS)]]*Tabla2[[#This Row],[Precio por kg]]-Tabla2[[#This Row],[Costos (En RD$/Tarea)]])</f>
        <v>4061.8168925942973</v>
      </c>
      <c r="O2397" s="6">
        <f>IF(Tabla2[[#This Row],[Costos (En RD$/Tarea)]]=0,0,Tabla2[[#This Row],[Beneficio Neto  (En RD$/Tarea)]]/Tabla2[[#This Row],[Costos (En RD$/Tarea)]])</f>
        <v>2.1508960579115191</v>
      </c>
      <c r="P2397" s="4">
        <f>Tabla2[[#This Row],[Rentabilidad (%)]]/12</f>
        <v>0.17924133815929325</v>
      </c>
    </row>
    <row r="2398" spans="1:16" x14ac:dyDescent="0.35">
      <c r="A2398" s="1">
        <v>42583</v>
      </c>
      <c r="B2398" t="s">
        <v>27</v>
      </c>
      <c r="C2398" s="2">
        <v>4421</v>
      </c>
      <c r="D2398" s="5" t="s">
        <v>17</v>
      </c>
      <c r="E2398" s="2">
        <f>IF(Tabla2[[#This Row],[Frecuencia]]="Annual", Tabla2[[#This Row],[Cosecha/Tarea]]/12,Tabla2[[#This Row],[Cosecha/Tarea]])</f>
        <v>4421</v>
      </c>
      <c r="F2398" s="2">
        <v>43520</v>
      </c>
      <c r="G2398" t="s">
        <v>18</v>
      </c>
      <c r="H2398">
        <f>F2398/Tabla2[[#This Row],[Cosecha Mensual]]</f>
        <v>9.8439267134132553</v>
      </c>
      <c r="I2398">
        <f>H2398*_xlfn.XLOOKUP(Tabla2[[#This Row],[Unidad de producción]],Tabla3[Medida],Tabla3[Equivalencia en Kg],"ELVIS",0)</f>
        <v>446.52051572042524</v>
      </c>
      <c r="J2398">
        <v>636.53261904761905</v>
      </c>
      <c r="K2398" t="s">
        <v>18</v>
      </c>
      <c r="L2398">
        <f>J2398/_xlfn.XLOOKUP(Tabla2[[#This Row],[Unidad de precio]],Tabla3[Medida],Tabla3[Equivalencia en Kg],"ELVIS",0)</f>
        <v>14.032906063660032</v>
      </c>
      <c r="M2398">
        <v>8287.288275158</v>
      </c>
      <c r="N2398" s="2">
        <f>(Tabla2[[#This Row],[Productividad (kg/TAS)]]*Tabla2[[#This Row],[Precio por kg]]-Tabla2[[#This Row],[Costos (En RD$/Tarea)]])</f>
        <v>-2021.3078225562394</v>
      </c>
      <c r="O2398" s="6">
        <f>IF(Tabla2[[#This Row],[Costos (En RD$/Tarea)]]=0,0,Tabla2[[#This Row],[Beneficio Neto  (En RD$/Tarea)]]/Tabla2[[#This Row],[Costos (En RD$/Tarea)]])</f>
        <v>-0.24390461094678192</v>
      </c>
      <c r="P2398" s="4">
        <f>Tabla2[[#This Row],[Rentabilidad (%)]]/12</f>
        <v>-2.032538424556516E-2</v>
      </c>
    </row>
    <row r="2399" spans="1:16" x14ac:dyDescent="0.35">
      <c r="A2399" s="1">
        <v>42583</v>
      </c>
      <c r="B2399" t="s">
        <v>28</v>
      </c>
      <c r="C2399" s="2">
        <v>50140</v>
      </c>
      <c r="D2399" s="5" t="s">
        <v>17</v>
      </c>
      <c r="E2399" s="2">
        <f>IF(Tabla2[[#This Row],[Frecuencia]]="Annual", Tabla2[[#This Row],[Cosecha/Tarea]]/12,Tabla2[[#This Row],[Cosecha/Tarea]])</f>
        <v>50140</v>
      </c>
      <c r="F2399" s="2">
        <v>1334448</v>
      </c>
      <c r="G2399" t="s">
        <v>18</v>
      </c>
      <c r="H2399">
        <f>F2399/Tabla2[[#This Row],[Cosecha Mensual]]</f>
        <v>26.614439569206223</v>
      </c>
      <c r="I2399">
        <f>H2399*_xlfn.XLOOKUP(Tabla2[[#This Row],[Unidad de producción]],Tabla3[Medida],Tabla3[Equivalencia en Kg],"ELVIS",0)</f>
        <v>1207.2309788591942</v>
      </c>
      <c r="J2399">
        <v>3426.4244791666702</v>
      </c>
      <c r="K2399" t="s">
        <v>29</v>
      </c>
      <c r="L2399">
        <f>J2399/_xlfn.XLOOKUP(Tabla2[[#This Row],[Unidad de precio]],Tabla3[Medida],Tabla3[Equivalencia en Kg],"ELVIS",0)</f>
        <v>6.0931544602316565</v>
      </c>
      <c r="M2399">
        <v>7046.2499107967797</v>
      </c>
      <c r="N2399" s="2">
        <f>(Tabla2[[#This Row],[Productividad (kg/TAS)]]*Tabla2[[#This Row],[Precio por kg]]-Tabla2[[#This Row],[Costos (En RD$/Tarea)]])</f>
        <v>309.59491256894853</v>
      </c>
      <c r="O2399" s="6">
        <f>IF(Tabla2[[#This Row],[Costos (En RD$/Tarea)]]=0,0,Tabla2[[#This Row],[Beneficio Neto  (En RD$/Tarea)]]/Tabla2[[#This Row],[Costos (En RD$/Tarea)]])</f>
        <v>4.3937543585356599E-2</v>
      </c>
      <c r="P2399" s="4">
        <f>Tabla2[[#This Row],[Rentabilidad (%)]]/12</f>
        <v>3.6614619654463834E-3</v>
      </c>
    </row>
    <row r="2400" spans="1:16" x14ac:dyDescent="0.35">
      <c r="A2400" s="1">
        <v>42583</v>
      </c>
      <c r="B2400" t="s">
        <v>30</v>
      </c>
      <c r="C2400" s="2">
        <v>421021</v>
      </c>
      <c r="D2400" s="2" t="s">
        <v>31</v>
      </c>
      <c r="E2400" s="2">
        <f>IF(Tabla2[[#This Row],[Frecuencia]]="Annual", Tabla2[[#This Row],[Cosecha/Tarea]]/12,Tabla2[[#This Row],[Cosecha/Tarea]])</f>
        <v>35085.083333333336</v>
      </c>
      <c r="F2400" s="2">
        <v>2213867.4</v>
      </c>
      <c r="G2400" t="s">
        <v>18</v>
      </c>
      <c r="H2400">
        <f>F2400/Tabla2[[#This Row],[Cosecha Mensual]]</f>
        <v>63.099961284591501</v>
      </c>
      <c r="I2400">
        <f>H2400*_xlfn.XLOOKUP(Tabla2[[#This Row],[Unidad de producción]],Tabla3[Medida],Tabla3[Equivalencia en Kg],"ELVIS",0)</f>
        <v>2862.2142438690703</v>
      </c>
      <c r="J2400">
        <v>155.31697916666701</v>
      </c>
      <c r="K2400" t="s">
        <v>32</v>
      </c>
      <c r="L2400">
        <f>J2400/_xlfn.XLOOKUP(Tabla2[[#This Row],[Unidad de precio]],Tabla3[Medida],Tabla3[Equivalencia en Kg],"ELVIS",0)</f>
        <v>5.7080844971211686</v>
      </c>
      <c r="M2400" s="2">
        <v>31633.940308743</v>
      </c>
      <c r="N2400" s="2">
        <f>(Tabla2[[#This Row],[Productividad (kg/TAS)]]*Tabla2[[#This Row],[Precio por kg]]-Tabla2[[#This Row],[Costos (En RD$/Tarea)]])</f>
        <v>-15296.179555874573</v>
      </c>
      <c r="O2400" s="6">
        <f>IF(Tabla2[[#This Row],[Costos (En RD$/Tarea)]]=0,0,Tabla2[[#This Row],[Beneficio Neto  (En RD$/Tarea)]]/Tabla2[[#This Row],[Costos (En RD$/Tarea)]])</f>
        <v>-0.48353696714939454</v>
      </c>
      <c r="P2400" s="4">
        <f>Tabla2[[#This Row],[Rentabilidad (%)]]/12</f>
        <v>-4.0294747262449547E-2</v>
      </c>
    </row>
    <row r="2401" spans="1:16" x14ac:dyDescent="0.35">
      <c r="A2401" s="1">
        <v>42583</v>
      </c>
      <c r="B2401" t="s">
        <v>33</v>
      </c>
      <c r="C2401" s="2">
        <v>772145</v>
      </c>
      <c r="D2401" s="2" t="s">
        <v>31</v>
      </c>
      <c r="E2401" s="2">
        <f>IF(Tabla2[[#This Row],[Frecuencia]]="Annual", Tabla2[[#This Row],[Cosecha/Tarea]]/12,Tabla2[[#This Row],[Cosecha/Tarea]])</f>
        <v>64345.416666666664</v>
      </c>
      <c r="F2401" s="2">
        <v>2121192</v>
      </c>
      <c r="G2401" t="s">
        <v>18</v>
      </c>
      <c r="H2401">
        <f>F2401/Tabla2[[#This Row],[Cosecha Mensual]]</f>
        <v>32.965704628016759</v>
      </c>
      <c r="I2401">
        <f>H2401*_xlfn.XLOOKUP(Tabla2[[#This Row],[Unidad de producción]],Tabla3[Medida],Tabla3[Equivalencia en Kg],"ELVIS",0)</f>
        <v>1495.3243619268401</v>
      </c>
      <c r="J2401">
        <v>5455.2677083333301</v>
      </c>
      <c r="K2401" t="s">
        <v>34</v>
      </c>
      <c r="L2401">
        <f>J2401/_xlfn.XLOOKUP(Tabla2[[#This Row],[Unidad de precio]],Tabla3[Medida],Tabla3[Equivalencia en Kg],"ELVIS",0)</f>
        <v>13.365840275225604</v>
      </c>
      <c r="M2401" s="2">
        <v>19988.821444047899</v>
      </c>
      <c r="N2401" s="2">
        <f>(Tabla2[[#This Row],[Productividad (kg/TAS)]]*Tabla2[[#This Row],[Precio por kg]]-Tabla2[[#This Row],[Costos (En RD$/Tarea)]])</f>
        <v>-2.5548628801116138</v>
      </c>
      <c r="O2401" s="6">
        <f>IF(Tabla2[[#This Row],[Costos (En RD$/Tarea)]]=0,0,Tabla2[[#This Row],[Beneficio Neto  (En RD$/Tarea)]]/Tabla2[[#This Row],[Costos (En RD$/Tarea)]])</f>
        <v>-1.2781458312903081E-4</v>
      </c>
      <c r="P2401" s="4">
        <f>Tabla2[[#This Row],[Rentabilidad (%)]]/12</f>
        <v>-1.0651215260752567E-5</v>
      </c>
    </row>
    <row r="2402" spans="1:16" x14ac:dyDescent="0.35">
      <c r="A2402" s="1">
        <v>42614</v>
      </c>
      <c r="B2402" t="s">
        <v>16</v>
      </c>
      <c r="C2402" s="2">
        <v>256107</v>
      </c>
      <c r="D2402" s="5" t="s">
        <v>17</v>
      </c>
      <c r="E2402" s="2">
        <f>IF(Tabla2[[#This Row],[Frecuencia]]="Annual", Tabla2[[#This Row],[Cosecha/Tarea]]/12,Tabla2[[#This Row],[Cosecha/Tarea]])</f>
        <v>256107</v>
      </c>
      <c r="F2402" s="2">
        <v>1220289</v>
      </c>
      <c r="G2402" t="s">
        <v>18</v>
      </c>
      <c r="H2402">
        <f>F2402/Tabla2[[#This Row],[Cosecha Mensual]]</f>
        <v>4.7647623844721148</v>
      </c>
      <c r="I2402">
        <f>H2402*_xlfn.XLOOKUP(Tabla2[[#This Row],[Unidad de producción]],Tabla3[Medida],Tabla3[Equivalencia en Kg],"ELVIS",0)</f>
        <v>216.12962175965512</v>
      </c>
      <c r="J2402">
        <v>1974.1167125045799</v>
      </c>
      <c r="K2402" t="s">
        <v>19</v>
      </c>
      <c r="L2402">
        <f>J2402/_xlfn.XLOOKUP(Tabla2[[#This Row],[Unidad de precio]],Tabla3[Medida],Tabla3[Equivalencia en Kg],"ELVIS",0)</f>
        <v>17.946515568223454</v>
      </c>
      <c r="M2402">
        <v>5924.25478252843</v>
      </c>
      <c r="N2402" s="2">
        <f>(Tabla2[[#This Row],[Productividad (kg/TAS)]]*Tabla2[[#This Row],[Precio por kg]]-Tabla2[[#This Row],[Costos (En RD$/Tarea)]])</f>
        <v>-2045.4811608645327</v>
      </c>
      <c r="O2402" s="6">
        <f>IF(Tabla2[[#This Row],[Costos (En RD$/Tarea)]]=0,0,Tabla2[[#This Row],[Beneficio Neto  (En RD$/Tarea)]]/Tabla2[[#This Row],[Costos (En RD$/Tarea)]])</f>
        <v>-0.34527231456975521</v>
      </c>
      <c r="P2402" s="4">
        <f>Tabla2[[#This Row],[Rentabilidad (%)]]/12</f>
        <v>-2.8772692880812935E-2</v>
      </c>
    </row>
    <row r="2403" spans="1:16" x14ac:dyDescent="0.35">
      <c r="A2403" s="1">
        <v>42614</v>
      </c>
      <c r="B2403" t="s">
        <v>20</v>
      </c>
      <c r="C2403" s="2">
        <v>49897</v>
      </c>
      <c r="D2403" s="5" t="s">
        <v>17</v>
      </c>
      <c r="E2403" s="2">
        <f>IF(Tabla2[[#This Row],[Frecuencia]]="Annual", Tabla2[[#This Row],[Cosecha/Tarea]]/12,Tabla2[[#This Row],[Cosecha/Tarea]])</f>
        <v>49897</v>
      </c>
      <c r="F2403" s="2">
        <v>126980</v>
      </c>
      <c r="G2403" t="s">
        <v>18</v>
      </c>
      <c r="H2403">
        <f>F2403/Tabla2[[#This Row],[Cosecha Mensual]]</f>
        <v>2.5448423752931038</v>
      </c>
      <c r="I2403">
        <f>H2403*_xlfn.XLOOKUP(Tabla2[[#This Row],[Unidad de producción]],Tabla3[Medida],Tabla3[Equivalencia en Kg],"ELVIS",0)</f>
        <v>115.43405014329518</v>
      </c>
      <c r="J2403">
        <v>693.92812500000002</v>
      </c>
      <c r="K2403" t="s">
        <v>18</v>
      </c>
      <c r="L2403">
        <f>J2403/_xlfn.XLOOKUP(Tabla2[[#This Row],[Unidad de precio]],Tabla3[Medida],Tabla3[Equivalencia en Kg],"ELVIS",0)</f>
        <v>15.298239087301589</v>
      </c>
      <c r="M2403">
        <v>2463.2928983520001</v>
      </c>
      <c r="N2403" s="2">
        <f>(Tabla2[[#This Row],[Productividad (kg/TAS)]]*Tabla2[[#This Row],[Precio por kg]]-Tabla2[[#This Row],[Costos (En RD$/Tarea)]])</f>
        <v>-697.35520044431019</v>
      </c>
      <c r="O2403" s="6">
        <f>IF(Tabla2[[#This Row],[Costos (En RD$/Tarea)]]=0,0,Tabla2[[#This Row],[Beneficio Neto  (En RD$/Tarea)]]/Tabla2[[#This Row],[Costos (En RD$/Tarea)]])</f>
        <v>-0.28309877437265252</v>
      </c>
      <c r="P2403" s="4">
        <f>Tabla2[[#This Row],[Rentabilidad (%)]]/12</f>
        <v>-2.3591564531054376E-2</v>
      </c>
    </row>
    <row r="2404" spans="1:16" x14ac:dyDescent="0.35">
      <c r="A2404" s="1">
        <v>42614</v>
      </c>
      <c r="B2404" t="s">
        <v>21</v>
      </c>
      <c r="C2404" s="2">
        <v>8122</v>
      </c>
      <c r="D2404" s="5" t="s">
        <v>17</v>
      </c>
      <c r="E2404" s="2">
        <f>IF(Tabla2[[#This Row],[Frecuencia]]="Annual", Tabla2[[#This Row],[Cosecha/Tarea]]/12,Tabla2[[#This Row],[Cosecha/Tarea]])</f>
        <v>8122</v>
      </c>
      <c r="F2404" s="2">
        <v>87167</v>
      </c>
      <c r="G2404" t="s">
        <v>18</v>
      </c>
      <c r="H2404">
        <f>F2404/Tabla2[[#This Row],[Cosecha Mensual]]</f>
        <v>10.73220881556267</v>
      </c>
      <c r="I2404">
        <f>H2404*_xlfn.XLOOKUP(Tabla2[[#This Row],[Unidad de producción]],Tabla3[Medida],Tabla3[Equivalencia en Kg],"ELVIS",0)</f>
        <v>486.81299187392267</v>
      </c>
      <c r="J2404">
        <v>449.16848958333298</v>
      </c>
      <c r="K2404" t="s">
        <v>18</v>
      </c>
      <c r="L2404">
        <f>J2404/_xlfn.XLOOKUP(Tabla2[[#This Row],[Unidad de precio]],Tabla3[Medida],Tabla3[Equivalencia en Kg],"ELVIS",0)</f>
        <v>9.9023035622427908</v>
      </c>
      <c r="M2404">
        <v>4713.6874381607504</v>
      </c>
      <c r="N2404" s="2">
        <f>(Tabla2[[#This Row],[Productividad (kg/TAS)]]*Tabla2[[#This Row],[Precio por kg]]-Tabla2[[#This Row],[Costos (En RD$/Tarea)]])</f>
        <v>106.88258541846517</v>
      </c>
      <c r="O2404" s="6">
        <f>IF(Tabla2[[#This Row],[Costos (En RD$/Tarea)]]=0,0,Tabla2[[#This Row],[Beneficio Neto  (En RD$/Tarea)]]/Tabla2[[#This Row],[Costos (En RD$/Tarea)]])</f>
        <v>2.2674941183662794E-2</v>
      </c>
      <c r="P2404" s="4">
        <f>Tabla2[[#This Row],[Rentabilidad (%)]]/12</f>
        <v>1.8895784319718995E-3</v>
      </c>
    </row>
    <row r="2405" spans="1:16" x14ac:dyDescent="0.35">
      <c r="A2405" s="1">
        <v>42614</v>
      </c>
      <c r="B2405" t="s">
        <v>22</v>
      </c>
      <c r="C2405" s="2">
        <v>3510</v>
      </c>
      <c r="D2405" s="5" t="s">
        <v>17</v>
      </c>
      <c r="E2405" s="2">
        <f>IF(Tabla2[[#This Row],[Frecuencia]]="Annual", Tabla2[[#This Row],[Cosecha/Tarea]]/12,Tabla2[[#This Row],[Cosecha/Tarea]])</f>
        <v>3510</v>
      </c>
      <c r="F2405" s="2">
        <v>30124</v>
      </c>
      <c r="G2405" t="s">
        <v>18</v>
      </c>
      <c r="H2405">
        <f>F2405/Tabla2[[#This Row],[Cosecha Mensual]]</f>
        <v>8.5823361823361815</v>
      </c>
      <c r="I2405">
        <f>H2405*_xlfn.XLOOKUP(Tabla2[[#This Row],[Unidad de producción]],Tabla3[Medida],Tabla3[Equivalencia en Kg],"ELVIS",0)</f>
        <v>389.29476923076919</v>
      </c>
      <c r="J2405">
        <v>1753.86904761905</v>
      </c>
      <c r="K2405" t="s">
        <v>18</v>
      </c>
      <c r="L2405">
        <f>J2405/_xlfn.XLOOKUP(Tabla2[[#This Row],[Unidad de precio]],Tabla3[Medida],Tabla3[Equivalencia en Kg],"ELVIS",0)</f>
        <v>38.665543377845019</v>
      </c>
      <c r="M2405">
        <v>8550.1576563690305</v>
      </c>
      <c r="N2405" s="2">
        <f>(Tabla2[[#This Row],[Productividad (kg/TAS)]]*Tabla2[[#This Row],[Precio por kg]]-Tabla2[[#This Row],[Costos (En RD$/Tarea)]])</f>
        <v>6502.1361300914414</v>
      </c>
      <c r="O2405" s="6">
        <f>IF(Tabla2[[#This Row],[Costos (En RD$/Tarea)]]=0,0,Tabla2[[#This Row],[Beneficio Neto  (En RD$/Tarea)]]/Tabla2[[#This Row],[Costos (En RD$/Tarea)]])</f>
        <v>0.76046973534435203</v>
      </c>
      <c r="P2405" s="4">
        <f>Tabla2[[#This Row],[Rentabilidad (%)]]/12</f>
        <v>6.3372477945362674E-2</v>
      </c>
    </row>
    <row r="2406" spans="1:16" x14ac:dyDescent="0.35">
      <c r="A2406" s="1">
        <v>42614</v>
      </c>
      <c r="B2406" t="s">
        <v>23</v>
      </c>
      <c r="C2406" s="2">
        <v>5012</v>
      </c>
      <c r="D2406" s="5" t="s">
        <v>17</v>
      </c>
      <c r="E2406" s="2">
        <f>IF(Tabla2[[#This Row],[Frecuencia]]="Annual", Tabla2[[#This Row],[Cosecha/Tarea]]/12,Tabla2[[#This Row],[Cosecha/Tarea]])</f>
        <v>5012</v>
      </c>
      <c r="F2406" s="2">
        <v>198698</v>
      </c>
      <c r="G2406" t="s">
        <v>18</v>
      </c>
      <c r="H2406">
        <f>F2406/Tabla2[[#This Row],[Cosecha Mensual]]</f>
        <v>39.644453312051077</v>
      </c>
      <c r="I2406">
        <f>H2406*_xlfn.XLOOKUP(Tabla2[[#This Row],[Unidad de producción]],Tabla3[Medida],Tabla3[Equivalencia en Kg],"ELVIS",0)</f>
        <v>1798.2724022346367</v>
      </c>
      <c r="J2406">
        <v>972.77777777777806</v>
      </c>
      <c r="K2406" t="s">
        <v>18</v>
      </c>
      <c r="L2406">
        <f>J2406/_xlfn.XLOOKUP(Tabla2[[#This Row],[Unidad de precio]],Tabla3[Medida],Tabla3[Equivalencia en Kg],"ELVIS",0)</f>
        <v>21.445718204977471</v>
      </c>
      <c r="M2406">
        <v>23192.17</v>
      </c>
      <c r="N2406" s="2">
        <f>(Tabla2[[#This Row],[Productividad (kg/TAS)]]*Tabla2[[#This Row],[Precio por kg]]-Tabla2[[#This Row],[Costos (En RD$/Tarea)]])</f>
        <v>15373.073194111923</v>
      </c>
      <c r="O2406" s="6">
        <f>IF(Tabla2[[#This Row],[Costos (En RD$/Tarea)]]=0,0,Tabla2[[#This Row],[Beneficio Neto  (En RD$/Tarea)]]/Tabla2[[#This Row],[Costos (En RD$/Tarea)]])</f>
        <v>0.66285617922393303</v>
      </c>
      <c r="P2406" s="4">
        <f>Tabla2[[#This Row],[Rentabilidad (%)]]/12</f>
        <v>5.5238014935327755E-2</v>
      </c>
    </row>
    <row r="2407" spans="1:16" x14ac:dyDescent="0.35">
      <c r="A2407" s="1">
        <v>42614</v>
      </c>
      <c r="B2407" t="s">
        <v>24</v>
      </c>
      <c r="C2407" s="2">
        <v>4259</v>
      </c>
      <c r="D2407" s="5" t="s">
        <v>17</v>
      </c>
      <c r="E2407" s="2">
        <f>IF(Tabla2[[#This Row],[Frecuencia]]="Annual", Tabla2[[#This Row],[Cosecha/Tarea]]/12,Tabla2[[#This Row],[Cosecha/Tarea]])</f>
        <v>4259</v>
      </c>
      <c r="F2407" s="2">
        <v>39594</v>
      </c>
      <c r="G2407" t="s">
        <v>18</v>
      </c>
      <c r="H2407">
        <f>F2407/Tabla2[[#This Row],[Cosecha Mensual]]</f>
        <v>9.29654848555999</v>
      </c>
      <c r="I2407">
        <f>H2407*_xlfn.XLOOKUP(Tabla2[[#This Row],[Unidad de producción]],Tabla3[Medida],Tabla3[Equivalencia en Kg],"ELVIS",0)</f>
        <v>421.69143930500115</v>
      </c>
      <c r="J2407">
        <v>2265.234375</v>
      </c>
      <c r="K2407" t="s">
        <v>18</v>
      </c>
      <c r="L2407">
        <f>J2407/_xlfn.XLOOKUP(Tabla2[[#This Row],[Unidad de precio]],Tabla3[Medida],Tabla3[Equivalencia en Kg],"ELVIS",0)</f>
        <v>49.93902943121693</v>
      </c>
      <c r="M2407">
        <v>8705.1562241280008</v>
      </c>
      <c r="N2407" s="2">
        <f>(Tabla2[[#This Row],[Productividad (kg/TAS)]]*Tabla2[[#This Row],[Precio por kg]]-Tabla2[[#This Row],[Costos (En RD$/Tarea)]])</f>
        <v>12353.704974216678</v>
      </c>
      <c r="O2407" s="6">
        <f>IF(Tabla2[[#This Row],[Costos (En RD$/Tarea)]]=0,0,Tabla2[[#This Row],[Beneficio Neto  (En RD$/Tarea)]]/Tabla2[[#This Row],[Costos (En RD$/Tarea)]])</f>
        <v>1.4191250169613303</v>
      </c>
      <c r="P2407" s="4">
        <f>Tabla2[[#This Row],[Rentabilidad (%)]]/12</f>
        <v>0.11826041808011085</v>
      </c>
    </row>
    <row r="2408" spans="1:16" x14ac:dyDescent="0.35">
      <c r="A2408" s="1">
        <v>42614</v>
      </c>
      <c r="B2408" t="s">
        <v>25</v>
      </c>
      <c r="C2408" s="2">
        <v>29987</v>
      </c>
      <c r="D2408" s="5" t="s">
        <v>17</v>
      </c>
      <c r="E2408" s="2">
        <f>IF(Tabla2[[#This Row],[Frecuencia]]="Annual", Tabla2[[#This Row],[Cosecha/Tarea]]/12,Tabla2[[#This Row],[Cosecha/Tarea]])</f>
        <v>29987</v>
      </c>
      <c r="F2408" s="2">
        <v>329503</v>
      </c>
      <c r="G2408" t="s">
        <v>18</v>
      </c>
      <c r="H2408">
        <f>F2408/Tabla2[[#This Row],[Cosecha Mensual]]</f>
        <v>10.988194884449928</v>
      </c>
      <c r="I2408">
        <f>H2408*_xlfn.XLOOKUP(Tabla2[[#This Row],[Unidad de producción]],Tabla3[Medida],Tabla3[Equivalencia en Kg],"ELVIS",0)</f>
        <v>498.42451995864877</v>
      </c>
      <c r="J2408">
        <v>528.62417708333305</v>
      </c>
      <c r="K2408" t="s">
        <v>18</v>
      </c>
      <c r="L2408">
        <f>J2408/_xlfn.XLOOKUP(Tabla2[[#This Row],[Unidad de precio]],Tabla3[Medida],Tabla3[Equivalencia en Kg],"ELVIS",0)</f>
        <v>11.653972157921805</v>
      </c>
      <c r="M2408">
        <v>4784.7627198809196</v>
      </c>
      <c r="N2408" s="2">
        <f>(Tabla2[[#This Row],[Productividad (kg/TAS)]]*Tabla2[[#This Row],[Precio por kg]]-Tabla2[[#This Row],[Costos (En RD$/Tarea)]])</f>
        <v>1023.8627585427139</v>
      </c>
      <c r="O2408" s="6">
        <f>IF(Tabla2[[#This Row],[Costos (En RD$/Tarea)]]=0,0,Tabla2[[#This Row],[Beneficio Neto  (En RD$/Tarea)]]/Tabla2[[#This Row],[Costos (En RD$/Tarea)]])</f>
        <v>0.21398401937226999</v>
      </c>
      <c r="P2408" s="4">
        <f>Tabla2[[#This Row],[Rentabilidad (%)]]/12</f>
        <v>1.7832001614355834E-2</v>
      </c>
    </row>
    <row r="2409" spans="1:16" x14ac:dyDescent="0.35">
      <c r="A2409" s="1">
        <v>42614</v>
      </c>
      <c r="B2409" t="s">
        <v>26</v>
      </c>
      <c r="C2409" s="2">
        <v>10015</v>
      </c>
      <c r="D2409" s="5" t="s">
        <v>17</v>
      </c>
      <c r="E2409" s="2">
        <f>IF(Tabla2[[#This Row],[Frecuencia]]="Annual", Tabla2[[#This Row],[Cosecha/Tarea]]/12,Tabla2[[#This Row],[Cosecha/Tarea]])</f>
        <v>10015</v>
      </c>
      <c r="F2409" s="2">
        <v>60124</v>
      </c>
      <c r="G2409" t="s">
        <v>18</v>
      </c>
      <c r="H2409">
        <f>F2409/Tabla2[[#This Row],[Cosecha Mensual]]</f>
        <v>6.0033949076385422</v>
      </c>
      <c r="I2409">
        <f>H2409*_xlfn.XLOOKUP(Tabla2[[#This Row],[Unidad de producción]],Tabla3[Medida],Tabla3[Equivalencia en Kg],"ELVIS",0)</f>
        <v>272.3139930104843</v>
      </c>
      <c r="J2409">
        <v>757.05902777777806</v>
      </c>
      <c r="K2409" t="s">
        <v>18</v>
      </c>
      <c r="L2409">
        <f>J2409/_xlfn.XLOOKUP(Tabla2[[#This Row],[Unidad de precio]],Tabla3[Medida],Tabla3[Equivalencia en Kg],"ELVIS",0)</f>
        <v>16.690013839898107</v>
      </c>
      <c r="M2409">
        <v>1888.4301162085201</v>
      </c>
      <c r="N2409" s="2">
        <f>(Tabla2[[#This Row],[Productividad (kg/TAS)]]*Tabla2[[#This Row],[Precio por kg]]-Tabla2[[#This Row],[Costos (En RD$/Tarea)]])</f>
        <v>2656.4941959343787</v>
      </c>
      <c r="O2409" s="6">
        <f>IF(Tabla2[[#This Row],[Costos (En RD$/Tarea)]]=0,0,Tabla2[[#This Row],[Beneficio Neto  (En RD$/Tarea)]]/Tabla2[[#This Row],[Costos (En RD$/Tarea)]])</f>
        <v>1.4067209440971704</v>
      </c>
      <c r="P2409" s="4">
        <f>Tabla2[[#This Row],[Rentabilidad (%)]]/12</f>
        <v>0.11722674534143086</v>
      </c>
    </row>
    <row r="2410" spans="1:16" x14ac:dyDescent="0.35">
      <c r="A2410" s="1">
        <v>42614</v>
      </c>
      <c r="B2410" t="s">
        <v>27</v>
      </c>
      <c r="C2410" s="2">
        <v>3850</v>
      </c>
      <c r="D2410" s="5" t="s">
        <v>17</v>
      </c>
      <c r="E2410" s="2">
        <f>IF(Tabla2[[#This Row],[Frecuencia]]="Annual", Tabla2[[#This Row],[Cosecha/Tarea]]/12,Tabla2[[#This Row],[Cosecha/Tarea]])</f>
        <v>3850</v>
      </c>
      <c r="F2410" s="2">
        <v>35204</v>
      </c>
      <c r="G2410" t="s">
        <v>18</v>
      </c>
      <c r="H2410">
        <f>F2410/Tabla2[[#This Row],[Cosecha Mensual]]</f>
        <v>9.143896103896104</v>
      </c>
      <c r="I2410">
        <f>H2410*_xlfn.XLOOKUP(Tabla2[[#This Row],[Unidad de producción]],Tabla3[Medida],Tabla3[Equivalencia en Kg],"ELVIS",0)</f>
        <v>414.76712727272729</v>
      </c>
      <c r="J2410">
        <v>665.96488095238101</v>
      </c>
      <c r="K2410" t="s">
        <v>18</v>
      </c>
      <c r="L2410">
        <f>J2410/_xlfn.XLOOKUP(Tabla2[[#This Row],[Unidad de precio]],Tabla3[Medida],Tabla3[Equivalencia en Kg],"ELVIS",0)</f>
        <v>14.681765453094819</v>
      </c>
      <c r="M2410">
        <v>8287.288275158</v>
      </c>
      <c r="N2410" s="2">
        <f>(Tabla2[[#This Row],[Productividad (kg/TAS)]]*Tabla2[[#This Row],[Precio por kg]]-Tabla2[[#This Row],[Costos (En RD$/Tarea)]])</f>
        <v>-2197.7745948858901</v>
      </c>
      <c r="O2410" s="6">
        <f>IF(Tabla2[[#This Row],[Costos (En RD$/Tarea)]]=0,0,Tabla2[[#This Row],[Beneficio Neto  (En RD$/Tarea)]]/Tabla2[[#This Row],[Costos (En RD$/Tarea)]])</f>
        <v>-0.26519827981294508</v>
      </c>
      <c r="P2410" s="4">
        <f>Tabla2[[#This Row],[Rentabilidad (%)]]/12</f>
        <v>-2.2099856651078758E-2</v>
      </c>
    </row>
    <row r="2411" spans="1:16" x14ac:dyDescent="0.35">
      <c r="A2411" s="1">
        <v>42614</v>
      </c>
      <c r="B2411" t="s">
        <v>28</v>
      </c>
      <c r="C2411" s="2">
        <v>67541</v>
      </c>
      <c r="D2411" s="5" t="s">
        <v>17</v>
      </c>
      <c r="E2411" s="2">
        <f>IF(Tabla2[[#This Row],[Frecuencia]]="Annual", Tabla2[[#This Row],[Cosecha/Tarea]]/12,Tabla2[[#This Row],[Cosecha/Tarea]])</f>
        <v>67541</v>
      </c>
      <c r="F2411" s="2">
        <v>1511868</v>
      </c>
      <c r="G2411" t="s">
        <v>18</v>
      </c>
      <c r="H2411">
        <f>F2411/Tabla2[[#This Row],[Cosecha Mensual]]</f>
        <v>22.384447964939813</v>
      </c>
      <c r="I2411">
        <f>H2411*_xlfn.XLOOKUP(Tabla2[[#This Row],[Unidad de producción]],Tabla3[Medida],Tabla3[Equivalencia en Kg],"ELVIS",0)</f>
        <v>1015.35855968967</v>
      </c>
      <c r="J2411">
        <v>2135.9020833333302</v>
      </c>
      <c r="K2411" t="s">
        <v>29</v>
      </c>
      <c r="L2411">
        <f>J2411/_xlfn.XLOOKUP(Tabla2[[#This Row],[Unidad de precio]],Tabla3[Medida],Tabla3[Equivalencia en Kg],"ELVIS",0)</f>
        <v>3.7982396474256324</v>
      </c>
      <c r="M2411">
        <v>7046.2499107967797</v>
      </c>
      <c r="N2411" s="2">
        <f>(Tabla2[[#This Row],[Productividad (kg/TAS)]]*Tabla2[[#This Row],[Precio por kg]]-Tabla2[[#This Row],[Costos (En RD$/Tarea)]])</f>
        <v>-3189.6747730304896</v>
      </c>
      <c r="O2411" s="6">
        <f>IF(Tabla2[[#This Row],[Costos (En RD$/Tarea)]]=0,0,Tabla2[[#This Row],[Beneficio Neto  (En RD$/Tarea)]]/Tabla2[[#This Row],[Costos (En RD$/Tarea)]])</f>
        <v>-0.45267692934691922</v>
      </c>
      <c r="P2411" s="4">
        <f>Tabla2[[#This Row],[Rentabilidad (%)]]/12</f>
        <v>-3.7723077445576604E-2</v>
      </c>
    </row>
    <row r="2412" spans="1:16" x14ac:dyDescent="0.35">
      <c r="A2412" s="1">
        <v>42614</v>
      </c>
      <c r="B2412" t="s">
        <v>30</v>
      </c>
      <c r="C2412" s="2">
        <v>425987</v>
      </c>
      <c r="D2412" s="2" t="s">
        <v>31</v>
      </c>
      <c r="E2412" s="2">
        <f>IF(Tabla2[[#This Row],[Frecuencia]]="Annual", Tabla2[[#This Row],[Cosecha/Tarea]]/12,Tabla2[[#This Row],[Cosecha/Tarea]])</f>
        <v>35498.916666666664</v>
      </c>
      <c r="F2412" s="2">
        <v>2081939.4</v>
      </c>
      <c r="G2412" t="s">
        <v>18</v>
      </c>
      <c r="H2412">
        <f>F2412/Tabla2[[#This Row],[Cosecha Mensual]]</f>
        <v>58.647970008474438</v>
      </c>
      <c r="I2412">
        <f>H2412*_xlfn.XLOOKUP(Tabla2[[#This Row],[Unidad de producción]],Tabla3[Medida],Tabla3[Equivalencia en Kg],"ELVIS",0)</f>
        <v>2660.2719195844006</v>
      </c>
      <c r="J2412">
        <v>140.414166666667</v>
      </c>
      <c r="K2412" t="s">
        <v>32</v>
      </c>
      <c r="L2412">
        <f>J2412/_xlfn.XLOOKUP(Tabla2[[#This Row],[Unidad de precio]],Tabla3[Medida],Tabla3[Equivalencia en Kg],"ELVIS",0)</f>
        <v>5.1603883376209847</v>
      </c>
      <c r="M2412" s="2">
        <v>31633.940308743</v>
      </c>
      <c r="N2412" s="2">
        <f>(Tabla2[[#This Row],[Productividad (kg/TAS)]]*Tabla2[[#This Row],[Precio por kg]]-Tabla2[[#This Row],[Costos (En RD$/Tarea)]])</f>
        <v>-17905.90412001907</v>
      </c>
      <c r="O2412" s="6">
        <f>IF(Tabla2[[#This Row],[Costos (En RD$/Tarea)]]=0,0,Tabla2[[#This Row],[Beneficio Neto  (En RD$/Tarea)]]/Tabla2[[#This Row],[Costos (En RD$/Tarea)]])</f>
        <v>-0.56603458011426511</v>
      </c>
      <c r="P2412" s="4">
        <f>Tabla2[[#This Row],[Rentabilidad (%)]]/12</f>
        <v>-4.7169548342855423E-2</v>
      </c>
    </row>
    <row r="2413" spans="1:16" x14ac:dyDescent="0.35">
      <c r="A2413" s="1">
        <v>42614</v>
      </c>
      <c r="B2413" t="s">
        <v>33</v>
      </c>
      <c r="C2413" s="2">
        <v>712989</v>
      </c>
      <c r="D2413" s="2" t="s">
        <v>31</v>
      </c>
      <c r="E2413" s="2">
        <f>IF(Tabla2[[#This Row],[Frecuencia]]="Annual", Tabla2[[#This Row],[Cosecha/Tarea]]/12,Tabla2[[#This Row],[Cosecha/Tarea]])</f>
        <v>59415.75</v>
      </c>
      <c r="F2413" s="2">
        <v>1783557</v>
      </c>
      <c r="G2413" t="s">
        <v>18</v>
      </c>
      <c r="H2413">
        <f>F2413/Tabla2[[#This Row],[Cosecha Mensual]]</f>
        <v>30.018252736016965</v>
      </c>
      <c r="I2413">
        <f>H2413*_xlfn.XLOOKUP(Tabla2[[#This Row],[Unidad de producción]],Tabla3[Medida],Tabla3[Equivalencia en Kg],"ELVIS",0)</f>
        <v>1361.6279441057295</v>
      </c>
      <c r="J2413">
        <v>4925.734375</v>
      </c>
      <c r="K2413" t="s">
        <v>34</v>
      </c>
      <c r="L2413">
        <f>J2413/_xlfn.XLOOKUP(Tabla2[[#This Row],[Unidad de precio]],Tabla3[Medida],Tabla3[Equivalencia en Kg],"ELVIS",0)</f>
        <v>12.068441443096901</v>
      </c>
      <c r="M2413" s="2">
        <v>19988.821444047899</v>
      </c>
      <c r="N2413" s="2">
        <f>(Tabla2[[#This Row],[Productividad (kg/TAS)]]*Tabla2[[#This Row],[Precio por kg]]-Tabla2[[#This Row],[Costos (En RD$/Tarea)]])</f>
        <v>-3556.0943333234827</v>
      </c>
      <c r="O2413" s="6">
        <f>IF(Tabla2[[#This Row],[Costos (En RD$/Tarea)]]=0,0,Tabla2[[#This Row],[Beneficio Neto  (En RD$/Tarea)]]/Tabla2[[#This Row],[Costos (En RD$/Tarea)]])</f>
        <v>-0.17790415224217165</v>
      </c>
      <c r="P2413" s="4">
        <f>Tabla2[[#This Row],[Rentabilidad (%)]]/12</f>
        <v>-1.4825346020180971E-2</v>
      </c>
    </row>
    <row r="2414" spans="1:16" x14ac:dyDescent="0.35">
      <c r="A2414" s="1">
        <v>42644</v>
      </c>
      <c r="B2414" t="s">
        <v>16</v>
      </c>
      <c r="C2414" s="2">
        <v>444033</v>
      </c>
      <c r="D2414" s="5" t="s">
        <v>17</v>
      </c>
      <c r="E2414" s="2">
        <f>IF(Tabla2[[#This Row],[Frecuencia]]="Annual", Tabla2[[#This Row],[Cosecha/Tarea]]/12,Tabla2[[#This Row],[Cosecha/Tarea]])</f>
        <v>444033</v>
      </c>
      <c r="F2414" s="2">
        <v>2024017</v>
      </c>
      <c r="G2414" t="s">
        <v>18</v>
      </c>
      <c r="H2414">
        <f>F2414/Tabla2[[#This Row],[Cosecha Mensual]]</f>
        <v>4.5582580573966354</v>
      </c>
      <c r="I2414">
        <f>H2414*_xlfn.XLOOKUP(Tabla2[[#This Row],[Unidad de producción]],Tabla3[Medida],Tabla3[Equivalencia en Kg],"ELVIS",0)</f>
        <v>206.76258548351137</v>
      </c>
      <c r="J2414">
        <v>1998.3973459846</v>
      </c>
      <c r="K2414" t="s">
        <v>19</v>
      </c>
      <c r="L2414">
        <f>J2414/_xlfn.XLOOKUP(Tabla2[[#This Row],[Unidad de precio]],Tabla3[Medida],Tabla3[Equivalencia en Kg],"ELVIS",0)</f>
        <v>18.167248599859999</v>
      </c>
      <c r="M2414">
        <v>5924.25478252843</v>
      </c>
      <c r="N2414" s="2">
        <f>(Tabla2[[#This Row],[Productividad (kg/TAS)]]*Tabla2[[#This Row],[Precio por kg]]-Tabla2[[#This Row],[Costos (En RD$/Tarea)]])</f>
        <v>-2167.9474908996749</v>
      </c>
      <c r="O2414" s="6">
        <f>IF(Tabla2[[#This Row],[Costos (En RD$/Tarea)]]=0,0,Tabla2[[#This Row],[Beneficio Neto  (En RD$/Tarea)]]/Tabla2[[#This Row],[Costos (En RD$/Tarea)]])</f>
        <v>-0.36594433738624765</v>
      </c>
      <c r="P2414" s="4">
        <f>Tabla2[[#This Row],[Rentabilidad (%)]]/12</f>
        <v>-3.049536144885397E-2</v>
      </c>
    </row>
    <row r="2415" spans="1:16" x14ac:dyDescent="0.35">
      <c r="A2415" s="1">
        <v>42644</v>
      </c>
      <c r="B2415" t="s">
        <v>20</v>
      </c>
      <c r="C2415" s="2">
        <v>31245</v>
      </c>
      <c r="D2415" s="5" t="s">
        <v>17</v>
      </c>
      <c r="E2415" s="2">
        <f>IF(Tabla2[[#This Row],[Frecuencia]]="Annual", Tabla2[[#This Row],[Cosecha/Tarea]]/12,Tabla2[[#This Row],[Cosecha/Tarea]])</f>
        <v>31245</v>
      </c>
      <c r="F2415" s="2">
        <v>79852</v>
      </c>
      <c r="G2415" t="s">
        <v>18</v>
      </c>
      <c r="H2415">
        <f>F2415/Tabla2[[#This Row],[Cosecha Mensual]]</f>
        <v>2.5556729076652265</v>
      </c>
      <c r="I2415">
        <f>H2415*_xlfn.XLOOKUP(Tabla2[[#This Row],[Unidad de producción]],Tabla3[Medida],Tabla3[Equivalencia en Kg],"ELVIS",0)</f>
        <v>115.92532309169466</v>
      </c>
      <c r="J2415">
        <v>696.44400173611098</v>
      </c>
      <c r="K2415" t="s">
        <v>18</v>
      </c>
      <c r="L2415">
        <f>J2415/_xlfn.XLOOKUP(Tabla2[[#This Row],[Unidad de precio]],Tabla3[Medida],Tabla3[Equivalencia en Kg],"ELVIS",0)</f>
        <v>15.353703741977755</v>
      </c>
      <c r="M2415">
        <v>2463.2928983520001</v>
      </c>
      <c r="N2415" s="2">
        <f>(Tabla2[[#This Row],[Productividad (kg/TAS)]]*Tabla2[[#This Row],[Precio por kg]]-Tabla2[[#This Row],[Costos (En RD$/Tarea)]])</f>
        <v>-683.40983140906746</v>
      </c>
      <c r="O2415" s="6">
        <f>IF(Tabla2[[#This Row],[Costos (En RD$/Tarea)]]=0,0,Tabla2[[#This Row],[Beneficio Neto  (En RD$/Tarea)]]/Tabla2[[#This Row],[Costos (En RD$/Tarea)]])</f>
        <v>-0.27743750321623728</v>
      </c>
      <c r="P2415" s="4">
        <f>Tabla2[[#This Row],[Rentabilidad (%)]]/12</f>
        <v>-2.311979193468644E-2</v>
      </c>
    </row>
    <row r="2416" spans="1:16" x14ac:dyDescent="0.35">
      <c r="A2416" s="1">
        <v>42644</v>
      </c>
      <c r="B2416" t="s">
        <v>21</v>
      </c>
      <c r="C2416" s="2">
        <v>6201</v>
      </c>
      <c r="D2416" s="5" t="s">
        <v>17</v>
      </c>
      <c r="E2416" s="2">
        <f>IF(Tabla2[[#This Row],[Frecuencia]]="Annual", Tabla2[[#This Row],[Cosecha/Tarea]]/12,Tabla2[[#This Row],[Cosecha/Tarea]])</f>
        <v>6201</v>
      </c>
      <c r="F2416" s="2">
        <v>72698</v>
      </c>
      <c r="G2416" t="s">
        <v>18</v>
      </c>
      <c r="H2416">
        <f>F2416/Tabla2[[#This Row],[Cosecha Mensual]]</f>
        <v>11.723592968875987</v>
      </c>
      <c r="I2416">
        <f>H2416*_xlfn.XLOOKUP(Tabla2[[#This Row],[Unidad de producción]],Tabla3[Medida],Tabla3[Equivalencia en Kg],"ELVIS",0)</f>
        <v>531.78217706821476</v>
      </c>
      <c r="J2416">
        <v>444.11171875000002</v>
      </c>
      <c r="K2416" t="s">
        <v>18</v>
      </c>
      <c r="L2416">
        <f>J2416/_xlfn.XLOOKUP(Tabla2[[#This Row],[Unidad de precio]],Tabla3[Medida],Tabla3[Equivalencia en Kg],"ELVIS",0)</f>
        <v>9.7908227237654319</v>
      </c>
      <c r="M2416">
        <v>4713.6874381607504</v>
      </c>
      <c r="N2416" s="2">
        <f>(Tabla2[[#This Row],[Productividad (kg/TAS)]]*Tabla2[[#This Row],[Precio por kg]]-Tabla2[[#This Row],[Costos (En RD$/Tarea)]])</f>
        <v>492.89758517217888</v>
      </c>
      <c r="O2416" s="6">
        <f>IF(Tabla2[[#This Row],[Costos (En RD$/Tarea)]]=0,0,Tabla2[[#This Row],[Beneficio Neto  (En RD$/Tarea)]]/Tabla2[[#This Row],[Costos (En RD$/Tarea)]])</f>
        <v>0.10456730354707275</v>
      </c>
      <c r="P2416" s="4">
        <f>Tabla2[[#This Row],[Rentabilidad (%)]]/12</f>
        <v>8.7139419622560624E-3</v>
      </c>
    </row>
    <row r="2417" spans="1:16" x14ac:dyDescent="0.35">
      <c r="A2417" s="1">
        <v>42644</v>
      </c>
      <c r="B2417" t="s">
        <v>22</v>
      </c>
      <c r="C2417" s="2">
        <v>3668</v>
      </c>
      <c r="D2417" s="5" t="s">
        <v>17</v>
      </c>
      <c r="E2417" s="2">
        <f>IF(Tabla2[[#This Row],[Frecuencia]]="Annual", Tabla2[[#This Row],[Cosecha/Tarea]]/12,Tabla2[[#This Row],[Cosecha/Tarea]])</f>
        <v>3668</v>
      </c>
      <c r="F2417" s="2">
        <v>38959</v>
      </c>
      <c r="G2417" t="s">
        <v>18</v>
      </c>
      <c r="H2417">
        <f>F2417/Tabla2[[#This Row],[Cosecha Mensual]]</f>
        <v>10.621319520174483</v>
      </c>
      <c r="I2417">
        <f>H2417*_xlfn.XLOOKUP(Tabla2[[#This Row],[Unidad de producción]],Tabla3[Medida],Tabla3[Equivalencia en Kg],"ELVIS",0)</f>
        <v>481.78305343511454</v>
      </c>
      <c r="J2417">
        <v>1645.2232142857099</v>
      </c>
      <c r="K2417" t="s">
        <v>18</v>
      </c>
      <c r="L2417">
        <f>J2417/_xlfn.XLOOKUP(Tabla2[[#This Row],[Unidad de precio]],Tabla3[Medida],Tabla3[Equivalencia en Kg],"ELVIS",0)</f>
        <v>36.27035304862676</v>
      </c>
      <c r="M2417">
        <v>8550.1576563690305</v>
      </c>
      <c r="N2417" s="2">
        <f>(Tabla2[[#This Row],[Productividad (kg/TAS)]]*Tabla2[[#This Row],[Precio por kg]]-Tabla2[[#This Row],[Costos (En RD$/Tarea)]])</f>
        <v>8924.2837845679842</v>
      </c>
      <c r="O2417" s="6">
        <f>IF(Tabla2[[#This Row],[Costos (En RD$/Tarea)]]=0,0,Tabla2[[#This Row],[Beneficio Neto  (En RD$/Tarea)]]/Tabla2[[#This Row],[Costos (En RD$/Tarea)]])</f>
        <v>1.0437566350510818</v>
      </c>
      <c r="P2417" s="4">
        <f>Tabla2[[#This Row],[Rentabilidad (%)]]/12</f>
        <v>8.6979719587590154E-2</v>
      </c>
    </row>
    <row r="2418" spans="1:16" x14ac:dyDescent="0.35">
      <c r="A2418" s="1">
        <v>42644</v>
      </c>
      <c r="B2418" t="s">
        <v>23</v>
      </c>
      <c r="C2418" s="2">
        <v>3760</v>
      </c>
      <c r="D2418" s="5" t="s">
        <v>17</v>
      </c>
      <c r="E2418" s="2">
        <f>IF(Tabla2[[#This Row],[Frecuencia]]="Annual", Tabla2[[#This Row],[Cosecha/Tarea]]/12,Tabla2[[#This Row],[Cosecha/Tarea]])</f>
        <v>3760</v>
      </c>
      <c r="F2418" s="2">
        <v>149414</v>
      </c>
      <c r="G2418" t="s">
        <v>18</v>
      </c>
      <c r="H2418">
        <f>F2418/Tabla2[[#This Row],[Cosecha Mensual]]</f>
        <v>39.737765957446811</v>
      </c>
      <c r="I2418">
        <f>H2418*_xlfn.XLOOKUP(Tabla2[[#This Row],[Unidad de producción]],Tabla3[Medida],Tabla3[Equivalencia en Kg],"ELVIS",0)</f>
        <v>1802.5050638297873</v>
      </c>
      <c r="J2418">
        <v>902.08333333333303</v>
      </c>
      <c r="K2418" t="s">
        <v>18</v>
      </c>
      <c r="L2418">
        <f>J2418/_xlfn.XLOOKUP(Tabla2[[#This Row],[Unidad de precio]],Tabla3[Medida],Tabla3[Equivalencia en Kg],"ELVIS",0)</f>
        <v>19.887198706643144</v>
      </c>
      <c r="M2418">
        <v>23192.17</v>
      </c>
      <c r="N2418" s="2">
        <f>(Tabla2[[#This Row],[Productividad (kg/TAS)]]*Tabla2[[#This Row],[Precio por kg]]-Tabla2[[#This Row],[Costos (En RD$/Tarea)]])</f>
        <v>12654.606374113464</v>
      </c>
      <c r="O2418" s="6">
        <f>IF(Tabla2[[#This Row],[Costos (En RD$/Tarea)]]=0,0,Tabla2[[#This Row],[Beneficio Neto  (En RD$/Tarea)]]/Tabla2[[#This Row],[Costos (En RD$/Tarea)]])</f>
        <v>0.54564132524526443</v>
      </c>
      <c r="P2418" s="4">
        <f>Tabla2[[#This Row],[Rentabilidad (%)]]/12</f>
        <v>4.5470110437105367E-2</v>
      </c>
    </row>
    <row r="2419" spans="1:16" x14ac:dyDescent="0.35">
      <c r="A2419" s="1">
        <v>42644</v>
      </c>
      <c r="B2419" t="s">
        <v>24</v>
      </c>
      <c r="C2419" s="2">
        <v>5562</v>
      </c>
      <c r="D2419" s="5" t="s">
        <v>17</v>
      </c>
      <c r="E2419" s="2">
        <f>IF(Tabla2[[#This Row],[Frecuencia]]="Annual", Tabla2[[#This Row],[Cosecha/Tarea]]/12,Tabla2[[#This Row],[Cosecha/Tarea]])</f>
        <v>5562</v>
      </c>
      <c r="F2419" s="2">
        <v>57612</v>
      </c>
      <c r="G2419" t="s">
        <v>18</v>
      </c>
      <c r="H2419">
        <f>F2419/Tabla2[[#This Row],[Cosecha Mensual]]</f>
        <v>10.35814455231931</v>
      </c>
      <c r="I2419">
        <f>H2419*_xlfn.XLOOKUP(Tabla2[[#This Row],[Unidad de producción]],Tabla3[Medida],Tabla3[Equivalencia en Kg],"ELVIS",0)</f>
        <v>469.8454368932039</v>
      </c>
      <c r="J2419">
        <v>2078.3723958333298</v>
      </c>
      <c r="K2419" t="s">
        <v>18</v>
      </c>
      <c r="L2419">
        <f>J2419/_xlfn.XLOOKUP(Tabla2[[#This Row],[Unidad de precio]],Tabla3[Medida],Tabla3[Equivalencia en Kg],"ELVIS",0)</f>
        <v>45.819497262639544</v>
      </c>
      <c r="M2419">
        <v>8705.1562241280008</v>
      </c>
      <c r="N2419" s="2">
        <f>(Tabla2[[#This Row],[Productividad (kg/TAS)]]*Tabla2[[#This Row],[Precio por kg]]-Tabla2[[#This Row],[Costos (En RD$/Tarea)]])</f>
        <v>12822.925485463835</v>
      </c>
      <c r="O2419" s="6">
        <f>IF(Tabla2[[#This Row],[Costos (En RD$/Tarea)]]=0,0,Tabla2[[#This Row],[Beneficio Neto  (En RD$/Tarea)]]/Tabla2[[#This Row],[Costos (En RD$/Tarea)]])</f>
        <v>1.4730264633186767</v>
      </c>
      <c r="P2419" s="4">
        <f>Tabla2[[#This Row],[Rentabilidad (%)]]/12</f>
        <v>0.12275220527655639</v>
      </c>
    </row>
    <row r="2420" spans="1:16" x14ac:dyDescent="0.35">
      <c r="A2420" s="1">
        <v>42644</v>
      </c>
      <c r="B2420" t="s">
        <v>25</v>
      </c>
      <c r="C2420" s="2">
        <v>32215</v>
      </c>
      <c r="D2420" s="5" t="s">
        <v>17</v>
      </c>
      <c r="E2420" s="2">
        <f>IF(Tabla2[[#This Row],[Frecuencia]]="Annual", Tabla2[[#This Row],[Cosecha/Tarea]]/12,Tabla2[[#This Row],[Cosecha/Tarea]])</f>
        <v>32215</v>
      </c>
      <c r="F2420" s="2">
        <v>298375</v>
      </c>
      <c r="G2420" t="s">
        <v>18</v>
      </c>
      <c r="H2420">
        <f>F2420/Tabla2[[#This Row],[Cosecha Mensual]]</f>
        <v>9.2619897563246933</v>
      </c>
      <c r="I2420">
        <f>H2420*_xlfn.XLOOKUP(Tabla2[[#This Row],[Unidad de producción]],Tabla3[Medida],Tabla3[Equivalencia en Kg],"ELVIS",0)</f>
        <v>420.12385534688809</v>
      </c>
      <c r="J2420">
        <v>451.416</v>
      </c>
      <c r="K2420" t="s">
        <v>18</v>
      </c>
      <c r="L2420">
        <f>J2420/_xlfn.XLOOKUP(Tabla2[[#This Row],[Unidad de precio]],Tabla3[Medida],Tabla3[Equivalencia en Kg],"ELVIS",0)</f>
        <v>9.9518518518518526</v>
      </c>
      <c r="M2420">
        <v>4784.7627198809196</v>
      </c>
      <c r="N2420" s="2">
        <f>(Tabla2[[#This Row],[Productividad (kg/TAS)]]*Tabla2[[#This Row],[Precio por kg]]-Tabla2[[#This Row],[Costos (En RD$/Tarea)]])</f>
        <v>-603.75235203985176</v>
      </c>
      <c r="O2420" s="6">
        <f>IF(Tabla2[[#This Row],[Costos (En RD$/Tarea)]]=0,0,Tabla2[[#This Row],[Beneficio Neto  (En RD$/Tarea)]]/Tabla2[[#This Row],[Costos (En RD$/Tarea)]])</f>
        <v>-0.12618229730206509</v>
      </c>
      <c r="P2420" s="4">
        <f>Tabla2[[#This Row],[Rentabilidad (%)]]/12</f>
        <v>-1.0515191441838758E-2</v>
      </c>
    </row>
    <row r="2421" spans="1:16" x14ac:dyDescent="0.35">
      <c r="A2421" s="1">
        <v>42644</v>
      </c>
      <c r="B2421" t="s">
        <v>26</v>
      </c>
      <c r="C2421" s="2">
        <v>9814</v>
      </c>
      <c r="D2421" s="5" t="s">
        <v>17</v>
      </c>
      <c r="E2421" s="2">
        <f>IF(Tabla2[[#This Row],[Frecuencia]]="Annual", Tabla2[[#This Row],[Cosecha/Tarea]]/12,Tabla2[[#This Row],[Cosecha/Tarea]])</f>
        <v>9814</v>
      </c>
      <c r="F2421" s="2">
        <v>59995</v>
      </c>
      <c r="G2421" t="s">
        <v>18</v>
      </c>
      <c r="H2421">
        <f>F2421/Tabla2[[#This Row],[Cosecha Mensual]]</f>
        <v>6.1132056246178932</v>
      </c>
      <c r="I2421">
        <f>H2421*_xlfn.XLOOKUP(Tabla2[[#This Row],[Unidad de producción]],Tabla3[Medida],Tabla3[Equivalencia en Kg],"ELVIS",0)</f>
        <v>277.29500713266765</v>
      </c>
      <c r="J2421">
        <v>834.80729166666697</v>
      </c>
      <c r="K2421" t="s">
        <v>18</v>
      </c>
      <c r="L2421">
        <f>J2421/_xlfn.XLOOKUP(Tabla2[[#This Row],[Unidad de precio]],Tabla3[Medida],Tabla3[Equivalencia en Kg],"ELVIS",0)</f>
        <v>18.404040821575549</v>
      </c>
      <c r="M2421">
        <v>1888.4301162085201</v>
      </c>
      <c r="N2421" s="2">
        <f>(Tabla2[[#This Row],[Productividad (kg/TAS)]]*Tabla2[[#This Row],[Precio por kg]]-Tabla2[[#This Row],[Costos (En RD$/Tarea)]])</f>
        <v>3214.9185146801783</v>
      </c>
      <c r="O2421" s="6">
        <f>IF(Tabla2[[#This Row],[Costos (En RD$/Tarea)]]=0,0,Tabla2[[#This Row],[Beneficio Neto  (En RD$/Tarea)]]/Tabla2[[#This Row],[Costos (En RD$/Tarea)]])</f>
        <v>1.7024291696506644</v>
      </c>
      <c r="P2421" s="4">
        <f>Tabla2[[#This Row],[Rentabilidad (%)]]/12</f>
        <v>0.14186909747088869</v>
      </c>
    </row>
    <row r="2422" spans="1:16" x14ac:dyDescent="0.35">
      <c r="A2422" s="1">
        <v>42644</v>
      </c>
      <c r="B2422" t="s">
        <v>27</v>
      </c>
      <c r="C2422" s="2">
        <v>3032</v>
      </c>
      <c r="D2422" s="5" t="s">
        <v>17</v>
      </c>
      <c r="E2422" s="2">
        <f>IF(Tabla2[[#This Row],[Frecuencia]]="Annual", Tabla2[[#This Row],[Cosecha/Tarea]]/12,Tabla2[[#This Row],[Cosecha/Tarea]])</f>
        <v>3032</v>
      </c>
      <c r="F2422" s="2">
        <v>30586</v>
      </c>
      <c r="G2422" t="s">
        <v>18</v>
      </c>
      <c r="H2422">
        <f>F2422/Tabla2[[#This Row],[Cosecha Mensual]]</f>
        <v>10.0877308707124</v>
      </c>
      <c r="I2422">
        <f>H2422*_xlfn.XLOOKUP(Tabla2[[#This Row],[Unidad de producción]],Tabla3[Medida],Tabla3[Equivalencia en Kg],"ELVIS",0)</f>
        <v>457.57947229551451</v>
      </c>
      <c r="J2422">
        <v>734.92619047618996</v>
      </c>
      <c r="K2422" t="s">
        <v>18</v>
      </c>
      <c r="L2422">
        <f>J2422/_xlfn.XLOOKUP(Tabla2[[#This Row],[Unidad de precio]],Tabla3[Medida],Tabla3[Equivalencia en Kg],"ELVIS",0)</f>
        <v>16.20207650961618</v>
      </c>
      <c r="M2422">
        <v>8287.288275158</v>
      </c>
      <c r="N2422" s="2">
        <f>(Tabla2[[#This Row],[Productividad (kg/TAS)]]*Tabla2[[#This Row],[Precio por kg]]-Tabla2[[#This Row],[Costos (En RD$/Tarea)]])</f>
        <v>-873.55065579627626</v>
      </c>
      <c r="O2422" s="6">
        <f>IF(Tabla2[[#This Row],[Costos (En RD$/Tarea)]]=0,0,Tabla2[[#This Row],[Beneficio Neto  (En RD$/Tarea)]]/Tabla2[[#This Row],[Costos (En RD$/Tarea)]])</f>
        <v>-0.10540850357707893</v>
      </c>
      <c r="P2422" s="4">
        <f>Tabla2[[#This Row],[Rentabilidad (%)]]/12</f>
        <v>-8.7840419647565778E-3</v>
      </c>
    </row>
    <row r="2423" spans="1:16" x14ac:dyDescent="0.35">
      <c r="A2423" s="1">
        <v>42644</v>
      </c>
      <c r="B2423" t="s">
        <v>28</v>
      </c>
      <c r="C2423" s="2">
        <v>75244</v>
      </c>
      <c r="D2423" s="5" t="s">
        <v>17</v>
      </c>
      <c r="E2423" s="2">
        <f>IF(Tabla2[[#This Row],[Frecuencia]]="Annual", Tabla2[[#This Row],[Cosecha/Tarea]]/12,Tabla2[[#This Row],[Cosecha/Tarea]])</f>
        <v>75244</v>
      </c>
      <c r="F2423" s="2">
        <v>1705896</v>
      </c>
      <c r="G2423" t="s">
        <v>18</v>
      </c>
      <c r="H2423">
        <f>F2423/Tabla2[[#This Row],[Cosecha Mensual]]</f>
        <v>22.671521981819147</v>
      </c>
      <c r="I2423">
        <f>H2423*_xlfn.XLOOKUP(Tabla2[[#This Row],[Unidad de producción]],Tabla3[Medida],Tabla3[Equivalencia en Kg],"ELVIS",0)</f>
        <v>1028.3802370953165</v>
      </c>
      <c r="J2423">
        <v>6891.4440000000004</v>
      </c>
      <c r="K2423" t="s">
        <v>29</v>
      </c>
      <c r="L2423">
        <f>J2423/_xlfn.XLOOKUP(Tabla2[[#This Row],[Unidad de precio]],Tabla3[Medida],Tabla3[Equivalencia en Kg],"ELVIS",0)</f>
        <v>12.254941850126258</v>
      </c>
      <c r="M2423">
        <v>7046.2499107967797</v>
      </c>
      <c r="N2423" s="2">
        <f>(Tabla2[[#This Row],[Productividad (kg/TAS)]]*Tabla2[[#This Row],[Precio por kg]]-Tabla2[[#This Row],[Costos (En RD$/Tarea)]])</f>
        <v>5556.4900946253783</v>
      </c>
      <c r="O2423" s="6">
        <f>IF(Tabla2[[#This Row],[Costos (En RD$/Tarea)]]=0,0,Tabla2[[#This Row],[Beneficio Neto  (En RD$/Tarea)]]/Tabla2[[#This Row],[Costos (En RD$/Tarea)]])</f>
        <v>0.7885740876308287</v>
      </c>
      <c r="P2423" s="4">
        <f>Tabla2[[#This Row],[Rentabilidad (%)]]/12</f>
        <v>6.5714507302569058E-2</v>
      </c>
    </row>
    <row r="2424" spans="1:16" x14ac:dyDescent="0.35">
      <c r="A2424" s="1">
        <v>42644</v>
      </c>
      <c r="B2424" t="s">
        <v>30</v>
      </c>
      <c r="C2424" s="2">
        <v>425879</v>
      </c>
      <c r="D2424" s="2" t="s">
        <v>31</v>
      </c>
      <c r="E2424" s="2">
        <f>IF(Tabla2[[#This Row],[Frecuencia]]="Annual", Tabla2[[#This Row],[Cosecha/Tarea]]/12,Tabla2[[#This Row],[Cosecha/Tarea]])</f>
        <v>35489.916666666664</v>
      </c>
      <c r="F2424" s="2">
        <v>2336106.6</v>
      </c>
      <c r="G2424" t="s">
        <v>18</v>
      </c>
      <c r="H2424">
        <f>F2424/Tabla2[[#This Row],[Cosecha Mensual]]</f>
        <v>65.82451635323649</v>
      </c>
      <c r="I2424">
        <f>H2424*_xlfn.XLOOKUP(Tabla2[[#This Row],[Unidad de producción]],Tabla3[Medida],Tabla3[Equivalencia en Kg],"ELVIS",0)</f>
        <v>2985.800061782807</v>
      </c>
      <c r="J2424">
        <v>135.69427083333301</v>
      </c>
      <c r="K2424" t="s">
        <v>32</v>
      </c>
      <c r="L2424">
        <f>J2424/_xlfn.XLOOKUP(Tabla2[[#This Row],[Unidad de precio]],Tabla3[Medida],Tabla3[Equivalencia en Kg],"ELVIS",0)</f>
        <v>4.9869265282371558</v>
      </c>
      <c r="M2424" s="2">
        <v>31633.940308743</v>
      </c>
      <c r="N2424" s="2">
        <f>(Tabla2[[#This Row],[Productividad (kg/TAS)]]*Tabla2[[#This Row],[Precio por kg]]-Tabla2[[#This Row],[Costos (En RD$/Tarea)]])</f>
        <v>-16743.974772626181</v>
      </c>
      <c r="O2424" s="6">
        <f>IF(Tabla2[[#This Row],[Costos (En RD$/Tarea)]]=0,0,Tabla2[[#This Row],[Beneficio Neto  (En RD$/Tarea)]]/Tabla2[[#This Row],[Costos (En RD$/Tarea)]])</f>
        <v>-0.52930411479591988</v>
      </c>
      <c r="P2424" s="4">
        <f>Tabla2[[#This Row],[Rentabilidad (%)]]/12</f>
        <v>-4.4108676232993325E-2</v>
      </c>
    </row>
    <row r="2425" spans="1:16" x14ac:dyDescent="0.35">
      <c r="A2425" s="1">
        <v>42644</v>
      </c>
      <c r="B2425" t="s">
        <v>33</v>
      </c>
      <c r="C2425" s="2">
        <v>758479</v>
      </c>
      <c r="D2425" s="2" t="s">
        <v>31</v>
      </c>
      <c r="E2425" s="2">
        <f>IF(Tabla2[[#This Row],[Frecuencia]]="Annual", Tabla2[[#This Row],[Cosecha/Tarea]]/12,Tabla2[[#This Row],[Cosecha/Tarea]])</f>
        <v>63206.583333333336</v>
      </c>
      <c r="F2425" s="2">
        <v>1431405</v>
      </c>
      <c r="G2425" t="s">
        <v>18</v>
      </c>
      <c r="H2425">
        <f>F2425/Tabla2[[#This Row],[Cosecha Mensual]]</f>
        <v>22.646454285484502</v>
      </c>
      <c r="I2425">
        <f>H2425*_xlfn.XLOOKUP(Tabla2[[#This Row],[Unidad de producción]],Tabla3[Medida],Tabla3[Equivalencia en Kg],"ELVIS",0)</f>
        <v>1027.243166389577</v>
      </c>
      <c r="J2425">
        <v>4283.7083333333303</v>
      </c>
      <c r="K2425" t="s">
        <v>34</v>
      </c>
      <c r="L2425">
        <f>J2425/_xlfn.XLOOKUP(Tabla2[[#This Row],[Unidad de precio]],Tabla3[Medida],Tabla3[Equivalencia en Kg],"ELVIS",0)</f>
        <v>10.495426518028495</v>
      </c>
      <c r="M2425" s="2">
        <v>19988.821444047899</v>
      </c>
      <c r="N2425" s="2">
        <f>(Tabla2[[#This Row],[Productividad (kg/TAS)]]*Tabla2[[#This Row],[Precio por kg]]-Tabla2[[#This Row],[Costos (En RD$/Tarea)]])</f>
        <v>-9207.4662750591742</v>
      </c>
      <c r="O2425" s="6">
        <f>IF(Tabla2[[#This Row],[Costos (En RD$/Tarea)]]=0,0,Tabla2[[#This Row],[Beneficio Neto  (En RD$/Tarea)]]/Tabla2[[#This Row],[Costos (En RD$/Tarea)]])</f>
        <v>-0.46063077309647465</v>
      </c>
      <c r="P2425" s="4">
        <f>Tabla2[[#This Row],[Rentabilidad (%)]]/12</f>
        <v>-3.8385897758039557E-2</v>
      </c>
    </row>
    <row r="2426" spans="1:16" x14ac:dyDescent="0.35">
      <c r="A2426" s="1">
        <v>42675</v>
      </c>
      <c r="B2426" t="s">
        <v>16</v>
      </c>
      <c r="C2426" s="2">
        <v>471296</v>
      </c>
      <c r="D2426" s="5" t="s">
        <v>17</v>
      </c>
      <c r="E2426" s="2">
        <f>IF(Tabla2[[#This Row],[Frecuencia]]="Annual", Tabla2[[#This Row],[Cosecha/Tarea]]/12,Tabla2[[#This Row],[Cosecha/Tarea]])</f>
        <v>471296</v>
      </c>
      <c r="F2426" s="2">
        <v>1803576</v>
      </c>
      <c r="G2426" t="s">
        <v>18</v>
      </c>
      <c r="H2426">
        <f>F2426/Tabla2[[#This Row],[Cosecha Mensual]]</f>
        <v>3.8268434274850627</v>
      </c>
      <c r="I2426">
        <f>H2426*_xlfn.XLOOKUP(Tabla2[[#This Row],[Unidad de producción]],Tabla3[Medida],Tabla3[Equivalencia en Kg],"ELVIS",0)</f>
        <v>173.58561787072244</v>
      </c>
      <c r="J2426">
        <v>1984.6409008250801</v>
      </c>
      <c r="K2426" t="s">
        <v>19</v>
      </c>
      <c r="L2426">
        <f>J2426/_xlfn.XLOOKUP(Tabla2[[#This Row],[Unidad de precio]],Tabla3[Medida],Tabla3[Equivalencia en Kg],"ELVIS",0)</f>
        <v>18.042190007500729</v>
      </c>
      <c r="M2426">
        <v>5924.25478252843</v>
      </c>
      <c r="N2426" s="2">
        <f>(Tabla2[[#This Row],[Productividad (kg/TAS)]]*Tabla2[[#This Row],[Precio por kg]]-Tabla2[[#This Row],[Costos (En RD$/Tarea)]])</f>
        <v>-2792.3900823354415</v>
      </c>
      <c r="O2426" s="6">
        <f>IF(Tabla2[[#This Row],[Costos (En RD$/Tarea)]]=0,0,Tabla2[[#This Row],[Beneficio Neto  (En RD$/Tarea)]]/Tabla2[[#This Row],[Costos (En RD$/Tarea)]])</f>
        <v>-0.47134874930947335</v>
      </c>
      <c r="P2426" s="4">
        <f>Tabla2[[#This Row],[Rentabilidad (%)]]/12</f>
        <v>-3.927906244245611E-2</v>
      </c>
    </row>
    <row r="2427" spans="1:16" x14ac:dyDescent="0.35">
      <c r="A2427" s="1">
        <v>42675</v>
      </c>
      <c r="B2427" t="s">
        <v>20</v>
      </c>
      <c r="C2427" s="2">
        <v>34125</v>
      </c>
      <c r="D2427" s="5" t="s">
        <v>17</v>
      </c>
      <c r="E2427" s="2">
        <f>IF(Tabla2[[#This Row],[Frecuencia]]="Annual", Tabla2[[#This Row],[Cosecha/Tarea]]/12,Tabla2[[#This Row],[Cosecha/Tarea]])</f>
        <v>34125</v>
      </c>
      <c r="F2427" s="2">
        <v>55897</v>
      </c>
      <c r="G2427" t="s">
        <v>18</v>
      </c>
      <c r="H2427">
        <f>F2427/Tabla2[[#This Row],[Cosecha Mensual]]</f>
        <v>1.638007326007326</v>
      </c>
      <c r="I2427">
        <f>H2427*_xlfn.XLOOKUP(Tabla2[[#This Row],[Unidad de producción]],Tabla3[Medida],Tabla3[Equivalencia en Kg],"ELVIS",0)</f>
        <v>74.300012307692313</v>
      </c>
      <c r="J2427">
        <v>697.85354166666696</v>
      </c>
      <c r="K2427" t="s">
        <v>18</v>
      </c>
      <c r="L2427">
        <f>J2427/_xlfn.XLOOKUP(Tabla2[[#This Row],[Unidad de precio]],Tabla3[Medida],Tabla3[Equivalencia en Kg],"ELVIS",0)</f>
        <v>15.384778255437984</v>
      </c>
      <c r="M2427">
        <v>2463.2928983520001</v>
      </c>
      <c r="N2427" s="2">
        <f>(Tabla2[[#This Row],[Productividad (kg/TAS)]]*Tabla2[[#This Row],[Precio por kg]]-Tabla2[[#This Row],[Costos (En RD$/Tarea)]])</f>
        <v>-1320.2036846218407</v>
      </c>
      <c r="O2427" s="6">
        <f>IF(Tabla2[[#This Row],[Costos (En RD$/Tarea)]]=0,0,Tabla2[[#This Row],[Beneficio Neto  (En RD$/Tarea)]]/Tabla2[[#This Row],[Costos (En RD$/Tarea)]])</f>
        <v>-0.53595075336152165</v>
      </c>
      <c r="P2427" s="4">
        <f>Tabla2[[#This Row],[Rentabilidad (%)]]/12</f>
        <v>-4.4662562780126806E-2</v>
      </c>
    </row>
    <row r="2428" spans="1:16" x14ac:dyDescent="0.35">
      <c r="A2428" s="1">
        <v>42675</v>
      </c>
      <c r="B2428" t="s">
        <v>21</v>
      </c>
      <c r="C2428" s="2">
        <v>12045</v>
      </c>
      <c r="D2428" s="5" t="s">
        <v>17</v>
      </c>
      <c r="E2428" s="2">
        <f>IF(Tabla2[[#This Row],[Frecuencia]]="Annual", Tabla2[[#This Row],[Cosecha/Tarea]]/12,Tabla2[[#This Row],[Cosecha/Tarea]])</f>
        <v>12045</v>
      </c>
      <c r="F2428" s="2">
        <v>89542</v>
      </c>
      <c r="G2428" t="s">
        <v>18</v>
      </c>
      <c r="H2428">
        <f>F2428/Tabla2[[#This Row],[Cosecha Mensual]]</f>
        <v>7.4339559983395596</v>
      </c>
      <c r="I2428">
        <f>H2428*_xlfn.XLOOKUP(Tabla2[[#This Row],[Unidad de producción]],Tabla3[Medida],Tabla3[Equivalencia en Kg],"ELVIS",0)</f>
        <v>337.20424408468244</v>
      </c>
      <c r="J2428">
        <v>423.26059027777802</v>
      </c>
      <c r="K2428" t="s">
        <v>18</v>
      </c>
      <c r="L2428">
        <f>J2428/_xlfn.XLOOKUP(Tabla2[[#This Row],[Unidad de precio]],Tabla3[Medida],Tabla3[Equivalencia en Kg],"ELVIS",0)</f>
        <v>9.3311417609739422</v>
      </c>
      <c r="M2428">
        <v>4713.6874381607504</v>
      </c>
      <c r="N2428" s="2">
        <f>(Tabla2[[#This Row],[Productividad (kg/TAS)]]*Tabla2[[#This Row],[Precio por kg]]-Tabla2[[#This Row],[Costos (En RD$/Tarea)]])</f>
        <v>-1567.1868342045195</v>
      </c>
      <c r="O2428" s="6">
        <f>IF(Tabla2[[#This Row],[Costos (En RD$/Tarea)]]=0,0,Tabla2[[#This Row],[Beneficio Neto  (En RD$/Tarea)]]/Tabla2[[#This Row],[Costos (En RD$/Tarea)]])</f>
        <v>-0.33247576441259019</v>
      </c>
      <c r="P2428" s="4">
        <f>Tabla2[[#This Row],[Rentabilidad (%)]]/12</f>
        <v>-2.7706313701049184E-2</v>
      </c>
    </row>
    <row r="2429" spans="1:16" x14ac:dyDescent="0.35">
      <c r="A2429" s="1">
        <v>42675</v>
      </c>
      <c r="B2429" t="s">
        <v>22</v>
      </c>
      <c r="C2429" s="2">
        <v>5891</v>
      </c>
      <c r="D2429" s="5" t="s">
        <v>17</v>
      </c>
      <c r="E2429" s="2">
        <f>IF(Tabla2[[#This Row],[Frecuencia]]="Annual", Tabla2[[#This Row],[Cosecha/Tarea]]/12,Tabla2[[#This Row],[Cosecha/Tarea]])</f>
        <v>5891</v>
      </c>
      <c r="F2429" s="2">
        <v>50144</v>
      </c>
      <c r="G2429" t="s">
        <v>18</v>
      </c>
      <c r="H2429">
        <f>F2429/Tabla2[[#This Row],[Cosecha Mensual]]</f>
        <v>8.5119674079103724</v>
      </c>
      <c r="I2429">
        <f>H2429*_xlfn.XLOOKUP(Tabla2[[#This Row],[Unidad de producción]],Tabla3[Medida],Tabla3[Equivalencia en Kg],"ELVIS",0)</f>
        <v>386.10284162281448</v>
      </c>
      <c r="J2429">
        <v>1780.00297619048</v>
      </c>
      <c r="K2429" t="s">
        <v>18</v>
      </c>
      <c r="L2429">
        <f>J2429/_xlfn.XLOOKUP(Tabla2[[#This Row],[Unidad de precio]],Tabla3[Medida],Tabla3[Equivalencia en Kg],"ELVIS",0)</f>
        <v>39.241688187620809</v>
      </c>
      <c r="M2429">
        <v>8550.1576563690305</v>
      </c>
      <c r="N2429" s="2">
        <f>(Tabla2[[#This Row],[Productividad (kg/TAS)]]*Tabla2[[#This Row],[Precio por kg]]-Tabla2[[#This Row],[Costos (En RD$/Tarea)]])</f>
        <v>6601.1696629477974</v>
      </c>
      <c r="O2429" s="6">
        <f>IF(Tabla2[[#This Row],[Costos (En RD$/Tarea)]]=0,0,Tabla2[[#This Row],[Beneficio Neto  (En RD$/Tarea)]]/Tabla2[[#This Row],[Costos (En RD$/Tarea)]])</f>
        <v>0.77205239110773261</v>
      </c>
      <c r="P2429" s="4">
        <f>Tabla2[[#This Row],[Rentabilidad (%)]]/12</f>
        <v>6.4337699258977712E-2</v>
      </c>
    </row>
    <row r="2430" spans="1:16" x14ac:dyDescent="0.35">
      <c r="A2430" s="1">
        <v>42675</v>
      </c>
      <c r="B2430" t="s">
        <v>23</v>
      </c>
      <c r="C2430" s="2">
        <v>5012</v>
      </c>
      <c r="D2430" s="5" t="s">
        <v>17</v>
      </c>
      <c r="E2430" s="2">
        <f>IF(Tabla2[[#This Row],[Frecuencia]]="Annual", Tabla2[[#This Row],[Cosecha/Tarea]]/12,Tabla2[[#This Row],[Cosecha/Tarea]])</f>
        <v>5012</v>
      </c>
      <c r="F2430" s="2">
        <v>172450</v>
      </c>
      <c r="G2430" t="s">
        <v>18</v>
      </c>
      <c r="H2430">
        <f>F2430/Tabla2[[#This Row],[Cosecha Mensual]]</f>
        <v>34.407422186751795</v>
      </c>
      <c r="I2430">
        <f>H2430*_xlfn.XLOOKUP(Tabla2[[#This Row],[Unidad de producción]],Tabla3[Medida],Tabla3[Equivalencia en Kg],"ELVIS",0)</f>
        <v>1560.7206703910615</v>
      </c>
      <c r="J2430">
        <v>825</v>
      </c>
      <c r="K2430" t="s">
        <v>18</v>
      </c>
      <c r="L2430">
        <f>J2430/_xlfn.XLOOKUP(Tabla2[[#This Row],[Unidad de precio]],Tabla3[Medida],Tabla3[Equivalencia en Kg],"ELVIS",0)</f>
        <v>18.187830687830687</v>
      </c>
      <c r="M2430">
        <v>23192.17</v>
      </c>
      <c r="N2430" s="2">
        <f>(Tabla2[[#This Row],[Productividad (kg/TAS)]]*Tabla2[[#This Row],[Precio por kg]]-Tabla2[[#This Row],[Costos (En RD$/Tarea)]])</f>
        <v>5193.9533040702336</v>
      </c>
      <c r="O2430" s="6">
        <f>IF(Tabla2[[#This Row],[Costos (En RD$/Tarea)]]=0,0,Tabla2[[#This Row],[Beneficio Neto  (En RD$/Tarea)]]/Tabla2[[#This Row],[Costos (En RD$/Tarea)]])</f>
        <v>0.22395288168680352</v>
      </c>
      <c r="P2430" s="4">
        <f>Tabla2[[#This Row],[Rentabilidad (%)]]/12</f>
        <v>1.8662740140566961E-2</v>
      </c>
    </row>
    <row r="2431" spans="1:16" x14ac:dyDescent="0.35">
      <c r="A2431" s="1">
        <v>42675</v>
      </c>
      <c r="B2431" t="s">
        <v>24</v>
      </c>
      <c r="C2431" s="2">
        <v>6541</v>
      </c>
      <c r="D2431" s="5" t="s">
        <v>17</v>
      </c>
      <c r="E2431" s="2">
        <f>IF(Tabla2[[#This Row],[Frecuencia]]="Annual", Tabla2[[#This Row],[Cosecha/Tarea]]/12,Tabla2[[#This Row],[Cosecha/Tarea]])</f>
        <v>6541</v>
      </c>
      <c r="F2431" s="2">
        <v>47512</v>
      </c>
      <c r="G2431" t="s">
        <v>18</v>
      </c>
      <c r="H2431">
        <f>F2431/Tabla2[[#This Row],[Cosecha Mensual]]</f>
        <v>7.2637211435560314</v>
      </c>
      <c r="I2431">
        <f>H2431*_xlfn.XLOOKUP(Tabla2[[#This Row],[Unidad de producción]],Tabla3[Medida],Tabla3[Equivalencia en Kg],"ELVIS",0)</f>
        <v>329.48239107170156</v>
      </c>
      <c r="J2431">
        <v>2213.6692708333298</v>
      </c>
      <c r="K2431" t="s">
        <v>18</v>
      </c>
      <c r="L2431">
        <f>J2431/_xlfn.XLOOKUP(Tabla2[[#This Row],[Unidad de precio]],Tabla3[Medida],Tabla3[Equivalencia en Kg],"ELVIS",0)</f>
        <v>48.802232602145722</v>
      </c>
      <c r="M2431">
        <v>8705.1562241280008</v>
      </c>
      <c r="N2431" s="2">
        <f>(Tabla2[[#This Row],[Productividad (kg/TAS)]]*Tabla2[[#This Row],[Precio por kg]]-Tabla2[[#This Row],[Costos (En RD$/Tarea)]])</f>
        <v>7374.3200632643202</v>
      </c>
      <c r="O2431" s="6">
        <f>IF(Tabla2[[#This Row],[Costos (En RD$/Tarea)]]=0,0,Tabla2[[#This Row],[Beneficio Neto  (En RD$/Tarea)]]/Tabla2[[#This Row],[Costos (En RD$/Tarea)]])</f>
        <v>0.84712093308848213</v>
      </c>
      <c r="P2431" s="4">
        <f>Tabla2[[#This Row],[Rentabilidad (%)]]/12</f>
        <v>7.059341109070684E-2</v>
      </c>
    </row>
    <row r="2432" spans="1:16" x14ac:dyDescent="0.35">
      <c r="A2432" s="1">
        <v>42675</v>
      </c>
      <c r="B2432" t="s">
        <v>25</v>
      </c>
      <c r="C2432" s="2">
        <v>45920</v>
      </c>
      <c r="D2432" s="5" t="s">
        <v>17</v>
      </c>
      <c r="E2432" s="2">
        <f>IF(Tabla2[[#This Row],[Frecuencia]]="Annual", Tabla2[[#This Row],[Cosecha/Tarea]]/12,Tabla2[[#This Row],[Cosecha/Tarea]])</f>
        <v>45920</v>
      </c>
      <c r="F2432" s="2">
        <v>415241</v>
      </c>
      <c r="G2432" t="s">
        <v>18</v>
      </c>
      <c r="H2432">
        <f>F2432/Tabla2[[#This Row],[Cosecha Mensual]]</f>
        <v>9.0427047038327526</v>
      </c>
      <c r="I2432">
        <f>H2432*_xlfn.XLOOKUP(Tabla2[[#This Row],[Unidad de producción]],Tabla3[Medida],Tabla3[Equivalencia en Kg],"ELVIS",0)</f>
        <v>410.17708536585366</v>
      </c>
      <c r="J2432">
        <v>391.61796527777801</v>
      </c>
      <c r="K2432" t="s">
        <v>18</v>
      </c>
      <c r="L2432">
        <f>J2432/_xlfn.XLOOKUP(Tabla2[[#This Row],[Unidad de precio]],Tabla3[Medida],Tabla3[Equivalencia en Kg],"ELVIS",0)</f>
        <v>8.6335530264060409</v>
      </c>
      <c r="M2432">
        <v>4784.7627198809196</v>
      </c>
      <c r="N2432" s="2">
        <f>(Tabla2[[#This Row],[Productividad (kg/TAS)]]*Tabla2[[#This Row],[Precio por kg]]-Tabla2[[#This Row],[Costos (En RD$/Tarea)]])</f>
        <v>-1243.4771031581449</v>
      </c>
      <c r="O2432" s="6">
        <f>IF(Tabla2[[#This Row],[Costos (En RD$/Tarea)]]=0,0,Tabla2[[#This Row],[Beneficio Neto  (En RD$/Tarea)]]/Tabla2[[#This Row],[Costos (En RD$/Tarea)]])</f>
        <v>-0.25988271016897824</v>
      </c>
      <c r="P2432" s="4">
        <f>Tabla2[[#This Row],[Rentabilidad (%)]]/12</f>
        <v>-2.1656892514081521E-2</v>
      </c>
    </row>
    <row r="2433" spans="1:16" x14ac:dyDescent="0.35">
      <c r="A2433" s="1">
        <v>42675</v>
      </c>
      <c r="B2433" t="s">
        <v>26</v>
      </c>
      <c r="C2433" s="2">
        <v>11204</v>
      </c>
      <c r="D2433" s="5" t="s">
        <v>17</v>
      </c>
      <c r="E2433" s="2">
        <f>IF(Tabla2[[#This Row],[Frecuencia]]="Annual", Tabla2[[#This Row],[Cosecha/Tarea]]/12,Tabla2[[#This Row],[Cosecha/Tarea]])</f>
        <v>11204</v>
      </c>
      <c r="F2433" s="2">
        <v>72411</v>
      </c>
      <c r="G2433" t="s">
        <v>18</v>
      </c>
      <c r="H2433">
        <f>F2433/Tabla2[[#This Row],[Cosecha Mensual]]</f>
        <v>6.4629596572652623</v>
      </c>
      <c r="I2433">
        <f>H2433*_xlfn.XLOOKUP(Tabla2[[#This Row],[Unidad de producción]],Tabla3[Medida],Tabla3[Equivalencia en Kg],"ELVIS",0)</f>
        <v>293.1598500535523</v>
      </c>
      <c r="J2433">
        <v>967.76996527777806</v>
      </c>
      <c r="K2433" t="s">
        <v>18</v>
      </c>
      <c r="L2433">
        <f>J2433/_xlfn.XLOOKUP(Tabla2[[#This Row],[Unidad de precio]],Tabla3[Medida],Tabla3[Equivalencia en Kg],"ELVIS",0)</f>
        <v>21.335316694836376</v>
      </c>
      <c r="M2433">
        <v>1888.4301162085201</v>
      </c>
      <c r="N2433" s="2">
        <f>(Tabla2[[#This Row],[Productividad (kg/TAS)]]*Tabla2[[#This Row],[Precio por kg]]-Tabla2[[#This Row],[Costos (En RD$/Tarea)]])</f>
        <v>4366.2281268947627</v>
      </c>
      <c r="O2433" s="6">
        <f>IF(Tabla2[[#This Row],[Costos (En RD$/Tarea)]]=0,0,Tabla2[[#This Row],[Beneficio Neto  (En RD$/Tarea)]]/Tabla2[[#This Row],[Costos (En RD$/Tarea)]])</f>
        <v>2.3120940983831697</v>
      </c>
      <c r="P2433" s="4">
        <f>Tabla2[[#This Row],[Rentabilidad (%)]]/12</f>
        <v>0.19267450819859747</v>
      </c>
    </row>
    <row r="2434" spans="1:16" x14ac:dyDescent="0.35">
      <c r="A2434" s="1">
        <v>42675</v>
      </c>
      <c r="B2434" t="s">
        <v>27</v>
      </c>
      <c r="C2434" s="2">
        <v>4598</v>
      </c>
      <c r="D2434" s="5" t="s">
        <v>17</v>
      </c>
      <c r="E2434" s="2">
        <f>IF(Tabla2[[#This Row],[Frecuencia]]="Annual", Tabla2[[#This Row],[Cosecha/Tarea]]/12,Tabla2[[#This Row],[Cosecha/Tarea]])</f>
        <v>4598</v>
      </c>
      <c r="F2434" s="2">
        <v>25874</v>
      </c>
      <c r="G2434" t="s">
        <v>18</v>
      </c>
      <c r="H2434">
        <f>F2434/Tabla2[[#This Row],[Cosecha Mensual]]</f>
        <v>5.6272292301000437</v>
      </c>
      <c r="I2434">
        <f>H2434*_xlfn.XLOOKUP(Tabla2[[#This Row],[Unidad de producción]],Tabla3[Medida],Tabla3[Equivalencia en Kg],"ELVIS",0)</f>
        <v>255.25111787733798</v>
      </c>
      <c r="J2434">
        <v>1000.39285714286</v>
      </c>
      <c r="K2434" t="s">
        <v>18</v>
      </c>
      <c r="L2434">
        <f>J2434/_xlfn.XLOOKUP(Tabla2[[#This Row],[Unidad de precio]],Tabla3[Medida],Tabla3[Equivalencia en Kg],"ELVIS",0)</f>
        <v>22.054516250944886</v>
      </c>
      <c r="M2434">
        <v>8287.288275158</v>
      </c>
      <c r="N2434" s="2">
        <f>(Tabla2[[#This Row],[Productividad (kg/TAS)]]*Tabla2[[#This Row],[Precio por kg]]-Tabla2[[#This Row],[Costos (En RD$/Tarea)]])</f>
        <v>-2657.8483478604012</v>
      </c>
      <c r="O2434" s="6">
        <f>IF(Tabla2[[#This Row],[Costos (En RD$/Tarea)]]=0,0,Tabla2[[#This Row],[Beneficio Neto  (En RD$/Tarea)]]/Tabla2[[#This Row],[Costos (En RD$/Tarea)]])</f>
        <v>-0.32071387643501859</v>
      </c>
      <c r="P2434" s="4">
        <f>Tabla2[[#This Row],[Rentabilidad (%)]]/12</f>
        <v>-2.6726156369584881E-2</v>
      </c>
    </row>
    <row r="2435" spans="1:16" x14ac:dyDescent="0.35">
      <c r="A2435" s="1">
        <v>42675</v>
      </c>
      <c r="B2435" t="s">
        <v>28</v>
      </c>
      <c r="C2435" s="2">
        <v>59521</v>
      </c>
      <c r="D2435" s="5" t="s">
        <v>17</v>
      </c>
      <c r="E2435" s="2">
        <f>IF(Tabla2[[#This Row],[Frecuencia]]="Annual", Tabla2[[#This Row],[Cosecha/Tarea]]/12,Tabla2[[#This Row],[Cosecha/Tarea]])</f>
        <v>59521</v>
      </c>
      <c r="F2435" s="2">
        <v>878292</v>
      </c>
      <c r="G2435" t="s">
        <v>18</v>
      </c>
      <c r="H2435">
        <f>F2435/Tabla2[[#This Row],[Cosecha Mensual]]</f>
        <v>14.756002083298332</v>
      </c>
      <c r="I2435">
        <f>H2435*_xlfn.XLOOKUP(Tabla2[[#This Row],[Unidad de producción]],Tabla3[Medida],Tabla3[Equivalencia en Kg],"ELVIS",0)</f>
        <v>669.33225449841234</v>
      </c>
      <c r="J2435">
        <v>6760.0115740740803</v>
      </c>
      <c r="K2435" t="s">
        <v>29</v>
      </c>
      <c r="L2435">
        <f>J2435/_xlfn.XLOOKUP(Tabla2[[#This Row],[Unidad de precio]],Tabla3[Medida],Tabla3[Equivalencia en Kg],"ELVIS",0)</f>
        <v>12.021217722506099</v>
      </c>
      <c r="M2435">
        <v>7046.2499107967797</v>
      </c>
      <c r="N2435" s="2">
        <f>(Tabla2[[#This Row],[Productividad (kg/TAS)]]*Tabla2[[#This Row],[Precio por kg]]-Tabla2[[#This Row],[Costos (En RD$/Tarea)]])</f>
        <v>999.93884922449797</v>
      </c>
      <c r="O2435" s="6">
        <f>IF(Tabla2[[#This Row],[Costos (En RD$/Tarea)]]=0,0,Tabla2[[#This Row],[Beneficio Neto  (En RD$/Tarea)]]/Tabla2[[#This Row],[Costos (En RD$/Tarea)]])</f>
        <v>0.14191078401751242</v>
      </c>
      <c r="P2435" s="4">
        <f>Tabla2[[#This Row],[Rentabilidad (%)]]/12</f>
        <v>1.1825898668126035E-2</v>
      </c>
    </row>
    <row r="2436" spans="1:16" x14ac:dyDescent="0.35">
      <c r="A2436" s="1">
        <v>42675</v>
      </c>
      <c r="B2436" t="s">
        <v>30</v>
      </c>
      <c r="C2436" s="2">
        <v>352654</v>
      </c>
      <c r="D2436" s="2" t="s">
        <v>31</v>
      </c>
      <c r="E2436" s="2">
        <f>IF(Tabla2[[#This Row],[Frecuencia]]="Annual", Tabla2[[#This Row],[Cosecha/Tarea]]/12,Tabla2[[#This Row],[Cosecha/Tarea]])</f>
        <v>29387.833333333332</v>
      </c>
      <c r="F2436" s="2">
        <v>1452626.4</v>
      </c>
      <c r="G2436" t="s">
        <v>18</v>
      </c>
      <c r="H2436">
        <f>F2436/Tabla2[[#This Row],[Cosecha Mensual]]</f>
        <v>49.429516750129018</v>
      </c>
      <c r="I2436">
        <f>H2436*_xlfn.XLOOKUP(Tabla2[[#This Row],[Unidad de producción]],Tabla3[Medida],Tabla3[Equivalencia en Kg],"ELVIS",0)</f>
        <v>2242.1228797858521</v>
      </c>
      <c r="J2436">
        <v>124.20156249999999</v>
      </c>
      <c r="K2436" t="s">
        <v>32</v>
      </c>
      <c r="L2436">
        <f>J2436/_xlfn.XLOOKUP(Tabla2[[#This Row],[Unidad de precio]],Tabla3[Medida],Tabla3[Equivalencia en Kg],"ELVIS",0)</f>
        <v>4.564555769937523</v>
      </c>
      <c r="M2436" s="2">
        <v>31633.940308743</v>
      </c>
      <c r="N2436" s="2">
        <f>(Tabla2[[#This Row],[Productividad (kg/TAS)]]*Tabla2[[#This Row],[Precio por kg]]-Tabla2[[#This Row],[Costos (En RD$/Tarea)]])</f>
        <v>-21399.645380907554</v>
      </c>
      <c r="O2436" s="6">
        <f>IF(Tabla2[[#This Row],[Costos (En RD$/Tarea)]]=0,0,Tabla2[[#This Row],[Beneficio Neto  (En RD$/Tarea)]]/Tabla2[[#This Row],[Costos (En RD$/Tarea)]])</f>
        <v>-0.67647739017175523</v>
      </c>
      <c r="P2436" s="4">
        <f>Tabla2[[#This Row],[Rentabilidad (%)]]/12</f>
        <v>-5.6373115847646267E-2</v>
      </c>
    </row>
    <row r="2437" spans="1:16" x14ac:dyDescent="0.35">
      <c r="A2437" s="1">
        <v>42675</v>
      </c>
      <c r="B2437" t="s">
        <v>33</v>
      </c>
      <c r="C2437" s="2">
        <v>735201</v>
      </c>
      <c r="D2437" s="2" t="s">
        <v>31</v>
      </c>
      <c r="E2437" s="2">
        <f>IF(Tabla2[[#This Row],[Frecuencia]]="Annual", Tabla2[[#This Row],[Cosecha/Tarea]]/12,Tabla2[[#This Row],[Cosecha/Tarea]])</f>
        <v>61266.75</v>
      </c>
      <c r="F2437" s="2">
        <v>1211202</v>
      </c>
      <c r="G2437" t="s">
        <v>18</v>
      </c>
      <c r="H2437">
        <f>F2437/Tabla2[[#This Row],[Cosecha Mensual]]</f>
        <v>19.769320226713511</v>
      </c>
      <c r="I2437">
        <f>H2437*_xlfn.XLOOKUP(Tabla2[[#This Row],[Unidad de producción]],Tabla3[Medida],Tabla3[Equivalencia en Kg],"ELVIS",0)</f>
        <v>896.73636548372485</v>
      </c>
      <c r="J2437">
        <v>3791.890625</v>
      </c>
      <c r="K2437" t="s">
        <v>34</v>
      </c>
      <c r="L2437">
        <f>J2437/_xlfn.XLOOKUP(Tabla2[[#This Row],[Unidad de precio]],Tabla3[Medida],Tabla3[Equivalencia en Kg],"ELVIS",0)</f>
        <v>9.2904339703540373</v>
      </c>
      <c r="M2437" s="2">
        <v>19988.821444047899</v>
      </c>
      <c r="N2437" s="2">
        <f>(Tabla2[[#This Row],[Productividad (kg/TAS)]]*Tabla2[[#This Row],[Precio por kg]]-Tabla2[[#This Row],[Costos (En RD$/Tarea)]])</f>
        <v>-11657.751451706088</v>
      </c>
      <c r="O2437" s="6">
        <f>IF(Tabla2[[#This Row],[Costos (En RD$/Tarea)]]=0,0,Tabla2[[#This Row],[Beneficio Neto  (En RD$/Tarea)]]/Tabla2[[#This Row],[Costos (En RD$/Tarea)]])</f>
        <v>-0.58321354684857796</v>
      </c>
      <c r="P2437" s="4">
        <f>Tabla2[[#This Row],[Rentabilidad (%)]]/12</f>
        <v>-4.8601128904048163E-2</v>
      </c>
    </row>
    <row r="2438" spans="1:16" x14ac:dyDescent="0.35">
      <c r="A2438" s="1">
        <v>42705</v>
      </c>
      <c r="B2438" t="s">
        <v>16</v>
      </c>
      <c r="C2438" s="2">
        <v>82517</v>
      </c>
      <c r="D2438" s="5" t="s">
        <v>17</v>
      </c>
      <c r="E2438" s="2">
        <f>IF(Tabla2[[#This Row],[Frecuencia]]="Annual", Tabla2[[#This Row],[Cosecha/Tarea]]/12,Tabla2[[#This Row],[Cosecha/Tarea]])</f>
        <v>82517</v>
      </c>
      <c r="F2438" s="2">
        <v>304217</v>
      </c>
      <c r="G2438" t="s">
        <v>18</v>
      </c>
      <c r="H2438">
        <f>F2438/Tabla2[[#This Row],[Cosecha Mensual]]</f>
        <v>3.6867191003066035</v>
      </c>
      <c r="I2438">
        <f>H2438*_xlfn.XLOOKUP(Tabla2[[#This Row],[Unidad de producción]],Tabla3[Medida],Tabla3[Equivalencia en Kg],"ELVIS",0)</f>
        <v>167.22957838990754</v>
      </c>
      <c r="J2438">
        <v>1950.7196032269901</v>
      </c>
      <c r="K2438" t="s">
        <v>19</v>
      </c>
      <c r="L2438">
        <f>J2438/_xlfn.XLOOKUP(Tabla2[[#This Row],[Unidad de precio]],Tabla3[Medida],Tabla3[Equivalencia en Kg],"ELVIS",0)</f>
        <v>17.73381457479082</v>
      </c>
      <c r="M2438">
        <v>5924.25478252843</v>
      </c>
      <c r="N2438" s="2">
        <f>(Tabla2[[#This Row],[Productividad (kg/TAS)]]*Tabla2[[#This Row],[Precio por kg]]-Tabla2[[#This Row],[Costos (En RD$/Tarea)]])</f>
        <v>-2958.6364479413637</v>
      </c>
      <c r="O2438" s="6">
        <f>IF(Tabla2[[#This Row],[Costos (En RD$/Tarea)]]=0,0,Tabla2[[#This Row],[Beneficio Neto  (En RD$/Tarea)]]/Tabla2[[#This Row],[Costos (En RD$/Tarea)]])</f>
        <v>-0.49941073713893153</v>
      </c>
      <c r="P2438" s="4">
        <f>Tabla2[[#This Row],[Rentabilidad (%)]]/12</f>
        <v>-4.1617561428244292E-2</v>
      </c>
    </row>
    <row r="2439" spans="1:16" x14ac:dyDescent="0.35">
      <c r="A2439" s="1">
        <v>42705</v>
      </c>
      <c r="B2439" t="s">
        <v>20</v>
      </c>
      <c r="C2439" s="2">
        <v>51204</v>
      </c>
      <c r="D2439" s="5" t="s">
        <v>17</v>
      </c>
      <c r="E2439" s="2">
        <f>IF(Tabla2[[#This Row],[Frecuencia]]="Annual", Tabla2[[#This Row],[Cosecha/Tarea]]/12,Tabla2[[#This Row],[Cosecha/Tarea]])</f>
        <v>51204</v>
      </c>
      <c r="F2439" s="2">
        <v>95478</v>
      </c>
      <c r="G2439" t="s">
        <v>18</v>
      </c>
      <c r="H2439">
        <f>F2439/Tabla2[[#This Row],[Cosecha Mensual]]</f>
        <v>1.8646590110147645</v>
      </c>
      <c r="I2439">
        <f>H2439*_xlfn.XLOOKUP(Tabla2[[#This Row],[Unidad de producción]],Tabla3[Medida],Tabla3[Equivalencia en Kg],"ELVIS",0)</f>
        <v>84.580932739629716</v>
      </c>
      <c r="J2439">
        <v>724.23375234374998</v>
      </c>
      <c r="K2439" t="s">
        <v>18</v>
      </c>
      <c r="L2439">
        <f>J2439/_xlfn.XLOOKUP(Tabla2[[#This Row],[Unidad de precio]],Tabla3[Medida],Tabla3[Equivalencia en Kg],"ELVIS",0)</f>
        <v>15.966352564897486</v>
      </c>
      <c r="M2439">
        <v>2463.2928983520001</v>
      </c>
      <c r="N2439" s="2">
        <f>(Tabla2[[#This Row],[Productividad (kg/TAS)]]*Tabla2[[#This Row],[Precio por kg]]-Tabla2[[#This Row],[Costos (En RD$/Tarea)]])</f>
        <v>-1112.8439059631914</v>
      </c>
      <c r="O2439" s="6">
        <f>IF(Tabla2[[#This Row],[Costos (En RD$/Tarea)]]=0,0,Tabla2[[#This Row],[Beneficio Neto  (En RD$/Tarea)]]/Tabla2[[#This Row],[Costos (En RD$/Tarea)]])</f>
        <v>-0.45177084166795989</v>
      </c>
      <c r="P2439" s="4">
        <f>Tabla2[[#This Row],[Rentabilidad (%)]]/12</f>
        <v>-3.764757013899666E-2</v>
      </c>
    </row>
    <row r="2440" spans="1:16" x14ac:dyDescent="0.35">
      <c r="A2440" s="1">
        <v>42705</v>
      </c>
      <c r="B2440" t="s">
        <v>21</v>
      </c>
      <c r="C2440" s="2">
        <v>7862</v>
      </c>
      <c r="D2440" s="5" t="s">
        <v>17</v>
      </c>
      <c r="E2440" s="2">
        <f>IF(Tabla2[[#This Row],[Frecuencia]]="Annual", Tabla2[[#This Row],[Cosecha/Tarea]]/12,Tabla2[[#This Row],[Cosecha/Tarea]])</f>
        <v>7862</v>
      </c>
      <c r="F2440" s="2">
        <v>83241</v>
      </c>
      <c r="G2440" t="s">
        <v>18</v>
      </c>
      <c r="H2440">
        <f>F2440/Tabla2[[#This Row],[Cosecha Mensual]]</f>
        <v>10.587763927753752</v>
      </c>
      <c r="I2440">
        <f>H2440*_xlfn.XLOOKUP(Tabla2[[#This Row],[Unidad de producción]],Tabla3[Medida],Tabla3[Equivalencia en Kg],"ELVIS",0)</f>
        <v>480.26097176291017</v>
      </c>
      <c r="J2440">
        <v>431.68246527777802</v>
      </c>
      <c r="K2440" t="s">
        <v>18</v>
      </c>
      <c r="L2440">
        <f>J2440/_xlfn.XLOOKUP(Tabla2[[#This Row],[Unidad de precio]],Tabla3[Medida],Tabla3[Equivalencia en Kg],"ELVIS",0)</f>
        <v>9.5168091992455466</v>
      </c>
      <c r="M2440">
        <v>4713.6874381607504</v>
      </c>
      <c r="N2440" s="2">
        <f>(Tabla2[[#This Row],[Productividad (kg/TAS)]]*Tabla2[[#This Row],[Precio por kg]]-Tabla2[[#This Row],[Costos (En RD$/Tarea)]])</f>
        <v>-143.13540404888136</v>
      </c>
      <c r="O2440" s="6">
        <f>IF(Tabla2[[#This Row],[Costos (En RD$/Tarea)]]=0,0,Tabla2[[#This Row],[Beneficio Neto  (En RD$/Tarea)]]/Tabla2[[#This Row],[Costos (En RD$/Tarea)]])</f>
        <v>-3.0365909052453389E-2</v>
      </c>
      <c r="P2440" s="4">
        <f>Tabla2[[#This Row],[Rentabilidad (%)]]/12</f>
        <v>-2.5304924210377824E-3</v>
      </c>
    </row>
    <row r="2441" spans="1:16" x14ac:dyDescent="0.35">
      <c r="A2441" s="1">
        <v>42705</v>
      </c>
      <c r="B2441" t="s">
        <v>22</v>
      </c>
      <c r="C2441" s="2">
        <v>7014</v>
      </c>
      <c r="D2441" s="5" t="s">
        <v>17</v>
      </c>
      <c r="E2441" s="2">
        <f>IF(Tabla2[[#This Row],[Frecuencia]]="Annual", Tabla2[[#This Row],[Cosecha/Tarea]]/12,Tabla2[[#This Row],[Cosecha/Tarea]])</f>
        <v>7014</v>
      </c>
      <c r="F2441" s="2">
        <v>60451</v>
      </c>
      <c r="G2441" t="s">
        <v>18</v>
      </c>
      <c r="H2441">
        <f>F2441/Tabla2[[#This Row],[Cosecha Mensual]]</f>
        <v>8.6186199030510409</v>
      </c>
      <c r="I2441">
        <f>H2441*_xlfn.XLOOKUP(Tabla2[[#This Row],[Unidad de producción]],Tabla3[Medida],Tabla3[Equivalencia en Kg],"ELVIS",0)</f>
        <v>390.94059880239519</v>
      </c>
      <c r="J2441">
        <v>1681.06845238095</v>
      </c>
      <c r="K2441" t="s">
        <v>18</v>
      </c>
      <c r="L2441">
        <f>J2441/_xlfn.XLOOKUP(Tabla2[[#This Row],[Unidad de precio]],Tabla3[Medida],Tabla3[Equivalencia en Kg],"ELVIS",0)</f>
        <v>37.060591983707013</v>
      </c>
      <c r="M2441">
        <v>8550.1576563690305</v>
      </c>
      <c r="N2441" s="2">
        <f>(Tabla2[[#This Row],[Productividad (kg/TAS)]]*Tabla2[[#This Row],[Precio por kg]]-Tabla2[[#This Row],[Costos (En RD$/Tarea)]])</f>
        <v>5938.3323657126366</v>
      </c>
      <c r="O2441" s="6">
        <f>IF(Tabla2[[#This Row],[Costos (En RD$/Tarea)]]=0,0,Tabla2[[#This Row],[Beneficio Neto  (En RD$/Tarea)]]/Tabla2[[#This Row],[Costos (En RD$/Tarea)]])</f>
        <v>0.69452899050219974</v>
      </c>
      <c r="P2441" s="4">
        <f>Tabla2[[#This Row],[Rentabilidad (%)]]/12</f>
        <v>5.7877415875183309E-2</v>
      </c>
    </row>
    <row r="2442" spans="1:16" x14ac:dyDescent="0.35">
      <c r="A2442" s="1">
        <v>42705</v>
      </c>
      <c r="B2442" t="s">
        <v>23</v>
      </c>
      <c r="C2442" s="2">
        <v>4210</v>
      </c>
      <c r="D2442" s="5" t="s">
        <v>17</v>
      </c>
      <c r="E2442" s="2">
        <f>IF(Tabla2[[#This Row],[Frecuencia]]="Annual", Tabla2[[#This Row],[Cosecha/Tarea]]/12,Tabla2[[#This Row],[Cosecha/Tarea]])</f>
        <v>4210</v>
      </c>
      <c r="F2442" s="2">
        <v>151254</v>
      </c>
      <c r="G2442" t="s">
        <v>18</v>
      </c>
      <c r="H2442">
        <f>F2442/Tabla2[[#This Row],[Cosecha Mensual]]</f>
        <v>35.927315914489313</v>
      </c>
      <c r="I2442">
        <f>H2442*_xlfn.XLOOKUP(Tabla2[[#This Row],[Unidad de producción]],Tabla3[Medida],Tabla3[Equivalencia en Kg],"ELVIS",0)</f>
        <v>1629.6630498812351</v>
      </c>
      <c r="J2442">
        <v>971.875</v>
      </c>
      <c r="K2442" t="s">
        <v>18</v>
      </c>
      <c r="L2442">
        <f>J2442/_xlfn.XLOOKUP(Tabla2[[#This Row],[Unidad de precio]],Tabla3[Medida],Tabla3[Equivalencia en Kg],"ELVIS",0)</f>
        <v>21.425815696649032</v>
      </c>
      <c r="M2442">
        <v>23192.17</v>
      </c>
      <c r="N2442" s="2">
        <f>(Tabla2[[#This Row],[Productividad (kg/TAS)]]*Tabla2[[#This Row],[Precio por kg]]-Tabla2[[#This Row],[Costos (En RD$/Tarea)]])</f>
        <v>11724.690154394302</v>
      </c>
      <c r="O2442" s="6">
        <f>IF(Tabla2[[#This Row],[Costos (En RD$/Tarea)]]=0,0,Tabla2[[#This Row],[Beneficio Neto  (En RD$/Tarea)]]/Tabla2[[#This Row],[Costos (En RD$/Tarea)]])</f>
        <v>0.50554519712447366</v>
      </c>
      <c r="P2442" s="4">
        <f>Tabla2[[#This Row],[Rentabilidad (%)]]/12</f>
        <v>4.2128766427039471E-2</v>
      </c>
    </row>
    <row r="2443" spans="1:16" x14ac:dyDescent="0.35">
      <c r="A2443" s="1">
        <v>42705</v>
      </c>
      <c r="B2443" t="s">
        <v>24</v>
      </c>
      <c r="C2443" s="2">
        <v>8214</v>
      </c>
      <c r="D2443" s="5" t="s">
        <v>17</v>
      </c>
      <c r="E2443" s="2">
        <f>IF(Tabla2[[#This Row],[Frecuencia]]="Annual", Tabla2[[#This Row],[Cosecha/Tarea]]/12,Tabla2[[#This Row],[Cosecha/Tarea]])</f>
        <v>8214</v>
      </c>
      <c r="F2443" s="2">
        <v>82147</v>
      </c>
      <c r="G2443" t="s">
        <v>18</v>
      </c>
      <c r="H2443">
        <f>F2443/Tabla2[[#This Row],[Cosecha Mensual]]</f>
        <v>10.000852203554906</v>
      </c>
      <c r="I2443">
        <f>H2443*_xlfn.XLOOKUP(Tabla2[[#This Row],[Unidad de producción]],Tabla3[Medida],Tabla3[Equivalencia en Kg],"ELVIS",0)</f>
        <v>453.63865595325052</v>
      </c>
      <c r="J2443">
        <v>2135.2690972222199</v>
      </c>
      <c r="K2443" t="s">
        <v>18</v>
      </c>
      <c r="L2443">
        <f>J2443/_xlfn.XLOOKUP(Tabla2[[#This Row],[Unidad de precio]],Tabla3[Medida],Tabla3[Equivalencia en Kg],"ELVIS",0)</f>
        <v>47.073833713011901</v>
      </c>
      <c r="M2443">
        <v>8705.1562241280008</v>
      </c>
      <c r="N2443" s="2">
        <f>(Tabla2[[#This Row],[Productividad (kg/TAS)]]*Tabla2[[#This Row],[Precio por kg]]-Tabla2[[#This Row],[Costos (En RD$/Tarea)]])</f>
        <v>12649.354432009532</v>
      </c>
      <c r="O2443" s="6">
        <f>IF(Tabla2[[#This Row],[Costos (En RD$/Tarea)]]=0,0,Tabla2[[#This Row],[Beneficio Neto  (En RD$/Tarea)]]/Tabla2[[#This Row],[Costos (En RD$/Tarea)]])</f>
        <v>1.4530875846833666</v>
      </c>
      <c r="P2443" s="4">
        <f>Tabla2[[#This Row],[Rentabilidad (%)]]/12</f>
        <v>0.12109063205694721</v>
      </c>
    </row>
    <row r="2444" spans="1:16" x14ac:dyDescent="0.35">
      <c r="A2444" s="1">
        <v>42705</v>
      </c>
      <c r="B2444" t="s">
        <v>25</v>
      </c>
      <c r="C2444" s="2">
        <v>28412</v>
      </c>
      <c r="D2444" s="5" t="s">
        <v>17</v>
      </c>
      <c r="E2444" s="2">
        <f>IF(Tabla2[[#This Row],[Frecuencia]]="Annual", Tabla2[[#This Row],[Cosecha/Tarea]]/12,Tabla2[[#This Row],[Cosecha/Tarea]])</f>
        <v>28412</v>
      </c>
      <c r="F2444" s="2">
        <v>333214</v>
      </c>
      <c r="G2444" t="s">
        <v>18</v>
      </c>
      <c r="H2444">
        <f>F2444/Tabla2[[#This Row],[Cosecha Mensual]]</f>
        <v>11.727931859777559</v>
      </c>
      <c r="I2444">
        <f>H2444*_xlfn.XLOOKUP(Tabla2[[#This Row],[Unidad de producción]],Tabla3[Medida],Tabla3[Equivalencia en Kg],"ELVIS",0)</f>
        <v>531.97898915951009</v>
      </c>
      <c r="J2444">
        <v>447.42031250000002</v>
      </c>
      <c r="K2444" t="s">
        <v>18</v>
      </c>
      <c r="L2444">
        <f>J2444/_xlfn.XLOOKUP(Tabla2[[#This Row],[Unidad de precio]],Tabla3[Medida],Tabla3[Equivalencia en Kg],"ELVIS",0)</f>
        <v>9.863763503086421</v>
      </c>
      <c r="M2444">
        <v>4784.7627198809196</v>
      </c>
      <c r="N2444" s="2">
        <f>(Tabla2[[#This Row],[Productividad (kg/TAS)]]*Tabla2[[#This Row],[Precio por kg]]-Tabla2[[#This Row],[Costos (En RD$/Tarea)]])</f>
        <v>462.5522177994626</v>
      </c>
      <c r="O2444" s="6">
        <f>IF(Tabla2[[#This Row],[Costos (En RD$/Tarea)]]=0,0,Tabla2[[#This Row],[Beneficio Neto  (En RD$/Tarea)]]/Tabla2[[#This Row],[Costos (En RD$/Tarea)]])</f>
        <v>9.6671923955086808E-2</v>
      </c>
      <c r="P2444" s="4">
        <f>Tabla2[[#This Row],[Rentabilidad (%)]]/12</f>
        <v>8.0559936629239007E-3</v>
      </c>
    </row>
    <row r="2445" spans="1:16" x14ac:dyDescent="0.35">
      <c r="A2445" s="1">
        <v>42705</v>
      </c>
      <c r="B2445" t="s">
        <v>26</v>
      </c>
      <c r="C2445" s="2">
        <v>13012</v>
      </c>
      <c r="D2445" s="5" t="s">
        <v>17</v>
      </c>
      <c r="E2445" s="2">
        <f>IF(Tabla2[[#This Row],[Frecuencia]]="Annual", Tabla2[[#This Row],[Cosecha/Tarea]]/12,Tabla2[[#This Row],[Cosecha/Tarea]])</f>
        <v>13012</v>
      </c>
      <c r="F2445" s="2">
        <v>91024</v>
      </c>
      <c r="G2445" t="s">
        <v>18</v>
      </c>
      <c r="H2445">
        <f>F2445/Tabla2[[#This Row],[Cosecha Mensual]]</f>
        <v>6.9953888718106363</v>
      </c>
      <c r="I2445">
        <f>H2445*_xlfn.XLOOKUP(Tabla2[[#This Row],[Unidad de producción]],Tabla3[Medida],Tabla3[Equivalencia en Kg],"ELVIS",0)</f>
        <v>317.31083922533048</v>
      </c>
      <c r="J2445">
        <v>1008</v>
      </c>
      <c r="K2445" t="s">
        <v>18</v>
      </c>
      <c r="L2445">
        <f>J2445/_xlfn.XLOOKUP(Tabla2[[#This Row],[Unidad de precio]],Tabla3[Medida],Tabla3[Equivalencia en Kg],"ELVIS",0)</f>
        <v>22.222222222222221</v>
      </c>
      <c r="M2445">
        <v>1888.4301162085201</v>
      </c>
      <c r="N2445" s="2">
        <f>(Tabla2[[#This Row],[Productividad (kg/TAS)]]*Tabla2[[#This Row],[Precio por kg]]-Tabla2[[#This Row],[Costos (En RD$/Tarea)]])</f>
        <v>5162.9218665766011</v>
      </c>
      <c r="O2445" s="6">
        <f>IF(Tabla2[[#This Row],[Costos (En RD$/Tarea)]]=0,0,Tabla2[[#This Row],[Beneficio Neto  (En RD$/Tarea)]]/Tabla2[[#This Row],[Costos (En RD$/Tarea)]])</f>
        <v>2.7339756034723779</v>
      </c>
      <c r="P2445" s="4">
        <f>Tabla2[[#This Row],[Rentabilidad (%)]]/12</f>
        <v>0.22783130028936482</v>
      </c>
    </row>
    <row r="2446" spans="1:16" x14ac:dyDescent="0.35">
      <c r="A2446" s="1">
        <v>42705</v>
      </c>
      <c r="B2446" t="s">
        <v>27</v>
      </c>
      <c r="C2446" s="2">
        <v>7021</v>
      </c>
      <c r="D2446" s="5" t="s">
        <v>17</v>
      </c>
      <c r="E2446" s="2">
        <f>IF(Tabla2[[#This Row],[Frecuencia]]="Annual", Tabla2[[#This Row],[Cosecha/Tarea]]/12,Tabla2[[#This Row],[Cosecha/Tarea]])</f>
        <v>7021</v>
      </c>
      <c r="F2446" s="2">
        <v>43561</v>
      </c>
      <c r="G2446" t="s">
        <v>18</v>
      </c>
      <c r="H2446">
        <f>F2446/Tabla2[[#This Row],[Cosecha Mensual]]</f>
        <v>6.2043868394815549</v>
      </c>
      <c r="I2446">
        <f>H2446*_xlfn.XLOOKUP(Tabla2[[#This Row],[Unidad de producción]],Tabla3[Medida],Tabla3[Equivalencia en Kg],"ELVIS",0)</f>
        <v>281.4309870388833</v>
      </c>
      <c r="J2446">
        <v>962.03174603174602</v>
      </c>
      <c r="K2446" t="s">
        <v>18</v>
      </c>
      <c r="L2446">
        <f>J2446/_xlfn.XLOOKUP(Tabla2[[#This Row],[Unidad de precio]],Tabla3[Medida],Tabla3[Equivalencia en Kg],"ELVIS",0)</f>
        <v>21.208812743204277</v>
      </c>
      <c r="M2446">
        <v>8287.288275158</v>
      </c>
      <c r="N2446" s="2">
        <f>(Tabla2[[#This Row],[Productividad (kg/TAS)]]*Tabla2[[#This Row],[Precio por kg]]-Tabla2[[#This Row],[Costos (En RD$/Tarea)]])</f>
        <v>-2318.4711709151743</v>
      </c>
      <c r="O2446" s="6">
        <f>IF(Tabla2[[#This Row],[Costos (En RD$/Tarea)]]=0,0,Tabla2[[#This Row],[Beneficio Neto  (En RD$/Tarea)]]/Tabla2[[#This Row],[Costos (En RD$/Tarea)]])</f>
        <v>-0.27976234130349131</v>
      </c>
      <c r="P2446" s="4">
        <f>Tabla2[[#This Row],[Rentabilidad (%)]]/12</f>
        <v>-2.3313528441957609E-2</v>
      </c>
    </row>
    <row r="2447" spans="1:16" x14ac:dyDescent="0.35">
      <c r="A2447" s="1">
        <v>42705</v>
      </c>
      <c r="B2447" t="s">
        <v>28</v>
      </c>
      <c r="C2447" s="2">
        <v>58421</v>
      </c>
      <c r="D2447" s="5" t="s">
        <v>17</v>
      </c>
      <c r="E2447" s="2">
        <f>IF(Tabla2[[#This Row],[Frecuencia]]="Annual", Tabla2[[#This Row],[Cosecha/Tarea]]/12,Tabla2[[#This Row],[Cosecha/Tarea]])</f>
        <v>58421</v>
      </c>
      <c r="F2447" s="2">
        <v>1187448</v>
      </c>
      <c r="G2447" t="s">
        <v>18</v>
      </c>
      <c r="H2447">
        <f>F2447/Tabla2[[#This Row],[Cosecha Mensual]]</f>
        <v>20.32570479793225</v>
      </c>
      <c r="I2447">
        <f>H2447*_xlfn.XLOOKUP(Tabla2[[#This Row],[Unidad de producción]],Tabla3[Medida],Tabla3[Equivalencia en Kg],"ELVIS",0)</f>
        <v>921.97396963420681</v>
      </c>
      <c r="J2447">
        <v>6879.2743055555602</v>
      </c>
      <c r="K2447" t="s">
        <v>29</v>
      </c>
      <c r="L2447">
        <f>J2447/_xlfn.XLOOKUP(Tabla2[[#This Row],[Unidad de precio]],Tabla3[Medida],Tabla3[Equivalencia en Kg],"ELVIS",0)</f>
        <v>12.233300682070562</v>
      </c>
      <c r="M2447">
        <v>7046.2499107967797</v>
      </c>
      <c r="N2447" s="2">
        <f>(Tabla2[[#This Row],[Productividad (kg/TAS)]]*Tabla2[[#This Row],[Precio por kg]]-Tabla2[[#This Row],[Costos (En RD$/Tarea)]])</f>
        <v>4232.5348807806658</v>
      </c>
      <c r="O2447" s="6">
        <f>IF(Tabla2[[#This Row],[Costos (En RD$/Tarea)]]=0,0,Tabla2[[#This Row],[Beneficio Neto  (En RD$/Tarea)]]/Tabla2[[#This Row],[Costos (En RD$/Tarea)]])</f>
        <v>0.60067907530433551</v>
      </c>
      <c r="P2447" s="4">
        <f>Tabla2[[#This Row],[Rentabilidad (%)]]/12</f>
        <v>5.0056589608694628E-2</v>
      </c>
    </row>
    <row r="2448" spans="1:16" x14ac:dyDescent="0.35">
      <c r="A2448" s="1">
        <v>42705</v>
      </c>
      <c r="B2448" t="s">
        <v>30</v>
      </c>
      <c r="C2448" s="2">
        <v>374014</v>
      </c>
      <c r="D2448" s="2" t="s">
        <v>31</v>
      </c>
      <c r="E2448" s="2">
        <f>IF(Tabla2[[#This Row],[Frecuencia]]="Annual", Tabla2[[#This Row],[Cosecha/Tarea]]/12,Tabla2[[#This Row],[Cosecha/Tarea]])</f>
        <v>31167.833333333332</v>
      </c>
      <c r="F2448" s="2">
        <v>1972529.4</v>
      </c>
      <c r="G2448" t="s">
        <v>18</v>
      </c>
      <c r="H2448">
        <f>F2448/Tabla2[[#This Row],[Cosecha Mensual]]</f>
        <v>63.287344324009261</v>
      </c>
      <c r="I2448">
        <f>H2448*_xlfn.XLOOKUP(Tabla2[[#This Row],[Unidad de producción]],Tabla3[Medida],Tabla3[Equivalencia en Kg],"ELVIS",0)</f>
        <v>2870.7139385370601</v>
      </c>
      <c r="J2448">
        <v>145.18906250000001</v>
      </c>
      <c r="K2448" t="s">
        <v>32</v>
      </c>
      <c r="L2448">
        <f>J2448/_xlfn.XLOOKUP(Tabla2[[#This Row],[Unidad de precio]],Tabla3[Medida],Tabla3[Equivalencia en Kg],"ELVIS",0)</f>
        <v>5.3358714626975381</v>
      </c>
      <c r="M2448" s="2">
        <v>31633.940308743</v>
      </c>
      <c r="N2448" s="2">
        <f>(Tabla2[[#This Row],[Productividad (kg/TAS)]]*Tabla2[[#This Row],[Precio por kg]]-Tabla2[[#This Row],[Costos (En RD$/Tarea)]])</f>
        <v>-16316.179726535047</v>
      </c>
      <c r="O2448" s="6">
        <f>IF(Tabla2[[#This Row],[Costos (En RD$/Tarea)]]=0,0,Tabla2[[#This Row],[Beneficio Neto  (En RD$/Tarea)]]/Tabla2[[#This Row],[Costos (En RD$/Tarea)]])</f>
        <v>-0.51578082171526307</v>
      </c>
      <c r="P2448" s="4">
        <f>Tabla2[[#This Row],[Rentabilidad (%)]]/12</f>
        <v>-4.2981735142938592E-2</v>
      </c>
    </row>
    <row r="2449" spans="1:16" x14ac:dyDescent="0.35">
      <c r="A2449" s="1">
        <v>42705</v>
      </c>
      <c r="B2449" t="s">
        <v>33</v>
      </c>
      <c r="C2449" s="2">
        <v>733521</v>
      </c>
      <c r="D2449" s="2" t="s">
        <v>31</v>
      </c>
      <c r="E2449" s="2">
        <f>IF(Tabla2[[#This Row],[Frecuencia]]="Annual", Tabla2[[#This Row],[Cosecha/Tarea]]/12,Tabla2[[#This Row],[Cosecha/Tarea]])</f>
        <v>61126.75</v>
      </c>
      <c r="F2449" s="2">
        <v>1296369.22233175</v>
      </c>
      <c r="G2449" t="s">
        <v>18</v>
      </c>
      <c r="H2449">
        <f>F2449/Tabla2[[#This Row],[Cosecha Mensual]]</f>
        <v>21.207887256099006</v>
      </c>
      <c r="I2449">
        <f>H2449*_xlfn.XLOOKUP(Tabla2[[#This Row],[Unidad de producción]],Tabla3[Medida],Tabla3[Equivalencia en Kg],"ELVIS",0)</f>
        <v>961.98976593665088</v>
      </c>
      <c r="J2449">
        <v>4332.1753472222199</v>
      </c>
      <c r="K2449" t="s">
        <v>34</v>
      </c>
      <c r="L2449">
        <f>J2449/_xlfn.XLOOKUP(Tabla2[[#This Row],[Unidad de precio]],Tabla3[Medida],Tabla3[Equivalencia en Kg],"ELVIS",0)</f>
        <v>10.614174561367683</v>
      </c>
      <c r="M2449" s="2">
        <v>19988.821444047899</v>
      </c>
      <c r="N2449" s="2">
        <f>(Tabla2[[#This Row],[Productividad (kg/TAS)]]*Tabla2[[#This Row],[Precio por kg]]-Tabla2[[#This Row],[Costos (En RD$/Tarea)]])</f>
        <v>-9778.094142147047</v>
      </c>
      <c r="O2449" s="6">
        <f>IF(Tabla2[[#This Row],[Costos (En RD$/Tarea)]]=0,0,Tabla2[[#This Row],[Beneficio Neto  (En RD$/Tarea)]]/Tabla2[[#This Row],[Costos (En RD$/Tarea)]])</f>
        <v>-0.48917812235791847</v>
      </c>
      <c r="P2449" s="4">
        <f>Tabla2[[#This Row],[Rentabilidad (%)]]/12</f>
        <v>-4.0764843529826539E-2</v>
      </c>
    </row>
    <row r="2450" spans="1:16" x14ac:dyDescent="0.35">
      <c r="A2450" s="1">
        <v>42736</v>
      </c>
      <c r="B2450" t="s">
        <v>16</v>
      </c>
      <c r="C2450" s="2">
        <v>17214</v>
      </c>
      <c r="D2450" s="5" t="s">
        <v>17</v>
      </c>
      <c r="E2450" s="2">
        <f>IF(Tabla2[[#This Row],[Frecuencia]]="Annual", Tabla2[[#This Row],[Cosecha/Tarea]]/12,Tabla2[[#This Row],[Cosecha/Tarea]])</f>
        <v>17214</v>
      </c>
      <c r="F2450" s="2">
        <v>56455</v>
      </c>
      <c r="G2450" t="s">
        <v>18</v>
      </c>
      <c r="H2450">
        <f>F2450/Tabla2[[#This Row],[Cosecha Mensual]]</f>
        <v>3.2795980016265829</v>
      </c>
      <c r="I2450">
        <f>H2450*_xlfn.XLOOKUP(Tabla2[[#This Row],[Unidad de producción]],Tabla3[Medida],Tabla3[Equivalencia en Kg],"ELVIS",0)</f>
        <v>148.76256535378181</v>
      </c>
      <c r="J2450">
        <v>1947.4873985148499</v>
      </c>
      <c r="K2450" t="s">
        <v>19</v>
      </c>
      <c r="L2450">
        <f>J2450/_xlfn.XLOOKUP(Tabla2[[#This Row],[Unidad de precio]],Tabla3[Medida],Tabla3[Equivalencia en Kg],"ELVIS",0)</f>
        <v>17.704430895589546</v>
      </c>
      <c r="M2450">
        <v>6064.2164945385503</v>
      </c>
      <c r="N2450" s="2">
        <f>(Tabla2[[#This Row],[Productividad (kg/TAS)]]*Tabla2[[#This Row],[Precio por kg]]-Tabla2[[#This Row],[Costos (En RD$/Tarea)]])</f>
        <v>-3430.4599363818966</v>
      </c>
      <c r="O2450" s="6">
        <f>IF(Tabla2[[#This Row],[Costos (En RD$/Tarea)]]=0,0,Tabla2[[#This Row],[Beneficio Neto  (En RD$/Tarea)]]/Tabla2[[#This Row],[Costos (En RD$/Tarea)]])</f>
        <v>-0.56568889640918629</v>
      </c>
      <c r="P2450" s="4">
        <f>Tabla2[[#This Row],[Rentabilidad (%)]]/12</f>
        <v>-4.7140741367432189E-2</v>
      </c>
    </row>
    <row r="2451" spans="1:16" x14ac:dyDescent="0.35">
      <c r="A2451" s="1">
        <v>42736</v>
      </c>
      <c r="B2451" t="s">
        <v>20</v>
      </c>
      <c r="C2451" s="2">
        <v>28910</v>
      </c>
      <c r="D2451" s="5" t="s">
        <v>17</v>
      </c>
      <c r="E2451" s="2">
        <f>IF(Tabla2[[#This Row],[Frecuencia]]="Annual", Tabla2[[#This Row],[Cosecha/Tarea]]/12,Tabla2[[#This Row],[Cosecha/Tarea]])</f>
        <v>28910</v>
      </c>
      <c r="F2451" s="2">
        <v>52415</v>
      </c>
      <c r="G2451" t="s">
        <v>18</v>
      </c>
      <c r="H2451">
        <f>F2451/Tabla2[[#This Row],[Cosecha Mensual]]</f>
        <v>1.8130404704254584</v>
      </c>
      <c r="I2451">
        <f>H2451*_xlfn.XLOOKUP(Tabla2[[#This Row],[Unidad de producción]],Tabla3[Medida],Tabla3[Equivalencia en Kg],"ELVIS",0)</f>
        <v>82.239515738498795</v>
      </c>
      <c r="J2451">
        <v>798.19184027777806</v>
      </c>
      <c r="K2451" t="s">
        <v>18</v>
      </c>
      <c r="L2451">
        <f>J2451/_xlfn.XLOOKUP(Tabla2[[#This Row],[Unidad de precio]],Tabla3[Medida],Tabla3[Equivalencia en Kg],"ELVIS",0)</f>
        <v>17.596821875612392</v>
      </c>
      <c r="M2451">
        <v>2479.0864296156001</v>
      </c>
      <c r="N2451" s="2">
        <f>(Tabla2[[#This Row],[Productividad (kg/TAS)]]*Tabla2[[#This Row],[Precio por kg]]-Tabla2[[#This Row],[Costos (En RD$/Tarea)]])</f>
        <v>-1031.9323200286149</v>
      </c>
      <c r="O2451" s="6">
        <f>IF(Tabla2[[#This Row],[Costos (En RD$/Tarea)]]=0,0,Tabla2[[#This Row],[Beneficio Neto  (En RD$/Tarea)]]/Tabla2[[#This Row],[Costos (En RD$/Tarea)]])</f>
        <v>-0.41625507997662803</v>
      </c>
      <c r="P2451" s="4">
        <f>Tabla2[[#This Row],[Rentabilidad (%)]]/12</f>
        <v>-3.4687923331385671E-2</v>
      </c>
    </row>
    <row r="2452" spans="1:16" x14ac:dyDescent="0.35">
      <c r="A2452" s="1">
        <v>42736</v>
      </c>
      <c r="B2452" t="s">
        <v>21</v>
      </c>
      <c r="C2452" s="2">
        <v>4907</v>
      </c>
      <c r="D2452" s="5" t="s">
        <v>17</v>
      </c>
      <c r="E2452" s="2">
        <f>IF(Tabla2[[#This Row],[Frecuencia]]="Annual", Tabla2[[#This Row],[Cosecha/Tarea]]/12,Tabla2[[#This Row],[Cosecha/Tarea]])</f>
        <v>4907</v>
      </c>
      <c r="F2452" s="2">
        <v>64219</v>
      </c>
      <c r="G2452" t="s">
        <v>18</v>
      </c>
      <c r="H2452">
        <f>F2452/Tabla2[[#This Row],[Cosecha Mensual]]</f>
        <v>13.087222335439169</v>
      </c>
      <c r="I2452">
        <f>H2452*_xlfn.XLOOKUP(Tabla2[[#This Row],[Unidad de producción]],Tabla3[Medida],Tabla3[Equivalencia en Kg],"ELVIS",0)</f>
        <v>593.6364051355207</v>
      </c>
      <c r="J2452">
        <v>642.50520833333303</v>
      </c>
      <c r="K2452" t="s">
        <v>18</v>
      </c>
      <c r="L2452">
        <f>J2452/_xlfn.XLOOKUP(Tabla2[[#This Row],[Unidad de precio]],Tabla3[Medida],Tabla3[Equivalencia en Kg],"ELVIS",0)</f>
        <v>14.164576903292174</v>
      </c>
      <c r="M2452">
        <v>5064.8045077463803</v>
      </c>
      <c r="N2452" s="2">
        <f>(Tabla2[[#This Row],[Productividad (kg/TAS)]]*Tabla2[[#This Row],[Precio por kg]]-Tabla2[[#This Row],[Costos (En RD$/Tarea)]])</f>
        <v>3343.804005389612</v>
      </c>
      <c r="O2452" s="6">
        <f>IF(Tabla2[[#This Row],[Costos (En RD$/Tarea)]]=0,0,Tabla2[[#This Row],[Beneficio Neto  (En RD$/Tarea)]]/Tabla2[[#This Row],[Costos (En RD$/Tarea)]])</f>
        <v>0.66020396251729385</v>
      </c>
      <c r="P2452" s="4">
        <f>Tabla2[[#This Row],[Rentabilidad (%)]]/12</f>
        <v>5.5016996876441154E-2</v>
      </c>
    </row>
    <row r="2453" spans="1:16" x14ac:dyDescent="0.35">
      <c r="A2453" s="1">
        <v>42736</v>
      </c>
      <c r="B2453" t="s">
        <v>22</v>
      </c>
      <c r="C2453" s="2">
        <v>9428</v>
      </c>
      <c r="D2453" s="5" t="s">
        <v>17</v>
      </c>
      <c r="E2453" s="2">
        <f>IF(Tabla2[[#This Row],[Frecuencia]]="Annual", Tabla2[[#This Row],[Cosecha/Tarea]]/12,Tabla2[[#This Row],[Cosecha/Tarea]])</f>
        <v>9428</v>
      </c>
      <c r="F2453" s="2">
        <v>78509</v>
      </c>
      <c r="G2453" t="s">
        <v>18</v>
      </c>
      <c r="H2453">
        <f>F2453/Tabla2[[#This Row],[Cosecha Mensual]]</f>
        <v>8.3272168010182437</v>
      </c>
      <c r="I2453">
        <f>H2453*_xlfn.XLOOKUP(Tabla2[[#This Row],[Unidad de producción]],Tabla3[Medida],Tabla3[Equivalencia en Kg],"ELVIS",0)</f>
        <v>377.7225540941875</v>
      </c>
      <c r="J2453">
        <v>1875.19763888889</v>
      </c>
      <c r="K2453" t="s">
        <v>18</v>
      </c>
      <c r="L2453">
        <f>J2453/_xlfn.XLOOKUP(Tabla2[[#This Row],[Unidad de precio]],Tabla3[Medida],Tabla3[Equivalencia en Kg],"ELVIS",0)</f>
        <v>41.34033595434061</v>
      </c>
      <c r="M2453">
        <v>9358.7144173845209</v>
      </c>
      <c r="N2453" s="2">
        <f>(Tabla2[[#This Row],[Productividad (kg/TAS)]]*Tabla2[[#This Row],[Precio por kg]]-Tabla2[[#This Row],[Costos (En RD$/Tarea)]])</f>
        <v>6256.4628664007851</v>
      </c>
      <c r="O2453" s="6">
        <f>IF(Tabla2[[#This Row],[Costos (En RD$/Tarea)]]=0,0,Tabla2[[#This Row],[Beneficio Neto  (En RD$/Tarea)]]/Tabla2[[#This Row],[Costos (En RD$/Tarea)]])</f>
        <v>0.66851733981527761</v>
      </c>
      <c r="P2453" s="4">
        <f>Tabla2[[#This Row],[Rentabilidad (%)]]/12</f>
        <v>5.5709778317939801E-2</v>
      </c>
    </row>
    <row r="2454" spans="1:16" x14ac:dyDescent="0.35">
      <c r="A2454" s="1">
        <v>42736</v>
      </c>
      <c r="B2454" t="s">
        <v>23</v>
      </c>
      <c r="C2454" s="2">
        <v>4989</v>
      </c>
      <c r="D2454" s="5" t="s">
        <v>17</v>
      </c>
      <c r="E2454" s="2">
        <f>IF(Tabla2[[#This Row],[Frecuencia]]="Annual", Tabla2[[#This Row],[Cosecha/Tarea]]/12,Tabla2[[#This Row],[Cosecha/Tarea]])</f>
        <v>4989</v>
      </c>
      <c r="F2454" s="2">
        <v>142970</v>
      </c>
      <c r="G2454" t="s">
        <v>18</v>
      </c>
      <c r="H2454">
        <f>F2454/Tabla2[[#This Row],[Cosecha Mensual]]</f>
        <v>28.657045500100221</v>
      </c>
      <c r="I2454">
        <f>H2454*_xlfn.XLOOKUP(Tabla2[[#This Row],[Unidad de producción]],Tabla3[Medida],Tabla3[Equivalencia en Kg],"ELVIS",0)</f>
        <v>1299.8835838845459</v>
      </c>
      <c r="J2454">
        <v>915.625</v>
      </c>
      <c r="K2454" t="s">
        <v>18</v>
      </c>
      <c r="L2454">
        <f>J2454/_xlfn.XLOOKUP(Tabla2[[#This Row],[Unidad de precio]],Tabla3[Medida],Tabla3[Equivalencia en Kg],"ELVIS",0)</f>
        <v>20.185736331569665</v>
      </c>
      <c r="M2454">
        <v>23497.681152818699</v>
      </c>
      <c r="N2454" s="2">
        <f>(Tabla2[[#This Row],[Productividad (kg/TAS)]]*Tabla2[[#This Row],[Precio por kg]]-Tabla2[[#This Row],[Costos (En RD$/Tarea)]])</f>
        <v>2741.4261332105634</v>
      </c>
      <c r="O2454" s="6">
        <f>IF(Tabla2[[#This Row],[Costos (En RD$/Tarea)]]=0,0,Tabla2[[#This Row],[Beneficio Neto  (En RD$/Tarea)]]/Tabla2[[#This Row],[Costos (En RD$/Tarea)]])</f>
        <v>0.11666794333370685</v>
      </c>
      <c r="P2454" s="4">
        <f>Tabla2[[#This Row],[Rentabilidad (%)]]/12</f>
        <v>9.7223286111422381E-3</v>
      </c>
    </row>
    <row r="2455" spans="1:16" x14ac:dyDescent="0.35">
      <c r="A2455" s="1">
        <v>42736</v>
      </c>
      <c r="B2455" t="s">
        <v>24</v>
      </c>
      <c r="C2455" s="2">
        <v>5867</v>
      </c>
      <c r="D2455" s="5" t="s">
        <v>17</v>
      </c>
      <c r="E2455" s="2">
        <f>IF(Tabla2[[#This Row],[Frecuencia]]="Annual", Tabla2[[#This Row],[Cosecha/Tarea]]/12,Tabla2[[#This Row],[Cosecha/Tarea]])</f>
        <v>5867</v>
      </c>
      <c r="F2455" s="2">
        <v>73214</v>
      </c>
      <c r="G2455" t="s">
        <v>18</v>
      </c>
      <c r="H2455">
        <f>F2455/Tabla2[[#This Row],[Cosecha Mensual]]</f>
        <v>12.478950059655702</v>
      </c>
      <c r="I2455">
        <f>H2455*_xlfn.XLOOKUP(Tabla2[[#This Row],[Unidad de producción]],Tabla3[Medida],Tabla3[Equivalencia en Kg],"ELVIS",0)</f>
        <v>566.04517470598262</v>
      </c>
      <c r="J2455">
        <v>2167.3454861111099</v>
      </c>
      <c r="K2455" t="s">
        <v>18</v>
      </c>
      <c r="L2455">
        <f>J2455/_xlfn.XLOOKUP(Tabla2[[#This Row],[Unidad de precio]],Tabla3[Medida],Tabla3[Equivalencia en Kg],"ELVIS",0)</f>
        <v>47.780985143542992</v>
      </c>
      <c r="M2455">
        <v>9059.4442114895992</v>
      </c>
      <c r="N2455" s="2">
        <f>(Tabla2[[#This Row],[Productividad (kg/TAS)]]*Tabla2[[#This Row],[Precio por kg]]-Tabla2[[#This Row],[Costos (En RD$/Tarea)]])</f>
        <v>17986.751871711152</v>
      </c>
      <c r="O2455" s="6">
        <f>IF(Tabla2[[#This Row],[Costos (En RD$/Tarea)]]=0,0,Tabla2[[#This Row],[Beneficio Neto  (En RD$/Tarea)]]/Tabla2[[#This Row],[Costos (En RD$/Tarea)]])</f>
        <v>1.9854144969400591</v>
      </c>
      <c r="P2455" s="4">
        <f>Tabla2[[#This Row],[Rentabilidad (%)]]/12</f>
        <v>0.16545120807833827</v>
      </c>
    </row>
    <row r="2456" spans="1:16" x14ac:dyDescent="0.35">
      <c r="A2456" s="1">
        <v>42736</v>
      </c>
      <c r="B2456" t="s">
        <v>25</v>
      </c>
      <c r="C2456" s="2">
        <v>25478</v>
      </c>
      <c r="D2456" s="5" t="s">
        <v>17</v>
      </c>
      <c r="E2456" s="2">
        <f>IF(Tabla2[[#This Row],[Frecuencia]]="Annual", Tabla2[[#This Row],[Cosecha/Tarea]]/12,Tabla2[[#This Row],[Cosecha/Tarea]])</f>
        <v>25478</v>
      </c>
      <c r="F2456" s="2">
        <v>269877</v>
      </c>
      <c r="G2456" t="s">
        <v>18</v>
      </c>
      <c r="H2456">
        <f>F2456/Tabla2[[#This Row],[Cosecha Mensual]]</f>
        <v>10.59255043566999</v>
      </c>
      <c r="I2456">
        <f>H2456*_xlfn.XLOOKUP(Tabla2[[#This Row],[Unidad de producción]],Tabla3[Medida],Tabla3[Equivalencia en Kg],"ELVIS",0)</f>
        <v>480.47808776199076</v>
      </c>
      <c r="J2456">
        <v>452.050520833333</v>
      </c>
      <c r="K2456" t="s">
        <v>18</v>
      </c>
      <c r="L2456">
        <f>J2456/_xlfn.XLOOKUP(Tabla2[[#This Row],[Unidad de precio]],Tabla3[Medida],Tabla3[Equivalencia en Kg],"ELVIS",0)</f>
        <v>9.965840406378593</v>
      </c>
      <c r="M2456">
        <v>4667.2658565265501</v>
      </c>
      <c r="N2456" s="2">
        <f>(Tabla2[[#This Row],[Productividad (kg/TAS)]]*Tabla2[[#This Row],[Precio por kg]]-Tabla2[[#This Row],[Costos (En RD$/Tarea)]])</f>
        <v>121.10208487141699</v>
      </c>
      <c r="O2456" s="6">
        <f>IF(Tabla2[[#This Row],[Costos (En RD$/Tarea)]]=0,0,Tabla2[[#This Row],[Beneficio Neto  (En RD$/Tarea)]]/Tabla2[[#This Row],[Costos (En RD$/Tarea)]])</f>
        <v>2.5947115204948492E-2</v>
      </c>
      <c r="P2456" s="4">
        <f>Tabla2[[#This Row],[Rentabilidad (%)]]/12</f>
        <v>2.1622596004123745E-3</v>
      </c>
    </row>
    <row r="2457" spans="1:16" x14ac:dyDescent="0.35">
      <c r="A2457" s="1">
        <v>42736</v>
      </c>
      <c r="B2457" t="s">
        <v>26</v>
      </c>
      <c r="C2457" s="2">
        <v>12001</v>
      </c>
      <c r="D2457" s="5" t="s">
        <v>17</v>
      </c>
      <c r="E2457" s="2">
        <f>IF(Tabla2[[#This Row],[Frecuencia]]="Annual", Tabla2[[#This Row],[Cosecha/Tarea]]/12,Tabla2[[#This Row],[Cosecha/Tarea]])</f>
        <v>12001</v>
      </c>
      <c r="F2457" s="2">
        <v>75988</v>
      </c>
      <c r="G2457" t="s">
        <v>18</v>
      </c>
      <c r="H2457">
        <f>F2457/Tabla2[[#This Row],[Cosecha Mensual]]</f>
        <v>6.3318056828597618</v>
      </c>
      <c r="I2457">
        <f>H2457*_xlfn.XLOOKUP(Tabla2[[#This Row],[Unidad de producción]],Tabla3[Medida],Tabla3[Equivalencia en Kg],"ELVIS",0)</f>
        <v>287.21070577451877</v>
      </c>
      <c r="J2457">
        <v>1187.07118055556</v>
      </c>
      <c r="K2457" t="s">
        <v>18</v>
      </c>
      <c r="L2457">
        <f>J2457/_xlfn.XLOOKUP(Tabla2[[#This Row],[Unidad de precio]],Tabla3[Medida],Tabla3[Equivalencia en Kg],"ELVIS",0)</f>
        <v>26.169999571330688</v>
      </c>
      <c r="M2457">
        <v>1810.9755302292599</v>
      </c>
      <c r="N2457" s="2">
        <f>(Tabla2[[#This Row],[Productividad (kg/TAS)]]*Tabla2[[#This Row],[Precio por kg]]-Tabla2[[#This Row],[Costos (En RD$/Tarea)]])</f>
        <v>5705.3285167714812</v>
      </c>
      <c r="O2457" s="6">
        <f>IF(Tabla2[[#This Row],[Costos (En RD$/Tarea)]]=0,0,Tabla2[[#This Row],[Beneficio Neto  (En RD$/Tarea)]]/Tabla2[[#This Row],[Costos (En RD$/Tarea)]])</f>
        <v>3.1504172317829258</v>
      </c>
      <c r="P2457" s="4">
        <f>Tabla2[[#This Row],[Rentabilidad (%)]]/12</f>
        <v>0.26253476931524383</v>
      </c>
    </row>
    <row r="2458" spans="1:16" x14ac:dyDescent="0.35">
      <c r="A2458" s="1">
        <v>42736</v>
      </c>
      <c r="B2458" t="s">
        <v>27</v>
      </c>
      <c r="C2458" s="2">
        <v>6541</v>
      </c>
      <c r="D2458" s="5" t="s">
        <v>17</v>
      </c>
      <c r="E2458" s="2">
        <f>IF(Tabla2[[#This Row],[Frecuencia]]="Annual", Tabla2[[#This Row],[Cosecha/Tarea]]/12,Tabla2[[#This Row],[Cosecha/Tarea]])</f>
        <v>6541</v>
      </c>
      <c r="F2458" s="2">
        <v>55487</v>
      </c>
      <c r="G2458" t="s">
        <v>18</v>
      </c>
      <c r="H2458">
        <f>F2458/Tabla2[[#This Row],[Cosecha Mensual]]</f>
        <v>8.4829536768078277</v>
      </c>
      <c r="I2458">
        <f>H2458*_xlfn.XLOOKUP(Tabla2[[#This Row],[Unidad de producción]],Tabla3[Medida],Tabla3[Equivalencia en Kg],"ELVIS",0)</f>
        <v>384.78677878000309</v>
      </c>
      <c r="J2458">
        <v>969.482142857143</v>
      </c>
      <c r="K2458" t="s">
        <v>18</v>
      </c>
      <c r="L2458">
        <f>J2458/_xlfn.XLOOKUP(Tabla2[[#This Row],[Unidad de precio]],Tabla3[Medida],Tabla3[Equivalencia en Kg],"ELVIS",0)</f>
        <v>21.373063114134546</v>
      </c>
      <c r="M2458">
        <v>8788.4318764689997</v>
      </c>
      <c r="N2458" s="2">
        <f>(Tabla2[[#This Row],[Productividad (kg/TAS)]]*Tabla2[[#This Row],[Precio por kg]]-Tabla2[[#This Row],[Costos (En RD$/Tarea)]])</f>
        <v>-564.35976811946603</v>
      </c>
      <c r="O2458" s="6">
        <f>IF(Tabla2[[#This Row],[Costos (En RD$/Tarea)]]=0,0,Tabla2[[#This Row],[Beneficio Neto  (En RD$/Tarea)]]/Tabla2[[#This Row],[Costos (En RD$/Tarea)]])</f>
        <v>-6.4216207857346844E-2</v>
      </c>
      <c r="P2458" s="4">
        <f>Tabla2[[#This Row],[Rentabilidad (%)]]/12</f>
        <v>-5.3513506547789033E-3</v>
      </c>
    </row>
    <row r="2459" spans="1:16" x14ac:dyDescent="0.35">
      <c r="A2459" s="1">
        <v>42736</v>
      </c>
      <c r="B2459" t="s">
        <v>28</v>
      </c>
      <c r="C2459" s="2">
        <v>67214</v>
      </c>
      <c r="D2459" s="5" t="s">
        <v>17</v>
      </c>
      <c r="E2459" s="2">
        <f>IF(Tabla2[[#This Row],[Frecuencia]]="Annual", Tabla2[[#This Row],[Cosecha/Tarea]]/12,Tabla2[[#This Row],[Cosecha/Tarea]])</f>
        <v>67214</v>
      </c>
      <c r="F2459" s="2">
        <v>1183848</v>
      </c>
      <c r="G2459" t="s">
        <v>18</v>
      </c>
      <c r="H2459">
        <f>F2459/Tabla2[[#This Row],[Cosecha Mensual]]</f>
        <v>17.613116315053411</v>
      </c>
      <c r="I2459">
        <f>H2459*_xlfn.XLOOKUP(Tabla2[[#This Row],[Unidad de producción]],Tabla3[Medida],Tabla3[Equivalencia en Kg],"ELVIS",0)</f>
        <v>798.93095605082272</v>
      </c>
      <c r="J2459">
        <v>8361.1875</v>
      </c>
      <c r="K2459" t="s">
        <v>29</v>
      </c>
      <c r="L2459">
        <f>J2459/_xlfn.XLOOKUP(Tabla2[[#This Row],[Unidad de precio]],Tabla3[Medida],Tabla3[Equivalencia en Kg],"ELVIS",0)</f>
        <v>14.868562613365579</v>
      </c>
      <c r="M2459">
        <v>7106.9649214587198</v>
      </c>
      <c r="N2459" s="2">
        <f>(Tabla2[[#This Row],[Productividad (kg/TAS)]]*Tabla2[[#This Row],[Precio por kg]]-Tabla2[[#This Row],[Costos (En RD$/Tarea)]])</f>
        <v>4771.9900223389623</v>
      </c>
      <c r="O2459" s="6">
        <f>IF(Tabla2[[#This Row],[Costos (En RD$/Tarea)]]=0,0,Tabla2[[#This Row],[Beneficio Neto  (En RD$/Tarea)]]/Tabla2[[#This Row],[Costos (En RD$/Tarea)]])</f>
        <v>0.67145259264337287</v>
      </c>
      <c r="P2459" s="4">
        <f>Tabla2[[#This Row],[Rentabilidad (%)]]/12</f>
        <v>5.5954382720281075E-2</v>
      </c>
    </row>
    <row r="2460" spans="1:16" x14ac:dyDescent="0.35">
      <c r="A2460" s="1">
        <v>42736</v>
      </c>
      <c r="B2460" t="s">
        <v>30</v>
      </c>
      <c r="C2460" s="2">
        <v>399457</v>
      </c>
      <c r="D2460" s="2" t="s">
        <v>31</v>
      </c>
      <c r="E2460" s="2">
        <f>IF(Tabla2[[#This Row],[Frecuencia]]="Annual", Tabla2[[#This Row],[Cosecha/Tarea]]/12,Tabla2[[#This Row],[Cosecha/Tarea]])</f>
        <v>33288.083333333336</v>
      </c>
      <c r="F2460" s="2">
        <v>1820265.6</v>
      </c>
      <c r="G2460" t="s">
        <v>18</v>
      </c>
      <c r="H2460">
        <f>F2460/Tabla2[[#This Row],[Cosecha Mensual]]</f>
        <v>54.68219908525824</v>
      </c>
      <c r="I2460">
        <f>H2460*_xlfn.XLOOKUP(Tabla2[[#This Row],[Unidad de producción]],Tabla3[Medida],Tabla3[Equivalencia en Kg],"ELVIS",0)</f>
        <v>2480.3845505073136</v>
      </c>
      <c r="J2460">
        <v>140.197916666667</v>
      </c>
      <c r="K2460" t="s">
        <v>32</v>
      </c>
      <c r="L2460">
        <f>J2460/_xlfn.XLOOKUP(Tabla2[[#This Row],[Unidad de precio]],Tabla3[Medida],Tabla3[Equivalencia en Kg],"ELVIS",0)</f>
        <v>5.1524408918289968</v>
      </c>
      <c r="M2460" s="2">
        <v>32851.801352371498</v>
      </c>
      <c r="N2460" s="2">
        <f>(Tabla2[[#This Row],[Productividad (kg/TAS)]]*Tabla2[[#This Row],[Precio por kg]]-Tabla2[[#This Row],[Costos (En RD$/Tarea)]])</f>
        <v>-20071.766566876729</v>
      </c>
      <c r="O2460" s="6">
        <f>IF(Tabla2[[#This Row],[Costos (En RD$/Tarea)]]=0,0,Tabla2[[#This Row],[Beneficio Neto  (En RD$/Tarea)]]/Tabla2[[#This Row],[Costos (En RD$/Tarea)]])</f>
        <v>-0.61097917741511587</v>
      </c>
      <c r="P2460" s="4">
        <f>Tabla2[[#This Row],[Rentabilidad (%)]]/12</f>
        <v>-5.0914931451259658E-2</v>
      </c>
    </row>
    <row r="2461" spans="1:16" x14ac:dyDescent="0.35">
      <c r="A2461" s="1">
        <v>42736</v>
      </c>
      <c r="B2461" t="s">
        <v>33</v>
      </c>
      <c r="C2461" s="2">
        <v>697454</v>
      </c>
      <c r="D2461" s="2" t="s">
        <v>31</v>
      </c>
      <c r="E2461" s="2">
        <f>IF(Tabla2[[#This Row],[Frecuencia]]="Annual", Tabla2[[#This Row],[Cosecha/Tarea]]/12,Tabla2[[#This Row],[Cosecha/Tarea]])</f>
        <v>58121.166666666664</v>
      </c>
      <c r="F2461" s="2">
        <v>1248390</v>
      </c>
      <c r="G2461" t="s">
        <v>18</v>
      </c>
      <c r="H2461">
        <f>F2461/Tabla2[[#This Row],[Cosecha Mensual]]</f>
        <v>21.479093961752316</v>
      </c>
      <c r="I2461">
        <f>H2461*_xlfn.XLOOKUP(Tabla2[[#This Row],[Unidad de producción]],Tabla3[Medida],Tabla3[Equivalencia en Kg],"ELVIS",0)</f>
        <v>974.29170210508505</v>
      </c>
      <c r="J2461">
        <v>5197.8776041666697</v>
      </c>
      <c r="K2461" t="s">
        <v>34</v>
      </c>
      <c r="L2461">
        <f>J2461/_xlfn.XLOOKUP(Tabla2[[#This Row],[Unidad de precio]],Tabla3[Medida],Tabla3[Equivalencia en Kg],"ELVIS",0)</f>
        <v>12.735214024664144</v>
      </c>
      <c r="M2461" s="2">
        <v>21460.483889989398</v>
      </c>
      <c r="N2461" s="2">
        <f>(Tabla2[[#This Row],[Productividad (kg/TAS)]]*Tabla2[[#This Row],[Precio por kg]]-Tabla2[[#This Row],[Costos (En RD$/Tarea)]])</f>
        <v>-9052.6705412268202</v>
      </c>
      <c r="O2461" s="6">
        <f>IF(Tabla2[[#This Row],[Costos (En RD$/Tarea)]]=0,0,Tabla2[[#This Row],[Beneficio Neto  (En RD$/Tarea)]]/Tabla2[[#This Row],[Costos (En RD$/Tarea)]])</f>
        <v>-0.42182974939579948</v>
      </c>
      <c r="P2461" s="4">
        <f>Tabla2[[#This Row],[Rentabilidad (%)]]/12</f>
        <v>-3.5152479116316623E-2</v>
      </c>
    </row>
    <row r="2462" spans="1:16" x14ac:dyDescent="0.35">
      <c r="A2462" s="1">
        <v>42767</v>
      </c>
      <c r="B2462" t="s">
        <v>16</v>
      </c>
      <c r="C2462" s="2">
        <v>3705</v>
      </c>
      <c r="D2462" s="5" t="s">
        <v>17</v>
      </c>
      <c r="E2462" s="2">
        <f>IF(Tabla2[[#This Row],[Frecuencia]]="Annual", Tabla2[[#This Row],[Cosecha/Tarea]]/12,Tabla2[[#This Row],[Cosecha/Tarea]])</f>
        <v>3705</v>
      </c>
      <c r="F2462" s="2">
        <v>11413</v>
      </c>
      <c r="G2462" t="s">
        <v>18</v>
      </c>
      <c r="H2462">
        <f>F2462/Tabla2[[#This Row],[Cosecha Mensual]]</f>
        <v>3.0804318488529017</v>
      </c>
      <c r="I2462">
        <f>H2462*_xlfn.XLOOKUP(Tabla2[[#This Row],[Unidad de producción]],Tabla3[Medida],Tabla3[Equivalencia en Kg],"ELVIS",0)</f>
        <v>139.72838866396762</v>
      </c>
      <c r="J2462">
        <v>1968.15031971947</v>
      </c>
      <c r="K2462" t="s">
        <v>19</v>
      </c>
      <c r="L2462">
        <f>J2462/_xlfn.XLOOKUP(Tabla2[[#This Row],[Unidad de precio]],Tabla3[Medida],Tabla3[Equivalencia en Kg],"ELVIS",0)</f>
        <v>17.892275633813362</v>
      </c>
      <c r="M2462">
        <v>6064.2164945385503</v>
      </c>
      <c r="N2462" s="2">
        <f>(Tabla2[[#This Row],[Productividad (kg/TAS)]]*Tabla2[[#This Row],[Precio por kg]]-Tabla2[[#This Row],[Costos (En RD$/Tarea)]])</f>
        <v>-3564.1576506942392</v>
      </c>
      <c r="O2462" s="6">
        <f>IF(Tabla2[[#This Row],[Costos (En RD$/Tarea)]]=0,0,Tabla2[[#This Row],[Beneficio Neto  (En RD$/Tarea)]]/Tabla2[[#This Row],[Costos (En RD$/Tarea)]])</f>
        <v>-0.58773588540318922</v>
      </c>
      <c r="P2462" s="4">
        <f>Tabla2[[#This Row],[Rentabilidad (%)]]/12</f>
        <v>-4.8977990450265768E-2</v>
      </c>
    </row>
    <row r="2463" spans="1:16" x14ac:dyDescent="0.35">
      <c r="A2463" s="1">
        <v>42767</v>
      </c>
      <c r="B2463" t="s">
        <v>20</v>
      </c>
      <c r="C2463" s="2">
        <v>30129</v>
      </c>
      <c r="D2463" s="5" t="s">
        <v>17</v>
      </c>
      <c r="E2463" s="2">
        <f>IF(Tabla2[[#This Row],[Frecuencia]]="Annual", Tabla2[[#This Row],[Cosecha/Tarea]]/12,Tabla2[[#This Row],[Cosecha/Tarea]])</f>
        <v>30129</v>
      </c>
      <c r="F2463" s="2">
        <v>73892</v>
      </c>
      <c r="G2463" t="s">
        <v>18</v>
      </c>
      <c r="H2463">
        <f>F2463/Tabla2[[#This Row],[Cosecha Mensual]]</f>
        <v>2.4525208271100931</v>
      </c>
      <c r="I2463">
        <f>H2463*_xlfn.XLOOKUP(Tabla2[[#This Row],[Unidad de producción]],Tabla3[Medida],Tabla3[Equivalencia en Kg],"ELVIS",0)</f>
        <v>111.24634471771382</v>
      </c>
      <c r="J2463">
        <v>806.5859375</v>
      </c>
      <c r="K2463" t="s">
        <v>18</v>
      </c>
      <c r="L2463">
        <f>J2463/_xlfn.XLOOKUP(Tabla2[[#This Row],[Unidad de precio]],Tabla3[Medida],Tabla3[Equivalencia en Kg],"ELVIS",0)</f>
        <v>17.781876929012345</v>
      </c>
      <c r="M2463">
        <v>2479.0864296156001</v>
      </c>
      <c r="N2463" s="2">
        <f>(Tabla2[[#This Row],[Productividad (kg/TAS)]]*Tabla2[[#This Row],[Precio por kg]]-Tabla2[[#This Row],[Costos (En RD$/Tarea)]])</f>
        <v>-500.91761904273039</v>
      </c>
      <c r="O2463" s="6">
        <f>IF(Tabla2[[#This Row],[Costos (En RD$/Tarea)]]=0,0,Tabla2[[#This Row],[Beneficio Neto  (En RD$/Tarea)]]/Tabla2[[#This Row],[Costos (En RD$/Tarea)]])</f>
        <v>-0.20205734380967155</v>
      </c>
      <c r="P2463" s="4">
        <f>Tabla2[[#This Row],[Rentabilidad (%)]]/12</f>
        <v>-1.6838111984139297E-2</v>
      </c>
    </row>
    <row r="2464" spans="1:16" x14ac:dyDescent="0.35">
      <c r="A2464" s="1">
        <v>42767</v>
      </c>
      <c r="B2464" t="s">
        <v>21</v>
      </c>
      <c r="C2464" s="2">
        <v>9201</v>
      </c>
      <c r="D2464" s="5" t="s">
        <v>17</v>
      </c>
      <c r="E2464" s="2">
        <f>IF(Tabla2[[#This Row],[Frecuencia]]="Annual", Tabla2[[#This Row],[Cosecha/Tarea]]/12,Tabla2[[#This Row],[Cosecha/Tarea]])</f>
        <v>9201</v>
      </c>
      <c r="F2464" s="2">
        <v>86520</v>
      </c>
      <c r="G2464" t="s">
        <v>18</v>
      </c>
      <c r="H2464">
        <f>F2464/Tabla2[[#This Row],[Cosecha Mensual]]</f>
        <v>9.4033257254646241</v>
      </c>
      <c r="I2464">
        <f>H2464*_xlfn.XLOOKUP(Tabla2[[#This Row],[Unidad de producción]],Tabla3[Medida],Tabla3[Equivalencia en Kg],"ELVIS",0)</f>
        <v>426.53485490707533</v>
      </c>
      <c r="J2464">
        <v>647.109375</v>
      </c>
      <c r="K2464" t="s">
        <v>18</v>
      </c>
      <c r="L2464">
        <f>J2464/_xlfn.XLOOKUP(Tabla2[[#This Row],[Unidad de precio]],Tabla3[Medida],Tabla3[Equivalencia en Kg],"ELVIS",0)</f>
        <v>14.266079695767196</v>
      </c>
      <c r="M2464">
        <v>5064.8045077463803</v>
      </c>
      <c r="N2464" s="2">
        <f>(Tabla2[[#This Row],[Productividad (kg/TAS)]]*Tabla2[[#This Row],[Precio por kg]]-Tabla2[[#This Row],[Costos (En RD$/Tarea)]])</f>
        <v>1020.1757253804544</v>
      </c>
      <c r="O2464" s="6">
        <f>IF(Tabla2[[#This Row],[Costos (En RD$/Tarea)]]=0,0,Tabla2[[#This Row],[Beneficio Neto  (En RD$/Tarea)]]/Tabla2[[#This Row],[Costos (En RD$/Tarea)]])</f>
        <v>0.20142450193687508</v>
      </c>
      <c r="P2464" s="4">
        <f>Tabla2[[#This Row],[Rentabilidad (%)]]/12</f>
        <v>1.6785375161406258E-2</v>
      </c>
    </row>
    <row r="2465" spans="1:16" x14ac:dyDescent="0.35">
      <c r="A2465" s="1">
        <v>42767</v>
      </c>
      <c r="B2465" t="s">
        <v>22</v>
      </c>
      <c r="C2465" s="2">
        <v>9568</v>
      </c>
      <c r="D2465" s="5" t="s">
        <v>17</v>
      </c>
      <c r="E2465" s="2">
        <f>IF(Tabla2[[#This Row],[Frecuencia]]="Annual", Tabla2[[#This Row],[Cosecha/Tarea]]/12,Tabla2[[#This Row],[Cosecha/Tarea]])</f>
        <v>9568</v>
      </c>
      <c r="F2465" s="2">
        <v>85124</v>
      </c>
      <c r="G2465" t="s">
        <v>18</v>
      </c>
      <c r="H2465">
        <f>F2465/Tabla2[[#This Row],[Cosecha Mensual]]</f>
        <v>8.8967391304347831</v>
      </c>
      <c r="I2465">
        <f>H2465*_xlfn.XLOOKUP(Tabla2[[#This Row],[Unidad de producción]],Tabla3[Medida],Tabla3[Equivalencia en Kg],"ELVIS",0)</f>
        <v>403.55608695652177</v>
      </c>
      <c r="J2465">
        <v>2230.73</v>
      </c>
      <c r="K2465" t="s">
        <v>18</v>
      </c>
      <c r="L2465">
        <f>J2465/_xlfn.XLOOKUP(Tabla2[[#This Row],[Unidad de precio]],Tabla3[Medida],Tabla3[Equivalencia en Kg],"ELVIS",0)</f>
        <v>49.17835097001764</v>
      </c>
      <c r="M2465">
        <v>9358.7144173845209</v>
      </c>
      <c r="N2465" s="2">
        <f>(Tabla2[[#This Row],[Productividad (kg/TAS)]]*Tabla2[[#This Row],[Precio por kg]]-Tabla2[[#This Row],[Costos (En RD$/Tarea)]])</f>
        <v>10487.508463050266</v>
      </c>
      <c r="O2465" s="6">
        <f>IF(Tabla2[[#This Row],[Costos (En RD$/Tarea)]]=0,0,Tabla2[[#This Row],[Beneficio Neto  (En RD$/Tarea)]]/Tabla2[[#This Row],[Costos (En RD$/Tarea)]])</f>
        <v>1.120614220642199</v>
      </c>
      <c r="P2465" s="4">
        <f>Tabla2[[#This Row],[Rentabilidad (%)]]/12</f>
        <v>9.3384518386849913E-2</v>
      </c>
    </row>
    <row r="2466" spans="1:16" x14ac:dyDescent="0.35">
      <c r="A2466" s="1">
        <v>42767</v>
      </c>
      <c r="B2466" t="s">
        <v>23</v>
      </c>
      <c r="C2466" s="2">
        <v>5820</v>
      </c>
      <c r="D2466" s="5" t="s">
        <v>17</v>
      </c>
      <c r="E2466" s="2">
        <f>IF(Tabla2[[#This Row],[Frecuencia]]="Annual", Tabla2[[#This Row],[Cosecha/Tarea]]/12,Tabla2[[#This Row],[Cosecha/Tarea]])</f>
        <v>5820</v>
      </c>
      <c r="F2466" s="2">
        <v>198754</v>
      </c>
      <c r="G2466" t="s">
        <v>18</v>
      </c>
      <c r="H2466">
        <f>F2466/Tabla2[[#This Row],[Cosecha Mensual]]</f>
        <v>34.15017182130584</v>
      </c>
      <c r="I2466">
        <f>H2466*_xlfn.XLOOKUP(Tabla2[[#This Row],[Unidad de producción]],Tabla3[Medida],Tabla3[Equivalencia en Kg],"ELVIS",0)</f>
        <v>1549.0517938144328</v>
      </c>
      <c r="J2466">
        <v>900</v>
      </c>
      <c r="K2466" t="s">
        <v>18</v>
      </c>
      <c r="L2466">
        <f>J2466/_xlfn.XLOOKUP(Tabla2[[#This Row],[Unidad de precio]],Tabla3[Medida],Tabla3[Equivalencia en Kg],"ELVIS",0)</f>
        <v>19.841269841269842</v>
      </c>
      <c r="M2466">
        <v>23497.681152818699</v>
      </c>
      <c r="N2466" s="2">
        <f>(Tabla2[[#This Row],[Productividad (kg/TAS)]]*Tabla2[[#This Row],[Precio por kg]]-Tabla2[[#This Row],[Costos (En RD$/Tarea)]])</f>
        <v>7237.4734863565573</v>
      </c>
      <c r="O2466" s="6">
        <f>IF(Tabla2[[#This Row],[Costos (En RD$/Tarea)]]=0,0,Tabla2[[#This Row],[Beneficio Neto  (En RD$/Tarea)]]/Tabla2[[#This Row],[Costos (En RD$/Tarea)]])</f>
        <v>0.30800798765151238</v>
      </c>
      <c r="P2466" s="4">
        <f>Tabla2[[#This Row],[Rentabilidad (%)]]/12</f>
        <v>2.56673323042927E-2</v>
      </c>
    </row>
    <row r="2467" spans="1:16" x14ac:dyDescent="0.35">
      <c r="A2467" s="1">
        <v>42767</v>
      </c>
      <c r="B2467" t="s">
        <v>24</v>
      </c>
      <c r="C2467" s="2">
        <v>8012</v>
      </c>
      <c r="D2467" s="5" t="s">
        <v>17</v>
      </c>
      <c r="E2467" s="2">
        <f>IF(Tabla2[[#This Row],[Frecuencia]]="Annual", Tabla2[[#This Row],[Cosecha/Tarea]]/12,Tabla2[[#This Row],[Cosecha/Tarea]])</f>
        <v>8012</v>
      </c>
      <c r="F2467" s="2">
        <v>75899</v>
      </c>
      <c r="G2467" t="s">
        <v>18</v>
      </c>
      <c r="H2467">
        <f>F2467/Tabla2[[#This Row],[Cosecha Mensual]]</f>
        <v>9.4731652521218166</v>
      </c>
      <c r="I2467">
        <f>H2467*_xlfn.XLOOKUP(Tabla2[[#This Row],[Unidad de producción]],Tabla3[Medida],Tabla3[Equivalencia en Kg],"ELVIS",0)</f>
        <v>429.70277583624562</v>
      </c>
      <c r="J2467">
        <v>2164.4196428571399</v>
      </c>
      <c r="K2467" t="s">
        <v>18</v>
      </c>
      <c r="L2467">
        <f>J2467/_xlfn.XLOOKUP(Tabla2[[#This Row],[Unidad de precio]],Tabla3[Medida],Tabla3[Equivalencia en Kg],"ELVIS",0)</f>
        <v>47.716482426303791</v>
      </c>
      <c r="M2467">
        <v>9059.4442114895992</v>
      </c>
      <c r="N2467" s="2">
        <f>(Tabla2[[#This Row],[Productividad (kg/TAS)]]*Tabla2[[#This Row],[Precio por kg]]-Tabla2[[#This Row],[Costos (En RD$/Tarea)]])</f>
        <v>11444.460740234574</v>
      </c>
      <c r="O2467" s="6">
        <f>IF(Tabla2[[#This Row],[Costos (En RD$/Tarea)]]=0,0,Tabla2[[#This Row],[Beneficio Neto  (En RD$/Tarea)]]/Tabla2[[#This Row],[Costos (En RD$/Tarea)]])</f>
        <v>1.2632630074282247</v>
      </c>
      <c r="P2467" s="4">
        <f>Tabla2[[#This Row],[Rentabilidad (%)]]/12</f>
        <v>0.1052719172856854</v>
      </c>
    </row>
    <row r="2468" spans="1:16" x14ac:dyDescent="0.35">
      <c r="A2468" s="1">
        <v>42767</v>
      </c>
      <c r="B2468" t="s">
        <v>25</v>
      </c>
      <c r="C2468" s="2">
        <v>41021</v>
      </c>
      <c r="D2468" s="5" t="s">
        <v>17</v>
      </c>
      <c r="E2468" s="2">
        <f>IF(Tabla2[[#This Row],[Frecuencia]]="Annual", Tabla2[[#This Row],[Cosecha/Tarea]]/12,Tabla2[[#This Row],[Cosecha/Tarea]])</f>
        <v>41021</v>
      </c>
      <c r="F2468" s="2">
        <v>444989</v>
      </c>
      <c r="G2468" t="s">
        <v>18</v>
      </c>
      <c r="H2468">
        <f>F2468/Tabla2[[#This Row],[Cosecha Mensual]]</f>
        <v>10.847834036225349</v>
      </c>
      <c r="I2468">
        <f>H2468*_xlfn.XLOOKUP(Tabla2[[#This Row],[Unidad de producción]],Tabla3[Medida],Tabla3[Equivalencia en Kg],"ELVIS",0)</f>
        <v>492.05775188318182</v>
      </c>
      <c r="J2468">
        <v>454.70468749999998</v>
      </c>
      <c r="K2468" t="s">
        <v>18</v>
      </c>
      <c r="L2468">
        <f>J2468/_xlfn.XLOOKUP(Tabla2[[#This Row],[Unidad de precio]],Tabla3[Medida],Tabla3[Equivalencia en Kg],"ELVIS",0)</f>
        <v>10.024353780864198</v>
      </c>
      <c r="M2468">
        <v>4667.2658565265501</v>
      </c>
      <c r="N2468" s="2">
        <f>(Tabla2[[#This Row],[Productividad (kg/TAS)]]*Tabla2[[#This Row],[Precio por kg]]-Tabla2[[#This Row],[Costos (En RD$/Tarea)]])</f>
        <v>265.29512896716096</v>
      </c>
      <c r="O2468" s="6">
        <f>IF(Tabla2[[#This Row],[Costos (En RD$/Tarea)]]=0,0,Tabla2[[#This Row],[Beneficio Neto  (En RD$/Tarea)]]/Tabla2[[#This Row],[Costos (En RD$/Tarea)]])</f>
        <v>5.6841657861889536E-2</v>
      </c>
      <c r="P2468" s="4">
        <f>Tabla2[[#This Row],[Rentabilidad (%)]]/12</f>
        <v>4.7368048218241277E-3</v>
      </c>
    </row>
    <row r="2469" spans="1:16" x14ac:dyDescent="0.35">
      <c r="A2469" s="1">
        <v>42767</v>
      </c>
      <c r="B2469" t="s">
        <v>26</v>
      </c>
      <c r="C2469" s="2">
        <v>8957</v>
      </c>
      <c r="D2469" s="5" t="s">
        <v>17</v>
      </c>
      <c r="E2469" s="2">
        <f>IF(Tabla2[[#This Row],[Frecuencia]]="Annual", Tabla2[[#This Row],[Cosecha/Tarea]]/12,Tabla2[[#This Row],[Cosecha/Tarea]])</f>
        <v>8957</v>
      </c>
      <c r="F2469" s="2">
        <v>55397</v>
      </c>
      <c r="G2469" t="s">
        <v>18</v>
      </c>
      <c r="H2469">
        <f>F2469/Tabla2[[#This Row],[Cosecha Mensual]]</f>
        <v>6.1847716869487552</v>
      </c>
      <c r="I2469">
        <f>H2469*_xlfn.XLOOKUP(Tabla2[[#This Row],[Unidad de producción]],Tabla3[Medida],Tabla3[Equivalencia en Kg],"ELVIS",0)</f>
        <v>280.54124371999552</v>
      </c>
      <c r="J2469">
        <v>1250.453125</v>
      </c>
      <c r="K2469" t="s">
        <v>18</v>
      </c>
      <c r="L2469">
        <f>J2469/_xlfn.XLOOKUP(Tabla2[[#This Row],[Unidad de precio]],Tabla3[Medida],Tabla3[Equivalencia en Kg],"ELVIS",0)</f>
        <v>27.567308752204585</v>
      </c>
      <c r="M2469">
        <v>1810.9755302292599</v>
      </c>
      <c r="N2469" s="2">
        <f>(Tabla2[[#This Row],[Productividad (kg/TAS)]]*Tabla2[[#This Row],[Precio por kg]]-Tabla2[[#This Row],[Costos (En RD$/Tarea)]])</f>
        <v>5922.7915531273329</v>
      </c>
      <c r="O2469" s="6">
        <f>IF(Tabla2[[#This Row],[Costos (En RD$/Tarea)]]=0,0,Tabla2[[#This Row],[Beneficio Neto  (En RD$/Tarea)]]/Tabla2[[#This Row],[Costos (En RD$/Tarea)]])</f>
        <v>3.2704978362559869</v>
      </c>
      <c r="P2469" s="4">
        <f>Tabla2[[#This Row],[Rentabilidad (%)]]/12</f>
        <v>0.27254148635466557</v>
      </c>
    </row>
    <row r="2470" spans="1:16" x14ac:dyDescent="0.35">
      <c r="A2470" s="1">
        <v>42767</v>
      </c>
      <c r="B2470" t="s">
        <v>27</v>
      </c>
      <c r="C2470" s="2">
        <v>5621</v>
      </c>
      <c r="D2470" s="5" t="s">
        <v>17</v>
      </c>
      <c r="E2470" s="2">
        <f>IF(Tabla2[[#This Row],[Frecuencia]]="Annual", Tabla2[[#This Row],[Cosecha/Tarea]]/12,Tabla2[[#This Row],[Cosecha/Tarea]])</f>
        <v>5621</v>
      </c>
      <c r="F2470" s="2">
        <v>47501</v>
      </c>
      <c r="G2470" t="s">
        <v>18</v>
      </c>
      <c r="H2470">
        <f>F2470/Tabla2[[#This Row],[Cosecha Mensual]]</f>
        <v>8.4506315602206019</v>
      </c>
      <c r="I2470">
        <f>H2470*_xlfn.XLOOKUP(Tabla2[[#This Row],[Unidad de producción]],Tabla3[Medida],Tabla3[Equivalencia en Kg],"ELVIS",0)</f>
        <v>383.32064757160651</v>
      </c>
      <c r="J2470">
        <v>844.44642857142901</v>
      </c>
      <c r="K2470" t="s">
        <v>18</v>
      </c>
      <c r="L2470">
        <f>J2470/_xlfn.XLOOKUP(Tabla2[[#This Row],[Unidad de precio]],Tabla3[Medida],Tabla3[Equivalencia en Kg],"ELVIS",0)</f>
        <v>18.616543839758137</v>
      </c>
      <c r="M2470">
        <v>8788.4318764689997</v>
      </c>
      <c r="N2470" s="2">
        <f>(Tabla2[[#This Row],[Productividad (kg/TAS)]]*Tabla2[[#This Row],[Precio por kg]]-Tabla2[[#This Row],[Costos (En RD$/Tarea)]])</f>
        <v>-1652.3262362677087</v>
      </c>
      <c r="O2470" s="6">
        <f>IF(Tabla2[[#This Row],[Costos (En RD$/Tarea)]]=0,0,Tabla2[[#This Row],[Beneficio Neto  (En RD$/Tarea)]]/Tabla2[[#This Row],[Costos (En RD$/Tarea)]])</f>
        <v>-0.18801149732887015</v>
      </c>
      <c r="P2470" s="4">
        <f>Tabla2[[#This Row],[Rentabilidad (%)]]/12</f>
        <v>-1.5667624777405846E-2</v>
      </c>
    </row>
    <row r="2471" spans="1:16" x14ac:dyDescent="0.35">
      <c r="A2471" s="1">
        <v>42767</v>
      </c>
      <c r="B2471" t="s">
        <v>28</v>
      </c>
      <c r="C2471" s="2">
        <v>92144</v>
      </c>
      <c r="D2471" s="5" t="s">
        <v>17</v>
      </c>
      <c r="E2471" s="2">
        <f>IF(Tabla2[[#This Row],[Frecuencia]]="Annual", Tabla2[[#This Row],[Cosecha/Tarea]]/12,Tabla2[[#This Row],[Cosecha/Tarea]])</f>
        <v>92144</v>
      </c>
      <c r="F2471" s="2">
        <v>1918764</v>
      </c>
      <c r="G2471" t="s">
        <v>18</v>
      </c>
      <c r="H2471">
        <f>F2471/Tabla2[[#This Row],[Cosecha Mensual]]</f>
        <v>20.823537072408403</v>
      </c>
      <c r="I2471">
        <f>H2471*_xlfn.XLOOKUP(Tabla2[[#This Row],[Unidad de producción]],Tabla3[Medida],Tabla3[Equivalencia en Kg],"ELVIS",0)</f>
        <v>944.5556416044451</v>
      </c>
      <c r="J2471">
        <v>12288.6944444444</v>
      </c>
      <c r="K2471" t="s">
        <v>29</v>
      </c>
      <c r="L2471">
        <f>J2471/_xlfn.XLOOKUP(Tabla2[[#This Row],[Unidad de precio]],Tabla3[Medida],Tabla3[Equivalencia en Kg],"ELVIS",0)</f>
        <v>21.852783804183233</v>
      </c>
      <c r="M2471">
        <v>7106.9649214587198</v>
      </c>
      <c r="N2471" s="2">
        <f>(Tabla2[[#This Row],[Productividad (kg/TAS)]]*Tabla2[[#This Row],[Precio por kg]]-Tabla2[[#This Row],[Costos (En RD$/Tarea)]])</f>
        <v>13534.205305544801</v>
      </c>
      <c r="O2471" s="6">
        <f>IF(Tabla2[[#This Row],[Costos (En RD$/Tarea)]]=0,0,Tabla2[[#This Row],[Beneficio Neto  (En RD$/Tarea)]]/Tabla2[[#This Row],[Costos (En RD$/Tarea)]])</f>
        <v>1.9043579720901278</v>
      </c>
      <c r="P2471" s="4">
        <f>Tabla2[[#This Row],[Rentabilidad (%)]]/12</f>
        <v>0.15869649767417732</v>
      </c>
    </row>
    <row r="2472" spans="1:16" x14ac:dyDescent="0.35">
      <c r="A2472" s="1">
        <v>42767</v>
      </c>
      <c r="B2472" t="s">
        <v>30</v>
      </c>
      <c r="C2472" s="2">
        <v>442104</v>
      </c>
      <c r="D2472" s="2" t="s">
        <v>31</v>
      </c>
      <c r="E2472" s="2">
        <f>IF(Tabla2[[#This Row],[Frecuencia]]="Annual", Tabla2[[#This Row],[Cosecha/Tarea]]/12,Tabla2[[#This Row],[Cosecha/Tarea]])</f>
        <v>36842</v>
      </c>
      <c r="F2472" s="2">
        <v>1980744.6</v>
      </c>
      <c r="G2472" t="s">
        <v>18</v>
      </c>
      <c r="H2472">
        <f>F2472/Tabla2[[#This Row],[Cosecha Mensual]]</f>
        <v>53.763221323489496</v>
      </c>
      <c r="I2472">
        <f>H2472*_xlfn.XLOOKUP(Tabla2[[#This Row],[Unidad de producción]],Tabla3[Medida],Tabla3[Equivalencia en Kg],"ELVIS",0)</f>
        <v>2438.6997192334834</v>
      </c>
      <c r="J2472">
        <v>146.838541666667</v>
      </c>
      <c r="K2472" t="s">
        <v>32</v>
      </c>
      <c r="L2472">
        <f>J2472/_xlfn.XLOOKUP(Tabla2[[#This Row],[Unidad de precio]],Tabla3[Medida],Tabla3[Equivalencia en Kg],"ELVIS",0)</f>
        <v>5.3964917922332596</v>
      </c>
      <c r="M2472" s="2">
        <v>32851.801352371498</v>
      </c>
      <c r="N2472" s="2">
        <f>(Tabla2[[#This Row],[Productividad (kg/TAS)]]*Tabla2[[#This Row],[Precio por kg]]-Tabla2[[#This Row],[Costos (En RD$/Tarea)]])</f>
        <v>-19691.37833380645</v>
      </c>
      <c r="O2472" s="6">
        <f>IF(Tabla2[[#This Row],[Costos (En RD$/Tarea)]]=0,0,Tabla2[[#This Row],[Beneficio Neto  (En RD$/Tarea)]]/Tabla2[[#This Row],[Costos (En RD$/Tarea)]])</f>
        <v>-0.5994002618789418</v>
      </c>
      <c r="P2472" s="4">
        <f>Tabla2[[#This Row],[Rentabilidad (%)]]/12</f>
        <v>-4.995002182324515E-2</v>
      </c>
    </row>
    <row r="2473" spans="1:16" x14ac:dyDescent="0.35">
      <c r="A2473" s="1">
        <v>42767</v>
      </c>
      <c r="B2473" t="s">
        <v>33</v>
      </c>
      <c r="C2473" s="2">
        <v>758411</v>
      </c>
      <c r="D2473" s="2" t="s">
        <v>31</v>
      </c>
      <c r="E2473" s="2">
        <f>IF(Tabla2[[#This Row],[Frecuencia]]="Annual", Tabla2[[#This Row],[Cosecha/Tarea]]/12,Tabla2[[#This Row],[Cosecha/Tarea]])</f>
        <v>63200.916666666664</v>
      </c>
      <c r="F2473" s="2">
        <v>1379223</v>
      </c>
      <c r="G2473" t="s">
        <v>18</v>
      </c>
      <c r="H2473">
        <f>F2473/Tabla2[[#This Row],[Cosecha Mensual]]</f>
        <v>21.822832211030697</v>
      </c>
      <c r="I2473">
        <f>H2473*_xlfn.XLOOKUP(Tabla2[[#This Row],[Unidad de producción]],Tabla3[Medida],Tabla3[Equivalencia en Kg],"ELVIS",0)</f>
        <v>989.88366909235242</v>
      </c>
      <c r="J2473">
        <v>5434.6354166666697</v>
      </c>
      <c r="K2473" t="s">
        <v>34</v>
      </c>
      <c r="L2473">
        <f>J2473/_xlfn.XLOOKUP(Tabla2[[#This Row],[Unidad de precio]],Tabla3[Medida],Tabla3[Equivalencia en Kg],"ELVIS",0)</f>
        <v>13.315289517742668</v>
      </c>
      <c r="M2473" s="2">
        <v>21460.483889989398</v>
      </c>
      <c r="N2473" s="2">
        <f>(Tabla2[[#This Row],[Productividad (kg/TAS)]]*Tabla2[[#This Row],[Precio por kg]]-Tabla2[[#This Row],[Costos (En RD$/Tarea)]])</f>
        <v>-8279.8962471393461</v>
      </c>
      <c r="O2473" s="6">
        <f>IF(Tabla2[[#This Row],[Costos (En RD$/Tarea)]]=0,0,Tabla2[[#This Row],[Beneficio Neto  (En RD$/Tarea)]]/Tabla2[[#This Row],[Costos (En RD$/Tarea)]])</f>
        <v>-0.38582057560228838</v>
      </c>
      <c r="P2473" s="4">
        <f>Tabla2[[#This Row],[Rentabilidad (%)]]/12</f>
        <v>-3.215171463352403E-2</v>
      </c>
    </row>
    <row r="2474" spans="1:16" x14ac:dyDescent="0.35">
      <c r="A2474" s="1">
        <v>42795</v>
      </c>
      <c r="B2474" t="s">
        <v>16</v>
      </c>
      <c r="C2474" s="2">
        <v>79689</v>
      </c>
      <c r="D2474" s="5" t="s">
        <v>17</v>
      </c>
      <c r="E2474" s="2">
        <f>IF(Tabla2[[#This Row],[Frecuencia]]="Annual", Tabla2[[#This Row],[Cosecha/Tarea]]/12,Tabla2[[#This Row],[Cosecha/Tarea]])</f>
        <v>79689</v>
      </c>
      <c r="F2474" s="2">
        <v>419102</v>
      </c>
      <c r="G2474" t="s">
        <v>18</v>
      </c>
      <c r="H2474">
        <f>F2474/Tabla2[[#This Row],[Cosecha Mensual]]</f>
        <v>5.2592202185998067</v>
      </c>
      <c r="I2474">
        <f>H2474*_xlfn.XLOOKUP(Tabla2[[#This Row],[Unidad de producción]],Tabla3[Medida],Tabla3[Equivalencia en Kg],"ELVIS",0)</f>
        <v>238.55822911568723</v>
      </c>
      <c r="J2474">
        <v>1891.1935000000001</v>
      </c>
      <c r="K2474" t="s">
        <v>19</v>
      </c>
      <c r="L2474">
        <f>J2474/_xlfn.XLOOKUP(Tabla2[[#This Row],[Unidad de precio]],Tabla3[Medida],Tabla3[Equivalencia en Kg],"ELVIS",0)</f>
        <v>17.192668181818181</v>
      </c>
      <c r="M2474">
        <v>6064.2164945385503</v>
      </c>
      <c r="N2474" s="2">
        <f>(Tabla2[[#This Row],[Productividad (kg/TAS)]]*Tabla2[[#This Row],[Precio por kg]]-Tabla2[[#This Row],[Costos (En RD$/Tarea)]])</f>
        <v>-1962.7640193103825</v>
      </c>
      <c r="O2474" s="6">
        <f>IF(Tabla2[[#This Row],[Costos (En RD$/Tarea)]]=0,0,Tabla2[[#This Row],[Beneficio Neto  (En RD$/Tarea)]]/Tabla2[[#This Row],[Costos (En RD$/Tarea)]])</f>
        <v>-0.32366324999743218</v>
      </c>
      <c r="P2474" s="4">
        <f>Tabla2[[#This Row],[Rentabilidad (%)]]/12</f>
        <v>-2.6971937499786016E-2</v>
      </c>
    </row>
    <row r="2475" spans="1:16" x14ac:dyDescent="0.35">
      <c r="A2475" s="1">
        <v>42795</v>
      </c>
      <c r="B2475" t="s">
        <v>20</v>
      </c>
      <c r="C2475" s="2">
        <v>24620</v>
      </c>
      <c r="D2475" s="5" t="s">
        <v>17</v>
      </c>
      <c r="E2475" s="2">
        <f>IF(Tabla2[[#This Row],[Frecuencia]]="Annual", Tabla2[[#This Row],[Cosecha/Tarea]]/12,Tabla2[[#This Row],[Cosecha/Tarea]])</f>
        <v>24620</v>
      </c>
      <c r="F2475" s="2">
        <v>62909</v>
      </c>
      <c r="G2475" t="s">
        <v>18</v>
      </c>
      <c r="H2475">
        <f>F2475/Tabla2[[#This Row],[Cosecha Mensual]]</f>
        <v>2.5551990251827781</v>
      </c>
      <c r="I2475">
        <f>H2475*_xlfn.XLOOKUP(Tabla2[[#This Row],[Unidad de producción]],Tabla3[Medida],Tabla3[Equivalencia en Kg],"ELVIS",0)</f>
        <v>115.90382778229082</v>
      </c>
      <c r="J2475">
        <v>815.3</v>
      </c>
      <c r="K2475" t="s">
        <v>18</v>
      </c>
      <c r="L2475">
        <f>J2475/_xlfn.XLOOKUP(Tabla2[[#This Row],[Unidad de precio]],Tabla3[Medida],Tabla3[Equivalencia en Kg],"ELVIS",0)</f>
        <v>17.973985890652557</v>
      </c>
      <c r="M2475">
        <v>2479.0864296156001</v>
      </c>
      <c r="N2475" s="2">
        <f>(Tabla2[[#This Row],[Productividad (kg/TAS)]]*Tabla2[[#This Row],[Precio por kg]]-Tabla2[[#This Row],[Costos (En RD$/Tarea)]])</f>
        <v>-395.832664384081</v>
      </c>
      <c r="O2475" s="6">
        <f>IF(Tabla2[[#This Row],[Costos (En RD$/Tarea)]]=0,0,Tabla2[[#This Row],[Beneficio Neto  (En RD$/Tarea)]]/Tabla2[[#This Row],[Costos (En RD$/Tarea)]])</f>
        <v>-0.15966876332159893</v>
      </c>
      <c r="P2475" s="4">
        <f>Tabla2[[#This Row],[Rentabilidad (%)]]/12</f>
        <v>-1.3305730276799911E-2</v>
      </c>
    </row>
    <row r="2476" spans="1:16" x14ac:dyDescent="0.35">
      <c r="A2476" s="1">
        <v>42795</v>
      </c>
      <c r="B2476" t="s">
        <v>21</v>
      </c>
      <c r="C2476" s="2">
        <v>9201</v>
      </c>
      <c r="D2476" s="5" t="s">
        <v>17</v>
      </c>
      <c r="E2476" s="2">
        <f>IF(Tabla2[[#This Row],[Frecuencia]]="Annual", Tabla2[[#This Row],[Cosecha/Tarea]]/12,Tabla2[[#This Row],[Cosecha/Tarea]])</f>
        <v>9201</v>
      </c>
      <c r="F2476" s="2">
        <v>108245</v>
      </c>
      <c r="G2476" t="s">
        <v>18</v>
      </c>
      <c r="H2476">
        <f>F2476/Tabla2[[#This Row],[Cosecha Mensual]]</f>
        <v>11.764482121508532</v>
      </c>
      <c r="I2476">
        <f>H2476*_xlfn.XLOOKUP(Tabla2[[#This Row],[Unidad de producción]],Tabla3[Medida],Tabla3[Equivalencia en Kg],"ELVIS",0)</f>
        <v>533.63690903162706</v>
      </c>
      <c r="J2476">
        <v>836.01666666666699</v>
      </c>
      <c r="K2476" t="s">
        <v>18</v>
      </c>
      <c r="L2476">
        <f>J2476/_xlfn.XLOOKUP(Tabla2[[#This Row],[Unidad de precio]],Tabla3[Medida],Tabla3[Equivalencia en Kg],"ELVIS",0)</f>
        <v>18.430702527924758</v>
      </c>
      <c r="M2476">
        <v>5064.8045077463803</v>
      </c>
      <c r="N2476" s="2">
        <f>(Tabla2[[#This Row],[Productividad (kg/TAS)]]*Tabla2[[#This Row],[Precio por kg]]-Tabla2[[#This Row],[Costos (En RD$/Tarea)]])</f>
        <v>4770.4986205367832</v>
      </c>
      <c r="O2476" s="6">
        <f>IF(Tabla2[[#This Row],[Costos (En RD$/Tarea)]]=0,0,Tabla2[[#This Row],[Beneficio Neto  (En RD$/Tarea)]]/Tabla2[[#This Row],[Costos (En RD$/Tarea)]])</f>
        <v>0.9418919552058781</v>
      </c>
      <c r="P2476" s="4">
        <f>Tabla2[[#This Row],[Rentabilidad (%)]]/12</f>
        <v>7.8490996267156513E-2</v>
      </c>
    </row>
    <row r="2477" spans="1:16" x14ac:dyDescent="0.35">
      <c r="A2477" s="1">
        <v>42795</v>
      </c>
      <c r="B2477" t="s">
        <v>22</v>
      </c>
      <c r="C2477" s="2">
        <v>7902</v>
      </c>
      <c r="D2477" s="5" t="s">
        <v>17</v>
      </c>
      <c r="E2477" s="2">
        <f>IF(Tabla2[[#This Row],[Frecuencia]]="Annual", Tabla2[[#This Row],[Cosecha/Tarea]]/12,Tabla2[[#This Row],[Cosecha/Tarea]])</f>
        <v>7902</v>
      </c>
      <c r="F2477" s="2">
        <v>82147</v>
      </c>
      <c r="G2477" t="s">
        <v>18</v>
      </c>
      <c r="H2477">
        <f>F2477/Tabla2[[#This Row],[Cosecha Mensual]]</f>
        <v>10.395722601872944</v>
      </c>
      <c r="I2477">
        <f>H2477*_xlfn.XLOOKUP(Tabla2[[#This Row],[Unidad de producción]],Tabla3[Medida],Tabla3[Equivalencia en Kg],"ELVIS",0)</f>
        <v>471.54997722095669</v>
      </c>
      <c r="J2477">
        <v>1888.49833333333</v>
      </c>
      <c r="K2477" t="s">
        <v>18</v>
      </c>
      <c r="L2477">
        <f>J2477/_xlfn.XLOOKUP(Tabla2[[#This Row],[Unidad de precio]],Tabla3[Medida],Tabla3[Equivalencia en Kg],"ELVIS",0)</f>
        <v>41.633561140505513</v>
      </c>
      <c r="M2477">
        <v>9358.7144173845209</v>
      </c>
      <c r="N2477" s="2">
        <f>(Tabla2[[#This Row],[Productividad (kg/TAS)]]*Tabla2[[#This Row],[Precio por kg]]-Tabla2[[#This Row],[Costos (En RD$/Tarea)]])</f>
        <v>10273.590390048163</v>
      </c>
      <c r="O2477" s="6">
        <f>IF(Tabla2[[#This Row],[Costos (En RD$/Tarea)]]=0,0,Tabla2[[#This Row],[Beneficio Neto  (En RD$/Tarea)]]/Tabla2[[#This Row],[Costos (En RD$/Tarea)]])</f>
        <v>1.0977565861999368</v>
      </c>
      <c r="P2477" s="4">
        <f>Tabla2[[#This Row],[Rentabilidad (%)]]/12</f>
        <v>9.1479715516661397E-2</v>
      </c>
    </row>
    <row r="2478" spans="1:16" x14ac:dyDescent="0.35">
      <c r="A2478" s="1">
        <v>42795</v>
      </c>
      <c r="B2478" t="s">
        <v>23</v>
      </c>
      <c r="C2478" s="2">
        <v>4201</v>
      </c>
      <c r="D2478" s="5" t="s">
        <v>17</v>
      </c>
      <c r="E2478" s="2">
        <f>IF(Tabla2[[#This Row],[Frecuencia]]="Annual", Tabla2[[#This Row],[Cosecha/Tarea]]/12,Tabla2[[#This Row],[Cosecha/Tarea]])</f>
        <v>4201</v>
      </c>
      <c r="F2478" s="2">
        <v>182590</v>
      </c>
      <c r="G2478" t="s">
        <v>18</v>
      </c>
      <c r="H2478">
        <f>F2478/Tabla2[[#This Row],[Cosecha Mensual]]</f>
        <v>43.463461080695076</v>
      </c>
      <c r="I2478">
        <f>H2478*_xlfn.XLOOKUP(Tabla2[[#This Row],[Unidad de producción]],Tabla3[Medida],Tabla3[Equivalencia en Kg],"ELVIS",0)</f>
        <v>1971.5025946203286</v>
      </c>
      <c r="J2478">
        <v>959.375</v>
      </c>
      <c r="K2478" t="s">
        <v>18</v>
      </c>
      <c r="L2478">
        <f>J2478/_xlfn.XLOOKUP(Tabla2[[#This Row],[Unidad de precio]],Tabla3[Medida],Tabla3[Equivalencia en Kg],"ELVIS",0)</f>
        <v>21.150242504409171</v>
      </c>
      <c r="M2478">
        <v>23497.681152818699</v>
      </c>
      <c r="N2478" s="2">
        <f>(Tabla2[[#This Row],[Productividad (kg/TAS)]]*Tabla2[[#This Row],[Precio por kg]]-Tabla2[[#This Row],[Costos (En RD$/Tarea)]])</f>
        <v>18200.07682147314</v>
      </c>
      <c r="O2478" s="6">
        <f>IF(Tabla2[[#This Row],[Costos (En RD$/Tarea)]]=0,0,Tabla2[[#This Row],[Beneficio Neto  (En RD$/Tarea)]]/Tabla2[[#This Row],[Costos (En RD$/Tarea)]])</f>
        <v>0.77454778210274267</v>
      </c>
      <c r="P2478" s="4">
        <f>Tabla2[[#This Row],[Rentabilidad (%)]]/12</f>
        <v>6.4545648508561884E-2</v>
      </c>
    </row>
    <row r="2479" spans="1:16" x14ac:dyDescent="0.35">
      <c r="A2479" s="1">
        <v>42795</v>
      </c>
      <c r="B2479" t="s">
        <v>24</v>
      </c>
      <c r="C2479" s="2">
        <v>6820</v>
      </c>
      <c r="D2479" s="5" t="s">
        <v>17</v>
      </c>
      <c r="E2479" s="2">
        <f>IF(Tabla2[[#This Row],[Frecuencia]]="Annual", Tabla2[[#This Row],[Cosecha/Tarea]]/12,Tabla2[[#This Row],[Cosecha/Tarea]])</f>
        <v>6820</v>
      </c>
      <c r="F2479" s="2">
        <v>58977</v>
      </c>
      <c r="G2479" t="s">
        <v>18</v>
      </c>
      <c r="H2479">
        <f>F2479/Tabla2[[#This Row],[Cosecha Mensual]]</f>
        <v>8.6476539589442822</v>
      </c>
      <c r="I2479">
        <f>H2479*_xlfn.XLOOKUP(Tabla2[[#This Row],[Unidad de producción]],Tabla3[Medida],Tabla3[Equivalencia en Kg],"ELVIS",0)</f>
        <v>392.25758357771264</v>
      </c>
      <c r="J2479">
        <v>1842.07</v>
      </c>
      <c r="K2479" t="s">
        <v>18</v>
      </c>
      <c r="L2479">
        <f>J2479/_xlfn.XLOOKUP(Tabla2[[#This Row],[Unidad de precio]],Tabla3[Medida],Tabla3[Equivalencia en Kg],"ELVIS",0)</f>
        <v>40.610008818342152</v>
      </c>
      <c r="M2479">
        <v>9059.4442114895992</v>
      </c>
      <c r="N2479" s="2">
        <f>(Tabla2[[#This Row],[Productividad (kg/TAS)]]*Tabla2[[#This Row],[Precio por kg]]-Tabla2[[#This Row],[Costos (En RD$/Tarea)]])</f>
        <v>6870.139716662894</v>
      </c>
      <c r="O2479" s="6">
        <f>IF(Tabla2[[#This Row],[Costos (En RD$/Tarea)]]=0,0,Tabla2[[#This Row],[Beneficio Neto  (En RD$/Tarea)]]/Tabla2[[#This Row],[Costos (En RD$/Tarea)]])</f>
        <v>0.75834008756849236</v>
      </c>
      <c r="P2479" s="4">
        <f>Tabla2[[#This Row],[Rentabilidad (%)]]/12</f>
        <v>6.3195007297374359E-2</v>
      </c>
    </row>
    <row r="2480" spans="1:16" x14ac:dyDescent="0.35">
      <c r="A2480" s="1">
        <v>42795</v>
      </c>
      <c r="B2480" t="s">
        <v>25</v>
      </c>
      <c r="C2480" s="2">
        <v>28141</v>
      </c>
      <c r="D2480" s="5" t="s">
        <v>17</v>
      </c>
      <c r="E2480" s="2">
        <f>IF(Tabla2[[#This Row],[Frecuencia]]="Annual", Tabla2[[#This Row],[Cosecha/Tarea]]/12,Tabla2[[#This Row],[Cosecha/Tarea]])</f>
        <v>28141</v>
      </c>
      <c r="F2480" s="2">
        <v>271044</v>
      </c>
      <c r="G2480" t="s">
        <v>18</v>
      </c>
      <c r="H2480">
        <f>F2480/Tabla2[[#This Row],[Cosecha Mensual]]</f>
        <v>9.6316406666429764</v>
      </c>
      <c r="I2480">
        <f>H2480*_xlfn.XLOOKUP(Tabla2[[#This Row],[Unidad de producción]],Tabla3[Medida],Tabla3[Equivalencia en Kg],"ELVIS",0)</f>
        <v>436.8912206389254</v>
      </c>
      <c r="J2480">
        <v>443.1875</v>
      </c>
      <c r="K2480" t="s">
        <v>18</v>
      </c>
      <c r="L2480">
        <f>J2480/_xlfn.XLOOKUP(Tabla2[[#This Row],[Unidad de precio]],Tabla3[Medida],Tabla3[Equivalencia en Kg],"ELVIS",0)</f>
        <v>9.7704475308641978</v>
      </c>
      <c r="M2480">
        <v>4667.2658565265501</v>
      </c>
      <c r="N2480" s="2">
        <f>(Tabla2[[#This Row],[Productividad (kg/TAS)]]*Tabla2[[#This Row],[Precio por kg]]-Tabla2[[#This Row],[Costos (En RD$/Tarea)]])</f>
        <v>-398.64310857871624</v>
      </c>
      <c r="O2480" s="6">
        <f>IF(Tabla2[[#This Row],[Costos (En RD$/Tarea)]]=0,0,Tabla2[[#This Row],[Beneficio Neto  (En RD$/Tarea)]]/Tabla2[[#This Row],[Costos (En RD$/Tarea)]])</f>
        <v>-8.5412556480207125E-2</v>
      </c>
      <c r="P2480" s="4">
        <f>Tabla2[[#This Row],[Rentabilidad (%)]]/12</f>
        <v>-7.1177130400172607E-3</v>
      </c>
    </row>
    <row r="2481" spans="1:16" x14ac:dyDescent="0.35">
      <c r="A2481" s="1">
        <v>42795</v>
      </c>
      <c r="B2481" t="s">
        <v>26</v>
      </c>
      <c r="C2481" s="2">
        <v>14301</v>
      </c>
      <c r="D2481" s="5" t="s">
        <v>17</v>
      </c>
      <c r="E2481" s="2">
        <f>IF(Tabla2[[#This Row],[Frecuencia]]="Annual", Tabla2[[#This Row],[Cosecha/Tarea]]/12,Tabla2[[#This Row],[Cosecha/Tarea]])</f>
        <v>14301</v>
      </c>
      <c r="F2481" s="2">
        <v>78541</v>
      </c>
      <c r="G2481" t="s">
        <v>18</v>
      </c>
      <c r="H2481">
        <f>F2481/Tabla2[[#This Row],[Cosecha Mensual]]</f>
        <v>5.4919935668834343</v>
      </c>
      <c r="I2481">
        <f>H2481*_xlfn.XLOOKUP(Tabla2[[#This Row],[Unidad de producción]],Tabla3[Medida],Tabla3[Equivalencia en Kg],"ELVIS",0)</f>
        <v>249.11682819383259</v>
      </c>
      <c r="J2481">
        <v>1231.98</v>
      </c>
      <c r="K2481" t="s">
        <v>18</v>
      </c>
      <c r="L2481">
        <f>J2481/_xlfn.XLOOKUP(Tabla2[[#This Row],[Unidad de precio]],Tabla3[Medida],Tabla3[Equivalencia en Kg],"ELVIS",0)</f>
        <v>27.160052910052912</v>
      </c>
      <c r="M2481">
        <v>1810.9755302292599</v>
      </c>
      <c r="N2481" s="2">
        <f>(Tabla2[[#This Row],[Productividad (kg/TAS)]]*Tabla2[[#This Row],[Precio por kg]]-Tabla2[[#This Row],[Costos (En RD$/Tarea)]])</f>
        <v>4955.0507042997942</v>
      </c>
      <c r="O2481" s="6">
        <f>IF(Tabla2[[#This Row],[Costos (En RD$/Tarea)]]=0,0,Tabla2[[#This Row],[Beneficio Neto  (En RD$/Tarea)]]/Tabla2[[#This Row],[Costos (En RD$/Tarea)]])</f>
        <v>2.7361223945817263</v>
      </c>
      <c r="P2481" s="4">
        <f>Tabla2[[#This Row],[Rentabilidad (%)]]/12</f>
        <v>0.2280101995484772</v>
      </c>
    </row>
    <row r="2482" spans="1:16" x14ac:dyDescent="0.35">
      <c r="A2482" s="1">
        <v>42795</v>
      </c>
      <c r="B2482" t="s">
        <v>27</v>
      </c>
      <c r="C2482" s="2">
        <v>5982</v>
      </c>
      <c r="D2482" s="5" t="s">
        <v>17</v>
      </c>
      <c r="E2482" s="2">
        <f>IF(Tabla2[[#This Row],[Frecuencia]]="Annual", Tabla2[[#This Row],[Cosecha/Tarea]]/12,Tabla2[[#This Row],[Cosecha/Tarea]])</f>
        <v>5982</v>
      </c>
      <c r="F2482" s="2">
        <v>56214</v>
      </c>
      <c r="G2482" t="s">
        <v>18</v>
      </c>
      <c r="H2482">
        <f>F2482/Tabla2[[#This Row],[Cosecha Mensual]]</f>
        <v>9.3971915747241717</v>
      </c>
      <c r="I2482">
        <f>H2482*_xlfn.XLOOKUP(Tabla2[[#This Row],[Unidad de producción]],Tabla3[Medida],Tabla3[Equivalencia en Kg],"ELVIS",0)</f>
        <v>426.25660982948841</v>
      </c>
      <c r="J2482">
        <v>783.96666666666704</v>
      </c>
      <c r="K2482" t="s">
        <v>18</v>
      </c>
      <c r="L2482">
        <f>J2482/_xlfn.XLOOKUP(Tabla2[[#This Row],[Unidad de precio]],Tabla3[Medida],Tabla3[Equivalencia en Kg],"ELVIS",0)</f>
        <v>17.283215755437986</v>
      </c>
      <c r="M2482">
        <v>8788.4318764689997</v>
      </c>
      <c r="N2482" s="2">
        <f>(Tabla2[[#This Row],[Productividad (kg/TAS)]]*Tabla2[[#This Row],[Precio por kg]]-Tabla2[[#This Row],[Costos (En RD$/Tarea)]])</f>
        <v>-1421.3469216044032</v>
      </c>
      <c r="O2482" s="6">
        <f>IF(Tabla2[[#This Row],[Costos (En RD$/Tarea)]]=0,0,Tabla2[[#This Row],[Beneficio Neto  (En RD$/Tarea)]]/Tabla2[[#This Row],[Costos (En RD$/Tarea)]])</f>
        <v>-0.16172929842126391</v>
      </c>
      <c r="P2482" s="4">
        <f>Tabla2[[#This Row],[Rentabilidad (%)]]/12</f>
        <v>-1.3477441535105326E-2</v>
      </c>
    </row>
    <row r="2483" spans="1:16" x14ac:dyDescent="0.35">
      <c r="A2483" s="1">
        <v>42795</v>
      </c>
      <c r="B2483" t="s">
        <v>28</v>
      </c>
      <c r="C2483" s="2">
        <v>70875</v>
      </c>
      <c r="D2483" s="5" t="s">
        <v>17</v>
      </c>
      <c r="E2483" s="2">
        <f>IF(Tabla2[[#This Row],[Frecuencia]]="Annual", Tabla2[[#This Row],[Cosecha/Tarea]]/12,Tabla2[[#This Row],[Cosecha/Tarea]])</f>
        <v>70875</v>
      </c>
      <c r="F2483" s="2">
        <v>1111164</v>
      </c>
      <c r="G2483" t="s">
        <v>18</v>
      </c>
      <c r="H2483">
        <f>F2483/Tabla2[[#This Row],[Cosecha Mensual]]</f>
        <v>15.677798941798942</v>
      </c>
      <c r="I2483">
        <f>H2483*_xlfn.XLOOKUP(Tabla2[[#This Row],[Unidad de producción]],Tabla3[Medida],Tabla3[Equivalencia en Kg],"ELVIS",0)</f>
        <v>711.14495999999997</v>
      </c>
      <c r="J2483">
        <v>21791.666666666701</v>
      </c>
      <c r="K2483" t="s">
        <v>29</v>
      </c>
      <c r="L2483">
        <f>J2483/_xlfn.XLOOKUP(Tabla2[[#This Row],[Unidad de precio]],Tabla3[Medida],Tabla3[Equivalencia en Kg],"ELVIS",0)</f>
        <v>38.751763464570722</v>
      </c>
      <c r="M2483">
        <v>7106.9649214587198</v>
      </c>
      <c r="N2483" s="2">
        <f>(Tabla2[[#This Row],[Productividad (kg/TAS)]]*Tabla2[[#This Row],[Precio por kg]]-Tabla2[[#This Row],[Costos (En RD$/Tarea)]])</f>
        <v>20451.156357482887</v>
      </c>
      <c r="O2483" s="6">
        <f>IF(Tabla2[[#This Row],[Costos (En RD$/Tarea)]]=0,0,Tabla2[[#This Row],[Beneficio Neto  (En RD$/Tarea)]]/Tabla2[[#This Row],[Costos (En RD$/Tarea)]])</f>
        <v>2.877621682883619</v>
      </c>
      <c r="P2483" s="4">
        <f>Tabla2[[#This Row],[Rentabilidad (%)]]/12</f>
        <v>0.23980180690696826</v>
      </c>
    </row>
    <row r="2484" spans="1:16" x14ac:dyDescent="0.35">
      <c r="A2484" s="1">
        <v>42795</v>
      </c>
      <c r="B2484" t="s">
        <v>30</v>
      </c>
      <c r="C2484" s="2">
        <v>472154</v>
      </c>
      <c r="D2484" s="2" t="s">
        <v>31</v>
      </c>
      <c r="E2484" s="2">
        <f>IF(Tabla2[[#This Row],[Frecuencia]]="Annual", Tabla2[[#This Row],[Cosecha/Tarea]]/12,Tabla2[[#This Row],[Cosecha/Tarea]])</f>
        <v>39346.166666666664</v>
      </c>
      <c r="F2484" s="2">
        <v>2194690.2000000002</v>
      </c>
      <c r="G2484" t="s">
        <v>18</v>
      </c>
      <c r="H2484">
        <f>F2484/Tabla2[[#This Row],[Cosecha Mensual]]</f>
        <v>55.77900939100379</v>
      </c>
      <c r="I2484">
        <f>H2484*_xlfn.XLOOKUP(Tabla2[[#This Row],[Unidad de producción]],Tabla3[Medida],Tabla3[Equivalencia en Kg],"ELVIS",0)</f>
        <v>2530.1358659759317</v>
      </c>
      <c r="J2484">
        <v>141.74266666666699</v>
      </c>
      <c r="K2484" t="s">
        <v>32</v>
      </c>
      <c r="L2484">
        <f>J2484/_xlfn.XLOOKUP(Tabla2[[#This Row],[Unidad de precio]],Tabla3[Medida],Tabla3[Equivalencia en Kg],"ELVIS",0)</f>
        <v>5.2092122993997423</v>
      </c>
      <c r="M2484" s="2">
        <v>32851.801352371498</v>
      </c>
      <c r="N2484" s="2">
        <f>(Tabla2[[#This Row],[Productividad (kg/TAS)]]*Tabla2[[#This Row],[Precio por kg]]-Tabla2[[#This Row],[Costos (En RD$/Tarea)]])</f>
        <v>-19671.786480177259</v>
      </c>
      <c r="O2484" s="6">
        <f>IF(Tabla2[[#This Row],[Costos (En RD$/Tarea)]]=0,0,Tabla2[[#This Row],[Beneficio Neto  (En RD$/Tarea)]]/Tabla2[[#This Row],[Costos (En RD$/Tarea)]])</f>
        <v>-0.59880389112231125</v>
      </c>
      <c r="P2484" s="4">
        <f>Tabla2[[#This Row],[Rentabilidad (%)]]/12</f>
        <v>-4.9900324260192606E-2</v>
      </c>
    </row>
    <row r="2485" spans="1:16" x14ac:dyDescent="0.35">
      <c r="A2485" s="1">
        <v>42795</v>
      </c>
      <c r="B2485" t="s">
        <v>33</v>
      </c>
      <c r="C2485" s="2">
        <v>735847</v>
      </c>
      <c r="D2485" s="2" t="s">
        <v>31</v>
      </c>
      <c r="E2485" s="2">
        <f>IF(Tabla2[[#This Row],[Frecuencia]]="Annual", Tabla2[[#This Row],[Cosecha/Tarea]]/12,Tabla2[[#This Row],[Cosecha/Tarea]])</f>
        <v>61320.583333333336</v>
      </c>
      <c r="F2485" s="2">
        <v>1691460</v>
      </c>
      <c r="G2485" t="s">
        <v>18</v>
      </c>
      <c r="H2485">
        <f>F2485/Tabla2[[#This Row],[Cosecha Mensual]]</f>
        <v>27.58388632419511</v>
      </c>
      <c r="I2485">
        <f>H2485*_xlfn.XLOOKUP(Tabla2[[#This Row],[Unidad de producción]],Tabla3[Medida],Tabla3[Equivalencia en Kg],"ELVIS",0)</f>
        <v>1251.2050836654901</v>
      </c>
      <c r="J2485">
        <v>5630.61333333333</v>
      </c>
      <c r="K2485" t="s">
        <v>34</v>
      </c>
      <c r="L2485">
        <f>J2485/_xlfn.XLOOKUP(Tabla2[[#This Row],[Unidad de precio]],Tabla3[Medida],Tabla3[Equivalencia en Kg],"ELVIS",0)</f>
        <v>13.795451018824771</v>
      </c>
      <c r="M2485" s="2">
        <v>21460.483889989398</v>
      </c>
      <c r="N2485" s="2">
        <f>(Tabla2[[#This Row],[Productividad (kg/TAS)]]*Tabla2[[#This Row],[Precio por kg]]-Tabla2[[#This Row],[Costos (En RD$/Tarea)]])</f>
        <v>-4199.5454437775807</v>
      </c>
      <c r="O2485" s="6">
        <f>IF(Tabla2[[#This Row],[Costos (En RD$/Tarea)]]=0,0,Tabla2[[#This Row],[Beneficio Neto  (En RD$/Tarea)]]/Tabla2[[#This Row],[Costos (En RD$/Tarea)]])</f>
        <v>-0.19568736032725378</v>
      </c>
      <c r="P2485" s="4">
        <f>Tabla2[[#This Row],[Rentabilidad (%)]]/12</f>
        <v>-1.6307280027271148E-2</v>
      </c>
    </row>
    <row r="2486" spans="1:16" x14ac:dyDescent="0.35">
      <c r="A2486" s="1">
        <v>42826</v>
      </c>
      <c r="B2486" t="s">
        <v>16</v>
      </c>
      <c r="C2486" s="2">
        <v>487894</v>
      </c>
      <c r="D2486" s="5" t="s">
        <v>17</v>
      </c>
      <c r="E2486" s="2">
        <f>IF(Tabla2[[#This Row],[Frecuencia]]="Annual", Tabla2[[#This Row],[Cosecha/Tarea]]/12,Tabla2[[#This Row],[Cosecha/Tarea]])</f>
        <v>487894</v>
      </c>
      <c r="F2486" s="2">
        <v>2610245</v>
      </c>
      <c r="G2486" t="s">
        <v>18</v>
      </c>
      <c r="H2486">
        <f>F2486/Tabla2[[#This Row],[Cosecha Mensual]]</f>
        <v>5.3500248004689546</v>
      </c>
      <c r="I2486">
        <f>H2486*_xlfn.XLOOKUP(Tabla2[[#This Row],[Unidad de producción]],Tabla3[Medida],Tabla3[Equivalencia en Kg],"ELVIS",0)</f>
        <v>242.67712494927179</v>
      </c>
      <c r="J2486">
        <v>2023.9565</v>
      </c>
      <c r="K2486" t="s">
        <v>19</v>
      </c>
      <c r="L2486">
        <f>J2486/_xlfn.XLOOKUP(Tabla2[[#This Row],[Unidad de precio]],Tabla3[Medida],Tabla3[Equivalencia en Kg],"ELVIS",0)</f>
        <v>18.399604545454544</v>
      </c>
      <c r="M2486">
        <v>6064.2164945385503</v>
      </c>
      <c r="N2486" s="2">
        <f>(Tabla2[[#This Row],[Productividad (kg/TAS)]]*Tabla2[[#This Row],[Precio por kg]]-Tabla2[[#This Row],[Costos (En RD$/Tarea)]])</f>
        <v>-1599.0533632440893</v>
      </c>
      <c r="O2486" s="6">
        <f>IF(Tabla2[[#This Row],[Costos (En RD$/Tarea)]]=0,0,Tabla2[[#This Row],[Beneficio Neto  (En RD$/Tarea)]]/Tabla2[[#This Row],[Costos (En RD$/Tarea)]])</f>
        <v>-0.26368672106020641</v>
      </c>
      <c r="P2486" s="4">
        <f>Tabla2[[#This Row],[Rentabilidad (%)]]/12</f>
        <v>-2.1973893421683866E-2</v>
      </c>
    </row>
    <row r="2487" spans="1:16" x14ac:dyDescent="0.35">
      <c r="A2487" s="1">
        <v>42826</v>
      </c>
      <c r="B2487" t="s">
        <v>20</v>
      </c>
      <c r="C2487" s="2">
        <v>26899</v>
      </c>
      <c r="D2487" s="5" t="s">
        <v>17</v>
      </c>
      <c r="E2487" s="2">
        <f>IF(Tabla2[[#This Row],[Frecuencia]]="Annual", Tabla2[[#This Row],[Cosecha/Tarea]]/12,Tabla2[[#This Row],[Cosecha/Tarea]])</f>
        <v>26899</v>
      </c>
      <c r="F2487" s="2">
        <v>65974</v>
      </c>
      <c r="G2487" t="s">
        <v>18</v>
      </c>
      <c r="H2487">
        <f>F2487/Tabla2[[#This Row],[Cosecha Mensual]]</f>
        <v>2.4526562325737018</v>
      </c>
      <c r="I2487">
        <f>H2487*_xlfn.XLOOKUP(Tabla2[[#This Row],[Unidad de producción]],Tabla3[Medida],Tabla3[Equivalencia en Kg],"ELVIS",0)</f>
        <v>111.25248670954311</v>
      </c>
      <c r="J2487">
        <v>882.13888888888903</v>
      </c>
      <c r="K2487" t="s">
        <v>18</v>
      </c>
      <c r="L2487">
        <f>J2487/_xlfn.XLOOKUP(Tabla2[[#This Row],[Unidad de precio]],Tabla3[Medida],Tabla3[Equivalencia en Kg],"ELVIS",0)</f>
        <v>19.447506368802667</v>
      </c>
      <c r="M2487">
        <v>2479.0864296156001</v>
      </c>
      <c r="N2487" s="2">
        <f>(Tabla2[[#This Row],[Productividad (kg/TAS)]]*Tabla2[[#This Row],[Precio por kg]]-Tabla2[[#This Row],[Costos (En RD$/Tarea)]])</f>
        <v>-315.5029857866266</v>
      </c>
      <c r="O2487" s="6">
        <f>IF(Tabla2[[#This Row],[Costos (En RD$/Tarea)]]=0,0,Tabla2[[#This Row],[Beneficio Neto  (En RD$/Tarea)]]/Tabla2[[#This Row],[Costos (En RD$/Tarea)]])</f>
        <v>-0.1272658274506176</v>
      </c>
      <c r="P2487" s="4">
        <f>Tabla2[[#This Row],[Rentabilidad (%)]]/12</f>
        <v>-1.06054856208848E-2</v>
      </c>
    </row>
    <row r="2488" spans="1:16" x14ac:dyDescent="0.35">
      <c r="A2488" s="1">
        <v>42826</v>
      </c>
      <c r="B2488" t="s">
        <v>21</v>
      </c>
      <c r="C2488" s="2">
        <v>10498</v>
      </c>
      <c r="D2488" s="5" t="s">
        <v>17</v>
      </c>
      <c r="E2488" s="2">
        <f>IF(Tabla2[[#This Row],[Frecuencia]]="Annual", Tabla2[[#This Row],[Cosecha/Tarea]]/12,Tabla2[[#This Row],[Cosecha/Tarea]])</f>
        <v>10498</v>
      </c>
      <c r="F2488" s="2">
        <v>121549</v>
      </c>
      <c r="G2488" t="s">
        <v>18</v>
      </c>
      <c r="H2488">
        <f>F2488/Tabla2[[#This Row],[Cosecha Mensual]]</f>
        <v>11.57830062869118</v>
      </c>
      <c r="I2488">
        <f>H2488*_xlfn.XLOOKUP(Tabla2[[#This Row],[Unidad de producción]],Tabla3[Medida],Tabla3[Equivalencia en Kg],"ELVIS",0)</f>
        <v>525.19171651743193</v>
      </c>
      <c r="J2488">
        <v>869.09722222222194</v>
      </c>
      <c r="K2488" t="s">
        <v>18</v>
      </c>
      <c r="L2488">
        <f>J2488/_xlfn.XLOOKUP(Tabla2[[#This Row],[Unidad de precio]],Tabla3[Medida],Tabla3[Equivalencia en Kg],"ELVIS",0)</f>
        <v>19.159991671565741</v>
      </c>
      <c r="M2488">
        <v>5064.8045077463803</v>
      </c>
      <c r="N2488" s="2">
        <f>(Tabla2[[#This Row],[Productividad (kg/TAS)]]*Tabla2[[#This Row],[Precio por kg]]-Tabla2[[#This Row],[Costos (En RD$/Tarea)]])</f>
        <v>4997.8644067029318</v>
      </c>
      <c r="O2488" s="6">
        <f>IF(Tabla2[[#This Row],[Costos (En RD$/Tarea)]]=0,0,Tabla2[[#This Row],[Beneficio Neto  (En RD$/Tarea)]]/Tabla2[[#This Row],[Costos (En RD$/Tarea)]])</f>
        <v>0.98678328039294172</v>
      </c>
      <c r="P2488" s="4">
        <f>Tabla2[[#This Row],[Rentabilidad (%)]]/12</f>
        <v>8.2231940032745143E-2</v>
      </c>
    </row>
    <row r="2489" spans="1:16" x14ac:dyDescent="0.35">
      <c r="A2489" s="1">
        <v>42826</v>
      </c>
      <c r="B2489" t="s">
        <v>22</v>
      </c>
      <c r="C2489" s="2">
        <v>9342</v>
      </c>
      <c r="D2489" s="5" t="s">
        <v>17</v>
      </c>
      <c r="E2489" s="2">
        <f>IF(Tabla2[[#This Row],[Frecuencia]]="Annual", Tabla2[[#This Row],[Cosecha/Tarea]]/12,Tabla2[[#This Row],[Cosecha/Tarea]])</f>
        <v>9342</v>
      </c>
      <c r="F2489" s="2">
        <v>91024</v>
      </c>
      <c r="G2489" t="s">
        <v>18</v>
      </c>
      <c r="H2489">
        <f>F2489/Tabla2[[#This Row],[Cosecha Mensual]]</f>
        <v>9.7435238706915008</v>
      </c>
      <c r="I2489">
        <f>H2489*_xlfn.XLOOKUP(Tabla2[[#This Row],[Unidad de producción]],Tabla3[Medida],Tabla3[Equivalencia en Kg],"ELVIS",0)</f>
        <v>441.96624277456647</v>
      </c>
      <c r="J2489">
        <v>2167.9466666666699</v>
      </c>
      <c r="K2489" t="s">
        <v>18</v>
      </c>
      <c r="L2489">
        <f>J2489/_xlfn.XLOOKUP(Tabla2[[#This Row],[Unidad de precio]],Tabla3[Medida],Tabla3[Equivalencia en Kg],"ELVIS",0)</f>
        <v>47.794238683127645</v>
      </c>
      <c r="M2489">
        <v>9358.7144173845209</v>
      </c>
      <c r="N2489" s="2">
        <f>(Tabla2[[#This Row],[Productividad (kg/TAS)]]*Tabla2[[#This Row],[Precio por kg]]-Tabla2[[#This Row],[Costos (En RD$/Tarea)]])</f>
        <v>11764.725679668247</v>
      </c>
      <c r="O2489" s="6">
        <f>IF(Tabla2[[#This Row],[Costos (En RD$/Tarea)]]=0,0,Tabla2[[#This Row],[Beneficio Neto  (En RD$/Tarea)]]/Tabla2[[#This Row],[Costos (En RD$/Tarea)]])</f>
        <v>1.2570877959278657</v>
      </c>
      <c r="P2489" s="4">
        <f>Tabla2[[#This Row],[Rentabilidad (%)]]/12</f>
        <v>0.10475731632732214</v>
      </c>
    </row>
    <row r="2490" spans="1:16" x14ac:dyDescent="0.35">
      <c r="A2490" s="1">
        <v>42826</v>
      </c>
      <c r="B2490" t="s">
        <v>23</v>
      </c>
      <c r="C2490" s="2">
        <v>3120</v>
      </c>
      <c r="D2490" s="5" t="s">
        <v>17</v>
      </c>
      <c r="E2490" s="2">
        <f>IF(Tabla2[[#This Row],[Frecuencia]]="Annual", Tabla2[[#This Row],[Cosecha/Tarea]]/12,Tabla2[[#This Row],[Cosecha/Tarea]])</f>
        <v>3120</v>
      </c>
      <c r="F2490" s="2">
        <v>116898</v>
      </c>
      <c r="G2490" t="s">
        <v>18</v>
      </c>
      <c r="H2490">
        <f>F2490/Tabla2[[#This Row],[Cosecha Mensual]]</f>
        <v>37.467307692307692</v>
      </c>
      <c r="I2490">
        <f>H2490*_xlfn.XLOOKUP(Tabla2[[#This Row],[Unidad de producción]],Tabla3[Medida],Tabla3[Equivalencia en Kg],"ELVIS",0)</f>
        <v>1699.517076923077</v>
      </c>
      <c r="J2490">
        <v>1071.1111111111099</v>
      </c>
      <c r="K2490" t="s">
        <v>18</v>
      </c>
      <c r="L2490">
        <f>J2490/_xlfn.XLOOKUP(Tabla2[[#This Row],[Unidad de precio]],Tabla3[Medida],Tabla3[Equivalencia en Kg],"ELVIS",0)</f>
        <v>23.613560650597663</v>
      </c>
      <c r="M2490">
        <v>23497.681152818699</v>
      </c>
      <c r="N2490" s="2">
        <f>(Tabla2[[#This Row],[Productividad (kg/TAS)]]*Tabla2[[#This Row],[Precio por kg]]-Tabla2[[#This Row],[Costos (En RD$/Tarea)]])</f>
        <v>16633.968419830835</v>
      </c>
      <c r="O2490" s="6">
        <f>IF(Tabla2[[#This Row],[Costos (En RD$/Tarea)]]=0,0,Tabla2[[#This Row],[Beneficio Neto  (En RD$/Tarea)]]/Tabla2[[#This Row],[Costos (En RD$/Tarea)]])</f>
        <v>0.7078982947998459</v>
      </c>
      <c r="P2490" s="4">
        <f>Tabla2[[#This Row],[Rentabilidad (%)]]/12</f>
        <v>5.8991524566653825E-2</v>
      </c>
    </row>
    <row r="2491" spans="1:16" x14ac:dyDescent="0.35">
      <c r="A2491" s="1">
        <v>42826</v>
      </c>
      <c r="B2491" t="s">
        <v>24</v>
      </c>
      <c r="C2491" s="2">
        <v>7102</v>
      </c>
      <c r="D2491" s="5" t="s">
        <v>17</v>
      </c>
      <c r="E2491" s="2">
        <f>IF(Tabla2[[#This Row],[Frecuencia]]="Annual", Tabla2[[#This Row],[Cosecha/Tarea]]/12,Tabla2[[#This Row],[Cosecha/Tarea]])</f>
        <v>7102</v>
      </c>
      <c r="F2491" s="2">
        <v>68214</v>
      </c>
      <c r="G2491" t="s">
        <v>18</v>
      </c>
      <c r="H2491">
        <f>F2491/Tabla2[[#This Row],[Cosecha Mensual]]</f>
        <v>9.6049000281610812</v>
      </c>
      <c r="I2491">
        <f>H2491*_xlfn.XLOOKUP(Tabla2[[#This Row],[Unidad de producción]],Tabla3[Medida],Tabla3[Equivalencia en Kg],"ELVIS",0)</f>
        <v>435.67826527738663</v>
      </c>
      <c r="J2491">
        <v>1762.6</v>
      </c>
      <c r="K2491" t="s">
        <v>18</v>
      </c>
      <c r="L2491">
        <f>J2491/_xlfn.XLOOKUP(Tabla2[[#This Row],[Unidad de precio]],Tabla3[Medida],Tabla3[Equivalencia en Kg],"ELVIS",0)</f>
        <v>38.858024691358025</v>
      </c>
      <c r="M2491">
        <v>9059.4442114895992</v>
      </c>
      <c r="N2491" s="2">
        <f>(Tabla2[[#This Row],[Productividad (kg/TAS)]]*Tabla2[[#This Row],[Precio por kg]]-Tabla2[[#This Row],[Costos (En RD$/Tarea)]])</f>
        <v>7870.1525781471228</v>
      </c>
      <c r="O2491" s="6">
        <f>IF(Tabla2[[#This Row],[Costos (En RD$/Tarea)]]=0,0,Tabla2[[#This Row],[Beneficio Neto  (En RD$/Tarea)]]/Tabla2[[#This Row],[Costos (En RD$/Tarea)]])</f>
        <v>0.86872355460457906</v>
      </c>
      <c r="P2491" s="4">
        <f>Tabla2[[#This Row],[Rentabilidad (%)]]/12</f>
        <v>7.2393629550381589E-2</v>
      </c>
    </row>
    <row r="2492" spans="1:16" x14ac:dyDescent="0.35">
      <c r="A2492" s="1">
        <v>42826</v>
      </c>
      <c r="B2492" t="s">
        <v>25</v>
      </c>
      <c r="C2492" s="2">
        <v>28214</v>
      </c>
      <c r="D2492" s="5" t="s">
        <v>17</v>
      </c>
      <c r="E2492" s="2">
        <f>IF(Tabla2[[#This Row],[Frecuencia]]="Annual", Tabla2[[#This Row],[Cosecha/Tarea]]/12,Tabla2[[#This Row],[Cosecha/Tarea]])</f>
        <v>28214</v>
      </c>
      <c r="F2492" s="2">
        <v>274512</v>
      </c>
      <c r="G2492" t="s">
        <v>18</v>
      </c>
      <c r="H2492">
        <f>F2492/Tabla2[[#This Row],[Cosecha Mensual]]</f>
        <v>9.7296377684837321</v>
      </c>
      <c r="I2492">
        <f>H2492*_xlfn.XLOOKUP(Tabla2[[#This Row],[Unidad de producción]],Tabla3[Medida],Tabla3[Equivalencia en Kg],"ELVIS",0)</f>
        <v>441.3363691784221</v>
      </c>
      <c r="J2492">
        <v>460.006944444444</v>
      </c>
      <c r="K2492" t="s">
        <v>18</v>
      </c>
      <c r="L2492">
        <f>J2492/_xlfn.XLOOKUP(Tabla2[[#This Row],[Unidad de precio]],Tabla3[Medida],Tabla3[Equivalencia en Kg],"ELVIS",0)</f>
        <v>10.141246570644709</v>
      </c>
      <c r="M2492">
        <v>4667.2658565265501</v>
      </c>
      <c r="N2492" s="2">
        <f>(Tabla2[[#This Row],[Productividad (kg/TAS)]]*Tabla2[[#This Row],[Precio por kg]]-Tabla2[[#This Row],[Costos (En RD$/Tarea)]])</f>
        <v>-191.56491609508976</v>
      </c>
      <c r="O2492" s="6">
        <f>IF(Tabla2[[#This Row],[Costos (En RD$/Tarea)]]=0,0,Tabla2[[#This Row],[Beneficio Neto  (En RD$/Tarea)]]/Tabla2[[#This Row],[Costos (En RD$/Tarea)]])</f>
        <v>-4.104435487153827E-2</v>
      </c>
      <c r="P2492" s="4">
        <f>Tabla2[[#This Row],[Rentabilidad (%)]]/12</f>
        <v>-3.4203629059615225E-3</v>
      </c>
    </row>
    <row r="2493" spans="1:16" x14ac:dyDescent="0.35">
      <c r="A2493" s="1">
        <v>42826</v>
      </c>
      <c r="B2493" t="s">
        <v>26</v>
      </c>
      <c r="C2493" s="2">
        <v>6989</v>
      </c>
      <c r="D2493" s="5" t="s">
        <v>17</v>
      </c>
      <c r="E2493" s="2">
        <f>IF(Tabla2[[#This Row],[Frecuencia]]="Annual", Tabla2[[#This Row],[Cosecha/Tarea]]/12,Tabla2[[#This Row],[Cosecha/Tarea]])</f>
        <v>6989</v>
      </c>
      <c r="F2493" s="2">
        <v>47998</v>
      </c>
      <c r="G2493" t="s">
        <v>18</v>
      </c>
      <c r="H2493">
        <f>F2493/Tabla2[[#This Row],[Cosecha Mensual]]</f>
        <v>6.8676491629703822</v>
      </c>
      <c r="I2493">
        <f>H2493*_xlfn.XLOOKUP(Tabla2[[#This Row],[Unidad de producción]],Tabla3[Medida],Tabla3[Equivalencia en Kg],"ELVIS",0)</f>
        <v>311.51656603233653</v>
      </c>
      <c r="J2493">
        <v>1204.7222222222199</v>
      </c>
      <c r="K2493" t="s">
        <v>18</v>
      </c>
      <c r="L2493">
        <f>J2493/_xlfn.XLOOKUP(Tabla2[[#This Row],[Unidad de precio]],Tabla3[Medida],Tabla3[Equivalencia en Kg],"ELVIS",0)</f>
        <v>26.559131883205907</v>
      </c>
      <c r="M2493">
        <v>1810.9755302292599</v>
      </c>
      <c r="N2493" s="2">
        <f>(Tabla2[[#This Row],[Productividad (kg/TAS)]]*Tabla2[[#This Row],[Precio por kg]]-Tabla2[[#This Row],[Costos (En RD$/Tarea)]])</f>
        <v>6462.6340308269882</v>
      </c>
      <c r="O2493" s="6">
        <f>IF(Tabla2[[#This Row],[Costos (En RD$/Tarea)]]=0,0,Tabla2[[#This Row],[Beneficio Neto  (En RD$/Tarea)]]/Tabla2[[#This Row],[Costos (En RD$/Tarea)]])</f>
        <v>3.5685926855173205</v>
      </c>
      <c r="P2493" s="4">
        <f>Tabla2[[#This Row],[Rentabilidad (%)]]/12</f>
        <v>0.29738272379311004</v>
      </c>
    </row>
    <row r="2494" spans="1:16" x14ac:dyDescent="0.35">
      <c r="A2494" s="1">
        <v>42826</v>
      </c>
      <c r="B2494" t="s">
        <v>27</v>
      </c>
      <c r="C2494" s="2">
        <v>4752</v>
      </c>
      <c r="D2494" s="5" t="s">
        <v>17</v>
      </c>
      <c r="E2494" s="2">
        <f>IF(Tabla2[[#This Row],[Frecuencia]]="Annual", Tabla2[[#This Row],[Cosecha/Tarea]]/12,Tabla2[[#This Row],[Cosecha/Tarea]])</f>
        <v>4752</v>
      </c>
      <c r="F2494" s="2">
        <v>47012</v>
      </c>
      <c r="G2494" t="s">
        <v>18</v>
      </c>
      <c r="H2494">
        <f>F2494/Tabla2[[#This Row],[Cosecha Mensual]]</f>
        <v>9.8930976430976436</v>
      </c>
      <c r="I2494">
        <f>H2494*_xlfn.XLOOKUP(Tabla2[[#This Row],[Unidad de producción]],Tabla3[Medida],Tabla3[Equivalencia en Kg],"ELVIS",0)</f>
        <v>448.75090909090909</v>
      </c>
      <c r="J2494">
        <v>594.33399999999995</v>
      </c>
      <c r="K2494" t="s">
        <v>18</v>
      </c>
      <c r="L2494">
        <f>J2494/_xlfn.XLOOKUP(Tabla2[[#This Row],[Unidad de precio]],Tabla3[Medida],Tabla3[Equivalencia en Kg],"ELVIS",0)</f>
        <v>13.102601410934744</v>
      </c>
      <c r="M2494">
        <v>8788.4318764689997</v>
      </c>
      <c r="N2494" s="2">
        <f>(Tabla2[[#This Row],[Productividad (kg/TAS)]]*Tabla2[[#This Row],[Precio por kg]]-Tabla2[[#This Row],[Costos (En RD$/Tarea)]])</f>
        <v>-2908.6275818562053</v>
      </c>
      <c r="O2494" s="6">
        <f>IF(Tabla2[[#This Row],[Costos (En RD$/Tarea)]]=0,0,Tabla2[[#This Row],[Beneficio Neto  (En RD$/Tarea)]]/Tabla2[[#This Row],[Costos (En RD$/Tarea)]])</f>
        <v>-0.33096092940585303</v>
      </c>
      <c r="P2494" s="4">
        <f>Tabla2[[#This Row],[Rentabilidad (%)]]/12</f>
        <v>-2.7580077450487753E-2</v>
      </c>
    </row>
    <row r="2495" spans="1:16" x14ac:dyDescent="0.35">
      <c r="A2495" s="1">
        <v>42826</v>
      </c>
      <c r="B2495" t="s">
        <v>28</v>
      </c>
      <c r="C2495" s="2">
        <v>13895</v>
      </c>
      <c r="D2495" s="5" t="s">
        <v>17</v>
      </c>
      <c r="E2495" s="2">
        <f>IF(Tabla2[[#This Row],[Frecuencia]]="Annual", Tabla2[[#This Row],[Cosecha/Tarea]]/12,Tabla2[[#This Row],[Cosecha/Tarea]])</f>
        <v>13895</v>
      </c>
      <c r="F2495" s="2">
        <v>179856</v>
      </c>
      <c r="G2495" t="s">
        <v>18</v>
      </c>
      <c r="H2495">
        <f>F2495/Tabla2[[#This Row],[Cosecha Mensual]]</f>
        <v>12.943936667866138</v>
      </c>
      <c r="I2495">
        <f>H2495*_xlfn.XLOOKUP(Tabla2[[#This Row],[Unidad de producción]],Tabla3[Medida],Tabla3[Equivalencia en Kg],"ELVIS",0)</f>
        <v>587.13696725440798</v>
      </c>
      <c r="J2495">
        <v>22651.67</v>
      </c>
      <c r="K2495" t="s">
        <v>29</v>
      </c>
      <c r="L2495">
        <f>J2495/_xlfn.XLOOKUP(Tabla2[[#This Row],[Unidad de precio]],Tabla3[Medida],Tabla3[Equivalencia en Kg],"ELVIS",0)</f>
        <v>40.281093288757688</v>
      </c>
      <c r="M2495">
        <v>7106.9649214587198</v>
      </c>
      <c r="N2495" s="2">
        <f>(Tabla2[[#This Row],[Productividad (kg/TAS)]]*Tabla2[[#This Row],[Precio por kg]]-Tabla2[[#This Row],[Costos (En RD$/Tarea)]])</f>
        <v>16543.554029794355</v>
      </c>
      <c r="O2495" s="6">
        <f>IF(Tabla2[[#This Row],[Costos (En RD$/Tarea)]]=0,0,Tabla2[[#This Row],[Beneficio Neto  (En RD$/Tarea)]]/Tabla2[[#This Row],[Costos (En RD$/Tarea)]])</f>
        <v>2.3277945244731497</v>
      </c>
      <c r="P2495" s="4">
        <f>Tabla2[[#This Row],[Rentabilidad (%)]]/12</f>
        <v>0.19398287703942915</v>
      </c>
    </row>
    <row r="2496" spans="1:16" x14ac:dyDescent="0.35">
      <c r="A2496" s="1">
        <v>42826</v>
      </c>
      <c r="B2496" t="s">
        <v>30</v>
      </c>
      <c r="C2496" s="2">
        <v>462511</v>
      </c>
      <c r="D2496" s="2" t="s">
        <v>31</v>
      </c>
      <c r="E2496" s="2">
        <f>IF(Tabla2[[#This Row],[Frecuencia]]="Annual", Tabla2[[#This Row],[Cosecha/Tarea]]/12,Tabla2[[#This Row],[Cosecha/Tarea]])</f>
        <v>38542.583333333336</v>
      </c>
      <c r="F2496" s="2">
        <v>2259251.4</v>
      </c>
      <c r="G2496" t="s">
        <v>18</v>
      </c>
      <c r="H2496">
        <f>F2496/Tabla2[[#This Row],[Cosecha Mensual]]</f>
        <v>58.617020568159454</v>
      </c>
      <c r="I2496">
        <f>H2496*_xlfn.XLOOKUP(Tabla2[[#This Row],[Unidad de producción]],Tabla3[Medida],Tabla3[Equivalencia en Kg],"ELVIS",0)</f>
        <v>2658.8680529717126</v>
      </c>
      <c r="J2496">
        <v>139.71666666666701</v>
      </c>
      <c r="K2496" t="s">
        <v>32</v>
      </c>
      <c r="L2496">
        <f>J2496/_xlfn.XLOOKUP(Tabla2[[#This Row],[Unidad de precio]],Tabla3[Medida],Tabla3[Equivalencia en Kg],"ELVIS",0)</f>
        <v>5.1347543795173465</v>
      </c>
      <c r="M2496" s="2">
        <v>32851.801352371498</v>
      </c>
      <c r="N2496" s="2">
        <f>(Tabla2[[#This Row],[Productividad (kg/TAS)]]*Tabla2[[#This Row],[Precio por kg]]-Tabla2[[#This Row],[Costos (En RD$/Tarea)]])</f>
        <v>-19199.166972816238</v>
      </c>
      <c r="O2496" s="6">
        <f>IF(Tabla2[[#This Row],[Costos (En RD$/Tarea)]]=0,0,Tabla2[[#This Row],[Beneficio Neto  (En RD$/Tarea)]]/Tabla2[[#This Row],[Costos (En RD$/Tarea)]])</f>
        <v>-0.58441748039579855</v>
      </c>
      <c r="P2496" s="4">
        <f>Tabla2[[#This Row],[Rentabilidad (%)]]/12</f>
        <v>-4.8701456699649877E-2</v>
      </c>
    </row>
    <row r="2497" spans="1:16" x14ac:dyDescent="0.35">
      <c r="A2497" s="1">
        <v>42826</v>
      </c>
      <c r="B2497" t="s">
        <v>33</v>
      </c>
      <c r="C2497" s="2">
        <v>765489</v>
      </c>
      <c r="D2497" s="2" t="s">
        <v>31</v>
      </c>
      <c r="E2497" s="8">
        <f>IF(Tabla2[[#This Row],[Frecuencia]]="Annual", Tabla2[[#This Row],[Cosecha/Tarea]]/12,Tabla2[[#This Row],[Cosecha/Tarea]])</f>
        <v>63790.75</v>
      </c>
      <c r="F2497" s="2">
        <v>3151116</v>
      </c>
      <c r="G2497" t="s">
        <v>18</v>
      </c>
      <c r="H2497">
        <f>F2497/Tabla2[[#This Row],[Cosecha Mensual]]</f>
        <v>49.397694806848953</v>
      </c>
      <c r="I2497">
        <f>H2497*_xlfn.XLOOKUP(Tabla2[[#This Row],[Unidad de producción]],Tabla3[Medida],Tabla3[Equivalencia en Kg],"ELVIS",0)</f>
        <v>2240.6794364386683</v>
      </c>
      <c r="J2497">
        <v>5668.1944444444398</v>
      </c>
      <c r="K2497" t="s">
        <v>34</v>
      </c>
      <c r="L2497">
        <f>J2497/_xlfn.XLOOKUP(Tabla2[[#This Row],[Unidad de precio]],Tabla3[Medida],Tabla3[Equivalencia en Kg],"ELVIS",0)</f>
        <v>13.887527733540219</v>
      </c>
      <c r="M2497" s="2">
        <v>21460.483889989398</v>
      </c>
      <c r="N2497" s="2">
        <f>(Tabla2[[#This Row],[Productividad (kg/TAS)]]*Tabla2[[#This Row],[Precio por kg]]-Tabla2[[#This Row],[Costos (En RD$/Tarea)]])</f>
        <v>9657.0139255258764</v>
      </c>
      <c r="O2497" s="6">
        <f>IF(Tabla2[[#This Row],[Costos (En RD$/Tarea)]]=0,0,Tabla2[[#This Row],[Beneficio Neto  (En RD$/Tarea)]]/Tabla2[[#This Row],[Costos (En RD$/Tarea)]])</f>
        <v>0.44999050231251086</v>
      </c>
      <c r="P2497" s="4">
        <f>Tabla2[[#This Row],[Rentabilidad (%)]]/12</f>
        <v>3.749920852604257E-2</v>
      </c>
    </row>
    <row r="2498" spans="1:16" x14ac:dyDescent="0.35">
      <c r="A2498" s="1">
        <v>42856</v>
      </c>
      <c r="B2498" t="s">
        <v>16</v>
      </c>
      <c r="C2498" s="2">
        <v>426855</v>
      </c>
      <c r="D2498" s="5" t="s">
        <v>17</v>
      </c>
      <c r="E2498" s="2">
        <f>IF(Tabla2[[#This Row],[Frecuencia]]="Annual", Tabla2[[#This Row],[Cosecha/Tarea]]/12,Tabla2[[#This Row],[Cosecha/Tarea]])</f>
        <v>426855</v>
      </c>
      <c r="F2498" s="2">
        <v>2342112</v>
      </c>
      <c r="G2498" t="s">
        <v>18</v>
      </c>
      <c r="H2498">
        <f>F2498/Tabla2[[#This Row],[Cosecha Mensual]]</f>
        <v>5.4869030467020421</v>
      </c>
      <c r="I2498">
        <f>H2498*_xlfn.XLOOKUP(Tabla2[[#This Row],[Unidad de producción]],Tabla3[Medida],Tabla3[Equivalencia en Kg],"ELVIS",0)</f>
        <v>248.88592219840461</v>
      </c>
      <c r="J2498">
        <v>1958.22855555556</v>
      </c>
      <c r="K2498" t="s">
        <v>19</v>
      </c>
      <c r="L2498">
        <f>J2498/_xlfn.XLOOKUP(Tabla2[[#This Row],[Unidad de precio]],Tabla3[Medida],Tabla3[Equivalencia en Kg],"ELVIS",0)</f>
        <v>17.802077777777818</v>
      </c>
      <c r="M2498">
        <v>6064.2164945385503</v>
      </c>
      <c r="N2498" s="2">
        <f>(Tabla2[[#This Row],[Productividad (kg/TAS)]]*Tabla2[[#This Row],[Precio por kg]]-Tabla2[[#This Row],[Costos (En RD$/Tarea)]])</f>
        <v>-1633.5299497685928</v>
      </c>
      <c r="O2498" s="6">
        <f>IF(Tabla2[[#This Row],[Costos (En RD$/Tarea)]]=0,0,Tabla2[[#This Row],[Beneficio Neto  (En RD$/Tarea)]]/Tabla2[[#This Row],[Costos (En RD$/Tarea)]])</f>
        <v>-0.2693719710105591</v>
      </c>
      <c r="P2498" s="4">
        <f>Tabla2[[#This Row],[Rentabilidad (%)]]/12</f>
        <v>-2.2447664250879924E-2</v>
      </c>
    </row>
    <row r="2499" spans="1:16" x14ac:dyDescent="0.35">
      <c r="A2499" s="1">
        <v>42856</v>
      </c>
      <c r="B2499" t="s">
        <v>20</v>
      </c>
      <c r="C2499" s="2">
        <v>21229</v>
      </c>
      <c r="D2499" s="5" t="s">
        <v>17</v>
      </c>
      <c r="E2499" s="2">
        <f>IF(Tabla2[[#This Row],[Frecuencia]]="Annual", Tabla2[[#This Row],[Cosecha/Tarea]]/12,Tabla2[[#This Row],[Cosecha/Tarea]])</f>
        <v>21229</v>
      </c>
      <c r="F2499" s="2">
        <v>76768</v>
      </c>
      <c r="G2499" t="s">
        <v>18</v>
      </c>
      <c r="H2499">
        <f>F2499/Tabla2[[#This Row],[Cosecha Mensual]]</f>
        <v>3.6161854067549108</v>
      </c>
      <c r="I2499">
        <f>H2499*_xlfn.XLOOKUP(Tabla2[[#This Row],[Unidad de producción]],Tabla3[Medida],Tabla3[Equivalencia en Kg],"ELVIS",0)</f>
        <v>164.03017005040275</v>
      </c>
      <c r="J2499">
        <v>921.31666666666695</v>
      </c>
      <c r="K2499" t="s">
        <v>18</v>
      </c>
      <c r="L2499">
        <f>J2499/_xlfn.XLOOKUP(Tabla2[[#This Row],[Unidad de precio]],Tabla3[Medida],Tabla3[Equivalencia en Kg],"ELVIS",0)</f>
        <v>20.311213991769552</v>
      </c>
      <c r="M2499">
        <v>2479.0864296156001</v>
      </c>
      <c r="N2499" s="2">
        <f>(Tabla2[[#This Row],[Productividad (kg/TAS)]]*Tabla2[[#This Row],[Precio por kg]]-Tabla2[[#This Row],[Costos (En RD$/Tarea)]])</f>
        <v>852.56545538447926</v>
      </c>
      <c r="O2499" s="6">
        <f>IF(Tabla2[[#This Row],[Costos (En RD$/Tarea)]]=0,0,Tabla2[[#This Row],[Beneficio Neto  (En RD$/Tarea)]]/Tabla2[[#This Row],[Costos (En RD$/Tarea)]])</f>
        <v>0.34390307865009595</v>
      </c>
      <c r="P2499" s="4">
        <f>Tabla2[[#This Row],[Rentabilidad (%)]]/12</f>
        <v>2.8658589887507996E-2</v>
      </c>
    </row>
    <row r="2500" spans="1:16" x14ac:dyDescent="0.35">
      <c r="A2500" s="1">
        <v>42856</v>
      </c>
      <c r="B2500" t="s">
        <v>21</v>
      </c>
      <c r="C2500" s="2">
        <v>7854</v>
      </c>
      <c r="D2500" s="5" t="s">
        <v>17</v>
      </c>
      <c r="E2500" s="2">
        <f>IF(Tabla2[[#This Row],[Frecuencia]]="Annual", Tabla2[[#This Row],[Cosecha/Tarea]]/12,Tabla2[[#This Row],[Cosecha/Tarea]])</f>
        <v>7854</v>
      </c>
      <c r="F2500" s="2">
        <v>89998</v>
      </c>
      <c r="G2500" t="s">
        <v>18</v>
      </c>
      <c r="H2500">
        <f>F2500/Tabla2[[#This Row],[Cosecha Mensual]]</f>
        <v>11.458874458874458</v>
      </c>
      <c r="I2500">
        <f>H2500*_xlfn.XLOOKUP(Tabla2[[#This Row],[Unidad de producción]],Tabla3[Medida],Tabla3[Equivalencia en Kg],"ELVIS",0)</f>
        <v>519.77454545454543</v>
      </c>
      <c r="J2500">
        <v>548.08249999999998</v>
      </c>
      <c r="K2500" t="s">
        <v>18</v>
      </c>
      <c r="L2500">
        <f>J2500/_xlfn.XLOOKUP(Tabla2[[#This Row],[Unidad de precio]],Tabla3[Medida],Tabla3[Equivalencia en Kg],"ELVIS",0)</f>
        <v>12.082947530864198</v>
      </c>
      <c r="M2500">
        <v>5064.8045077463803</v>
      </c>
      <c r="N2500" s="2">
        <f>(Tabla2[[#This Row],[Productividad (kg/TAS)]]*Tabla2[[#This Row],[Precio por kg]]-Tabla2[[#This Row],[Costos (En RD$/Tarea)]])</f>
        <v>1215.6040528596805</v>
      </c>
      <c r="O2500" s="6">
        <f>IF(Tabla2[[#This Row],[Costos (En RD$/Tarea)]]=0,0,Tabla2[[#This Row],[Beneficio Neto  (En RD$/Tarea)]]/Tabla2[[#This Row],[Costos (En RD$/Tarea)]])</f>
        <v>0.24001006376464704</v>
      </c>
      <c r="P2500" s="4">
        <f>Tabla2[[#This Row],[Rentabilidad (%)]]/12</f>
        <v>2.0000838647053921E-2</v>
      </c>
    </row>
    <row r="2501" spans="1:16" x14ac:dyDescent="0.35">
      <c r="A2501" s="1">
        <v>42856</v>
      </c>
      <c r="B2501" t="s">
        <v>22</v>
      </c>
      <c r="C2501" s="2">
        <v>4521</v>
      </c>
      <c r="D2501" s="5" t="s">
        <v>17</v>
      </c>
      <c r="E2501" s="2">
        <f>IF(Tabla2[[#This Row],[Frecuencia]]="Annual", Tabla2[[#This Row],[Cosecha/Tarea]]/12,Tabla2[[#This Row],[Cosecha/Tarea]])</f>
        <v>4521</v>
      </c>
      <c r="F2501" s="2">
        <v>45215</v>
      </c>
      <c r="G2501" t="s">
        <v>18</v>
      </c>
      <c r="H2501">
        <f>F2501/Tabla2[[#This Row],[Cosecha Mensual]]</f>
        <v>10.001105950011059</v>
      </c>
      <c r="I2501">
        <f>H2501*_xlfn.XLOOKUP(Tabla2[[#This Row],[Unidad de producción]],Tabla3[Medida],Tabla3[Equivalencia en Kg],"ELVIS",0)</f>
        <v>453.65016589250166</v>
      </c>
      <c r="J2501">
        <v>2030.16</v>
      </c>
      <c r="K2501" t="s">
        <v>18</v>
      </c>
      <c r="L2501">
        <f>J2501/_xlfn.XLOOKUP(Tabla2[[#This Row],[Unidad de precio]],Tabla3[Medida],Tabla3[Equivalencia en Kg],"ELVIS",0)</f>
        <v>44.75661375661376</v>
      </c>
      <c r="M2501">
        <v>9358.7144173845209</v>
      </c>
      <c r="N2501" s="2">
        <f>(Tabla2[[#This Row],[Productividad (kg/TAS)]]*Tabla2[[#This Row],[Precio por kg]]-Tabla2[[#This Row],[Costos (En RD$/Tarea)]])</f>
        <v>10945.130838089934</v>
      </c>
      <c r="O2501" s="6">
        <f>IF(Tabla2[[#This Row],[Costos (En RD$/Tarea)]]=0,0,Tabla2[[#This Row],[Beneficio Neto  (En RD$/Tarea)]]/Tabla2[[#This Row],[Costos (En RD$/Tarea)]])</f>
        <v>1.1695122160965319</v>
      </c>
      <c r="P2501" s="4">
        <f>Tabla2[[#This Row],[Rentabilidad (%)]]/12</f>
        <v>9.7459351341377662E-2</v>
      </c>
    </row>
    <row r="2502" spans="1:16" x14ac:dyDescent="0.35">
      <c r="A2502" s="1">
        <v>42856</v>
      </c>
      <c r="B2502" t="s">
        <v>23</v>
      </c>
      <c r="C2502" s="2">
        <v>4251</v>
      </c>
      <c r="D2502" s="5" t="s">
        <v>17</v>
      </c>
      <c r="E2502" s="2">
        <f>IF(Tabla2[[#This Row],[Frecuencia]]="Annual", Tabla2[[#This Row],[Cosecha/Tarea]]/12,Tabla2[[#This Row],[Cosecha/Tarea]])</f>
        <v>4251</v>
      </c>
      <c r="F2502" s="2">
        <v>165899</v>
      </c>
      <c r="G2502" t="s">
        <v>18</v>
      </c>
      <c r="H2502">
        <f>F2502/Tabla2[[#This Row],[Cosecha Mensual]]</f>
        <v>39.025876264408375</v>
      </c>
      <c r="I2502">
        <f>H2502*_xlfn.XLOOKUP(Tabla2[[#This Row],[Unidad de producción]],Tabla3[Medida],Tabla3[Equivalencia en Kg],"ELVIS",0)</f>
        <v>1770.2137473535638</v>
      </c>
      <c r="J2502">
        <v>875</v>
      </c>
      <c r="K2502" t="s">
        <v>18</v>
      </c>
      <c r="L2502">
        <f>J2502/_xlfn.XLOOKUP(Tabla2[[#This Row],[Unidad de precio]],Tabla3[Medida],Tabla3[Equivalencia en Kg],"ELVIS",0)</f>
        <v>19.290123456790123</v>
      </c>
      <c r="M2502">
        <v>23497.681152818699</v>
      </c>
      <c r="N2502" s="2">
        <f>(Tabla2[[#This Row],[Productividad (kg/TAS)]]*Tabla2[[#This Row],[Precio por kg]]-Tabla2[[#This Row],[Costos (En RD$/Tarea)]])</f>
        <v>10649.960578538627</v>
      </c>
      <c r="O2502" s="6">
        <f>IF(Tabla2[[#This Row],[Costos (En RD$/Tarea)]]=0,0,Tabla2[[#This Row],[Beneficio Neto  (En RD$/Tarea)]]/Tabla2[[#This Row],[Costos (En RD$/Tarea)]])</f>
        <v>0.4532345344749516</v>
      </c>
      <c r="P2502" s="4">
        <f>Tabla2[[#This Row],[Rentabilidad (%)]]/12</f>
        <v>3.77695445395793E-2</v>
      </c>
    </row>
    <row r="2503" spans="1:16" x14ac:dyDescent="0.35">
      <c r="A2503" s="1">
        <v>42856</v>
      </c>
      <c r="B2503" t="s">
        <v>24</v>
      </c>
      <c r="C2503" s="2">
        <v>6412</v>
      </c>
      <c r="D2503" s="5" t="s">
        <v>17</v>
      </c>
      <c r="E2503" s="2">
        <f>IF(Tabla2[[#This Row],[Frecuencia]]="Annual", Tabla2[[#This Row],[Cosecha/Tarea]]/12,Tabla2[[#This Row],[Cosecha/Tarea]])</f>
        <v>6412</v>
      </c>
      <c r="F2503" s="2">
        <v>42014</v>
      </c>
      <c r="G2503" t="s">
        <v>18</v>
      </c>
      <c r="H2503">
        <f>F2503/Tabla2[[#This Row],[Cosecha Mensual]]</f>
        <v>6.5524017467248905</v>
      </c>
      <c r="I2503">
        <f>H2503*_xlfn.XLOOKUP(Tabla2[[#This Row],[Unidad de producción]],Tabla3[Medida],Tabla3[Equivalencia en Kg],"ELVIS",0)</f>
        <v>297.21694323144101</v>
      </c>
      <c r="J2503">
        <v>1591.825</v>
      </c>
      <c r="K2503" t="s">
        <v>18</v>
      </c>
      <c r="L2503">
        <f>J2503/_xlfn.XLOOKUP(Tabla2[[#This Row],[Unidad de precio]],Tabla3[Medida],Tabla3[Equivalencia en Kg],"ELVIS",0)</f>
        <v>35.093143738977076</v>
      </c>
      <c r="M2503">
        <v>9059.4442114895992</v>
      </c>
      <c r="N2503" s="2">
        <f>(Tabla2[[#This Row],[Productividad (kg/TAS)]]*Tabla2[[#This Row],[Precio por kg]]-Tabla2[[#This Row],[Costos (En RD$/Tarea)]])</f>
        <v>1370.8326989907491</v>
      </c>
      <c r="O2503" s="6">
        <f>IF(Tabla2[[#This Row],[Costos (En RD$/Tarea)]]=0,0,Tabla2[[#This Row],[Beneficio Neto  (En RD$/Tarea)]]/Tabla2[[#This Row],[Costos (En RD$/Tarea)]])</f>
        <v>0.15131531990143465</v>
      </c>
      <c r="P2503" s="4">
        <f>Tabla2[[#This Row],[Rentabilidad (%)]]/12</f>
        <v>1.2609609991786222E-2</v>
      </c>
    </row>
    <row r="2504" spans="1:16" x14ac:dyDescent="0.35">
      <c r="A2504" s="1">
        <v>42856</v>
      </c>
      <c r="B2504" t="s">
        <v>25</v>
      </c>
      <c r="C2504" s="2">
        <v>31402</v>
      </c>
      <c r="D2504" s="5" t="s">
        <v>17</v>
      </c>
      <c r="E2504" s="2">
        <f>IF(Tabla2[[#This Row],[Frecuencia]]="Annual", Tabla2[[#This Row],[Cosecha/Tarea]]/12,Tabla2[[#This Row],[Cosecha/Tarea]])</f>
        <v>31402</v>
      </c>
      <c r="F2504" s="2">
        <v>292789</v>
      </c>
      <c r="G2504" t="s">
        <v>18</v>
      </c>
      <c r="H2504">
        <f>F2504/Tabla2[[#This Row],[Cosecha Mensual]]</f>
        <v>9.3238965670976377</v>
      </c>
      <c r="I2504">
        <f>H2504*_xlfn.XLOOKUP(Tabla2[[#This Row],[Unidad de producción]],Tabla3[Medida],Tabla3[Equivalencia en Kg],"ELVIS",0)</f>
        <v>422.93194828354882</v>
      </c>
      <c r="J2504">
        <v>662.85833333333301</v>
      </c>
      <c r="K2504" t="s">
        <v>18</v>
      </c>
      <c r="L2504">
        <f>J2504/_xlfn.XLOOKUP(Tabla2[[#This Row],[Unidad de precio]],Tabla3[Medida],Tabla3[Equivalencia en Kg],"ELVIS",0)</f>
        <v>14.613278953556724</v>
      </c>
      <c r="M2504">
        <v>4667.2658565265501</v>
      </c>
      <c r="N2504" s="2">
        <f>(Tabla2[[#This Row],[Productividad (kg/TAS)]]*Tabla2[[#This Row],[Precio por kg]]-Tabla2[[#This Row],[Costos (En RD$/Tarea)]])</f>
        <v>1513.1566821121751</v>
      </c>
      <c r="O2504" s="6">
        <f>IF(Tabla2[[#This Row],[Costos (En RD$/Tarea)]]=0,0,Tabla2[[#This Row],[Beneficio Neto  (En RD$/Tarea)]]/Tabla2[[#This Row],[Costos (En RD$/Tarea)]])</f>
        <v>0.32420623307674384</v>
      </c>
      <c r="P2504" s="4">
        <f>Tabla2[[#This Row],[Rentabilidad (%)]]/12</f>
        <v>2.7017186089728654E-2</v>
      </c>
    </row>
    <row r="2505" spans="1:16" x14ac:dyDescent="0.35">
      <c r="A2505" s="1">
        <v>42856</v>
      </c>
      <c r="B2505" t="s">
        <v>26</v>
      </c>
      <c r="C2505" s="2">
        <v>7854</v>
      </c>
      <c r="D2505" s="5" t="s">
        <v>17</v>
      </c>
      <c r="E2505" s="2">
        <f>IF(Tabla2[[#This Row],[Frecuencia]]="Annual", Tabla2[[#This Row],[Cosecha/Tarea]]/12,Tabla2[[#This Row],[Cosecha/Tarea]])</f>
        <v>7854</v>
      </c>
      <c r="F2505" s="2">
        <v>53479</v>
      </c>
      <c r="G2505" t="s">
        <v>18</v>
      </c>
      <c r="H2505">
        <f>F2505/Tabla2[[#This Row],[Cosecha Mensual]]</f>
        <v>6.8091418385536029</v>
      </c>
      <c r="I2505">
        <f>H2505*_xlfn.XLOOKUP(Tabla2[[#This Row],[Unidad de producción]],Tabla3[Medida],Tabla3[Equivalencia en Kg],"ELVIS",0)</f>
        <v>308.8626737967914</v>
      </c>
      <c r="J2505">
        <v>913.96666666666704</v>
      </c>
      <c r="K2505" t="s">
        <v>18</v>
      </c>
      <c r="L2505">
        <f>J2505/_xlfn.XLOOKUP(Tabla2[[#This Row],[Unidad de precio]],Tabla3[Medida],Tabla3[Equivalencia en Kg],"ELVIS",0)</f>
        <v>20.149176954732518</v>
      </c>
      <c r="M2505">
        <v>1810.9755302292599</v>
      </c>
      <c r="N2505" s="2">
        <f>(Tabla2[[#This Row],[Productividad (kg/TAS)]]*Tabla2[[#This Row],[Precio por kg]]-Tabla2[[#This Row],[Costos (En RD$/Tarea)]])</f>
        <v>4412.3531388141164</v>
      </c>
      <c r="O2505" s="6">
        <f>IF(Tabla2[[#This Row],[Costos (En RD$/Tarea)]]=0,0,Tabla2[[#This Row],[Beneficio Neto  (En RD$/Tarea)]]/Tabla2[[#This Row],[Costos (En RD$/Tarea)]])</f>
        <v>2.4364509984602254</v>
      </c>
      <c r="P2505" s="4">
        <f>Tabla2[[#This Row],[Rentabilidad (%)]]/12</f>
        <v>0.20303758320501877</v>
      </c>
    </row>
    <row r="2506" spans="1:16" x14ac:dyDescent="0.35">
      <c r="A2506" s="1">
        <v>42856</v>
      </c>
      <c r="B2506" t="s">
        <v>27</v>
      </c>
      <c r="C2506" s="2">
        <v>4215</v>
      </c>
      <c r="D2506" s="5" t="s">
        <v>17</v>
      </c>
      <c r="E2506" s="2">
        <f>IF(Tabla2[[#This Row],[Frecuencia]]="Annual", Tabla2[[#This Row],[Cosecha/Tarea]]/12,Tabla2[[#This Row],[Cosecha/Tarea]])</f>
        <v>4215</v>
      </c>
      <c r="F2506" s="2">
        <v>48124</v>
      </c>
      <c r="G2506" t="s">
        <v>18</v>
      </c>
      <c r="H2506">
        <f>F2506/Tabla2[[#This Row],[Cosecha Mensual]]</f>
        <v>11.417319098457888</v>
      </c>
      <c r="I2506">
        <f>H2506*_xlfn.XLOOKUP(Tabla2[[#This Row],[Unidad de producción]],Tabla3[Medida],Tabla3[Equivalencia en Kg],"ELVIS",0)</f>
        <v>517.88959430604984</v>
      </c>
      <c r="J2506">
        <v>567.91333333333296</v>
      </c>
      <c r="K2506" t="s">
        <v>18</v>
      </c>
      <c r="L2506">
        <f>J2506/_xlfn.XLOOKUP(Tabla2[[#This Row],[Unidad de precio]],Tabla3[Medida],Tabla3[Equivalencia en Kg],"ELVIS",0)</f>
        <v>12.520135214579652</v>
      </c>
      <c r="M2506">
        <v>8788.4318764689997</v>
      </c>
      <c r="N2506" s="2">
        <f>(Tabla2[[#This Row],[Productividad (kg/TAS)]]*Tabla2[[#This Row],[Precio por kg]]-Tabla2[[#This Row],[Costos (En RD$/Tarea)]])</f>
        <v>-2304.384129533456</v>
      </c>
      <c r="O2506" s="6">
        <f>IF(Tabla2[[#This Row],[Costos (En RD$/Tarea)]]=0,0,Tabla2[[#This Row],[Beneficio Neto  (En RD$/Tarea)]]/Tabla2[[#This Row],[Costos (En RD$/Tarea)]])</f>
        <v>-0.26220651896994701</v>
      </c>
      <c r="P2506" s="4">
        <f>Tabla2[[#This Row],[Rentabilidad (%)]]/12</f>
        <v>-2.1850543247495583E-2</v>
      </c>
    </row>
    <row r="2507" spans="1:16" x14ac:dyDescent="0.35">
      <c r="A2507" s="1">
        <v>42856</v>
      </c>
      <c r="B2507" t="s">
        <v>28</v>
      </c>
      <c r="C2507" s="2">
        <v>11547</v>
      </c>
      <c r="D2507" s="5" t="s">
        <v>17</v>
      </c>
      <c r="E2507" s="2">
        <f>IF(Tabla2[[#This Row],[Frecuencia]]="Annual", Tabla2[[#This Row],[Cosecha/Tarea]]/12,Tabla2[[#This Row],[Cosecha/Tarea]])</f>
        <v>11547</v>
      </c>
      <c r="F2507" s="2">
        <v>334752</v>
      </c>
      <c r="G2507" t="s">
        <v>18</v>
      </c>
      <c r="H2507">
        <f>F2507/Tabla2[[#This Row],[Cosecha Mensual]]</f>
        <v>28.990387113535984</v>
      </c>
      <c r="I2507">
        <f>H2507*_xlfn.XLOOKUP(Tabla2[[#This Row],[Unidad de producción]],Tabla3[Medida],Tabla3[Equivalencia en Kg],"ELVIS",0)</f>
        <v>1315.0039594699922</v>
      </c>
      <c r="J2507">
        <v>2812.5</v>
      </c>
      <c r="K2507" t="s">
        <v>29</v>
      </c>
      <c r="L2507">
        <f>J2507/_xlfn.XLOOKUP(Tabla2[[#This Row],[Unidad de precio]],Tabla3[Medida],Tabla3[Equivalencia en Kg],"ELVIS",0)</f>
        <v>5.0014226268805348</v>
      </c>
      <c r="M2507">
        <v>7106.9649214587198</v>
      </c>
      <c r="N2507" s="2">
        <f>(Tabla2[[#This Row],[Productividad (kg/TAS)]]*Tabla2[[#This Row],[Precio por kg]]-Tabla2[[#This Row],[Costos (En RD$/Tarea)]])</f>
        <v>-530.07436412800689</v>
      </c>
      <c r="O2507" s="6">
        <f>IF(Tabla2[[#This Row],[Costos (En RD$/Tarea)]]=0,0,Tabla2[[#This Row],[Beneficio Neto  (En RD$/Tarea)]]/Tabla2[[#This Row],[Costos (En RD$/Tarea)]])</f>
        <v>-7.4585194944118E-2</v>
      </c>
      <c r="P2507" s="4">
        <f>Tabla2[[#This Row],[Rentabilidad (%)]]/12</f>
        <v>-6.215432912009833E-3</v>
      </c>
    </row>
    <row r="2508" spans="1:16" x14ac:dyDescent="0.35">
      <c r="A2508" s="1">
        <v>42856</v>
      </c>
      <c r="B2508" t="s">
        <v>30</v>
      </c>
      <c r="C2508" s="2">
        <v>485124</v>
      </c>
      <c r="D2508" s="2" t="s">
        <v>31</v>
      </c>
      <c r="E2508" s="2">
        <f>IF(Tabla2[[#This Row],[Frecuencia]]="Annual", Tabla2[[#This Row],[Cosecha/Tarea]]/12,Tabla2[[#This Row],[Cosecha/Tarea]])</f>
        <v>40427</v>
      </c>
      <c r="F2508" s="2">
        <v>2185533</v>
      </c>
      <c r="G2508" t="s">
        <v>18</v>
      </c>
      <c r="H2508">
        <f>F2508/Tabla2[[#This Row],[Cosecha Mensual]]</f>
        <v>54.061221460904839</v>
      </c>
      <c r="I2508">
        <f>H2508*_xlfn.XLOOKUP(Tabla2[[#This Row],[Unidad de producción]],Tabla3[Medida],Tabla3[Equivalencia en Kg],"ELVIS",0)</f>
        <v>2452.2170054666435</v>
      </c>
      <c r="J2508">
        <v>156.879166666667</v>
      </c>
      <c r="K2508" t="s">
        <v>32</v>
      </c>
      <c r="L2508">
        <f>J2508/_xlfn.XLOOKUP(Tabla2[[#This Row],[Unidad de precio]],Tabla3[Medida],Tabla3[Equivalencia en Kg],"ELVIS",0)</f>
        <v>5.7654967536445056</v>
      </c>
      <c r="M2508" s="2">
        <v>32851.801352371498</v>
      </c>
      <c r="N2508" s="2">
        <f>(Tabla2[[#This Row],[Productividad (kg/TAS)]]*Tabla2[[#This Row],[Precio por kg]]-Tabla2[[#This Row],[Costos (En RD$/Tarea)]])</f>
        <v>-18713.552168121714</v>
      </c>
      <c r="O2508" s="6">
        <f>IF(Tabla2[[#This Row],[Costos (En RD$/Tarea)]]=0,0,Tabla2[[#This Row],[Beneficio Neto  (En RD$/Tarea)]]/Tabla2[[#This Row],[Costos (En RD$/Tarea)]])</f>
        <v>-0.56963549631261923</v>
      </c>
      <c r="P2508" s="4">
        <f>Tabla2[[#This Row],[Rentabilidad (%)]]/12</f>
        <v>-4.7469624692718267E-2</v>
      </c>
    </row>
    <row r="2509" spans="1:16" x14ac:dyDescent="0.35">
      <c r="A2509" s="1">
        <v>42856</v>
      </c>
      <c r="B2509" t="s">
        <v>33</v>
      </c>
      <c r="C2509" s="2">
        <v>784518</v>
      </c>
      <c r="D2509" s="2" t="s">
        <v>31</v>
      </c>
      <c r="E2509" s="8">
        <f>IF(Tabla2[[#This Row],[Frecuencia]]="Annual", Tabla2[[#This Row],[Cosecha/Tarea]]/12,Tabla2[[#This Row],[Cosecha/Tarea]])</f>
        <v>65376.5</v>
      </c>
      <c r="F2509" s="2">
        <v>2698839</v>
      </c>
      <c r="G2509" t="s">
        <v>18</v>
      </c>
      <c r="H2509">
        <f>F2509/Tabla2[[#This Row],[Cosecha Mensual]]</f>
        <v>41.281484937248095</v>
      </c>
      <c r="I2509">
        <f>H2509*_xlfn.XLOOKUP(Tabla2[[#This Row],[Unidad de producción]],Tabla3[Medida],Tabla3[Equivalencia en Kg],"ELVIS",0)</f>
        <v>1872.5281567535735</v>
      </c>
      <c r="J2509">
        <v>5525.2916666666697</v>
      </c>
      <c r="K2509" t="s">
        <v>34</v>
      </c>
      <c r="L2509">
        <f>J2509/_xlfn.XLOOKUP(Tabla2[[#This Row],[Unidad de precio]],Tabla3[Medida],Tabla3[Equivalencia en Kg],"ELVIS",0)</f>
        <v>13.537404548981183</v>
      </c>
      <c r="M2509" s="2">
        <v>21460.483889989398</v>
      </c>
      <c r="N2509" s="2">
        <f>(Tabla2[[#This Row],[Productividad (kg/TAS)]]*Tabla2[[#This Row],[Precio por kg]]-Tabla2[[#This Row],[Costos (En RD$/Tarea)]])</f>
        <v>3888.6872973417776</v>
      </c>
      <c r="O2509" s="6">
        <f>IF(Tabla2[[#This Row],[Costos (En RD$/Tarea)]]=0,0,Tabla2[[#This Row],[Beneficio Neto  (En RD$/Tarea)]]/Tabla2[[#This Row],[Costos (En RD$/Tarea)]])</f>
        <v>0.18120221879785856</v>
      </c>
      <c r="P2509" s="4">
        <f>Tabla2[[#This Row],[Rentabilidad (%)]]/12</f>
        <v>1.5100184899821546E-2</v>
      </c>
    </row>
    <row r="2510" spans="1:16" x14ac:dyDescent="0.35">
      <c r="A2510" s="1">
        <v>42887</v>
      </c>
      <c r="B2510" t="s">
        <v>16</v>
      </c>
      <c r="C2510" s="2">
        <v>185421</v>
      </c>
      <c r="D2510" s="5" t="s">
        <v>17</v>
      </c>
      <c r="E2510" s="2">
        <f>IF(Tabla2[[#This Row],[Frecuencia]]="Annual", Tabla2[[#This Row],[Cosecha/Tarea]]/12,Tabla2[[#This Row],[Cosecha/Tarea]])</f>
        <v>185421</v>
      </c>
      <c r="F2510" s="2">
        <v>1011302</v>
      </c>
      <c r="G2510" t="s">
        <v>18</v>
      </c>
      <c r="H2510">
        <f>F2510/Tabla2[[#This Row],[Cosecha Mensual]]</f>
        <v>5.4540855674384243</v>
      </c>
      <c r="I2510">
        <f>H2510*_xlfn.XLOOKUP(Tabla2[[#This Row],[Unidad de producción]],Tabla3[Medida],Tabla3[Equivalencia en Kg],"ELVIS",0)</f>
        <v>247.39732133900694</v>
      </c>
      <c r="J2510">
        <v>2034.89187220389</v>
      </c>
      <c r="K2510" t="s">
        <v>19</v>
      </c>
      <c r="L2510">
        <f>J2510/_xlfn.XLOOKUP(Tabla2[[#This Row],[Unidad de precio]],Tabla3[Medida],Tabla3[Equivalencia en Kg],"ELVIS",0)</f>
        <v>18.499017020035364</v>
      </c>
      <c r="M2510">
        <v>6064.2164945385503</v>
      </c>
      <c r="N2510" s="2">
        <f>(Tabla2[[#This Row],[Productividad (kg/TAS)]]*Tabla2[[#This Row],[Precio por kg]]-Tabla2[[#This Row],[Costos (En RD$/Tarea)]])</f>
        <v>-1487.6092363771031</v>
      </c>
      <c r="O2510" s="6">
        <f>IF(Tabla2[[#This Row],[Costos (En RD$/Tarea)]]=0,0,Tabla2[[#This Row],[Beneficio Neto  (En RD$/Tarea)]]/Tabla2[[#This Row],[Costos (En RD$/Tarea)]])</f>
        <v>-0.2453093879014458</v>
      </c>
      <c r="P2510" s="4">
        <f>Tabla2[[#This Row],[Rentabilidad (%)]]/12</f>
        <v>-2.0442448991787151E-2</v>
      </c>
    </row>
    <row r="2511" spans="1:16" x14ac:dyDescent="0.35">
      <c r="A2511" s="1">
        <v>42887</v>
      </c>
      <c r="B2511" t="s">
        <v>20</v>
      </c>
      <c r="C2511" s="2">
        <v>33102</v>
      </c>
      <c r="D2511" s="5" t="s">
        <v>17</v>
      </c>
      <c r="E2511" s="2">
        <f>IF(Tabla2[[#This Row],[Frecuencia]]="Annual", Tabla2[[#This Row],[Cosecha/Tarea]]/12,Tabla2[[#This Row],[Cosecha/Tarea]])</f>
        <v>33102</v>
      </c>
      <c r="F2511" s="2">
        <v>89487</v>
      </c>
      <c r="G2511" t="s">
        <v>18</v>
      </c>
      <c r="H2511">
        <f>F2511/Tabla2[[#This Row],[Cosecha Mensual]]</f>
        <v>2.7033713974986404</v>
      </c>
      <c r="I2511">
        <f>H2511*_xlfn.XLOOKUP(Tabla2[[#This Row],[Unidad de producción]],Tabla3[Medida],Tabla3[Equivalencia en Kg],"ELVIS",0)</f>
        <v>122.62492659053832</v>
      </c>
      <c r="J2511">
        <v>904.09226190476204</v>
      </c>
      <c r="K2511" t="s">
        <v>18</v>
      </c>
      <c r="L2511">
        <f>J2511/_xlfn.XLOOKUP(Tabla2[[#This Row],[Unidad de precio]],Tabla3[Medida],Tabla3[Equivalencia en Kg],"ELVIS",0)</f>
        <v>19.931487255395989</v>
      </c>
      <c r="M2511">
        <v>2479.0864296156001</v>
      </c>
      <c r="N2511" s="2">
        <f>(Tabla2[[#This Row],[Productividad (kg/TAS)]]*Tabla2[[#This Row],[Precio por kg]]-Tabla2[[#This Row],[Costos (En RD$/Tarea)]])</f>
        <v>-34.989268082416856</v>
      </c>
      <c r="O2511" s="6">
        <f>IF(Tabla2[[#This Row],[Costos (En RD$/Tarea)]]=0,0,Tabla2[[#This Row],[Beneficio Neto  (En RD$/Tarea)]]/Tabla2[[#This Row],[Costos (En RD$/Tarea)]])</f>
        <v>-1.4113775003738853E-2</v>
      </c>
      <c r="P2511" s="4">
        <f>Tabla2[[#This Row],[Rentabilidad (%)]]/12</f>
        <v>-1.1761479169782377E-3</v>
      </c>
    </row>
    <row r="2512" spans="1:16" x14ac:dyDescent="0.35">
      <c r="A2512" s="1">
        <v>42887</v>
      </c>
      <c r="B2512" t="s">
        <v>21</v>
      </c>
      <c r="C2512" s="2">
        <v>6857</v>
      </c>
      <c r="D2512" s="5" t="s">
        <v>17</v>
      </c>
      <c r="E2512" s="2">
        <f>IF(Tabla2[[#This Row],[Frecuencia]]="Annual", Tabla2[[#This Row],[Cosecha/Tarea]]/12,Tabla2[[#This Row],[Cosecha/Tarea]])</f>
        <v>6857</v>
      </c>
      <c r="F2512" s="2">
        <v>79699</v>
      </c>
      <c r="G2512" t="s">
        <v>18</v>
      </c>
      <c r="H2512">
        <f>F2512/Tabla2[[#This Row],[Cosecha Mensual]]</f>
        <v>11.623012979437071</v>
      </c>
      <c r="I2512">
        <f>H2512*_xlfn.XLOOKUP(Tabla2[[#This Row],[Unidad de producción]],Tabla3[Medida],Tabla3[Equivalencia en Kg],"ELVIS",0)</f>
        <v>527.21986874726554</v>
      </c>
      <c r="J2512">
        <v>424.52400520833299</v>
      </c>
      <c r="K2512" t="s">
        <v>18</v>
      </c>
      <c r="L2512">
        <f>J2512/_xlfn.XLOOKUP(Tabla2[[#This Row],[Unidad de precio]],Tabla3[Medida],Tabla3[Equivalencia en Kg],"ELVIS",0)</f>
        <v>9.3589948238168645</v>
      </c>
      <c r="M2512">
        <v>5064.8045077463803</v>
      </c>
      <c r="N2512" s="2">
        <f>(Tabla2[[#This Row],[Productividad (kg/TAS)]]*Tabla2[[#This Row],[Precio por kg]]-Tabla2[[#This Row],[Costos (En RD$/Tarea)]])</f>
        <v>-130.55648512731568</v>
      </c>
      <c r="O2512" s="6">
        <f>IF(Tabla2[[#This Row],[Costos (En RD$/Tarea)]]=0,0,Tabla2[[#This Row],[Beneficio Neto  (En RD$/Tarea)]]/Tabla2[[#This Row],[Costos (En RD$/Tarea)]])</f>
        <v>-2.577720125774562E-2</v>
      </c>
      <c r="P2512" s="4">
        <f>Tabla2[[#This Row],[Rentabilidad (%)]]/12</f>
        <v>-2.1481001048121351E-3</v>
      </c>
    </row>
    <row r="2513" spans="1:16" x14ac:dyDescent="0.35">
      <c r="A2513" s="1">
        <v>42887</v>
      </c>
      <c r="B2513" t="s">
        <v>22</v>
      </c>
      <c r="C2513" s="2">
        <v>7612</v>
      </c>
      <c r="D2513" s="5" t="s">
        <v>17</v>
      </c>
      <c r="E2513" s="2">
        <f>IF(Tabla2[[#This Row],[Frecuencia]]="Annual", Tabla2[[#This Row],[Cosecha/Tarea]]/12,Tabla2[[#This Row],[Cosecha/Tarea]])</f>
        <v>7612</v>
      </c>
      <c r="F2513" s="2">
        <v>56128</v>
      </c>
      <c r="G2513" t="s">
        <v>18</v>
      </c>
      <c r="H2513">
        <f>F2513/Tabla2[[#This Row],[Cosecha Mensual]]</f>
        <v>7.3736205990541253</v>
      </c>
      <c r="I2513">
        <f>H2513*_xlfn.XLOOKUP(Tabla2[[#This Row],[Unidad de producción]],Tabla3[Medida],Tabla3[Equivalencia en Kg],"ELVIS",0)</f>
        <v>334.46743037309511</v>
      </c>
      <c r="J2513">
        <v>1849.9016666666701</v>
      </c>
      <c r="K2513" t="s">
        <v>18</v>
      </c>
      <c r="L2513">
        <f>J2513/_xlfn.XLOOKUP(Tabla2[[#This Row],[Unidad de precio]],Tabla3[Medida],Tabla3[Equivalencia en Kg],"ELVIS",0)</f>
        <v>40.782664609053576</v>
      </c>
      <c r="M2513">
        <v>9358.7144173845209</v>
      </c>
      <c r="N2513" s="2">
        <f>(Tabla2[[#This Row],[Productividad (kg/TAS)]]*Tabla2[[#This Row],[Precio por kg]]-Tabla2[[#This Row],[Costos (En RD$/Tarea)]])</f>
        <v>4281.7586181733968</v>
      </c>
      <c r="O2513" s="6">
        <f>IF(Tabla2[[#This Row],[Costos (En RD$/Tarea)]]=0,0,Tabla2[[#This Row],[Beneficio Neto  (En RD$/Tarea)]]/Tabla2[[#This Row],[Costos (En RD$/Tarea)]])</f>
        <v>0.45751568294676304</v>
      </c>
      <c r="P2513" s="4">
        <f>Tabla2[[#This Row],[Rentabilidad (%)]]/12</f>
        <v>3.8126306912230255E-2</v>
      </c>
    </row>
    <row r="2514" spans="1:16" x14ac:dyDescent="0.35">
      <c r="A2514" s="1">
        <v>42887</v>
      </c>
      <c r="B2514" t="s">
        <v>23</v>
      </c>
      <c r="C2514" s="2">
        <v>3998</v>
      </c>
      <c r="D2514" s="5" t="s">
        <v>17</v>
      </c>
      <c r="E2514" s="2">
        <f>IF(Tabla2[[#This Row],[Frecuencia]]="Annual", Tabla2[[#This Row],[Cosecha/Tarea]]/12,Tabla2[[#This Row],[Cosecha/Tarea]])</f>
        <v>3998</v>
      </c>
      <c r="F2514" s="2">
        <v>152122</v>
      </c>
      <c r="G2514" t="s">
        <v>18</v>
      </c>
      <c r="H2514">
        <f>F2514/Tabla2[[#This Row],[Cosecha Mensual]]</f>
        <v>38.049524762381189</v>
      </c>
      <c r="I2514">
        <f>H2514*_xlfn.XLOOKUP(Tabla2[[#This Row],[Unidad de producción]],Tabla3[Medida],Tabla3[Equivalencia en Kg],"ELVIS",0)</f>
        <v>1725.9264432216107</v>
      </c>
      <c r="J2514">
        <v>1053.3333333333301</v>
      </c>
      <c r="K2514" t="s">
        <v>18</v>
      </c>
      <c r="L2514">
        <f>J2514/_xlfn.XLOOKUP(Tabla2[[#This Row],[Unidad de precio]],Tabla3[Medida],Tabla3[Equivalencia en Kg],"ELVIS",0)</f>
        <v>23.221634332745371</v>
      </c>
      <c r="M2514">
        <v>23497.681152818699</v>
      </c>
      <c r="N2514" s="2">
        <f>(Tabla2[[#This Row],[Productividad (kg/TAS)]]*Tabla2[[#This Row],[Precio por kg]]-Tabla2[[#This Row],[Costos (En RD$/Tarea)]])</f>
        <v>16581.151596889362</v>
      </c>
      <c r="O2514" s="6">
        <f>IF(Tabla2[[#This Row],[Costos (En RD$/Tarea)]]=0,0,Tabla2[[#This Row],[Beneficio Neto  (En RD$/Tarea)]]/Tabla2[[#This Row],[Costos (En RD$/Tarea)]])</f>
        <v>0.70565054862446908</v>
      </c>
      <c r="P2514" s="4">
        <f>Tabla2[[#This Row],[Rentabilidad (%)]]/12</f>
        <v>5.8804212385372423E-2</v>
      </c>
    </row>
    <row r="2515" spans="1:16" x14ac:dyDescent="0.35">
      <c r="A2515" s="1">
        <v>42887</v>
      </c>
      <c r="B2515" t="s">
        <v>24</v>
      </c>
      <c r="C2515" s="2">
        <v>6785</v>
      </c>
      <c r="D2515" s="5" t="s">
        <v>17</v>
      </c>
      <c r="E2515" s="2">
        <f>IF(Tabla2[[#This Row],[Frecuencia]]="Annual", Tabla2[[#This Row],[Cosecha/Tarea]]/12,Tabla2[[#This Row],[Cosecha/Tarea]])</f>
        <v>6785</v>
      </c>
      <c r="F2515" s="2">
        <v>64124</v>
      </c>
      <c r="G2515" t="s">
        <v>18</v>
      </c>
      <c r="H2515">
        <f>F2515/Tabla2[[#This Row],[Cosecha Mensual]]</f>
        <v>9.450847457627118</v>
      </c>
      <c r="I2515">
        <f>H2515*_xlfn.XLOOKUP(Tabla2[[#This Row],[Unidad de producción]],Tabla3[Medida],Tabla3[Equivalencia en Kg],"ELVIS",0)</f>
        <v>428.69044067796608</v>
      </c>
      <c r="J2515">
        <v>1539.8877976190499</v>
      </c>
      <c r="K2515" t="s">
        <v>18</v>
      </c>
      <c r="L2515">
        <f>J2515/_xlfn.XLOOKUP(Tabla2[[#This Row],[Unidad de precio]],Tabla3[Medida],Tabla3[Equivalencia en Kg],"ELVIS",0)</f>
        <v>33.948143686486993</v>
      </c>
      <c r="M2515">
        <v>9059.4442114895992</v>
      </c>
      <c r="N2515" s="2">
        <f>(Tabla2[[#This Row],[Productividad (kg/TAS)]]*Tabla2[[#This Row],[Precio por kg]]-Tabla2[[#This Row],[Costos (En RD$/Tarea)]])</f>
        <v>5493.8004656694211</v>
      </c>
      <c r="O2515" s="6">
        <f>IF(Tabla2[[#This Row],[Costos (En RD$/Tarea)]]=0,0,Tabla2[[#This Row],[Beneficio Neto  (En RD$/Tarea)]]/Tabla2[[#This Row],[Costos (En RD$/Tarea)]])</f>
        <v>0.60641694318310757</v>
      </c>
      <c r="P2515" s="4">
        <f>Tabla2[[#This Row],[Rentabilidad (%)]]/12</f>
        <v>5.0534745265258967E-2</v>
      </c>
    </row>
    <row r="2516" spans="1:16" x14ac:dyDescent="0.35">
      <c r="A2516" s="1">
        <v>42887</v>
      </c>
      <c r="B2516" t="s">
        <v>25</v>
      </c>
      <c r="C2516" s="2">
        <v>28745</v>
      </c>
      <c r="D2516" s="5" t="s">
        <v>17</v>
      </c>
      <c r="E2516" s="2">
        <f>IF(Tabla2[[#This Row],[Frecuencia]]="Annual", Tabla2[[#This Row],[Cosecha/Tarea]]/12,Tabla2[[#This Row],[Cosecha/Tarea]])</f>
        <v>28745</v>
      </c>
      <c r="F2516" s="2">
        <v>275422</v>
      </c>
      <c r="G2516" t="s">
        <v>18</v>
      </c>
      <c r="H2516">
        <f>F2516/Tabla2[[#This Row],[Cosecha Mensual]]</f>
        <v>9.5815620107844843</v>
      </c>
      <c r="I2516">
        <f>H2516*_xlfn.XLOOKUP(Tabla2[[#This Row],[Unidad de producción]],Tabla3[Medida],Tabla3[Equivalencia en Kg],"ELVIS",0)</f>
        <v>434.61965280918423</v>
      </c>
      <c r="J2516">
        <v>439.06406249999998</v>
      </c>
      <c r="K2516" t="s">
        <v>18</v>
      </c>
      <c r="L2516">
        <f>J2516/_xlfn.XLOOKUP(Tabla2[[#This Row],[Unidad de precio]],Tabla3[Medida],Tabla3[Equivalencia en Kg],"ELVIS",0)</f>
        <v>9.6795428240740744</v>
      </c>
      <c r="M2516">
        <v>4667.2658565265501</v>
      </c>
      <c r="N2516" s="2">
        <f>(Tabla2[[#This Row],[Productividad (kg/TAS)]]*Tabla2[[#This Row],[Precio por kg]]-Tabla2[[#This Row],[Costos (En RD$/Tarea)]])</f>
        <v>-460.34631497584542</v>
      </c>
      <c r="O2516" s="6">
        <f>IF(Tabla2[[#This Row],[Costos (En RD$/Tarea)]]=0,0,Tabla2[[#This Row],[Beneficio Neto  (En RD$/Tarea)]]/Tabla2[[#This Row],[Costos (En RD$/Tarea)]])</f>
        <v>-9.8632974663766443E-2</v>
      </c>
      <c r="P2516" s="4">
        <f>Tabla2[[#This Row],[Rentabilidad (%)]]/12</f>
        <v>-8.2194145553138708E-3</v>
      </c>
    </row>
    <row r="2517" spans="1:16" x14ac:dyDescent="0.35">
      <c r="A2517" s="1">
        <v>42887</v>
      </c>
      <c r="B2517" t="s">
        <v>26</v>
      </c>
      <c r="C2517" s="2">
        <v>11420</v>
      </c>
      <c r="D2517" s="5" t="s">
        <v>17</v>
      </c>
      <c r="E2517" s="2">
        <f>IF(Tabla2[[#This Row],[Frecuencia]]="Annual", Tabla2[[#This Row],[Cosecha/Tarea]]/12,Tabla2[[#This Row],[Cosecha/Tarea]])</f>
        <v>11420</v>
      </c>
      <c r="F2517" s="2">
        <v>68954</v>
      </c>
      <c r="G2517" t="s">
        <v>18</v>
      </c>
      <c r="H2517">
        <f>F2517/Tabla2[[#This Row],[Cosecha Mensual]]</f>
        <v>6.0380035026269701</v>
      </c>
      <c r="I2517">
        <f>H2517*_xlfn.XLOOKUP(Tabla2[[#This Row],[Unidad de producción]],Tabla3[Medida],Tabla3[Equivalencia en Kg],"ELVIS",0)</f>
        <v>273.88383887915938</v>
      </c>
      <c r="J2517">
        <v>889.671875</v>
      </c>
      <c r="K2517" t="s">
        <v>18</v>
      </c>
      <c r="L2517">
        <f>J2517/_xlfn.XLOOKUP(Tabla2[[#This Row],[Unidad de precio]],Tabla3[Medida],Tabla3[Equivalencia en Kg],"ELVIS",0)</f>
        <v>19.613577491181658</v>
      </c>
      <c r="M2517">
        <v>1810.9755302292599</v>
      </c>
      <c r="N2517" s="2">
        <f>(Tabla2[[#This Row],[Productividad (kg/TAS)]]*Tabla2[[#This Row],[Precio por kg]]-Tabla2[[#This Row],[Costos (En RD$/Tarea)]])</f>
        <v>3560.8663672094444</v>
      </c>
      <c r="O2517" s="6">
        <f>IF(Tabla2[[#This Row],[Costos (En RD$/Tarea)]]=0,0,Tabla2[[#This Row],[Beneficio Neto  (En RD$/Tarea)]]/Tabla2[[#This Row],[Costos (En RD$/Tarea)]])</f>
        <v>1.9662697301926866</v>
      </c>
      <c r="P2517" s="4">
        <f>Tabla2[[#This Row],[Rentabilidad (%)]]/12</f>
        <v>0.16385581084939055</v>
      </c>
    </row>
    <row r="2518" spans="1:16" x14ac:dyDescent="0.35">
      <c r="A2518" s="1">
        <v>42887</v>
      </c>
      <c r="B2518" t="s">
        <v>27</v>
      </c>
      <c r="C2518" s="2">
        <v>8012</v>
      </c>
      <c r="D2518" s="5" t="s">
        <v>17</v>
      </c>
      <c r="E2518" s="2">
        <f>IF(Tabla2[[#This Row],[Frecuencia]]="Annual", Tabla2[[#This Row],[Cosecha/Tarea]]/12,Tabla2[[#This Row],[Cosecha/Tarea]])</f>
        <v>8012</v>
      </c>
      <c r="F2518" s="2">
        <v>54211</v>
      </c>
      <c r="G2518" t="s">
        <v>18</v>
      </c>
      <c r="H2518">
        <f>F2518/Tabla2[[#This Row],[Cosecha Mensual]]</f>
        <v>6.7662256615077387</v>
      </c>
      <c r="I2518">
        <f>H2518*_xlfn.XLOOKUP(Tabla2[[#This Row],[Unidad de producción]],Tabla3[Medida],Tabla3[Equivalencia en Kg],"ELVIS",0)</f>
        <v>306.91599600599102</v>
      </c>
      <c r="J2518">
        <v>704.08333333333303</v>
      </c>
      <c r="K2518" t="s">
        <v>18</v>
      </c>
      <c r="L2518">
        <f>J2518/_xlfn.XLOOKUP(Tabla2[[#This Row],[Unidad de precio]],Tabla3[Medida],Tabla3[Equivalencia en Kg],"ELVIS",0)</f>
        <v>15.52211934156378</v>
      </c>
      <c r="M2518">
        <v>8788.4318764689997</v>
      </c>
      <c r="N2518" s="2">
        <f>(Tabla2[[#This Row],[Productividad (kg/TAS)]]*Tabla2[[#This Row],[Precio por kg]]-Tabla2[[#This Row],[Costos (En RD$/Tarea)]])</f>
        <v>-4024.4451586290943</v>
      </c>
      <c r="O2518" s="6">
        <f>IF(Tabla2[[#This Row],[Costos (En RD$/Tarea)]]=0,0,Tabla2[[#This Row],[Beneficio Neto  (En RD$/Tarea)]]/Tabla2[[#This Row],[Costos (En RD$/Tarea)]])</f>
        <v>-0.45792528350871492</v>
      </c>
      <c r="P2518" s="4">
        <f>Tabla2[[#This Row],[Rentabilidad (%)]]/12</f>
        <v>-3.8160440292392912E-2</v>
      </c>
    </row>
    <row r="2519" spans="1:16" x14ac:dyDescent="0.35">
      <c r="A2519" s="1">
        <v>42887</v>
      </c>
      <c r="B2519" t="s">
        <v>28</v>
      </c>
      <c r="C2519" s="2">
        <v>42514</v>
      </c>
      <c r="D2519" s="5" t="s">
        <v>17</v>
      </c>
      <c r="E2519" s="2">
        <f>IF(Tabla2[[#This Row],[Frecuencia]]="Annual", Tabla2[[#This Row],[Cosecha/Tarea]]/12,Tabla2[[#This Row],[Cosecha/Tarea]])</f>
        <v>42514</v>
      </c>
      <c r="F2519" s="2">
        <v>1125504</v>
      </c>
      <c r="G2519" t="s">
        <v>18</v>
      </c>
      <c r="H2519">
        <f>F2519/Tabla2[[#This Row],[Cosecha Mensual]]</f>
        <v>26.473726301924071</v>
      </c>
      <c r="I2519">
        <f>H2519*_xlfn.XLOOKUP(Tabla2[[#This Row],[Unidad de producción]],Tabla3[Medida],Tabla3[Equivalencia en Kg],"ELVIS",0)</f>
        <v>1200.8482250552759</v>
      </c>
      <c r="J2519">
        <v>15590.025</v>
      </c>
      <c r="K2519" t="s">
        <v>29</v>
      </c>
      <c r="L2519">
        <f>J2519/_xlfn.XLOOKUP(Tabla2[[#This Row],[Unidad de precio]],Tabla3[Medida],Tabla3[Equivalencia en Kg],"ELVIS",0)</f>
        <v>27.72348579151403</v>
      </c>
      <c r="M2519">
        <v>7106.9649214587198</v>
      </c>
      <c r="N2519" s="2">
        <f>(Tabla2[[#This Row],[Productividad (kg/TAS)]]*Tabla2[[#This Row],[Precio por kg]]-Tabla2[[#This Row],[Costos (En RD$/Tarea)]])</f>
        <v>26184.733783626063</v>
      </c>
      <c r="O2519" s="6">
        <f>IF(Tabla2[[#This Row],[Costos (En RD$/Tarea)]]=0,0,Tabla2[[#This Row],[Beneficio Neto  (En RD$/Tarea)]]/Tabla2[[#This Row],[Costos (En RD$/Tarea)]])</f>
        <v>3.6843763931582192</v>
      </c>
      <c r="P2519" s="4">
        <f>Tabla2[[#This Row],[Rentabilidad (%)]]/12</f>
        <v>0.30703136609651827</v>
      </c>
    </row>
    <row r="2520" spans="1:16" x14ac:dyDescent="0.35">
      <c r="A2520" s="1">
        <v>42887</v>
      </c>
      <c r="B2520" t="s">
        <v>30</v>
      </c>
      <c r="C2520" s="2">
        <v>458788</v>
      </c>
      <c r="D2520" s="2" t="s">
        <v>31</v>
      </c>
      <c r="E2520" s="2">
        <f>IF(Tabla2[[#This Row],[Frecuencia]]="Annual", Tabla2[[#This Row],[Cosecha/Tarea]]/12,Tabla2[[#This Row],[Cosecha/Tarea]])</f>
        <v>38232.333333333336</v>
      </c>
      <c r="F2520" s="2">
        <v>2339907</v>
      </c>
      <c r="G2520" t="s">
        <v>18</v>
      </c>
      <c r="H2520">
        <f>F2520/Tabla2[[#This Row],[Cosecha Mensual]]</f>
        <v>61.202306947871342</v>
      </c>
      <c r="I2520">
        <f>H2520*_xlfn.XLOOKUP(Tabla2[[#This Row],[Unidad de producción]],Tabla3[Medida],Tabla3[Equivalencia en Kg],"ELVIS",0)</f>
        <v>2776.1366431554438</v>
      </c>
      <c r="J2520">
        <v>158.3203125</v>
      </c>
      <c r="K2520" t="s">
        <v>32</v>
      </c>
      <c r="L2520">
        <f>J2520/_xlfn.XLOOKUP(Tabla2[[#This Row],[Unidad de precio]],Tabla3[Medida],Tabla3[Equivalencia en Kg],"ELVIS",0)</f>
        <v>5.8184605843439909</v>
      </c>
      <c r="M2520" s="2">
        <v>32851.801352371498</v>
      </c>
      <c r="N2520" s="2">
        <f>(Tabla2[[#This Row],[Productividad (kg/TAS)]]*Tabla2[[#This Row],[Precio por kg]]-Tabla2[[#This Row],[Costos (En RD$/Tarea)]])</f>
        <v>-16698.959717418511</v>
      </c>
      <c r="O2520" s="6">
        <f>IF(Tabla2[[#This Row],[Costos (En RD$/Tarea)]]=0,0,Tabla2[[#This Row],[Beneficio Neto  (En RD$/Tarea)]]/Tabla2[[#This Row],[Costos (En RD$/Tarea)]])</f>
        <v>-0.50831184379522765</v>
      </c>
      <c r="P2520" s="4">
        <f>Tabla2[[#This Row],[Rentabilidad (%)]]/12</f>
        <v>-4.2359320316268968E-2</v>
      </c>
    </row>
    <row r="2521" spans="1:16" x14ac:dyDescent="0.35">
      <c r="A2521" s="1">
        <v>42887</v>
      </c>
      <c r="B2521" t="s">
        <v>33</v>
      </c>
      <c r="C2521" s="2">
        <v>798124</v>
      </c>
      <c r="D2521" s="2" t="s">
        <v>31</v>
      </c>
      <c r="E2521" s="2">
        <f>IF(Tabla2[[#This Row],[Frecuencia]]="Annual", Tabla2[[#This Row],[Cosecha/Tarea]]/12,Tabla2[[#This Row],[Cosecha/Tarea]])</f>
        <v>66510.333333333328</v>
      </c>
      <c r="F2521" s="2">
        <v>1852101</v>
      </c>
      <c r="G2521" t="s">
        <v>18</v>
      </c>
      <c r="H2521">
        <f>F2521/Tabla2[[#This Row],[Cosecha Mensual]]</f>
        <v>27.846815783011163</v>
      </c>
      <c r="I2521">
        <f>H2521*_xlfn.XLOOKUP(Tabla2[[#This Row],[Unidad de producción]],Tabla3[Medida],Tabla3[Equivalencia en Kg],"ELVIS",0)</f>
        <v>1263.1315639173863</v>
      </c>
      <c r="J2521">
        <v>5407.4140625</v>
      </c>
      <c r="K2521" t="s">
        <v>34</v>
      </c>
      <c r="L2521">
        <f>J2521/_xlfn.XLOOKUP(Tabla2[[#This Row],[Unidad de precio]],Tabla3[Medida],Tabla3[Equivalencia en Kg],"ELVIS",0)</f>
        <v>13.248595032463555</v>
      </c>
      <c r="M2521" s="2">
        <v>21460.483889989398</v>
      </c>
      <c r="N2521" s="2">
        <f>(Tabla2[[#This Row],[Productividad (kg/TAS)]]*Tabla2[[#This Row],[Precio por kg]]-Tabla2[[#This Row],[Costos (En RD$/Tarea)]])</f>
        <v>-4725.7653269255934</v>
      </c>
      <c r="O2521" s="6">
        <f>IF(Tabla2[[#This Row],[Costos (En RD$/Tarea)]]=0,0,Tabla2[[#This Row],[Beneficio Neto  (En RD$/Tarea)]]/Tabla2[[#This Row],[Costos (En RD$/Tarea)]])</f>
        <v>-0.22020777122970678</v>
      </c>
      <c r="P2521" s="4">
        <f>Tabla2[[#This Row],[Rentabilidad (%)]]/12</f>
        <v>-1.8350647602475564E-2</v>
      </c>
    </row>
    <row r="2522" spans="1:16" x14ac:dyDescent="0.35">
      <c r="A2522" s="1">
        <v>42917</v>
      </c>
      <c r="B2522" t="s">
        <v>16</v>
      </c>
      <c r="C2522" s="2">
        <v>80214</v>
      </c>
      <c r="D2522" s="5" t="s">
        <v>17</v>
      </c>
      <c r="E2522" s="2">
        <f>IF(Tabla2[[#This Row],[Frecuencia]]="Annual", Tabla2[[#This Row],[Cosecha/Tarea]]/12,Tabla2[[#This Row],[Cosecha/Tarea]])</f>
        <v>80214</v>
      </c>
      <c r="F2522" s="2">
        <v>342158</v>
      </c>
      <c r="G2522" t="s">
        <v>18</v>
      </c>
      <c r="H2522">
        <f>F2522/Tabla2[[#This Row],[Cosecha Mensual]]</f>
        <v>4.2655646146557959</v>
      </c>
      <c r="I2522">
        <f>H2522*_xlfn.XLOOKUP(Tabla2[[#This Row],[Unidad de producción]],Tabla3[Medida],Tabla3[Equivalencia en Kg],"ELVIS",0)</f>
        <v>193.4860109207869</v>
      </c>
      <c r="J2522">
        <v>2011.6949715804899</v>
      </c>
      <c r="K2522" t="s">
        <v>19</v>
      </c>
      <c r="L2522">
        <f>J2522/_xlfn.XLOOKUP(Tabla2[[#This Row],[Unidad de precio]],Tabla3[Medida],Tabla3[Equivalencia en Kg],"ELVIS",0)</f>
        <v>18.288136105277182</v>
      </c>
      <c r="M2522">
        <v>6064.2164945385503</v>
      </c>
      <c r="N2522" s="2">
        <f>(Tabla2[[#This Row],[Productividad (kg/TAS)]]*Tabla2[[#This Row],[Precio por kg]]-Tabla2[[#This Row],[Costos (En RD$/Tarea)]])</f>
        <v>-2525.7179923520521</v>
      </c>
      <c r="O2522" s="6">
        <f>IF(Tabla2[[#This Row],[Costos (En RD$/Tarea)]]=0,0,Tabla2[[#This Row],[Beneficio Neto  (En RD$/Tarea)]]/Tabla2[[#This Row],[Costos (En RD$/Tarea)]])</f>
        <v>-0.41649535346020716</v>
      </c>
      <c r="P2522" s="4">
        <f>Tabla2[[#This Row],[Rentabilidad (%)]]/12</f>
        <v>-3.470794612168393E-2</v>
      </c>
    </row>
    <row r="2523" spans="1:16" x14ac:dyDescent="0.35">
      <c r="A2523" s="1">
        <v>42917</v>
      </c>
      <c r="B2523" t="s">
        <v>20</v>
      </c>
      <c r="C2523" s="2">
        <v>36521</v>
      </c>
      <c r="D2523" s="5" t="s">
        <v>17</v>
      </c>
      <c r="E2523" s="2">
        <f>IF(Tabla2[[#This Row],[Frecuencia]]="Annual", Tabla2[[#This Row],[Cosecha/Tarea]]/12,Tabla2[[#This Row],[Cosecha/Tarea]])</f>
        <v>36521</v>
      </c>
      <c r="F2523" s="2">
        <v>104480</v>
      </c>
      <c r="G2523" t="s">
        <v>18</v>
      </c>
      <c r="H2523">
        <f>F2523/Tabla2[[#This Row],[Cosecha Mensual]]</f>
        <v>2.8608198023055227</v>
      </c>
      <c r="I2523">
        <f>H2523*_xlfn.XLOOKUP(Tabla2[[#This Row],[Unidad de producción]],Tabla3[Medida],Tabla3[Equivalencia en Kg],"ELVIS",0)</f>
        <v>129.76678623257851</v>
      </c>
      <c r="J2523">
        <v>895.90885416666697</v>
      </c>
      <c r="K2523" t="s">
        <v>18</v>
      </c>
      <c r="L2523">
        <f>J2523/_xlfn.XLOOKUP(Tabla2[[#This Row],[Unidad de precio]],Tabla3[Medida],Tabla3[Equivalencia en Kg],"ELVIS",0)</f>
        <v>19.751077031893011</v>
      </c>
      <c r="M2523">
        <v>2479.0864296156001</v>
      </c>
      <c r="N2523" s="2">
        <f>(Tabla2[[#This Row],[Productividad (kg/TAS)]]*Tabla2[[#This Row],[Precio por kg]]-Tabla2[[#This Row],[Costos (En RD$/Tarea)]])</f>
        <v>83.947361445251772</v>
      </c>
      <c r="O2523" s="6">
        <f>IF(Tabla2[[#This Row],[Costos (En RD$/Tarea)]]=0,0,Tabla2[[#This Row],[Beneficio Neto  (En RD$/Tarea)]]/Tabla2[[#This Row],[Costos (En RD$/Tarea)]])</f>
        <v>3.3862216517504963E-2</v>
      </c>
      <c r="P2523" s="4">
        <f>Tabla2[[#This Row],[Rentabilidad (%)]]/12</f>
        <v>2.8218513764587468E-3</v>
      </c>
    </row>
    <row r="2524" spans="1:16" x14ac:dyDescent="0.35">
      <c r="A2524" s="1">
        <v>42917</v>
      </c>
      <c r="B2524" t="s">
        <v>21</v>
      </c>
      <c r="C2524" s="2">
        <v>7421</v>
      </c>
      <c r="D2524" s="5" t="s">
        <v>17</v>
      </c>
      <c r="E2524" s="2">
        <f>IF(Tabla2[[#This Row],[Frecuencia]]="Annual", Tabla2[[#This Row],[Cosecha/Tarea]]/12,Tabla2[[#This Row],[Cosecha/Tarea]])</f>
        <v>7421</v>
      </c>
      <c r="F2524" s="2">
        <v>89898</v>
      </c>
      <c r="G2524" t="s">
        <v>18</v>
      </c>
      <c r="H2524">
        <f>F2524/Tabla2[[#This Row],[Cosecha Mensual]]</f>
        <v>12.114000808516373</v>
      </c>
      <c r="I2524">
        <f>H2524*_xlfn.XLOOKUP(Tabla2[[#This Row],[Unidad de producción]],Tabla3[Medida],Tabla3[Equivalencia en Kg],"ELVIS",0)</f>
        <v>549.49107667430269</v>
      </c>
      <c r="J2524">
        <v>443.99401041666698</v>
      </c>
      <c r="K2524" t="s">
        <v>18</v>
      </c>
      <c r="L2524">
        <f>J2524/_xlfn.XLOOKUP(Tabla2[[#This Row],[Unidad de precio]],Tabla3[Medida],Tabla3[Equivalencia en Kg],"ELVIS",0)</f>
        <v>9.7882277428718467</v>
      </c>
      <c r="M2524">
        <v>5064.8045077463803</v>
      </c>
      <c r="N2524" s="2">
        <f>(Tabla2[[#This Row],[Productividad (kg/TAS)]]*Tabla2[[#This Row],[Precio por kg]]-Tabla2[[#This Row],[Costos (En RD$/Tarea)]])</f>
        <v>313.73929341755047</v>
      </c>
      <c r="O2524" s="6">
        <f>IF(Tabla2[[#This Row],[Costos (En RD$/Tarea)]]=0,0,Tabla2[[#This Row],[Beneficio Neto  (En RD$/Tarea)]]/Tabla2[[#This Row],[Costos (En RD$/Tarea)]])</f>
        <v>6.1944995692864546E-2</v>
      </c>
      <c r="P2524" s="4">
        <f>Tabla2[[#This Row],[Rentabilidad (%)]]/12</f>
        <v>5.1620829744053786E-3</v>
      </c>
    </row>
    <row r="2525" spans="1:16" x14ac:dyDescent="0.35">
      <c r="A2525" s="1">
        <v>42917</v>
      </c>
      <c r="B2525" t="s">
        <v>22</v>
      </c>
      <c r="C2525" s="2">
        <v>6012</v>
      </c>
      <c r="D2525" s="5" t="s">
        <v>17</v>
      </c>
      <c r="E2525" s="2">
        <f>IF(Tabla2[[#This Row],[Frecuencia]]="Annual", Tabla2[[#This Row],[Cosecha/Tarea]]/12,Tabla2[[#This Row],[Cosecha/Tarea]])</f>
        <v>6012</v>
      </c>
      <c r="F2525" s="2">
        <v>60215</v>
      </c>
      <c r="G2525" t="s">
        <v>18</v>
      </c>
      <c r="H2525">
        <f>F2525/Tabla2[[#This Row],[Cosecha Mensual]]</f>
        <v>10.015801729873585</v>
      </c>
      <c r="I2525">
        <f>H2525*_xlfn.XLOOKUP(Tabla2[[#This Row],[Unidad de producción]],Tabla3[Medida],Tabla3[Equivalencia en Kg],"ELVIS",0)</f>
        <v>454.3167664670658</v>
      </c>
      <c r="J2525">
        <v>1735.9055952381</v>
      </c>
      <c r="K2525" t="s">
        <v>18</v>
      </c>
      <c r="L2525">
        <f>J2525/_xlfn.XLOOKUP(Tabla2[[#This Row],[Unidad de precio]],Tabla3[Medida],Tabla3[Equivalencia en Kg],"ELVIS",0)</f>
        <v>38.269523704543651</v>
      </c>
      <c r="M2525">
        <v>9358.7144173845209</v>
      </c>
      <c r="N2525" s="2">
        <f>(Tabla2[[#This Row],[Productividad (kg/TAS)]]*Tabla2[[#This Row],[Precio por kg]]-Tabla2[[#This Row],[Costos (En RD$/Tarea)]])</f>
        <v>8027.7718462984758</v>
      </c>
      <c r="O2525" s="6">
        <f>IF(Tabla2[[#This Row],[Costos (En RD$/Tarea)]]=0,0,Tabla2[[#This Row],[Beneficio Neto  (En RD$/Tarea)]]/Tabla2[[#This Row],[Costos (En RD$/Tarea)]])</f>
        <v>0.85778574794271756</v>
      </c>
      <c r="P2525" s="4">
        <f>Tabla2[[#This Row],[Rentabilidad (%)]]/12</f>
        <v>7.1482145661893134E-2</v>
      </c>
    </row>
    <row r="2526" spans="1:16" x14ac:dyDescent="0.35">
      <c r="A2526" s="1">
        <v>42917</v>
      </c>
      <c r="B2526" t="s">
        <v>23</v>
      </c>
      <c r="C2526" s="2">
        <v>2745</v>
      </c>
      <c r="D2526" s="5" t="s">
        <v>17</v>
      </c>
      <c r="E2526" s="2">
        <f>IF(Tabla2[[#This Row],[Frecuencia]]="Annual", Tabla2[[#This Row],[Cosecha/Tarea]]/12,Tabla2[[#This Row],[Cosecha/Tarea]])</f>
        <v>2745</v>
      </c>
      <c r="F2526" s="2">
        <v>103495</v>
      </c>
      <c r="G2526" t="s">
        <v>18</v>
      </c>
      <c r="H2526">
        <f>F2526/Tabla2[[#This Row],[Cosecha Mensual]]</f>
        <v>37.703096539162111</v>
      </c>
      <c r="I2526">
        <f>H2526*_xlfn.XLOOKUP(Tabla2[[#This Row],[Unidad de producción]],Tabla3[Medida],Tabla3[Equivalencia en Kg],"ELVIS",0)</f>
        <v>1710.2124590163933</v>
      </c>
      <c r="J2526">
        <v>1120.8333333333301</v>
      </c>
      <c r="K2526" t="s">
        <v>18</v>
      </c>
      <c r="L2526">
        <f>J2526/_xlfn.XLOOKUP(Tabla2[[#This Row],[Unidad de precio]],Tabla3[Medida],Tabla3[Equivalencia en Kg],"ELVIS",0)</f>
        <v>24.709729570840612</v>
      </c>
      <c r="M2526">
        <v>23497.681152818699</v>
      </c>
      <c r="N2526" s="2">
        <f>(Tabla2[[#This Row],[Productividad (kg/TAS)]]*Tabla2[[#This Row],[Precio por kg]]-Tabla2[[#This Row],[Costos (En RD$/Tarea)]])</f>
        <v>18761.206218158713</v>
      </c>
      <c r="O2526" s="6">
        <f>IF(Tabla2[[#This Row],[Costos (En RD$/Tarea)]]=0,0,Tabla2[[#This Row],[Beneficio Neto  (En RD$/Tarea)]]/Tabla2[[#This Row],[Costos (En RD$/Tarea)]])</f>
        <v>0.79842798513368141</v>
      </c>
      <c r="P2526" s="4">
        <f>Tabla2[[#This Row],[Rentabilidad (%)]]/12</f>
        <v>6.6535665427806784E-2</v>
      </c>
    </row>
    <row r="2527" spans="1:16" x14ac:dyDescent="0.35">
      <c r="A2527" s="1">
        <v>42917</v>
      </c>
      <c r="B2527" t="s">
        <v>24</v>
      </c>
      <c r="C2527" s="2">
        <v>5721</v>
      </c>
      <c r="D2527" s="5" t="s">
        <v>17</v>
      </c>
      <c r="E2527" s="2">
        <f>IF(Tabla2[[#This Row],[Frecuencia]]="Annual", Tabla2[[#This Row],[Cosecha/Tarea]]/12,Tabla2[[#This Row],[Cosecha/Tarea]])</f>
        <v>5721</v>
      </c>
      <c r="F2527" s="2">
        <v>54589</v>
      </c>
      <c r="G2527" t="s">
        <v>18</v>
      </c>
      <c r="H2527">
        <f>F2527/Tabla2[[#This Row],[Cosecha Mensual]]</f>
        <v>9.541863310610033</v>
      </c>
      <c r="I2527">
        <f>H2527*_xlfn.XLOOKUP(Tabla2[[#This Row],[Unidad de producción]],Tabla3[Medida],Tabla3[Equivalencia en Kg],"ELVIS",0)</f>
        <v>432.81891976927108</v>
      </c>
      <c r="J2527">
        <v>1393.2850260416701</v>
      </c>
      <c r="K2527" t="s">
        <v>18</v>
      </c>
      <c r="L2527">
        <f>J2527/_xlfn.XLOOKUP(Tabla2[[#This Row],[Unidad de precio]],Tabla3[Medida],Tabla3[Equivalencia en Kg],"ELVIS",0)</f>
        <v>30.716160186103838</v>
      </c>
      <c r="M2527">
        <v>9059.4442114895992</v>
      </c>
      <c r="N2527" s="2">
        <f>(Tabla2[[#This Row],[Productividad (kg/TAS)]]*Tabla2[[#This Row],[Precio por kg]]-Tabla2[[#This Row],[Costos (En RD$/Tarea)]])</f>
        <v>4235.0910597197562</v>
      </c>
      <c r="O2527" s="6">
        <f>IF(Tabla2[[#This Row],[Costos (En RD$/Tarea)]]=0,0,Tabla2[[#This Row],[Beneficio Neto  (En RD$/Tarea)]]/Tabla2[[#This Row],[Costos (En RD$/Tarea)]])</f>
        <v>0.46747802192419496</v>
      </c>
      <c r="P2527" s="4">
        <f>Tabla2[[#This Row],[Rentabilidad (%)]]/12</f>
        <v>3.8956501827016245E-2</v>
      </c>
    </row>
    <row r="2528" spans="1:16" x14ac:dyDescent="0.35">
      <c r="A2528" s="1">
        <v>42917</v>
      </c>
      <c r="B2528" t="s">
        <v>25</v>
      </c>
      <c r="C2528" s="2">
        <v>25987</v>
      </c>
      <c r="D2528" s="5" t="s">
        <v>17</v>
      </c>
      <c r="E2528" s="2">
        <f>IF(Tabla2[[#This Row],[Frecuencia]]="Annual", Tabla2[[#This Row],[Cosecha/Tarea]]/12,Tabla2[[#This Row],[Cosecha/Tarea]])</f>
        <v>25987</v>
      </c>
      <c r="F2528" s="2">
        <v>261245</v>
      </c>
      <c r="G2528" t="s">
        <v>18</v>
      </c>
      <c r="H2528">
        <f>F2528/Tabla2[[#This Row],[Cosecha Mensual]]</f>
        <v>10.052911070920075</v>
      </c>
      <c r="I2528">
        <f>H2528*_xlfn.XLOOKUP(Tabla2[[#This Row],[Unidad de producción]],Tabla3[Medida],Tabla3[Equivalencia en Kg],"ELVIS",0)</f>
        <v>456.00004617693457</v>
      </c>
      <c r="J2528">
        <v>431.05234374999998</v>
      </c>
      <c r="K2528" t="s">
        <v>18</v>
      </c>
      <c r="L2528">
        <f>J2528/_xlfn.XLOOKUP(Tabla2[[#This Row],[Unidad de precio]],Tabla3[Medida],Tabla3[Equivalencia en Kg],"ELVIS",0)</f>
        <v>9.5029176311728385</v>
      </c>
      <c r="M2528">
        <v>4667.2658565265501</v>
      </c>
      <c r="N2528" s="2">
        <f>(Tabla2[[#This Row],[Productividad (kg/TAS)]]*Tabla2[[#This Row],[Precio por kg]]-Tabla2[[#This Row],[Costos (En RD$/Tarea)]])</f>
        <v>-333.93497789613048</v>
      </c>
      <c r="O2528" s="6">
        <f>IF(Tabla2[[#This Row],[Costos (En RD$/Tarea)]]=0,0,Tabla2[[#This Row],[Beneficio Neto  (En RD$/Tarea)]]/Tabla2[[#This Row],[Costos (En RD$/Tarea)]])</f>
        <v>-7.1548308616096262E-2</v>
      </c>
      <c r="P2528" s="4">
        <f>Tabla2[[#This Row],[Rentabilidad (%)]]/12</f>
        <v>-5.9623590513413552E-3</v>
      </c>
    </row>
    <row r="2529" spans="1:16" x14ac:dyDescent="0.35">
      <c r="A2529" s="1">
        <v>42917</v>
      </c>
      <c r="B2529" t="s">
        <v>26</v>
      </c>
      <c r="C2529" s="2">
        <v>9256</v>
      </c>
      <c r="D2529" s="5" t="s">
        <v>17</v>
      </c>
      <c r="E2529" s="2">
        <f>IF(Tabla2[[#This Row],[Frecuencia]]="Annual", Tabla2[[#This Row],[Cosecha/Tarea]]/12,Tabla2[[#This Row],[Cosecha/Tarea]])</f>
        <v>9256</v>
      </c>
      <c r="F2529" s="2">
        <v>49521</v>
      </c>
      <c r="G2529" t="s">
        <v>18</v>
      </c>
      <c r="H2529">
        <f>F2529/Tabla2[[#This Row],[Cosecha Mensual]]</f>
        <v>5.3501512532411413</v>
      </c>
      <c r="I2529">
        <f>H2529*_xlfn.XLOOKUP(Tabla2[[#This Row],[Unidad de producción]],Tabla3[Medida],Tabla3[Equivalencia en Kg],"ELVIS",0)</f>
        <v>242.68286084701816</v>
      </c>
      <c r="J2529">
        <v>895.294642857143</v>
      </c>
      <c r="K2529" t="s">
        <v>18</v>
      </c>
      <c r="L2529">
        <f>J2529/_xlfn.XLOOKUP(Tabla2[[#This Row],[Unidad de precio]],Tabla3[Medida],Tabla3[Equivalencia en Kg],"ELVIS",0)</f>
        <v>19.737536218190982</v>
      </c>
      <c r="M2529">
        <v>1810.9755302292599</v>
      </c>
      <c r="N2529" s="2">
        <f>(Tabla2[[#This Row],[Productividad (kg/TAS)]]*Tabla2[[#This Row],[Precio por kg]]-Tabla2[[#This Row],[Costos (En RD$/Tarea)]])</f>
        <v>2978.9862252729636</v>
      </c>
      <c r="O2529" s="6">
        <f>IF(Tabla2[[#This Row],[Costos (En RD$/Tarea)]]=0,0,Tabla2[[#This Row],[Beneficio Neto  (En RD$/Tarea)]]/Tabla2[[#This Row],[Costos (En RD$/Tarea)]])</f>
        <v>1.6449621629596727</v>
      </c>
      <c r="P2529" s="4">
        <f>Tabla2[[#This Row],[Rentabilidad (%)]]/12</f>
        <v>0.1370801802466394</v>
      </c>
    </row>
    <row r="2530" spans="1:16" x14ac:dyDescent="0.35">
      <c r="A2530" s="1">
        <v>42917</v>
      </c>
      <c r="B2530" t="s">
        <v>27</v>
      </c>
      <c r="C2530" s="2">
        <v>4852</v>
      </c>
      <c r="D2530" s="5" t="s">
        <v>17</v>
      </c>
      <c r="E2530" s="2">
        <f>IF(Tabla2[[#This Row],[Frecuencia]]="Annual", Tabla2[[#This Row],[Cosecha/Tarea]]/12,Tabla2[[#This Row],[Cosecha/Tarea]])</f>
        <v>4852</v>
      </c>
      <c r="F2530" s="2">
        <v>47899</v>
      </c>
      <c r="G2530" t="s">
        <v>18</v>
      </c>
      <c r="H2530">
        <f>F2530/Tabla2[[#This Row],[Cosecha Mensual]]</f>
        <v>9.8720115416323164</v>
      </c>
      <c r="I2530">
        <f>H2530*_xlfn.XLOOKUP(Tabla2[[#This Row],[Unidad de producción]],Tabla3[Medida],Tabla3[Equivalencia en Kg],"ELVIS",0)</f>
        <v>447.79444352844189</v>
      </c>
      <c r="J2530">
        <v>733.42857142857099</v>
      </c>
      <c r="K2530" t="s">
        <v>18</v>
      </c>
      <c r="L2530">
        <f>J2530/_xlfn.XLOOKUP(Tabla2[[#This Row],[Unidad de precio]],Tabla3[Medida],Tabla3[Equivalencia en Kg],"ELVIS",0)</f>
        <v>16.169060216679256</v>
      </c>
      <c r="M2530">
        <v>8788.4318764689997</v>
      </c>
      <c r="N2530" s="2">
        <f>(Tabla2[[#This Row],[Productividad (kg/TAS)]]*Tabla2[[#This Row],[Precio por kg]]-Tabla2[[#This Row],[Costos (En RD$/Tarea)]])</f>
        <v>-1548.0165543632447</v>
      </c>
      <c r="O2530" s="6">
        <f>IF(Tabla2[[#This Row],[Costos (En RD$/Tarea)]]=0,0,Tabla2[[#This Row],[Beneficio Neto  (En RD$/Tarea)]]/Tabla2[[#This Row],[Costos (En RD$/Tarea)]])</f>
        <v>-0.17614252191088314</v>
      </c>
      <c r="P2530" s="4">
        <f>Tabla2[[#This Row],[Rentabilidad (%)]]/12</f>
        <v>-1.4678543492573595E-2</v>
      </c>
    </row>
    <row r="2531" spans="1:16" x14ac:dyDescent="0.35">
      <c r="A2531" s="1">
        <v>42917</v>
      </c>
      <c r="B2531" t="s">
        <v>28</v>
      </c>
      <c r="C2531" s="2">
        <v>31245</v>
      </c>
      <c r="D2531" s="5" t="s">
        <v>17</v>
      </c>
      <c r="E2531" s="2">
        <f>IF(Tabla2[[#This Row],[Frecuencia]]="Annual", Tabla2[[#This Row],[Cosecha/Tarea]]/12,Tabla2[[#This Row],[Cosecha/Tarea]])</f>
        <v>31245</v>
      </c>
      <c r="F2531" s="2">
        <v>1090308</v>
      </c>
      <c r="G2531" t="s">
        <v>18</v>
      </c>
      <c r="H2531">
        <f>F2531/Tabla2[[#This Row],[Cosecha Mensual]]</f>
        <v>34.895439270283248</v>
      </c>
      <c r="I2531">
        <f>H2531*_xlfn.XLOOKUP(Tabla2[[#This Row],[Unidad de producción]],Tabla3[Medida],Tabla3[Equivalencia en Kg],"ELVIS",0)</f>
        <v>1582.8571253000482</v>
      </c>
      <c r="J2531">
        <v>10420.227000000001</v>
      </c>
      <c r="K2531" t="s">
        <v>29</v>
      </c>
      <c r="L2531">
        <f>J2531/_xlfn.XLOOKUP(Tabla2[[#This Row],[Unidad de precio]],Tabla3[Medida],Tabla3[Equivalencia en Kg],"ELVIS",0)</f>
        <v>18.530118789344524</v>
      </c>
      <c r="M2531">
        <v>7106.9649214587198</v>
      </c>
      <c r="N2531" s="2">
        <f>(Tabla2[[#This Row],[Productividad (kg/TAS)]]*Tabla2[[#This Row],[Precio por kg]]-Tabla2[[#This Row],[Costos (En RD$/Tarea)]])</f>
        <v>22223.565636911564</v>
      </c>
      <c r="O2531" s="6">
        <f>IF(Tabla2[[#This Row],[Costos (En RD$/Tarea)]]=0,0,Tabla2[[#This Row],[Beneficio Neto  (En RD$/Tarea)]]/Tabla2[[#This Row],[Costos (En RD$/Tarea)]])</f>
        <v>3.127012146888454</v>
      </c>
      <c r="P2531" s="4">
        <f>Tabla2[[#This Row],[Rentabilidad (%)]]/12</f>
        <v>0.26058434557403781</v>
      </c>
    </row>
    <row r="2532" spans="1:16" x14ac:dyDescent="0.35">
      <c r="A2532" s="1">
        <v>42917</v>
      </c>
      <c r="B2532" t="s">
        <v>30</v>
      </c>
      <c r="C2532" s="2">
        <v>456245</v>
      </c>
      <c r="D2532" s="2" t="s">
        <v>31</v>
      </c>
      <c r="E2532" s="2">
        <f>IF(Tabla2[[#This Row],[Frecuencia]]="Annual", Tabla2[[#This Row],[Cosecha/Tarea]]/12,Tabla2[[#This Row],[Cosecha/Tarea]])</f>
        <v>38020.416666666664</v>
      </c>
      <c r="F2532" s="2">
        <v>2399251.2000000002</v>
      </c>
      <c r="G2532" t="s">
        <v>18</v>
      </c>
      <c r="H2532">
        <f>F2532/Tabla2[[#This Row],[Cosecha Mensual]]</f>
        <v>63.104284759285044</v>
      </c>
      <c r="I2532">
        <f>H2532*_xlfn.XLOOKUP(Tabla2[[#This Row],[Unidad de producción]],Tabla3[Medida],Tabla3[Equivalencia en Kg],"ELVIS",0)</f>
        <v>2862.4103566811696</v>
      </c>
      <c r="J2532">
        <v>147.90476190476201</v>
      </c>
      <c r="K2532" t="s">
        <v>32</v>
      </c>
      <c r="L2532">
        <f>J2532/_xlfn.XLOOKUP(Tabla2[[#This Row],[Unidad de precio]],Tabla3[Medida],Tabla3[Equivalencia en Kg],"ELVIS",0)</f>
        <v>5.4356766594914374</v>
      </c>
      <c r="M2532" s="2">
        <v>32851.801352371498</v>
      </c>
      <c r="N2532" s="2">
        <f>(Tabla2[[#This Row],[Productividad (kg/TAS)]]*Tabla2[[#This Row],[Precio por kg]]-Tabla2[[#This Row],[Costos (En RD$/Tarea)]])</f>
        <v>-17292.664186673104</v>
      </c>
      <c r="O2532" s="6">
        <f>IF(Tabla2[[#This Row],[Costos (En RD$/Tarea)]]=0,0,Tabla2[[#This Row],[Beneficio Neto  (En RD$/Tarea)]]/Tabla2[[#This Row],[Costos (En RD$/Tarea)]])</f>
        <v>-0.52638404820455253</v>
      </c>
      <c r="P2532" s="4">
        <f>Tabla2[[#This Row],[Rentabilidad (%)]]/12</f>
        <v>-4.3865337350379376E-2</v>
      </c>
    </row>
    <row r="2533" spans="1:16" x14ac:dyDescent="0.35">
      <c r="A2533" s="1">
        <v>42917</v>
      </c>
      <c r="B2533" t="s">
        <v>33</v>
      </c>
      <c r="C2533" s="2">
        <v>795210</v>
      </c>
      <c r="D2533" s="2" t="s">
        <v>31</v>
      </c>
      <c r="E2533" s="2">
        <f>IF(Tabla2[[#This Row],[Frecuencia]]="Annual", Tabla2[[#This Row],[Cosecha/Tarea]]/12,Tabla2[[#This Row],[Cosecha/Tarea]])</f>
        <v>66267.5</v>
      </c>
      <c r="F2533" s="2">
        <v>2069091</v>
      </c>
      <c r="G2533" t="s">
        <v>18</v>
      </c>
      <c r="H2533">
        <f>F2533/Tabla2[[#This Row],[Cosecha Mensual]]</f>
        <v>31.223314596144416</v>
      </c>
      <c r="I2533">
        <f>H2533*_xlfn.XLOOKUP(Tabla2[[#This Row],[Unidad de producción]],Tabla3[Medida],Tabla3[Equivalencia en Kg],"ELVIS",0)</f>
        <v>1416.2895500811107</v>
      </c>
      <c r="J2533">
        <v>5581.6067708333303</v>
      </c>
      <c r="K2533" t="s">
        <v>34</v>
      </c>
      <c r="L2533">
        <f>J2533/_xlfn.XLOOKUP(Tabla2[[#This Row],[Unidad de precio]],Tabla3[Medida],Tabla3[Equivalencia en Kg],"ELVIS",0)</f>
        <v>13.675381038425408</v>
      </c>
      <c r="M2533" s="2">
        <v>21460.483889989398</v>
      </c>
      <c r="N2533" s="2">
        <f>(Tabla2[[#This Row],[Productividad (kg/TAS)]]*Tabla2[[#This Row],[Precio por kg]]-Tabla2[[#This Row],[Costos (En RD$/Tarea)]])</f>
        <v>-2092.1846318901225</v>
      </c>
      <c r="O2533" s="6">
        <f>IF(Tabla2[[#This Row],[Costos (En RD$/Tarea)]]=0,0,Tabla2[[#This Row],[Beneficio Neto  (En RD$/Tarea)]]/Tabla2[[#This Row],[Costos (En RD$/Tarea)]])</f>
        <v>-9.7490095871792387E-2</v>
      </c>
      <c r="P2533" s="4">
        <f>Tabla2[[#This Row],[Rentabilidad (%)]]/12</f>
        <v>-8.1241746559826983E-3</v>
      </c>
    </row>
    <row r="2534" spans="1:16" x14ac:dyDescent="0.35">
      <c r="A2534" s="1">
        <v>42948</v>
      </c>
      <c r="B2534" t="s">
        <v>16</v>
      </c>
      <c r="C2534" s="2">
        <v>140756</v>
      </c>
      <c r="D2534" s="5" t="s">
        <v>17</v>
      </c>
      <c r="E2534" s="2">
        <f>IF(Tabla2[[#This Row],[Frecuencia]]="Annual", Tabla2[[#This Row],[Cosecha/Tarea]]/12,Tabla2[[#This Row],[Cosecha/Tarea]])</f>
        <v>140756</v>
      </c>
      <c r="F2534" s="2">
        <v>568997</v>
      </c>
      <c r="G2534" t="s">
        <v>18</v>
      </c>
      <c r="H2534">
        <f>F2534/Tabla2[[#This Row],[Cosecha Mensual]]</f>
        <v>4.0424351359799937</v>
      </c>
      <c r="I2534">
        <f>H2534*_xlfn.XLOOKUP(Tabla2[[#This Row],[Unidad de producción]],Tabla3[Medida],Tabla3[Equivalencia en Kg],"ELVIS",0)</f>
        <v>183.3648577680525</v>
      </c>
      <c r="J2534">
        <v>2005.09813586359</v>
      </c>
      <c r="K2534" t="s">
        <v>19</v>
      </c>
      <c r="L2534">
        <f>J2534/_xlfn.XLOOKUP(Tabla2[[#This Row],[Unidad de precio]],Tabla3[Medida],Tabla3[Equivalencia en Kg],"ELVIS",0)</f>
        <v>18.228164871487181</v>
      </c>
      <c r="M2534">
        <v>6064.2164945385503</v>
      </c>
      <c r="N2534" s="2">
        <f>(Tabla2[[#This Row],[Productividad (kg/TAS)]]*Tabla2[[#This Row],[Precio por kg]]-Tabla2[[#This Row],[Costos (En RD$/Tarea)]])</f>
        <v>-2721.8116355056923</v>
      </c>
      <c r="O2534" s="6">
        <f>IF(Tabla2[[#This Row],[Costos (En RD$/Tarea)]]=0,0,Tabla2[[#This Row],[Beneficio Neto  (En RD$/Tarea)]]/Tabla2[[#This Row],[Costos (En RD$/Tarea)]])</f>
        <v>-0.44883154121508739</v>
      </c>
      <c r="P2534" s="4">
        <f>Tabla2[[#This Row],[Rentabilidad (%)]]/12</f>
        <v>-3.7402628434590614E-2</v>
      </c>
    </row>
    <row r="2535" spans="1:16" x14ac:dyDescent="0.35">
      <c r="A2535" s="1">
        <v>42948</v>
      </c>
      <c r="B2535" t="s">
        <v>20</v>
      </c>
      <c r="C2535" s="2">
        <v>38958</v>
      </c>
      <c r="D2535" s="5" t="s">
        <v>17</v>
      </c>
      <c r="E2535" s="2">
        <f>IF(Tabla2[[#This Row],[Frecuencia]]="Annual", Tabla2[[#This Row],[Cosecha/Tarea]]/12,Tabla2[[#This Row],[Cosecha/Tarea]])</f>
        <v>38958</v>
      </c>
      <c r="F2535" s="2">
        <v>81245</v>
      </c>
      <c r="G2535" t="s">
        <v>18</v>
      </c>
      <c r="H2535">
        <f>F2535/Tabla2[[#This Row],[Cosecha Mensual]]</f>
        <v>2.0854509985112171</v>
      </c>
      <c r="I2535">
        <f>H2535*_xlfn.XLOOKUP(Tabla2[[#This Row],[Unidad de producción]],Tabla3[Medida],Tabla3[Equivalencia en Kg],"ELVIS",0)</f>
        <v>94.596057292468799</v>
      </c>
      <c r="J2535">
        <v>831.11614583333301</v>
      </c>
      <c r="K2535" t="s">
        <v>18</v>
      </c>
      <c r="L2535">
        <f>J2535/_xlfn.XLOOKUP(Tabla2[[#This Row],[Unidad de precio]],Tabla3[Medida],Tabla3[Equivalencia en Kg],"ELVIS",0)</f>
        <v>18.322666354350375</v>
      </c>
      <c r="M2535">
        <v>2479.0864296156001</v>
      </c>
      <c r="N2535" s="2">
        <f>(Tabla2[[#This Row],[Productividad (kg/TAS)]]*Tabla2[[#This Row],[Precio por kg]]-Tabla2[[#This Row],[Costos (En RD$/Tarea)]])</f>
        <v>-745.83443340868166</v>
      </c>
      <c r="O2535" s="6">
        <f>IF(Tabla2[[#This Row],[Costos (En RD$/Tarea)]]=0,0,Tabla2[[#This Row],[Beneficio Neto  (En RD$/Tarea)]]/Tabla2[[#This Row],[Costos (En RD$/Tarea)]])</f>
        <v>-0.30085051674633567</v>
      </c>
      <c r="P2535" s="4">
        <f>Tabla2[[#This Row],[Rentabilidad (%)]]/12</f>
        <v>-2.5070876395527974E-2</v>
      </c>
    </row>
    <row r="2536" spans="1:16" x14ac:dyDescent="0.35">
      <c r="A2536" s="1">
        <v>42948</v>
      </c>
      <c r="B2536" t="s">
        <v>21</v>
      </c>
      <c r="C2536" s="2">
        <v>7021</v>
      </c>
      <c r="D2536" s="5" t="s">
        <v>17</v>
      </c>
      <c r="E2536" s="2">
        <f>IF(Tabla2[[#This Row],[Frecuencia]]="Annual", Tabla2[[#This Row],[Cosecha/Tarea]]/12,Tabla2[[#This Row],[Cosecha/Tarea]])</f>
        <v>7021</v>
      </c>
      <c r="F2536" s="2">
        <v>82822</v>
      </c>
      <c r="G2536" t="s">
        <v>18</v>
      </c>
      <c r="H2536">
        <f>F2536/Tabla2[[#This Row],[Cosecha Mensual]]</f>
        <v>11.796325309784931</v>
      </c>
      <c r="I2536">
        <f>H2536*_xlfn.XLOOKUP(Tabla2[[#This Row],[Unidad de producción]],Tabla3[Medida],Tabla3[Equivalencia en Kg],"ELVIS",0)</f>
        <v>535.08131605184451</v>
      </c>
      <c r="J2536">
        <v>402.19369047619</v>
      </c>
      <c r="K2536" t="s">
        <v>18</v>
      </c>
      <c r="L2536">
        <f>J2536/_xlfn.XLOOKUP(Tabla2[[#This Row],[Unidad de precio]],Tabla3[Medida],Tabla3[Equivalencia en Kg],"ELVIS",0)</f>
        <v>8.8667039346602738</v>
      </c>
      <c r="M2536">
        <v>5064.8045077463803</v>
      </c>
      <c r="N2536" s="2">
        <f>(Tabla2[[#This Row],[Productividad (kg/TAS)]]*Tabla2[[#This Row],[Precio por kg]]-Tabla2[[#This Row],[Costos (En RD$/Tarea)]])</f>
        <v>-320.39689734629337</v>
      </c>
      <c r="O2536" s="6">
        <f>IF(Tabla2[[#This Row],[Costos (En RD$/Tarea)]]=0,0,Tabla2[[#This Row],[Beneficio Neto  (En RD$/Tarea)]]/Tabla2[[#This Row],[Costos (En RD$/Tarea)]])</f>
        <v>-6.3259479582333605E-2</v>
      </c>
      <c r="P2536" s="4">
        <f>Tabla2[[#This Row],[Rentabilidad (%)]]/12</f>
        <v>-5.2716232985278002E-3</v>
      </c>
    </row>
    <row r="2537" spans="1:16" x14ac:dyDescent="0.35">
      <c r="A2537" s="1">
        <v>42948</v>
      </c>
      <c r="B2537" t="s">
        <v>22</v>
      </c>
      <c r="C2537" s="2">
        <v>4101</v>
      </c>
      <c r="D2537" s="5" t="s">
        <v>17</v>
      </c>
      <c r="E2537" s="2">
        <f>IF(Tabla2[[#This Row],[Frecuencia]]="Annual", Tabla2[[#This Row],[Cosecha/Tarea]]/12,Tabla2[[#This Row],[Cosecha/Tarea]])</f>
        <v>4101</v>
      </c>
      <c r="F2537" s="2">
        <v>31298</v>
      </c>
      <c r="G2537" t="s">
        <v>18</v>
      </c>
      <c r="H2537">
        <f>F2537/Tabla2[[#This Row],[Cosecha Mensual]]</f>
        <v>7.631797122653011</v>
      </c>
      <c r="I2537">
        <f>H2537*_xlfn.XLOOKUP(Tabla2[[#This Row],[Unidad de producción]],Tabla3[Medida],Tabla3[Equivalencia en Kg],"ELVIS",0)</f>
        <v>346.17831748354058</v>
      </c>
      <c r="J2537">
        <v>1906.9708333333299</v>
      </c>
      <c r="K2537" t="s">
        <v>18</v>
      </c>
      <c r="L2537">
        <f>J2537/_xlfn.XLOOKUP(Tabla2[[#This Row],[Unidad de precio]],Tabla3[Medida],Tabla3[Equivalencia en Kg],"ELVIS",0)</f>
        <v>42.040803203997577</v>
      </c>
      <c r="M2537">
        <v>9358.7144173845209</v>
      </c>
      <c r="N2537" s="2">
        <f>(Tabla2[[#This Row],[Productividad (kg/TAS)]]*Tabla2[[#This Row],[Precio por kg]]-Tabla2[[#This Row],[Costos (En RD$/Tarea)]])</f>
        <v>5194.900101432002</v>
      </c>
      <c r="O2537" s="6">
        <f>IF(Tabla2[[#This Row],[Costos (En RD$/Tarea)]]=0,0,Tabla2[[#This Row],[Beneficio Neto  (En RD$/Tarea)]]/Tabla2[[#This Row],[Costos (En RD$/Tarea)]])</f>
        <v>0.55508693499419981</v>
      </c>
      <c r="P2537" s="4">
        <f>Tabla2[[#This Row],[Rentabilidad (%)]]/12</f>
        <v>4.6257244582849986E-2</v>
      </c>
    </row>
    <row r="2538" spans="1:16" x14ac:dyDescent="0.35">
      <c r="A2538" s="1">
        <v>42948</v>
      </c>
      <c r="B2538" t="s">
        <v>23</v>
      </c>
      <c r="C2538" s="2">
        <v>3042</v>
      </c>
      <c r="D2538" s="5" t="s">
        <v>17</v>
      </c>
      <c r="E2538" s="2">
        <f>IF(Tabla2[[#This Row],[Frecuencia]]="Annual", Tabla2[[#This Row],[Cosecha/Tarea]]/12,Tabla2[[#This Row],[Cosecha/Tarea]])</f>
        <v>3042</v>
      </c>
      <c r="F2538" s="2">
        <v>117210</v>
      </c>
      <c r="G2538" t="s">
        <v>18</v>
      </c>
      <c r="H2538">
        <f>F2538/Tabla2[[#This Row],[Cosecha Mensual]]</f>
        <v>38.530571992110453</v>
      </c>
      <c r="I2538">
        <f>H2538*_xlfn.XLOOKUP(Tabla2[[#This Row],[Unidad de producción]],Tabla3[Medida],Tabla3[Equivalencia en Kg],"ELVIS",0)</f>
        <v>1747.7467455621302</v>
      </c>
      <c r="J2538">
        <v>927.5</v>
      </c>
      <c r="K2538" t="s">
        <v>18</v>
      </c>
      <c r="L2538">
        <f>J2538/_xlfn.XLOOKUP(Tabla2[[#This Row],[Unidad de precio]],Tabla3[Medida],Tabla3[Equivalencia en Kg],"ELVIS",0)</f>
        <v>20.447530864197532</v>
      </c>
      <c r="M2538">
        <v>23497.681152818699</v>
      </c>
      <c r="N2538" s="2">
        <f>(Tabla2[[#This Row],[Productividad (kg/TAS)]]*Tabla2[[#This Row],[Precio por kg]]-Tabla2[[#This Row],[Costos (En RD$/Tarea)]])</f>
        <v>12239.424369863747</v>
      </c>
      <c r="O2538" s="6">
        <f>IF(Tabla2[[#This Row],[Costos (En RD$/Tarea)]]=0,0,Tabla2[[#This Row],[Beneficio Neto  (En RD$/Tarea)]]/Tabla2[[#This Row],[Costos (En RD$/Tarea)]])</f>
        <v>0.52087796622415017</v>
      </c>
      <c r="P2538" s="4">
        <f>Tabla2[[#This Row],[Rentabilidad (%)]]/12</f>
        <v>4.3406497185345845E-2</v>
      </c>
    </row>
    <row r="2539" spans="1:16" x14ac:dyDescent="0.35">
      <c r="A2539" s="1">
        <v>42948</v>
      </c>
      <c r="B2539" t="s">
        <v>24</v>
      </c>
      <c r="C2539" s="2">
        <v>5201</v>
      </c>
      <c r="D2539" s="5" t="s">
        <v>17</v>
      </c>
      <c r="E2539" s="2">
        <f>IF(Tabla2[[#This Row],[Frecuencia]]="Annual", Tabla2[[#This Row],[Cosecha/Tarea]]/12,Tabla2[[#This Row],[Cosecha/Tarea]])</f>
        <v>5201</v>
      </c>
      <c r="F2539" s="2">
        <v>55654</v>
      </c>
      <c r="G2539" t="s">
        <v>18</v>
      </c>
      <c r="H2539">
        <f>F2539/Tabla2[[#This Row],[Cosecha Mensual]]</f>
        <v>10.70063449336666</v>
      </c>
      <c r="I2539">
        <f>H2539*_xlfn.XLOOKUP(Tabla2[[#This Row],[Unidad de producción]],Tabla3[Medida],Tabla3[Equivalencia en Kg],"ELVIS",0)</f>
        <v>485.3807806191117</v>
      </c>
      <c r="J2539">
        <v>1416.2646875</v>
      </c>
      <c r="K2539" t="s">
        <v>18</v>
      </c>
      <c r="L2539">
        <f>J2539/_xlfn.XLOOKUP(Tabla2[[#This Row],[Unidad de precio]],Tabla3[Medida],Tabla3[Equivalencia en Kg],"ELVIS",0)</f>
        <v>31.222766479276896</v>
      </c>
      <c r="M2539">
        <v>9059.4442114895992</v>
      </c>
      <c r="N2539" s="2">
        <f>(Tabla2[[#This Row],[Productividad (kg/TAS)]]*Tabla2[[#This Row],[Precio por kg]]-Tabla2[[#This Row],[Costos (En RD$/Tarea)]])</f>
        <v>6095.4865553100535</v>
      </c>
      <c r="O2539" s="6">
        <f>IF(Tabla2[[#This Row],[Costos (En RD$/Tarea)]]=0,0,Tabla2[[#This Row],[Beneficio Neto  (En RD$/Tarea)]]/Tabla2[[#This Row],[Costos (En RD$/Tarea)]])</f>
        <v>0.67283228562514685</v>
      </c>
      <c r="P2539" s="4">
        <f>Tabla2[[#This Row],[Rentabilidad (%)]]/12</f>
        <v>5.6069357135428904E-2</v>
      </c>
    </row>
    <row r="2540" spans="1:16" x14ac:dyDescent="0.35">
      <c r="A2540" s="1">
        <v>42948</v>
      </c>
      <c r="B2540" t="s">
        <v>25</v>
      </c>
      <c r="C2540" s="2">
        <v>28542</v>
      </c>
      <c r="D2540" s="5" t="s">
        <v>17</v>
      </c>
      <c r="E2540" s="2">
        <f>IF(Tabla2[[#This Row],[Frecuencia]]="Annual", Tabla2[[#This Row],[Cosecha/Tarea]]/12,Tabla2[[#This Row],[Cosecha/Tarea]])</f>
        <v>28542</v>
      </c>
      <c r="F2540" s="2">
        <v>312024</v>
      </c>
      <c r="G2540" t="s">
        <v>18</v>
      </c>
      <c r="H2540">
        <f>F2540/Tabla2[[#This Row],[Cosecha Mensual]]</f>
        <v>10.932100063064956</v>
      </c>
      <c r="I2540">
        <f>H2540*_xlfn.XLOOKUP(Tabla2[[#This Row],[Unidad de producción]],Tabla3[Medida],Tabla3[Equivalencia en Kg],"ELVIS",0)</f>
        <v>495.88005886062638</v>
      </c>
      <c r="J2540">
        <v>424.47052083333301</v>
      </c>
      <c r="K2540" t="s">
        <v>18</v>
      </c>
      <c r="L2540">
        <f>J2540/_xlfn.XLOOKUP(Tabla2[[#This Row],[Unidad de precio]],Tabla3[Medida],Tabla3[Equivalencia en Kg],"ELVIS",0)</f>
        <v>9.3578157150205694</v>
      </c>
      <c r="M2540">
        <v>4667.2658565265501</v>
      </c>
      <c r="N2540" s="2">
        <f>(Tabla2[[#This Row],[Productividad (kg/TAS)]]*Tabla2[[#This Row],[Precio por kg]]-Tabla2[[#This Row],[Costos (En RD$/Tarea)]])</f>
        <v>-26.911648955255259</v>
      </c>
      <c r="O2540" s="6">
        <f>IF(Tabla2[[#This Row],[Costos (En RD$/Tarea)]]=0,0,Tabla2[[#This Row],[Beneficio Neto  (En RD$/Tarea)]]/Tabla2[[#This Row],[Costos (En RD$/Tarea)]])</f>
        <v>-5.7660415717743826E-3</v>
      </c>
      <c r="P2540" s="4">
        <f>Tabla2[[#This Row],[Rentabilidad (%)]]/12</f>
        <v>-4.8050346431453188E-4</v>
      </c>
    </row>
    <row r="2541" spans="1:16" x14ac:dyDescent="0.35">
      <c r="A2541" s="1">
        <v>42948</v>
      </c>
      <c r="B2541" t="s">
        <v>26</v>
      </c>
      <c r="C2541" s="2">
        <v>8759</v>
      </c>
      <c r="D2541" s="5" t="s">
        <v>17</v>
      </c>
      <c r="E2541" s="2">
        <f>IF(Tabla2[[#This Row],[Frecuencia]]="Annual", Tabla2[[#This Row],[Cosecha/Tarea]]/12,Tabla2[[#This Row],[Cosecha/Tarea]])</f>
        <v>8759</v>
      </c>
      <c r="F2541" s="2">
        <v>75989</v>
      </c>
      <c r="G2541" t="s">
        <v>18</v>
      </c>
      <c r="H2541">
        <f>F2541/Tabla2[[#This Row],[Cosecha Mensual]]</f>
        <v>8.675533736727937</v>
      </c>
      <c r="I2541">
        <f>H2541*_xlfn.XLOOKUP(Tabla2[[#This Row],[Unidad de producción]],Tabla3[Medida],Tabla3[Equivalencia en Kg],"ELVIS",0)</f>
        <v>393.5222102979792</v>
      </c>
      <c r="J2541">
        <v>878.875</v>
      </c>
      <c r="K2541" t="s">
        <v>18</v>
      </c>
      <c r="L2541">
        <f>J2541/_xlfn.XLOOKUP(Tabla2[[#This Row],[Unidad de precio]],Tabla3[Medida],Tabla3[Equivalencia en Kg],"ELVIS",0)</f>
        <v>19.375551146384481</v>
      </c>
      <c r="M2541">
        <v>1810.9755302292599</v>
      </c>
      <c r="N2541" s="2">
        <f>(Tabla2[[#This Row],[Productividad (kg/TAS)]]*Tabla2[[#This Row],[Precio por kg]]-Tabla2[[#This Row],[Costos (En RD$/Tarea)]])</f>
        <v>5813.7341826375059</v>
      </c>
      <c r="O2541" s="6">
        <f>IF(Tabla2[[#This Row],[Costos (En RD$/Tarea)]]=0,0,Tabla2[[#This Row],[Beneficio Neto  (En RD$/Tarea)]]/Tabla2[[#This Row],[Costos (En RD$/Tarea)]])</f>
        <v>3.2102776020952186</v>
      </c>
      <c r="P2541" s="4">
        <f>Tabla2[[#This Row],[Rentabilidad (%)]]/12</f>
        <v>0.26752313350793488</v>
      </c>
    </row>
    <row r="2542" spans="1:16" x14ac:dyDescent="0.35">
      <c r="A2542" s="1">
        <v>42948</v>
      </c>
      <c r="B2542" t="s">
        <v>27</v>
      </c>
      <c r="C2542" s="2">
        <v>4562</v>
      </c>
      <c r="D2542" s="5" t="s">
        <v>17</v>
      </c>
      <c r="E2542" s="2">
        <f>IF(Tabla2[[#This Row],[Frecuencia]]="Annual", Tabla2[[#This Row],[Cosecha/Tarea]]/12,Tabla2[[#This Row],[Cosecha/Tarea]])</f>
        <v>4562</v>
      </c>
      <c r="F2542" s="2">
        <v>45210</v>
      </c>
      <c r="G2542" t="s">
        <v>18</v>
      </c>
      <c r="H2542">
        <f>F2542/Tabla2[[#This Row],[Cosecha Mensual]]</f>
        <v>9.9101271372205169</v>
      </c>
      <c r="I2542">
        <f>H2542*_xlfn.XLOOKUP(Tabla2[[#This Row],[Unidad de producción]],Tabla3[Medida],Tabla3[Equivalencia en Kg],"ELVIS",0)</f>
        <v>449.52336694432262</v>
      </c>
      <c r="J2542">
        <v>833.37946428571399</v>
      </c>
      <c r="K2542" t="s">
        <v>18</v>
      </c>
      <c r="L2542">
        <f>J2542/_xlfn.XLOOKUP(Tabla2[[#This Row],[Unidad de precio]],Tabla3[Medida],Tabla3[Equivalencia en Kg],"ELVIS",0)</f>
        <v>18.372563145628614</v>
      </c>
      <c r="M2542">
        <v>8788.4318764689997</v>
      </c>
      <c r="N2542" s="2">
        <f>(Tabla2[[#This Row],[Productividad (kg/TAS)]]*Tabla2[[#This Row],[Precio por kg]]-Tabla2[[#This Row],[Costos (En RD$/Tarea)]])</f>
        <v>-529.53543184884984</v>
      </c>
      <c r="O2542" s="6">
        <f>IF(Tabla2[[#This Row],[Costos (En RD$/Tarea)]]=0,0,Tabla2[[#This Row],[Beneficio Neto  (En RD$/Tarea)]]/Tabla2[[#This Row],[Costos (En RD$/Tarea)]])</f>
        <v>-6.0253687949346164E-2</v>
      </c>
      <c r="P2542" s="4">
        <f>Tabla2[[#This Row],[Rentabilidad (%)]]/12</f>
        <v>-5.0211406624455137E-3</v>
      </c>
    </row>
    <row r="2543" spans="1:16" x14ac:dyDescent="0.35">
      <c r="A2543" s="1">
        <v>42948</v>
      </c>
      <c r="B2543" t="s">
        <v>28</v>
      </c>
      <c r="C2543" s="2">
        <v>51024</v>
      </c>
      <c r="D2543" s="5" t="s">
        <v>17</v>
      </c>
      <c r="E2543" s="2">
        <f>IF(Tabla2[[#This Row],[Frecuencia]]="Annual", Tabla2[[#This Row],[Cosecha/Tarea]]/12,Tabla2[[#This Row],[Cosecha/Tarea]])</f>
        <v>51024</v>
      </c>
      <c r="F2543" s="2">
        <v>1358940</v>
      </c>
      <c r="G2543" t="s">
        <v>18</v>
      </c>
      <c r="H2543">
        <f>F2543/Tabla2[[#This Row],[Cosecha Mensual]]</f>
        <v>26.633349012229537</v>
      </c>
      <c r="I2543">
        <f>H2543*_xlfn.XLOOKUP(Tabla2[[#This Row],[Unidad de producción]],Tabla3[Medida],Tabla3[Equivalencia en Kg],"ELVIS",0)</f>
        <v>1208.0887111947318</v>
      </c>
      <c r="J2543">
        <v>6800</v>
      </c>
      <c r="K2543" t="s">
        <v>29</v>
      </c>
      <c r="L2543">
        <f>J2543/_xlfn.XLOOKUP(Tabla2[[#This Row],[Unidad de precio]],Tabla3[Medida],Tabla3[Equivalencia en Kg],"ELVIS",0)</f>
        <v>12.092328484546714</v>
      </c>
      <c r="M2543">
        <v>7106.9649214587198</v>
      </c>
      <c r="N2543" s="2">
        <f>(Tabla2[[#This Row],[Productividad (kg/TAS)]]*Tabla2[[#This Row],[Precio por kg]]-Tabla2[[#This Row],[Costos (En RD$/Tarea)]])</f>
        <v>7501.6406127806649</v>
      </c>
      <c r="O2543" s="6">
        <f>IF(Tabla2[[#This Row],[Costos (En RD$/Tarea)]]=0,0,Tabla2[[#This Row],[Beneficio Neto  (En RD$/Tarea)]]/Tabla2[[#This Row],[Costos (En RD$/Tarea)]])</f>
        <v>1.0555336484256823</v>
      </c>
      <c r="P2543" s="4">
        <f>Tabla2[[#This Row],[Rentabilidad (%)]]/12</f>
        <v>8.7961137368806855E-2</v>
      </c>
    </row>
    <row r="2544" spans="1:16" x14ac:dyDescent="0.35">
      <c r="A2544" s="1">
        <v>42948</v>
      </c>
      <c r="B2544" t="s">
        <v>30</v>
      </c>
      <c r="C2544" s="2">
        <v>445891</v>
      </c>
      <c r="D2544" s="2" t="s">
        <v>31</v>
      </c>
      <c r="E2544" s="2">
        <f>IF(Tabla2[[#This Row],[Frecuencia]]="Annual", Tabla2[[#This Row],[Cosecha/Tarea]]/12,Tabla2[[#This Row],[Cosecha/Tarea]])</f>
        <v>37157.583333333336</v>
      </c>
      <c r="F2544" s="2">
        <v>2339399.4</v>
      </c>
      <c r="G2544" t="s">
        <v>18</v>
      </c>
      <c r="H2544">
        <f>F2544/Tabla2[[#This Row],[Cosecha Mensual]]</f>
        <v>62.958868423000233</v>
      </c>
      <c r="I2544">
        <f>H2544*_xlfn.XLOOKUP(Tabla2[[#This Row],[Unidad de producción]],Tabla3[Medida],Tabla3[Equivalencia en Kg],"ELVIS",0)</f>
        <v>2855.8142716672905</v>
      </c>
      <c r="J2544">
        <v>149.69062500000001</v>
      </c>
      <c r="K2544" t="s">
        <v>32</v>
      </c>
      <c r="L2544">
        <f>J2544/_xlfn.XLOOKUP(Tabla2[[#This Row],[Unidad de precio]],Tabla3[Medida],Tabla3[Equivalencia en Kg],"ELVIS",0)</f>
        <v>5.5013092613009924</v>
      </c>
      <c r="M2544" s="2">
        <v>32851.801352371498</v>
      </c>
      <c r="N2544" s="2">
        <f>(Tabla2[[#This Row],[Productividad (kg/TAS)]]*Tabla2[[#This Row],[Precio por kg]]-Tabla2[[#This Row],[Costos (En RD$/Tarea)]])</f>
        <v>-17141.083851092684</v>
      </c>
      <c r="O2544" s="6">
        <f>IF(Tabla2[[#This Row],[Costos (En RD$/Tarea)]]=0,0,Tabla2[[#This Row],[Beneficio Neto  (En RD$/Tarea)]]/Tabla2[[#This Row],[Costos (En RD$/Tarea)]])</f>
        <v>-0.52176998354628457</v>
      </c>
      <c r="P2544" s="4">
        <f>Tabla2[[#This Row],[Rentabilidad (%)]]/12</f>
        <v>-4.348083196219038E-2</v>
      </c>
    </row>
    <row r="2545" spans="1:16" x14ac:dyDescent="0.35">
      <c r="A2545" s="1">
        <v>42948</v>
      </c>
      <c r="B2545" t="s">
        <v>33</v>
      </c>
      <c r="C2545" s="2">
        <v>789542</v>
      </c>
      <c r="D2545" s="2" t="s">
        <v>31</v>
      </c>
      <c r="E2545" s="8">
        <f>IF(Tabla2[[#This Row],[Frecuencia]]="Annual", Tabla2[[#This Row],[Cosecha/Tarea]]/12,Tabla2[[#This Row],[Cosecha/Tarea]])</f>
        <v>65795.166666666672</v>
      </c>
      <c r="F2545" s="2">
        <v>2359305</v>
      </c>
      <c r="G2545" t="s">
        <v>18</v>
      </c>
      <c r="H2545">
        <f>F2545/Tabla2[[#This Row],[Cosecha Mensual]]</f>
        <v>35.858333058912635</v>
      </c>
      <c r="I2545">
        <f>H2545*_xlfn.XLOOKUP(Tabla2[[#This Row],[Unidad de producción]],Tabla3[Medida],Tabla3[Equivalencia en Kg],"ELVIS",0)</f>
        <v>1626.533987552277</v>
      </c>
      <c r="J2545">
        <v>5624.2114583333296</v>
      </c>
      <c r="K2545" t="s">
        <v>34</v>
      </c>
      <c r="L2545">
        <f>J2545/_xlfn.XLOOKUP(Tabla2[[#This Row],[Unidad de precio]],Tabla3[Medida],Tabla3[Equivalencia en Kg],"ELVIS",0)</f>
        <v>13.779765915308905</v>
      </c>
      <c r="M2545" s="2">
        <v>21460.483889989398</v>
      </c>
      <c r="N2545" s="2">
        <f>(Tabla2[[#This Row],[Productividad (kg/TAS)]]*Tabla2[[#This Row],[Precio por kg]]-Tabla2[[#This Row],[Costos (En RD$/Tarea)]])</f>
        <v>952.77371177494933</v>
      </c>
      <c r="O2545" s="6">
        <f>IF(Tabla2[[#This Row],[Costos (En RD$/Tarea)]]=0,0,Tabla2[[#This Row],[Beneficio Neto  (En RD$/Tarea)]]/Tabla2[[#This Row],[Costos (En RD$/Tarea)]])</f>
        <v>4.4396655576782525E-2</v>
      </c>
      <c r="P2545" s="4">
        <f>Tabla2[[#This Row],[Rentabilidad (%)]]/12</f>
        <v>3.6997212980652105E-3</v>
      </c>
    </row>
    <row r="2546" spans="1:16" x14ac:dyDescent="0.35">
      <c r="A2546" s="1">
        <v>42979</v>
      </c>
      <c r="B2546" t="s">
        <v>16</v>
      </c>
      <c r="C2546" s="2">
        <v>262105</v>
      </c>
      <c r="D2546" s="5" t="s">
        <v>17</v>
      </c>
      <c r="E2546" s="2">
        <f>IF(Tabla2[[#This Row],[Frecuencia]]="Annual", Tabla2[[#This Row],[Cosecha/Tarea]]/12,Tabla2[[#This Row],[Cosecha/Tarea]])</f>
        <v>262105</v>
      </c>
      <c r="F2546" s="2">
        <v>1256616</v>
      </c>
      <c r="G2546" t="s">
        <v>18</v>
      </c>
      <c r="H2546">
        <f>F2546/Tabla2[[#This Row],[Cosecha Mensual]]</f>
        <v>4.7943228858663511</v>
      </c>
      <c r="I2546">
        <f>H2546*_xlfn.XLOOKUP(Tabla2[[#This Row],[Unidad de producción]],Tabla3[Medida],Tabla3[Equivalencia en Kg],"ELVIS",0)</f>
        <v>217.47048610289769</v>
      </c>
      <c r="J2546">
        <v>2028.67702227723</v>
      </c>
      <c r="K2546" t="s">
        <v>19</v>
      </c>
      <c r="L2546">
        <f>J2546/_xlfn.XLOOKUP(Tabla2[[#This Row],[Unidad de precio]],Tabla3[Medida],Tabla3[Equivalencia en Kg],"ELVIS",0)</f>
        <v>18.442518384338456</v>
      </c>
      <c r="M2546">
        <v>6064.2164945385503</v>
      </c>
      <c r="N2546" s="2">
        <f>(Tabla2[[#This Row],[Productividad (kg/TAS)]]*Tabla2[[#This Row],[Precio por kg]]-Tabla2[[#This Row],[Costos (En RD$/Tarea)]])</f>
        <v>-2053.5130565348386</v>
      </c>
      <c r="O2546" s="6">
        <f>IF(Tabla2[[#This Row],[Costos (En RD$/Tarea)]]=0,0,Tabla2[[#This Row],[Beneficio Neto  (En RD$/Tarea)]]/Tabla2[[#This Row],[Costos (En RD$/Tarea)]])</f>
        <v>-0.33862792635853917</v>
      </c>
      <c r="P2546" s="4">
        <f>Tabla2[[#This Row],[Rentabilidad (%)]]/12</f>
        <v>-2.8218993863211597E-2</v>
      </c>
    </row>
    <row r="2547" spans="1:16" x14ac:dyDescent="0.35">
      <c r="A2547" s="1">
        <v>42979</v>
      </c>
      <c r="B2547" t="s">
        <v>20</v>
      </c>
      <c r="C2547" s="2">
        <v>50045</v>
      </c>
      <c r="D2547" s="5" t="s">
        <v>17</v>
      </c>
      <c r="E2547" s="2">
        <f>IF(Tabla2[[#This Row],[Frecuencia]]="Annual", Tabla2[[#This Row],[Cosecha/Tarea]]/12,Tabla2[[#This Row],[Cosecha/Tarea]])</f>
        <v>50045</v>
      </c>
      <c r="F2547" s="2">
        <v>127048</v>
      </c>
      <c r="G2547" t="s">
        <v>18</v>
      </c>
      <c r="H2547">
        <f>F2547/Tabla2[[#This Row],[Cosecha Mensual]]</f>
        <v>2.538675192326906</v>
      </c>
      <c r="I2547">
        <f>H2547*_xlfn.XLOOKUP(Tabla2[[#This Row],[Unidad de producción]],Tabla3[Medida],Tabla3[Equivalencia en Kg],"ELVIS",0)</f>
        <v>115.15430672394845</v>
      </c>
      <c r="J2547">
        <v>831.46354166666697</v>
      </c>
      <c r="K2547" t="s">
        <v>18</v>
      </c>
      <c r="L2547">
        <f>J2547/_xlfn.XLOOKUP(Tabla2[[#This Row],[Unidad de precio]],Tabla3[Medida],Tabla3[Equivalencia en Kg],"ELVIS",0)</f>
        <v>18.330324992651388</v>
      </c>
      <c r="M2547">
        <v>2479.0864296156001</v>
      </c>
      <c r="N2547" s="2">
        <f>(Tabla2[[#This Row],[Productividad (kg/TAS)]]*Tabla2[[#This Row],[Precio por kg]]-Tabla2[[#This Row],[Costos (En RD$/Tarea)]])</f>
        <v>-368.270563062164</v>
      </c>
      <c r="O2547" s="6">
        <f>IF(Tabla2[[#This Row],[Costos (En RD$/Tarea)]]=0,0,Tabla2[[#This Row],[Beneficio Neto  (En RD$/Tarea)]]/Tabla2[[#This Row],[Costos (En RD$/Tarea)]])</f>
        <v>-0.14855091725029812</v>
      </c>
      <c r="P2547" s="4">
        <f>Tabla2[[#This Row],[Rentabilidad (%)]]/12</f>
        <v>-1.2379243104191509E-2</v>
      </c>
    </row>
    <row r="2548" spans="1:16" x14ac:dyDescent="0.35">
      <c r="A2548" s="1">
        <v>42979</v>
      </c>
      <c r="B2548" t="s">
        <v>21</v>
      </c>
      <c r="C2548" s="2">
        <v>7524</v>
      </c>
      <c r="D2548" s="5" t="s">
        <v>17</v>
      </c>
      <c r="E2548" s="2">
        <f>IF(Tabla2[[#This Row],[Frecuencia]]="Annual", Tabla2[[#This Row],[Cosecha/Tarea]]/12,Tabla2[[#This Row],[Cosecha/Tarea]])</f>
        <v>7524</v>
      </c>
      <c r="F2548" s="2">
        <v>79854</v>
      </c>
      <c r="G2548" t="s">
        <v>18</v>
      </c>
      <c r="H2548">
        <f>F2548/Tabla2[[#This Row],[Cosecha Mensual]]</f>
        <v>10.613237639553429</v>
      </c>
      <c r="I2548">
        <f>H2548*_xlfn.XLOOKUP(Tabla2[[#This Row],[Unidad de producción]],Tabla3[Medida],Tabla3[Equivalencia en Kg],"ELVIS",0)</f>
        <v>481.41645933014354</v>
      </c>
      <c r="J2548">
        <v>406.108779761905</v>
      </c>
      <c r="K2548" t="s">
        <v>18</v>
      </c>
      <c r="L2548">
        <f>J2548/_xlfn.XLOOKUP(Tabla2[[#This Row],[Unidad de precio]],Tabla3[Medida],Tabla3[Equivalencia en Kg],"ELVIS",0)</f>
        <v>8.9530154268497579</v>
      </c>
      <c r="M2548">
        <v>5064.8045077463803</v>
      </c>
      <c r="N2548" s="2">
        <f>(Tabla2[[#This Row],[Productividad (kg/TAS)]]*Tabla2[[#This Row],[Precio por kg]]-Tabla2[[#This Row],[Costos (En RD$/Tarea)]])</f>
        <v>-754.67552062421601</v>
      </c>
      <c r="O2548" s="6">
        <f>IF(Tabla2[[#This Row],[Costos (En RD$/Tarea)]]=0,0,Tabla2[[#This Row],[Beneficio Neto  (En RD$/Tarea)]]/Tabla2[[#This Row],[Costos (En RD$/Tarea)]])</f>
        <v>-0.14900387951202762</v>
      </c>
      <c r="P2548" s="4">
        <f>Tabla2[[#This Row],[Rentabilidad (%)]]/12</f>
        <v>-1.2416989959335635E-2</v>
      </c>
    </row>
    <row r="2549" spans="1:16" x14ac:dyDescent="0.35">
      <c r="A2549" s="1">
        <v>42979</v>
      </c>
      <c r="B2549" t="s">
        <v>22</v>
      </c>
      <c r="C2549" s="2">
        <v>5012</v>
      </c>
      <c r="D2549" s="5" t="s">
        <v>17</v>
      </c>
      <c r="E2549" s="2">
        <f>IF(Tabla2[[#This Row],[Frecuencia]]="Annual", Tabla2[[#This Row],[Cosecha/Tarea]]/12,Tabla2[[#This Row],[Cosecha/Tarea]])</f>
        <v>5012</v>
      </c>
      <c r="F2549" s="2">
        <v>45100</v>
      </c>
      <c r="G2549" t="s">
        <v>18</v>
      </c>
      <c r="H2549">
        <f>F2549/Tabla2[[#This Row],[Cosecha Mensual]]</f>
        <v>8.9984038308060654</v>
      </c>
      <c r="I2549">
        <f>H2549*_xlfn.XLOOKUP(Tabla2[[#This Row],[Unidad de producción]],Tabla3[Medida],Tabla3[Equivalencia en Kg],"ELVIS",0)</f>
        <v>408.1675977653631</v>
      </c>
      <c r="J2549">
        <v>1968.1231944444401</v>
      </c>
      <c r="K2549" t="s">
        <v>18</v>
      </c>
      <c r="L2549">
        <f>J2549/_xlfn.XLOOKUP(Tabla2[[#This Row],[Unidad de precio]],Tabla3[Medida],Tabla3[Equivalencia en Kg],"ELVIS",0)</f>
        <v>43.38895931314903</v>
      </c>
      <c r="M2549">
        <v>9358.7144173845209</v>
      </c>
      <c r="N2549" s="2">
        <f>(Tabla2[[#This Row],[Productividad (kg/TAS)]]*Tabla2[[#This Row],[Precio por kg]]-Tabla2[[#This Row],[Costos (En RD$/Tarea)]])</f>
        <v>8351.2528750025976</v>
      </c>
      <c r="O2549" s="6">
        <f>IF(Tabla2[[#This Row],[Costos (En RD$/Tarea)]]=0,0,Tabla2[[#This Row],[Beneficio Neto  (En RD$/Tarea)]]/Tabla2[[#This Row],[Costos (En RD$/Tarea)]])</f>
        <v>0.89235043431708028</v>
      </c>
      <c r="P2549" s="4">
        <f>Tabla2[[#This Row],[Rentabilidad (%)]]/12</f>
        <v>7.4362536193090023E-2</v>
      </c>
    </row>
    <row r="2550" spans="1:16" x14ac:dyDescent="0.35">
      <c r="A2550" s="1">
        <v>42979</v>
      </c>
      <c r="B2550" t="s">
        <v>23</v>
      </c>
      <c r="C2550" s="2">
        <v>4425</v>
      </c>
      <c r="D2550" s="5" t="s">
        <v>17</v>
      </c>
      <c r="E2550" s="2">
        <f>IF(Tabla2[[#This Row],[Frecuencia]]="Annual", Tabla2[[#This Row],[Cosecha/Tarea]]/12,Tabla2[[#This Row],[Cosecha/Tarea]])</f>
        <v>4425</v>
      </c>
      <c r="F2550" s="2">
        <v>185485</v>
      </c>
      <c r="G2550" t="s">
        <v>18</v>
      </c>
      <c r="H2550">
        <f>F2550/Tabla2[[#This Row],[Cosecha Mensual]]</f>
        <v>41.917514124293788</v>
      </c>
      <c r="I2550">
        <f>H2550*_xlfn.XLOOKUP(Tabla2[[#This Row],[Unidad de producción]],Tabla3[Medida],Tabla3[Equivalencia en Kg],"ELVIS",0)</f>
        <v>1901.3784406779662</v>
      </c>
      <c r="J2550">
        <v>903.125</v>
      </c>
      <c r="K2550" t="s">
        <v>18</v>
      </c>
      <c r="L2550">
        <f>J2550/_xlfn.XLOOKUP(Tabla2[[#This Row],[Unidad de precio]],Tabla3[Medida],Tabla3[Equivalencia en Kg],"ELVIS",0)</f>
        <v>19.910163139329807</v>
      </c>
      <c r="M2550">
        <v>23497.681152818699</v>
      </c>
      <c r="N2550" s="2">
        <f>(Tabla2[[#This Row],[Productividad (kg/TAS)]]*Tabla2[[#This Row],[Precio por kg]]-Tabla2[[#This Row],[Costos (En RD$/Tarea)]])</f>
        <v>14359.073790684128</v>
      </c>
      <c r="O2550" s="6">
        <f>IF(Tabla2[[#This Row],[Costos (En RD$/Tarea)]]=0,0,Tabla2[[#This Row],[Beneficio Neto  (En RD$/Tarea)]]/Tabla2[[#This Row],[Costos (En RD$/Tarea)]])</f>
        <v>0.61108471501076878</v>
      </c>
      <c r="P2550" s="4">
        <f>Tabla2[[#This Row],[Rentabilidad (%)]]/12</f>
        <v>5.0923726250897396E-2</v>
      </c>
    </row>
    <row r="2551" spans="1:16" x14ac:dyDescent="0.35">
      <c r="A2551" s="1">
        <v>42979</v>
      </c>
      <c r="B2551" t="s">
        <v>24</v>
      </c>
      <c r="C2551" s="2">
        <v>5003</v>
      </c>
      <c r="D2551" s="5" t="s">
        <v>17</v>
      </c>
      <c r="E2551" s="2">
        <f>IF(Tabla2[[#This Row],[Frecuencia]]="Annual", Tabla2[[#This Row],[Cosecha/Tarea]]/12,Tabla2[[#This Row],[Cosecha/Tarea]])</f>
        <v>5003</v>
      </c>
      <c r="F2551" s="2">
        <v>49164</v>
      </c>
      <c r="G2551" t="s">
        <v>18</v>
      </c>
      <c r="H2551">
        <f>F2551/Tabla2[[#This Row],[Cosecha Mensual]]</f>
        <v>9.8269038576853891</v>
      </c>
      <c r="I2551">
        <f>H2551*_xlfn.XLOOKUP(Tabla2[[#This Row],[Unidad de producción]],Tabla3[Medida],Tabla3[Equivalencia en Kg],"ELVIS",0)</f>
        <v>445.74835898460924</v>
      </c>
      <c r="J2551">
        <v>1556.86666666667</v>
      </c>
      <c r="K2551" t="s">
        <v>18</v>
      </c>
      <c r="L2551">
        <f>J2551/_xlfn.XLOOKUP(Tabla2[[#This Row],[Unidad de precio]],Tabla3[Medida],Tabla3[Equivalencia en Kg],"ELVIS",0)</f>
        <v>34.322457378013006</v>
      </c>
      <c r="M2551">
        <v>9059.4442114895992</v>
      </c>
      <c r="N2551" s="2">
        <f>(Tabla2[[#This Row],[Productividad (kg/TAS)]]*Tabla2[[#This Row],[Precio por kg]]-Tabla2[[#This Row],[Costos (En RD$/Tarea)]])</f>
        <v>6239.7348410788927</v>
      </c>
      <c r="O2551" s="6">
        <f>IF(Tabla2[[#This Row],[Costos (En RD$/Tarea)]]=0,0,Tabla2[[#This Row],[Beneficio Neto  (En RD$/Tarea)]]/Tabla2[[#This Row],[Costos (En RD$/Tarea)]])</f>
        <v>0.68875470673635553</v>
      </c>
      <c r="P2551" s="4">
        <f>Tabla2[[#This Row],[Rentabilidad (%)]]/12</f>
        <v>5.7396225561362958E-2</v>
      </c>
    </row>
    <row r="2552" spans="1:16" x14ac:dyDescent="0.35">
      <c r="A2552" s="1">
        <v>42979</v>
      </c>
      <c r="B2552" t="s">
        <v>25</v>
      </c>
      <c r="C2552" s="2">
        <v>30124</v>
      </c>
      <c r="D2552" s="5" t="s">
        <v>17</v>
      </c>
      <c r="E2552" s="2">
        <f>IF(Tabla2[[#This Row],[Frecuencia]]="Annual", Tabla2[[#This Row],[Cosecha/Tarea]]/12,Tabla2[[#This Row],[Cosecha/Tarea]])</f>
        <v>30124</v>
      </c>
      <c r="F2552" s="2">
        <v>325488</v>
      </c>
      <c r="G2552" t="s">
        <v>18</v>
      </c>
      <c r="H2552">
        <f>F2552/Tabla2[[#This Row],[Cosecha Mensual]]</f>
        <v>10.804939583056699</v>
      </c>
      <c r="I2552">
        <f>H2552*_xlfn.XLOOKUP(Tabla2[[#This Row],[Unidad de producción]],Tabla3[Medida],Tabla3[Equivalencia en Kg],"ELVIS",0)</f>
        <v>490.11205948745186</v>
      </c>
      <c r="J2552">
        <v>463.0390625</v>
      </c>
      <c r="K2552" t="s">
        <v>18</v>
      </c>
      <c r="L2552">
        <f>J2552/_xlfn.XLOOKUP(Tabla2[[#This Row],[Unidad de precio]],Tabla3[Medida],Tabla3[Equivalencia en Kg],"ELVIS",0)</f>
        <v>10.208092206790123</v>
      </c>
      <c r="M2552">
        <v>4667.2658565265501</v>
      </c>
      <c r="N2552" s="2">
        <f>(Tabla2[[#This Row],[Productividad (kg/TAS)]]*Tabla2[[#This Row],[Precio por kg]]-Tabla2[[#This Row],[Costos (En RD$/Tarea)]])</f>
        <v>335.84323838116416</v>
      </c>
      <c r="O2552" s="6">
        <f>IF(Tabla2[[#This Row],[Costos (En RD$/Tarea)]]=0,0,Tabla2[[#This Row],[Beneficio Neto  (En RD$/Tarea)]]/Tabla2[[#This Row],[Costos (En RD$/Tarea)]])</f>
        <v>7.1957169080379704E-2</v>
      </c>
      <c r="P2552" s="4">
        <f>Tabla2[[#This Row],[Rentabilidad (%)]]/12</f>
        <v>5.9964307566983087E-3</v>
      </c>
    </row>
    <row r="2553" spans="1:16" x14ac:dyDescent="0.35">
      <c r="A2553" s="1">
        <v>42979</v>
      </c>
      <c r="B2553" t="s">
        <v>26</v>
      </c>
      <c r="C2553" s="2">
        <v>10214</v>
      </c>
      <c r="D2553" s="5" t="s">
        <v>17</v>
      </c>
      <c r="E2553" s="2">
        <f>IF(Tabla2[[#This Row],[Frecuencia]]="Annual", Tabla2[[#This Row],[Cosecha/Tarea]]/12,Tabla2[[#This Row],[Cosecha/Tarea]])</f>
        <v>10214</v>
      </c>
      <c r="F2553" s="2">
        <v>62154</v>
      </c>
      <c r="G2553" t="s">
        <v>18</v>
      </c>
      <c r="H2553">
        <f>F2553/Tabla2[[#This Row],[Cosecha Mensual]]</f>
        <v>6.0851772077540627</v>
      </c>
      <c r="I2553">
        <f>H2553*_xlfn.XLOOKUP(Tabla2[[#This Row],[Unidad de producción]],Tabla3[Medida],Tabla3[Equivalencia en Kg],"ELVIS",0)</f>
        <v>276.02363814372427</v>
      </c>
      <c r="J2553">
        <v>779.66752499999996</v>
      </c>
      <c r="K2553" t="s">
        <v>18</v>
      </c>
      <c r="L2553">
        <f>J2553/_xlfn.XLOOKUP(Tabla2[[#This Row],[Unidad de precio]],Tabla3[Medida],Tabla3[Equivalencia en Kg],"ELVIS",0)</f>
        <v>17.188437499999999</v>
      </c>
      <c r="M2553">
        <v>1810.9755302292599</v>
      </c>
      <c r="N2553" s="2">
        <f>(Tabla2[[#This Row],[Productividad (kg/TAS)]]*Tabla2[[#This Row],[Precio por kg]]-Tabla2[[#This Row],[Costos (En RD$/Tarea)]])</f>
        <v>2933.4395225267608</v>
      </c>
      <c r="O2553" s="6">
        <f>IF(Tabla2[[#This Row],[Costos (En RD$/Tarea)]]=0,0,Tabla2[[#This Row],[Beneficio Neto  (En RD$/Tarea)]]/Tabla2[[#This Row],[Costos (En RD$/Tarea)]])</f>
        <v>1.6198117940088361</v>
      </c>
      <c r="P2553" s="4">
        <f>Tabla2[[#This Row],[Rentabilidad (%)]]/12</f>
        <v>0.134984316167403</v>
      </c>
    </row>
    <row r="2554" spans="1:16" x14ac:dyDescent="0.35">
      <c r="A2554" s="1">
        <v>42979</v>
      </c>
      <c r="B2554" t="s">
        <v>27</v>
      </c>
      <c r="C2554" s="2">
        <v>3925</v>
      </c>
      <c r="D2554" s="5" t="s">
        <v>17</v>
      </c>
      <c r="E2554" s="2">
        <f>IF(Tabla2[[#This Row],[Frecuencia]]="Annual", Tabla2[[#This Row],[Cosecha/Tarea]]/12,Tabla2[[#This Row],[Cosecha/Tarea]])</f>
        <v>3925</v>
      </c>
      <c r="F2554" s="2">
        <v>36214</v>
      </c>
      <c r="G2554" t="s">
        <v>18</v>
      </c>
      <c r="H2554">
        <f>F2554/Tabla2[[#This Row],[Cosecha Mensual]]</f>
        <v>9.2264968152866249</v>
      </c>
      <c r="I2554">
        <f>H2554*_xlfn.XLOOKUP(Tabla2[[#This Row],[Unidad de producción]],Tabla3[Medida],Tabla3[Equivalencia en Kg],"ELVIS",0)</f>
        <v>418.51389554140133</v>
      </c>
      <c r="J2554">
        <v>766.72529761904798</v>
      </c>
      <c r="K2554" t="s">
        <v>18</v>
      </c>
      <c r="L2554">
        <f>J2554/_xlfn.XLOOKUP(Tabla2[[#This Row],[Unidad de precio]],Tabla3[Medida],Tabla3[Equivalencia en Kg],"ELVIS",0)</f>
        <v>16.903115026874957</v>
      </c>
      <c r="M2554">
        <v>8788.4318764689997</v>
      </c>
      <c r="N2554" s="2">
        <f>(Tabla2[[#This Row],[Productividad (kg/TAS)]]*Tabla2[[#This Row],[Precio por kg]]-Tabla2[[#This Row],[Costos (En RD$/Tarea)]])</f>
        <v>-1714.2433597871632</v>
      </c>
      <c r="O2554" s="6">
        <f>IF(Tabla2[[#This Row],[Costos (En RD$/Tarea)]]=0,0,Tabla2[[#This Row],[Beneficio Neto  (En RD$/Tarea)]]/Tabla2[[#This Row],[Costos (En RD$/Tarea)]])</f>
        <v>-0.19505679555610422</v>
      </c>
      <c r="P2554" s="4">
        <f>Tabla2[[#This Row],[Rentabilidad (%)]]/12</f>
        <v>-1.6254732963008684E-2</v>
      </c>
    </row>
    <row r="2555" spans="1:16" x14ac:dyDescent="0.35">
      <c r="A2555" s="1">
        <v>42979</v>
      </c>
      <c r="B2555" t="s">
        <v>28</v>
      </c>
      <c r="C2555" s="2">
        <v>72144</v>
      </c>
      <c r="D2555" s="5" t="s">
        <v>17</v>
      </c>
      <c r="E2555" s="2">
        <f>IF(Tabla2[[#This Row],[Frecuencia]]="Annual", Tabla2[[#This Row],[Cosecha/Tarea]]/12,Tabla2[[#This Row],[Cosecha/Tarea]])</f>
        <v>72144</v>
      </c>
      <c r="F2555" s="2">
        <v>1625844</v>
      </c>
      <c r="G2555" t="s">
        <v>18</v>
      </c>
      <c r="H2555">
        <f>F2555/Tabla2[[#This Row],[Cosecha Mensual]]</f>
        <v>22.536094477711245</v>
      </c>
      <c r="I2555">
        <f>H2555*_xlfn.XLOOKUP(Tabla2[[#This Row],[Unidad de producción]],Tabla3[Medida],Tabla3[Equivalencia en Kg],"ELVIS",0)</f>
        <v>1022.237245508982</v>
      </c>
      <c r="J2555">
        <v>6349.9409999999998</v>
      </c>
      <c r="K2555" t="s">
        <v>29</v>
      </c>
      <c r="L2555">
        <f>J2555/_xlfn.XLOOKUP(Tabla2[[#This Row],[Unidad de precio]],Tabla3[Medida],Tabla3[Equivalencia en Kg],"ELVIS",0)</f>
        <v>11.29199594551339</v>
      </c>
      <c r="M2555">
        <v>7106.9649214587198</v>
      </c>
      <c r="N2555" s="2">
        <f>(Tabla2[[#This Row],[Productividad (kg/TAS)]]*Tabla2[[#This Row],[Precio por kg]]-Tabla2[[#This Row],[Costos (En RD$/Tarea)]])</f>
        <v>4436.133910181482</v>
      </c>
      <c r="O2555" s="6">
        <f>IF(Tabla2[[#This Row],[Costos (En RD$/Tarea)]]=0,0,Tabla2[[#This Row],[Beneficio Neto  (En RD$/Tarea)]]/Tabla2[[#This Row],[Costos (En RD$/Tarea)]])</f>
        <v>0.62419527311680556</v>
      </c>
      <c r="P2555" s="4">
        <f>Tabla2[[#This Row],[Rentabilidad (%)]]/12</f>
        <v>5.2016272759733799E-2</v>
      </c>
    </row>
    <row r="2556" spans="1:16" x14ac:dyDescent="0.35">
      <c r="A2556" s="1">
        <v>42979</v>
      </c>
      <c r="B2556" t="s">
        <v>30</v>
      </c>
      <c r="C2556" s="2">
        <v>415125</v>
      </c>
      <c r="D2556" s="2" t="s">
        <v>31</v>
      </c>
      <c r="E2556" s="2">
        <f>IF(Tabla2[[#This Row],[Frecuencia]]="Annual", Tabla2[[#This Row],[Cosecha/Tarea]]/12,Tabla2[[#This Row],[Cosecha/Tarea]])</f>
        <v>34593.75</v>
      </c>
      <c r="F2556" s="2">
        <v>1980612.6</v>
      </c>
      <c r="G2556" t="s">
        <v>18</v>
      </c>
      <c r="H2556">
        <f>F2556/Tabla2[[#This Row],[Cosecha Mensual]]</f>
        <v>57.253480758807591</v>
      </c>
      <c r="I2556">
        <f>H2556*_xlfn.XLOOKUP(Tabla2[[#This Row],[Unidad de producción]],Tabla3[Medida],Tabla3[Equivalencia en Kg],"ELVIS",0)</f>
        <v>2597.0178872195124</v>
      </c>
      <c r="J2556">
        <v>142.96488095238101</v>
      </c>
      <c r="K2556" t="s">
        <v>32</v>
      </c>
      <c r="L2556">
        <f>J2556/_xlfn.XLOOKUP(Tabla2[[#This Row],[Unidad de precio]],Tabla3[Medida],Tabla3[Equivalencia en Kg],"ELVIS",0)</f>
        <v>5.2541301342293645</v>
      </c>
      <c r="M2556" s="2">
        <v>32851.801352371498</v>
      </c>
      <c r="N2556" s="2">
        <f>(Tabla2[[#This Row],[Productividad (kg/TAS)]]*Tabla2[[#This Row],[Precio por kg]]-Tabla2[[#This Row],[Costos (En RD$/Tarea)]])</f>
        <v>-19206.731411998779</v>
      </c>
      <c r="O2556" s="6">
        <f>IF(Tabla2[[#This Row],[Costos (En RD$/Tarea)]]=0,0,Tabla2[[#This Row],[Beneficio Neto  (En RD$/Tarea)]]/Tabla2[[#This Row],[Costos (En RD$/Tarea)]])</f>
        <v>-0.58464773989059471</v>
      </c>
      <c r="P2556" s="4">
        <f>Tabla2[[#This Row],[Rentabilidad (%)]]/12</f>
        <v>-4.872064499088289E-2</v>
      </c>
    </row>
    <row r="2557" spans="1:16" x14ac:dyDescent="0.35">
      <c r="A2557" s="1">
        <v>42979</v>
      </c>
      <c r="B2557" t="s">
        <v>33</v>
      </c>
      <c r="C2557" s="2">
        <v>710245</v>
      </c>
      <c r="D2557" s="2" t="s">
        <v>31</v>
      </c>
      <c r="E2557" s="2">
        <f>IF(Tabla2[[#This Row],[Frecuencia]]="Annual", Tabla2[[#This Row],[Cosecha/Tarea]]/12,Tabla2[[#This Row],[Cosecha/Tarea]])</f>
        <v>59187.083333333336</v>
      </c>
      <c r="F2557" s="2">
        <v>1786932</v>
      </c>
      <c r="G2557" t="s">
        <v>18</v>
      </c>
      <c r="H2557">
        <f>F2557/Tabla2[[#This Row],[Cosecha Mensual]]</f>
        <v>30.191249498412517</v>
      </c>
      <c r="I2557">
        <f>H2557*_xlfn.XLOOKUP(Tabla2[[#This Row],[Unidad de producción]],Tabla3[Medida],Tabla3[Equivalencia en Kg],"ELVIS",0)</f>
        <v>1369.4750772479917</v>
      </c>
      <c r="J2557">
        <v>5034.1607142857201</v>
      </c>
      <c r="K2557" t="s">
        <v>34</v>
      </c>
      <c r="L2557">
        <f>J2557/_xlfn.XLOOKUP(Tabla2[[#This Row],[Unidad de precio]],Tabla3[Medida],Tabla3[Equivalencia en Kg],"ELVIS",0)</f>
        <v>12.334094608074777</v>
      </c>
      <c r="M2557" s="2">
        <v>21460.483889989398</v>
      </c>
      <c r="N2557" s="2">
        <f>(Tabla2[[#This Row],[Productividad (kg/TAS)]]*Tabla2[[#This Row],[Precio por kg]]-Tabla2[[#This Row],[Costos (En RD$/Tarea)]])</f>
        <v>-4569.2487238121539</v>
      </c>
      <c r="O2557" s="6">
        <f>IF(Tabla2[[#This Row],[Costos (En RD$/Tarea)]]=0,0,Tabla2[[#This Row],[Beneficio Neto  (En RD$/Tarea)]]/Tabla2[[#This Row],[Costos (En RD$/Tarea)]])</f>
        <v>-0.21291452453891574</v>
      </c>
      <c r="P2557" s="4">
        <f>Tabla2[[#This Row],[Rentabilidad (%)]]/12</f>
        <v>-1.7742877044909646E-2</v>
      </c>
    </row>
    <row r="2558" spans="1:16" x14ac:dyDescent="0.35">
      <c r="A2558" s="1">
        <v>43009</v>
      </c>
      <c r="B2558" t="s">
        <v>16</v>
      </c>
      <c r="C2558" s="2">
        <v>521044</v>
      </c>
      <c r="D2558" s="5" t="s">
        <v>17</v>
      </c>
      <c r="E2558" s="2">
        <f>IF(Tabla2[[#This Row],[Frecuencia]]="Annual", Tabla2[[#This Row],[Cosecha/Tarea]]/12,Tabla2[[#This Row],[Cosecha/Tarea]])</f>
        <v>521044</v>
      </c>
      <c r="F2558" s="2">
        <v>2159650</v>
      </c>
      <c r="G2558" t="s">
        <v>18</v>
      </c>
      <c r="H2558">
        <f>F2558/Tabla2[[#This Row],[Cosecha Mensual]]</f>
        <v>4.1448514904691347</v>
      </c>
      <c r="I2558">
        <f>H2558*_xlfn.XLOOKUP(Tabla2[[#This Row],[Unidad de producción]],Tabla3[Medida],Tabla3[Equivalencia en Kg],"ELVIS",0)</f>
        <v>188.01046360767995</v>
      </c>
      <c r="J2558">
        <v>2018.92202511918</v>
      </c>
      <c r="K2558" t="s">
        <v>19</v>
      </c>
      <c r="L2558">
        <f>J2558/_xlfn.XLOOKUP(Tabla2[[#This Row],[Unidad de precio]],Tabla3[Medida],Tabla3[Equivalencia en Kg],"ELVIS",0)</f>
        <v>18.353836591992547</v>
      </c>
      <c r="M2558">
        <v>6064.2164945385503</v>
      </c>
      <c r="N2558" s="2">
        <f>(Tabla2[[#This Row],[Productividad (kg/TAS)]]*Tabla2[[#This Row],[Precio por kg]]-Tabla2[[#This Row],[Costos (En RD$/Tarea)]])</f>
        <v>-2613.503167898431</v>
      </c>
      <c r="O2558" s="6">
        <f>IF(Tabla2[[#This Row],[Costos (En RD$/Tarea)]]=0,0,Tabla2[[#This Row],[Beneficio Neto  (En RD$/Tarea)]]/Tabla2[[#This Row],[Costos (En RD$/Tarea)]])</f>
        <v>-0.43097128380099209</v>
      </c>
      <c r="P2558" s="4">
        <f>Tabla2[[#This Row],[Rentabilidad (%)]]/12</f>
        <v>-3.5914273650082672E-2</v>
      </c>
    </row>
    <row r="2559" spans="1:16" x14ac:dyDescent="0.35">
      <c r="A2559" s="1">
        <v>43009</v>
      </c>
      <c r="B2559" t="s">
        <v>20</v>
      </c>
      <c r="C2559" s="2">
        <v>31204</v>
      </c>
      <c r="D2559" s="5" t="s">
        <v>17</v>
      </c>
      <c r="E2559" s="2">
        <f>IF(Tabla2[[#This Row],[Frecuencia]]="Annual", Tabla2[[#This Row],[Cosecha/Tarea]]/12,Tabla2[[#This Row],[Cosecha/Tarea]])</f>
        <v>31204</v>
      </c>
      <c r="F2559" s="2">
        <v>79584</v>
      </c>
      <c r="G2559" t="s">
        <v>18</v>
      </c>
      <c r="H2559">
        <f>F2559/Tabla2[[#This Row],[Cosecha Mensual]]</f>
        <v>2.5504422509934623</v>
      </c>
      <c r="I2559">
        <f>H2559*_xlfn.XLOOKUP(Tabla2[[#This Row],[Unidad de producción]],Tabla3[Medida],Tabla3[Equivalencia en Kg],"ELVIS",0)</f>
        <v>115.68806050506345</v>
      </c>
      <c r="J2559">
        <v>809.69270833333303</v>
      </c>
      <c r="K2559" t="s">
        <v>18</v>
      </c>
      <c r="L2559">
        <f>J2559/_xlfn.XLOOKUP(Tabla2[[#This Row],[Unidad de precio]],Tabla3[Medida],Tabla3[Equivalencia en Kg],"ELVIS",0)</f>
        <v>17.850368349500286</v>
      </c>
      <c r="M2559">
        <v>2479.0864296156001</v>
      </c>
      <c r="N2559" s="2">
        <f>(Tabla2[[#This Row],[Productividad (kg/TAS)]]*Tabla2[[#This Row],[Precio por kg]]-Tabla2[[#This Row],[Costos (En RD$/Tarea)]])</f>
        <v>-414.01193596094163</v>
      </c>
      <c r="O2559" s="6">
        <f>IF(Tabla2[[#This Row],[Costos (En RD$/Tarea)]]=0,0,Tabla2[[#This Row],[Beneficio Neto  (En RD$/Tarea)]]/Tabla2[[#This Row],[Costos (En RD$/Tarea)]])</f>
        <v>-0.16700181607832734</v>
      </c>
      <c r="P2559" s="4">
        <f>Tabla2[[#This Row],[Rentabilidad (%)]]/12</f>
        <v>-1.3916818006527278E-2</v>
      </c>
    </row>
    <row r="2560" spans="1:16" x14ac:dyDescent="0.35">
      <c r="A2560" s="1">
        <v>43009</v>
      </c>
      <c r="B2560" t="s">
        <v>21</v>
      </c>
      <c r="C2560" s="2">
        <v>6672</v>
      </c>
      <c r="D2560" s="5" t="s">
        <v>17</v>
      </c>
      <c r="E2560" s="2">
        <f>IF(Tabla2[[#This Row],[Frecuencia]]="Annual", Tabla2[[#This Row],[Cosecha/Tarea]]/12,Tabla2[[#This Row],[Cosecha/Tarea]])</f>
        <v>6672</v>
      </c>
      <c r="F2560" s="2">
        <v>85886</v>
      </c>
      <c r="G2560" t="s">
        <v>18</v>
      </c>
      <c r="H2560">
        <f>F2560/Tabla2[[#This Row],[Cosecha Mensual]]</f>
        <v>12.872601918465227</v>
      </c>
      <c r="I2560">
        <f>H2560*_xlfn.XLOOKUP(Tabla2[[#This Row],[Unidad de producción]],Tabla3[Medida],Tabla3[Equivalencia en Kg],"ELVIS",0)</f>
        <v>583.90122302158272</v>
      </c>
      <c r="J2560">
        <v>420.65639880952398</v>
      </c>
      <c r="K2560" t="s">
        <v>18</v>
      </c>
      <c r="L2560">
        <f>J2560/_xlfn.XLOOKUP(Tabla2[[#This Row],[Unidad de precio]],Tabla3[Medida],Tabla3[Equivalencia en Kg],"ELVIS",0)</f>
        <v>9.2737301324850971</v>
      </c>
      <c r="M2560">
        <v>5064.8045077463803</v>
      </c>
      <c r="N2560" s="2">
        <f>(Tabla2[[#This Row],[Productividad (kg/TAS)]]*Tabla2[[#This Row],[Precio por kg]]-Tabla2[[#This Row],[Costos (En RD$/Tarea)]])</f>
        <v>350.13785858377196</v>
      </c>
      <c r="O2560" s="6">
        <f>IF(Tabla2[[#This Row],[Costos (En RD$/Tarea)]]=0,0,Tabla2[[#This Row],[Beneficio Neto  (En RD$/Tarea)]]/Tabla2[[#This Row],[Costos (En RD$/Tarea)]])</f>
        <v>6.9131564317685426E-2</v>
      </c>
      <c r="P2560" s="4">
        <f>Tabla2[[#This Row],[Rentabilidad (%)]]/12</f>
        <v>5.7609636931404522E-3</v>
      </c>
    </row>
    <row r="2561" spans="1:16" x14ac:dyDescent="0.35">
      <c r="A2561" s="1">
        <v>43009</v>
      </c>
      <c r="B2561" t="s">
        <v>22</v>
      </c>
      <c r="C2561" s="2">
        <v>3501</v>
      </c>
      <c r="D2561" s="5" t="s">
        <v>17</v>
      </c>
      <c r="E2561" s="2">
        <f>IF(Tabla2[[#This Row],[Frecuencia]]="Annual", Tabla2[[#This Row],[Cosecha/Tarea]]/12,Tabla2[[#This Row],[Cosecha/Tarea]])</f>
        <v>3501</v>
      </c>
      <c r="F2561" s="2">
        <v>37895</v>
      </c>
      <c r="G2561" t="s">
        <v>18</v>
      </c>
      <c r="H2561">
        <f>F2561/Tabla2[[#This Row],[Cosecha Mensual]]</f>
        <v>10.824050271351043</v>
      </c>
      <c r="I2561">
        <f>H2561*_xlfn.XLOOKUP(Tabla2[[#This Row],[Unidad de producción]],Tabla3[Medida],Tabla3[Equivalencia en Kg],"ELVIS",0)</f>
        <v>490.97892030848328</v>
      </c>
      <c r="J2561">
        <v>1903.95875</v>
      </c>
      <c r="K2561" t="s">
        <v>18</v>
      </c>
      <c r="L2561">
        <f>J2561/_xlfn.XLOOKUP(Tabla2[[#This Row],[Unidad de precio]],Tabla3[Medida],Tabla3[Equivalencia en Kg],"ELVIS",0)</f>
        <v>41.974399250440918</v>
      </c>
      <c r="M2561">
        <v>9358.7144173845209</v>
      </c>
      <c r="N2561" s="2">
        <f>(Tabla2[[#This Row],[Productividad (kg/TAS)]]*Tabla2[[#This Row],[Precio por kg]]-Tabla2[[#This Row],[Costos (En RD$/Tarea)]])</f>
        <v>11249.83080719417</v>
      </c>
      <c r="O2561" s="6">
        <f>IF(Tabla2[[#This Row],[Costos (En RD$/Tarea)]]=0,0,Tabla2[[#This Row],[Beneficio Neto  (En RD$/Tarea)]]/Tabla2[[#This Row],[Costos (En RD$/Tarea)]])</f>
        <v>1.2020701033783825</v>
      </c>
      <c r="P2561" s="4">
        <f>Tabla2[[#This Row],[Rentabilidad (%)]]/12</f>
        <v>0.10017250861486521</v>
      </c>
    </row>
    <row r="2562" spans="1:16" x14ac:dyDescent="0.35">
      <c r="A2562" s="1">
        <v>43009</v>
      </c>
      <c r="B2562" t="s">
        <v>23</v>
      </c>
      <c r="C2562" s="2">
        <v>3799</v>
      </c>
      <c r="D2562" s="5" t="s">
        <v>17</v>
      </c>
      <c r="E2562" s="2">
        <f>IF(Tabla2[[#This Row],[Frecuencia]]="Annual", Tabla2[[#This Row],[Cosecha/Tarea]]/12,Tabla2[[#This Row],[Cosecha/Tarea]])</f>
        <v>3799</v>
      </c>
      <c r="F2562" s="2">
        <v>152989</v>
      </c>
      <c r="G2562" t="s">
        <v>18</v>
      </c>
      <c r="H2562">
        <f>F2562/Tabla2[[#This Row],[Cosecha Mensual]]</f>
        <v>40.270860752829691</v>
      </c>
      <c r="I2562">
        <f>H2562*_xlfn.XLOOKUP(Tabla2[[#This Row],[Unidad de producción]],Tabla3[Medida],Tabla3[Equivalencia en Kg],"ELVIS",0)</f>
        <v>1826.6862437483549</v>
      </c>
      <c r="J2562">
        <v>906.25</v>
      </c>
      <c r="K2562" t="s">
        <v>18</v>
      </c>
      <c r="L2562">
        <f>J2562/_xlfn.XLOOKUP(Tabla2[[#This Row],[Unidad de precio]],Tabla3[Medida],Tabla3[Equivalencia en Kg],"ELVIS",0)</f>
        <v>19.979056437389772</v>
      </c>
      <c r="M2562">
        <v>23497.681152818699</v>
      </c>
      <c r="N2562" s="2">
        <f>(Tabla2[[#This Row],[Productividad (kg/TAS)]]*Tabla2[[#This Row],[Precio por kg]]-Tabla2[[#This Row],[Costos (En RD$/Tarea)]])</f>
        <v>12997.786404433213</v>
      </c>
      <c r="O2562" s="6">
        <f>IF(Tabla2[[#This Row],[Costos (En RD$/Tarea)]]=0,0,Tabla2[[#This Row],[Beneficio Neto  (En RD$/Tarea)]]/Tabla2[[#This Row],[Costos (En RD$/Tarea)]])</f>
        <v>0.55315187570642665</v>
      </c>
      <c r="P2562" s="4">
        <f>Tabla2[[#This Row],[Rentabilidad (%)]]/12</f>
        <v>4.6095989642202219E-2</v>
      </c>
    </row>
    <row r="2563" spans="1:16" x14ac:dyDescent="0.35">
      <c r="A2563" s="1">
        <v>43009</v>
      </c>
      <c r="B2563" t="s">
        <v>24</v>
      </c>
      <c r="C2563" s="2">
        <v>5499</v>
      </c>
      <c r="D2563" s="5" t="s">
        <v>17</v>
      </c>
      <c r="E2563" s="2">
        <f>IF(Tabla2[[#This Row],[Frecuencia]]="Annual", Tabla2[[#This Row],[Cosecha/Tarea]]/12,Tabla2[[#This Row],[Cosecha/Tarea]])</f>
        <v>5499</v>
      </c>
      <c r="F2563" s="2">
        <v>56987</v>
      </c>
      <c r="G2563" t="s">
        <v>18</v>
      </c>
      <c r="H2563">
        <f>F2563/Tabla2[[#This Row],[Cosecha Mensual]]</f>
        <v>10.363156937625023</v>
      </c>
      <c r="I2563">
        <f>H2563*_xlfn.XLOOKUP(Tabla2[[#This Row],[Unidad de producción]],Tabla3[Medida],Tabla3[Equivalencia en Kg],"ELVIS",0)</f>
        <v>470.07279869067105</v>
      </c>
      <c r="J2563">
        <v>2014.8402777777801</v>
      </c>
      <c r="K2563" t="s">
        <v>18</v>
      </c>
      <c r="L2563">
        <f>J2563/_xlfn.XLOOKUP(Tabla2[[#This Row],[Unidad de precio]],Tabla3[Medida],Tabla3[Equivalencia en Kg],"ELVIS",0)</f>
        <v>44.418877376053352</v>
      </c>
      <c r="M2563">
        <v>9059.4442114895992</v>
      </c>
      <c r="N2563" s="2">
        <f>(Tabla2[[#This Row],[Productividad (kg/TAS)]]*Tabla2[[#This Row],[Precio por kg]]-Tabla2[[#This Row],[Costos (En RD$/Tarea)]])</f>
        <v>11820.661791369532</v>
      </c>
      <c r="O2563" s="6">
        <f>IF(Tabla2[[#This Row],[Costos (En RD$/Tarea)]]=0,0,Tabla2[[#This Row],[Beneficio Neto  (En RD$/Tarea)]]/Tabla2[[#This Row],[Costos (En RD$/Tarea)]])</f>
        <v>1.3047888496711566</v>
      </c>
      <c r="P2563" s="4">
        <f>Tabla2[[#This Row],[Rentabilidad (%)]]/12</f>
        <v>0.10873240413926305</v>
      </c>
    </row>
    <row r="2564" spans="1:16" x14ac:dyDescent="0.35">
      <c r="A2564" s="1">
        <v>43009</v>
      </c>
      <c r="B2564" t="s">
        <v>25</v>
      </c>
      <c r="C2564" s="2">
        <v>32545</v>
      </c>
      <c r="D2564" s="5" t="s">
        <v>17</v>
      </c>
      <c r="E2564" s="2">
        <f>IF(Tabla2[[#This Row],[Frecuencia]]="Annual", Tabla2[[#This Row],[Cosecha/Tarea]]/12,Tabla2[[#This Row],[Cosecha/Tarea]])</f>
        <v>32545</v>
      </c>
      <c r="F2564" s="2">
        <v>342014</v>
      </c>
      <c r="G2564" t="s">
        <v>18</v>
      </c>
      <c r="H2564">
        <f>F2564/Tabla2[[#This Row],[Cosecha Mensual]]</f>
        <v>10.508956829005992</v>
      </c>
      <c r="I2564">
        <f>H2564*_xlfn.XLOOKUP(Tabla2[[#This Row],[Unidad de producción]],Tabla3[Medida],Tabla3[Equivalencia en Kg],"ELVIS",0)</f>
        <v>476.6862817637118</v>
      </c>
      <c r="J2564">
        <v>509.373046875</v>
      </c>
      <c r="K2564" t="s">
        <v>18</v>
      </c>
      <c r="L2564">
        <f>J2564/_xlfn.XLOOKUP(Tabla2[[#This Row],[Unidad de precio]],Tabla3[Medida],Tabla3[Equivalencia en Kg],"ELVIS",0)</f>
        <v>11.229564525462964</v>
      </c>
      <c r="M2564">
        <v>4667.2658565265501</v>
      </c>
      <c r="N2564" s="2">
        <f>(Tabla2[[#This Row],[Productividad (kg/TAS)]]*Tabla2[[#This Row],[Precio por kg]]-Tabla2[[#This Row],[Costos (En RD$/Tarea)]])</f>
        <v>685.71350294207059</v>
      </c>
      <c r="O2564" s="6">
        <f>IF(Tabla2[[#This Row],[Costos (En RD$/Tarea)]]=0,0,Tabla2[[#This Row],[Beneficio Neto  (En RD$/Tarea)]]/Tabla2[[#This Row],[Costos (En RD$/Tarea)]])</f>
        <v>0.14691974359746221</v>
      </c>
      <c r="P2564" s="4">
        <f>Tabla2[[#This Row],[Rentabilidad (%)]]/12</f>
        <v>1.2243311966455185E-2</v>
      </c>
    </row>
    <row r="2565" spans="1:16" x14ac:dyDescent="0.35">
      <c r="A2565" s="1">
        <v>43009</v>
      </c>
      <c r="B2565" t="s">
        <v>26</v>
      </c>
      <c r="C2565" s="2">
        <v>9521</v>
      </c>
      <c r="D2565" s="5" t="s">
        <v>17</v>
      </c>
      <c r="E2565" s="2">
        <f>IF(Tabla2[[#This Row],[Frecuencia]]="Annual", Tabla2[[#This Row],[Cosecha/Tarea]]/12,Tabla2[[#This Row],[Cosecha/Tarea]])</f>
        <v>9521</v>
      </c>
      <c r="F2565" s="2">
        <v>60124</v>
      </c>
      <c r="G2565" t="s">
        <v>18</v>
      </c>
      <c r="H2565">
        <f>F2565/Tabla2[[#This Row],[Cosecha Mensual]]</f>
        <v>6.3148828904526839</v>
      </c>
      <c r="I2565">
        <f>H2565*_xlfn.XLOOKUP(Tabla2[[#This Row],[Unidad de producción]],Tabla3[Medida],Tabla3[Equivalencia en Kg],"ELVIS",0)</f>
        <v>286.44308791093374</v>
      </c>
      <c r="J2565">
        <v>828.36458333333303</v>
      </c>
      <c r="K2565" t="s">
        <v>18</v>
      </c>
      <c r="L2565">
        <f>J2565/_xlfn.XLOOKUP(Tabla2[[#This Row],[Unidad de precio]],Tabla3[Medida],Tabla3[Equivalencia en Kg],"ELVIS",0)</f>
        <v>18.262005805408577</v>
      </c>
      <c r="M2565">
        <v>1810.9755302292599</v>
      </c>
      <c r="N2565" s="2">
        <f>(Tabla2[[#This Row],[Productividad (kg/TAS)]]*Tabla2[[#This Row],[Precio por kg]]-Tabla2[[#This Row],[Costos (En RD$/Tarea)]])</f>
        <v>3420.0498041193714</v>
      </c>
      <c r="O2565" s="6">
        <f>IF(Tabla2[[#This Row],[Costos (En RD$/Tarea)]]=0,0,Tabla2[[#This Row],[Beneficio Neto  (En RD$/Tarea)]]/Tabla2[[#This Row],[Costos (En RD$/Tarea)]])</f>
        <v>1.8885124326811922</v>
      </c>
      <c r="P2565" s="4">
        <f>Tabla2[[#This Row],[Rentabilidad (%)]]/12</f>
        <v>0.15737603605676601</v>
      </c>
    </row>
    <row r="2566" spans="1:16" x14ac:dyDescent="0.35">
      <c r="A2566" s="1">
        <v>43009</v>
      </c>
      <c r="B2566" t="s">
        <v>27</v>
      </c>
      <c r="C2566" s="2">
        <v>3214</v>
      </c>
      <c r="D2566" s="5" t="s">
        <v>17</v>
      </c>
      <c r="E2566" s="2">
        <f>IF(Tabla2[[#This Row],[Frecuencia]]="Annual", Tabla2[[#This Row],[Cosecha/Tarea]]/12,Tabla2[[#This Row],[Cosecha/Tarea]])</f>
        <v>3214</v>
      </c>
      <c r="F2566" s="2">
        <v>32547</v>
      </c>
      <c r="G2566" t="s">
        <v>18</v>
      </c>
      <c r="H2566">
        <f>F2566/Tabla2[[#This Row],[Cosecha Mensual]]</f>
        <v>10.126633478531424</v>
      </c>
      <c r="I2566">
        <f>H2566*_xlfn.XLOOKUP(Tabla2[[#This Row],[Unidad de producción]],Tabla3[Medida],Tabla3[Equivalencia en Kg],"ELVIS",0)</f>
        <v>459.34409458618541</v>
      </c>
      <c r="J2566">
        <v>798.23854166666695</v>
      </c>
      <c r="K2566" t="s">
        <v>18</v>
      </c>
      <c r="L2566">
        <f>J2566/_xlfn.XLOOKUP(Tabla2[[#This Row],[Unidad de precio]],Tabla3[Medida],Tabla3[Equivalencia en Kg],"ELVIS",0)</f>
        <v>17.597851447677844</v>
      </c>
      <c r="M2566">
        <v>8788.4318764689997</v>
      </c>
      <c r="N2566" s="2">
        <f>(Tabla2[[#This Row],[Productividad (kg/TAS)]]*Tabla2[[#This Row],[Precio por kg]]-Tabla2[[#This Row],[Costos (En RD$/Tarea)]])</f>
        <v>-704.96273657322854</v>
      </c>
      <c r="O2566" s="6">
        <f>IF(Tabla2[[#This Row],[Costos (En RD$/Tarea)]]=0,0,Tabla2[[#This Row],[Beneficio Neto  (En RD$/Tarea)]]/Tabla2[[#This Row],[Costos (En RD$/Tarea)]])</f>
        <v>-8.0214849074584538E-2</v>
      </c>
      <c r="P2566" s="4">
        <f>Tabla2[[#This Row],[Rentabilidad (%)]]/12</f>
        <v>-6.6845707562153784E-3</v>
      </c>
    </row>
    <row r="2567" spans="1:16" x14ac:dyDescent="0.35">
      <c r="A2567" s="1">
        <v>43009</v>
      </c>
      <c r="B2567" t="s">
        <v>28</v>
      </c>
      <c r="C2567" s="2">
        <v>79854</v>
      </c>
      <c r="D2567" s="5" t="s">
        <v>17</v>
      </c>
      <c r="E2567" s="2">
        <f>IF(Tabla2[[#This Row],[Frecuencia]]="Annual", Tabla2[[#This Row],[Cosecha/Tarea]]/12,Tabla2[[#This Row],[Cosecha/Tarea]])</f>
        <v>79854</v>
      </c>
      <c r="F2567" s="2">
        <v>1850892</v>
      </c>
      <c r="G2567" t="s">
        <v>18</v>
      </c>
      <c r="H2567">
        <f>F2567/Tabla2[[#This Row],[Cosecha Mensual]]</f>
        <v>23.178450672477272</v>
      </c>
      <c r="I2567">
        <f>H2567*_xlfn.XLOOKUP(Tabla2[[#This Row],[Unidad de producción]],Tabla3[Medida],Tabla3[Equivalencia en Kg],"ELVIS",0)</f>
        <v>1051.3745225035691</v>
      </c>
      <c r="J2567">
        <v>6469.7669999999998</v>
      </c>
      <c r="K2567" t="s">
        <v>29</v>
      </c>
      <c r="L2567">
        <f>J2567/_xlfn.XLOOKUP(Tabla2[[#This Row],[Unidad de precio]],Tabla3[Medida],Tabla3[Equivalencia en Kg],"ELVIS",0)</f>
        <v>11.50508055624711</v>
      </c>
      <c r="M2567">
        <v>7106.9649214587198</v>
      </c>
      <c r="N2567" s="2">
        <f>(Tabla2[[#This Row],[Productividad (kg/TAS)]]*Tabla2[[#This Row],[Precio por kg]]-Tabla2[[#This Row],[Costos (En RD$/Tarea)]])</f>
        <v>4989.1836547306821</v>
      </c>
      <c r="O2567" s="6">
        <f>IF(Tabla2[[#This Row],[Costos (En RD$/Tarea)]]=0,0,Tabla2[[#This Row],[Beneficio Neto  (En RD$/Tarea)]]/Tabla2[[#This Row],[Costos (En RD$/Tarea)]])</f>
        <v>0.70201326584100288</v>
      </c>
      <c r="P2567" s="4">
        <f>Tabla2[[#This Row],[Rentabilidad (%)]]/12</f>
        <v>5.8501105486750242E-2</v>
      </c>
    </row>
    <row r="2568" spans="1:16" x14ac:dyDescent="0.35">
      <c r="A2568" s="1">
        <v>43009</v>
      </c>
      <c r="B2568" t="s">
        <v>30</v>
      </c>
      <c r="C2568" s="2">
        <v>418587</v>
      </c>
      <c r="D2568" s="2" t="s">
        <v>31</v>
      </c>
      <c r="E2568" s="2">
        <f>IF(Tabla2[[#This Row],[Frecuencia]]="Annual", Tabla2[[#This Row],[Cosecha/Tarea]]/12,Tabla2[[#This Row],[Cosecha/Tarea]])</f>
        <v>34882.25</v>
      </c>
      <c r="F2568" s="2">
        <v>2292627</v>
      </c>
      <c r="G2568" t="s">
        <v>18</v>
      </c>
      <c r="H2568">
        <f>F2568/Tabla2[[#This Row],[Cosecha Mensual]]</f>
        <v>65.724745393430752</v>
      </c>
      <c r="I2568">
        <f>H2568*_xlfn.XLOOKUP(Tabla2[[#This Row],[Unidad de producción]],Tabla3[Medida],Tabla3[Equivalencia en Kg],"ELVIS",0)</f>
        <v>2981.2744510460188</v>
      </c>
      <c r="J2568">
        <v>150.770833333333</v>
      </c>
      <c r="K2568" t="s">
        <v>32</v>
      </c>
      <c r="L2568">
        <f>J2568/_xlfn.XLOOKUP(Tabla2[[#This Row],[Unidad de precio]],Tabla3[Medida],Tabla3[Equivalencia en Kg],"ELVIS",0)</f>
        <v>5.5410082077667404</v>
      </c>
      <c r="M2568" s="2">
        <v>32851.801352371498</v>
      </c>
      <c r="N2568" s="2">
        <f>(Tabla2[[#This Row],[Productividad (kg/TAS)]]*Tabla2[[#This Row],[Precio por kg]]-Tabla2[[#This Row],[Costos (En RD$/Tarea)]])</f>
        <v>-16332.535149520223</v>
      </c>
      <c r="O2568" s="6">
        <f>IF(Tabla2[[#This Row],[Costos (En RD$/Tarea)]]=0,0,Tabla2[[#This Row],[Beneficio Neto  (En RD$/Tarea)]]/Tabla2[[#This Row],[Costos (En RD$/Tarea)]])</f>
        <v>-0.49715797847234983</v>
      </c>
      <c r="P2568" s="4">
        <f>Tabla2[[#This Row],[Rentabilidad (%)]]/12</f>
        <v>-4.1429831539362486E-2</v>
      </c>
    </row>
    <row r="2569" spans="1:16" x14ac:dyDescent="0.35">
      <c r="A2569" s="1">
        <v>43009</v>
      </c>
      <c r="B2569" t="s">
        <v>33</v>
      </c>
      <c r="C2569" s="2">
        <v>751022</v>
      </c>
      <c r="D2569" s="2" t="s">
        <v>31</v>
      </c>
      <c r="E2569" s="2">
        <f>IF(Tabla2[[#This Row],[Frecuencia]]="Annual", Tabla2[[#This Row],[Cosecha/Tarea]]/12,Tabla2[[#This Row],[Cosecha/Tarea]])</f>
        <v>62585.166666666664</v>
      </c>
      <c r="F2569" s="2">
        <v>1431918</v>
      </c>
      <c r="G2569" t="s">
        <v>18</v>
      </c>
      <c r="H2569">
        <f>F2569/Tabla2[[#This Row],[Cosecha Mensual]]</f>
        <v>22.879510853210693</v>
      </c>
      <c r="I2569">
        <f>H2569*_xlfn.XLOOKUP(Tabla2[[#This Row],[Unidad de producción]],Tabla3[Medida],Tabla3[Equivalencia en Kg],"ELVIS",0)</f>
        <v>1037.814612301637</v>
      </c>
      <c r="J2569">
        <v>6070.7291666666697</v>
      </c>
      <c r="K2569" t="s">
        <v>34</v>
      </c>
      <c r="L2569">
        <f>J2569/_xlfn.XLOOKUP(Tabla2[[#This Row],[Unidad de precio]],Tabla3[Medida],Tabla3[Equivalencia en Kg],"ELVIS",0)</f>
        <v>14.873769855853658</v>
      </c>
      <c r="M2569" s="2">
        <v>21460.483889989398</v>
      </c>
      <c r="N2569" s="2">
        <f>(Tabla2[[#This Row],[Productividad (kg/TAS)]]*Tabla2[[#This Row],[Precio por kg]]-Tabla2[[#This Row],[Costos (En RD$/Tarea)]])</f>
        <v>-6024.2681935728597</v>
      </c>
      <c r="O2569" s="6">
        <f>IF(Tabla2[[#This Row],[Costos (En RD$/Tarea)]]=0,0,Tabla2[[#This Row],[Beneficio Neto  (En RD$/Tarea)]]/Tabla2[[#This Row],[Costos (En RD$/Tarea)]])</f>
        <v>-0.28071446219267127</v>
      </c>
      <c r="P2569" s="4">
        <f>Tabla2[[#This Row],[Rentabilidad (%)]]/12</f>
        <v>-2.3392871849389273E-2</v>
      </c>
    </row>
    <row r="2570" spans="1:16" x14ac:dyDescent="0.35">
      <c r="A2570" s="1">
        <v>43040</v>
      </c>
      <c r="B2570" t="s">
        <v>16</v>
      </c>
      <c r="C2570" s="2">
        <v>465898</v>
      </c>
      <c r="D2570" s="5" t="s">
        <v>17</v>
      </c>
      <c r="E2570" s="2">
        <f>IF(Tabla2[[#This Row],[Frecuencia]]="Annual", Tabla2[[#This Row],[Cosecha/Tarea]]/12,Tabla2[[#This Row],[Cosecha/Tarea]])</f>
        <v>465898</v>
      </c>
      <c r="F2570" s="2">
        <v>1789989</v>
      </c>
      <c r="G2570" t="s">
        <v>18</v>
      </c>
      <c r="H2570">
        <f>F2570/Tabla2[[#This Row],[Cosecha Mensual]]</f>
        <v>3.8420190685514855</v>
      </c>
      <c r="I2570">
        <f>H2570*_xlfn.XLOOKUP(Tabla2[[#This Row],[Unidad de producción]],Tabla3[Medida],Tabla3[Equivalencia en Kg],"ELVIS",0)</f>
        <v>174.27398494949537</v>
      </c>
      <c r="J2570">
        <v>2051.4770599560002</v>
      </c>
      <c r="K2570" t="s">
        <v>19</v>
      </c>
      <c r="L2570">
        <f>J2570/_xlfn.XLOOKUP(Tabla2[[#This Row],[Unidad de precio]],Tabla3[Medida],Tabla3[Equivalencia en Kg],"ELVIS",0)</f>
        <v>18.649791454145458</v>
      </c>
      <c r="M2570">
        <v>6064.2164945385503</v>
      </c>
      <c r="N2570" s="2">
        <f>(Tabla2[[#This Row],[Productividad (kg/TAS)]]*Tabla2[[#This Row],[Precio por kg]]-Tabla2[[#This Row],[Costos (En RD$/Tarea)]])</f>
        <v>-2814.0430193475772</v>
      </c>
      <c r="O2570" s="6">
        <f>IF(Tabla2[[#This Row],[Costos (En RD$/Tarea)]]=0,0,Tabla2[[#This Row],[Beneficio Neto  (En RD$/Tarea)]]/Tabla2[[#This Row],[Costos (En RD$/Tarea)]])</f>
        <v>-0.4640406591489456</v>
      </c>
      <c r="P2570" s="4">
        <f>Tabla2[[#This Row],[Rentabilidad (%)]]/12</f>
        <v>-3.8670054929078802E-2</v>
      </c>
    </row>
    <row r="2571" spans="1:16" x14ac:dyDescent="0.35">
      <c r="A2571" s="1">
        <v>43040</v>
      </c>
      <c r="B2571" t="s">
        <v>20</v>
      </c>
      <c r="C2571" s="2">
        <v>36987</v>
      </c>
      <c r="D2571" s="5" t="s">
        <v>17</v>
      </c>
      <c r="E2571" s="2">
        <f>IF(Tabla2[[#This Row],[Frecuencia]]="Annual", Tabla2[[#This Row],[Cosecha/Tarea]]/12,Tabla2[[#This Row],[Cosecha/Tarea]])</f>
        <v>36987</v>
      </c>
      <c r="F2571" s="2">
        <v>62169</v>
      </c>
      <c r="G2571" t="s">
        <v>18</v>
      </c>
      <c r="H2571">
        <f>F2571/Tabla2[[#This Row],[Cosecha Mensual]]</f>
        <v>1.6808338064725443</v>
      </c>
      <c r="I2571">
        <f>H2571*_xlfn.XLOOKUP(Tabla2[[#This Row],[Unidad de producción]],Tabla3[Medida],Tabla3[Equivalencia en Kg],"ELVIS",0)</f>
        <v>76.242621461594609</v>
      </c>
      <c r="J2571">
        <v>824.88854166666704</v>
      </c>
      <c r="K2571" t="s">
        <v>18</v>
      </c>
      <c r="L2571">
        <f>J2571/_xlfn.XLOOKUP(Tabla2[[#This Row],[Unidad de precio]],Tabla3[Medida],Tabla3[Equivalencia en Kg],"ELVIS",0)</f>
        <v>18.185373493533223</v>
      </c>
      <c r="M2571">
        <v>2479.0864296156001</v>
      </c>
      <c r="N2571" s="2">
        <f>(Tabla2[[#This Row],[Productividad (kg/TAS)]]*Tabla2[[#This Row],[Precio por kg]]-Tabla2[[#This Row],[Costos (En RD$/Tarea)]])</f>
        <v>-1092.5858822104301</v>
      </c>
      <c r="O2571" s="6">
        <f>IF(Tabla2[[#This Row],[Costos (En RD$/Tarea)]]=0,0,Tabla2[[#This Row],[Beneficio Neto  (En RD$/Tarea)]]/Tabla2[[#This Row],[Costos (En RD$/Tarea)]])</f>
        <v>-0.44072117420280632</v>
      </c>
      <c r="P2571" s="4">
        <f>Tabla2[[#This Row],[Rentabilidad (%)]]/12</f>
        <v>-3.6726764516900524E-2</v>
      </c>
    </row>
    <row r="2572" spans="1:16" x14ac:dyDescent="0.35">
      <c r="A2572" s="1">
        <v>43040</v>
      </c>
      <c r="B2572" t="s">
        <v>21</v>
      </c>
      <c r="C2572" s="2">
        <v>12345</v>
      </c>
      <c r="D2572" s="5" t="s">
        <v>17</v>
      </c>
      <c r="E2572" s="2">
        <f>IF(Tabla2[[#This Row],[Frecuencia]]="Annual", Tabla2[[#This Row],[Cosecha/Tarea]]/12,Tabla2[[#This Row],[Cosecha/Tarea]])</f>
        <v>12345</v>
      </c>
      <c r="F2572" s="2">
        <v>91851</v>
      </c>
      <c r="G2572" t="s">
        <v>18</v>
      </c>
      <c r="H2572">
        <f>F2572/Tabla2[[#This Row],[Cosecha Mensual]]</f>
        <v>7.4403402187120289</v>
      </c>
      <c r="I2572">
        <f>H2572*_xlfn.XLOOKUP(Tabla2[[#This Row],[Unidad de producción]],Tabla3[Medida],Tabla3[Equivalencia en Kg],"ELVIS",0)</f>
        <v>337.49383232077764</v>
      </c>
      <c r="J2572">
        <v>428.96982142857098</v>
      </c>
      <c r="K2572" t="s">
        <v>18</v>
      </c>
      <c r="L2572">
        <f>J2572/_xlfn.XLOOKUP(Tabla2[[#This Row],[Unidad de precio]],Tabla3[Medida],Tabla3[Equivalencia en Kg],"ELVIS",0)</f>
        <v>9.4570066452506829</v>
      </c>
      <c r="M2572">
        <v>5064.8045077463803</v>
      </c>
      <c r="N2572" s="2">
        <f>(Tabla2[[#This Row],[Productividad (kg/TAS)]]*Tabla2[[#This Row],[Precio por kg]]-Tabla2[[#This Row],[Costos (En RD$/Tarea)]])</f>
        <v>-1873.1230927576667</v>
      </c>
      <c r="O2572" s="6">
        <f>IF(Tabla2[[#This Row],[Costos (En RD$/Tarea)]]=0,0,Tabla2[[#This Row],[Beneficio Neto  (En RD$/Tarea)]]/Tabla2[[#This Row],[Costos (En RD$/Tarea)]])</f>
        <v>-0.36983127184727721</v>
      </c>
      <c r="P2572" s="4">
        <f>Tabla2[[#This Row],[Rentabilidad (%)]]/12</f>
        <v>-3.0819272653939769E-2</v>
      </c>
    </row>
    <row r="2573" spans="1:16" x14ac:dyDescent="0.35">
      <c r="A2573" s="1">
        <v>43040</v>
      </c>
      <c r="B2573" t="s">
        <v>22</v>
      </c>
      <c r="C2573" s="2">
        <v>5698</v>
      </c>
      <c r="D2573" s="5" t="s">
        <v>17</v>
      </c>
      <c r="E2573" s="2">
        <f>IF(Tabla2[[#This Row],[Frecuencia]]="Annual", Tabla2[[#This Row],[Cosecha/Tarea]]/12,Tabla2[[#This Row],[Cosecha/Tarea]])</f>
        <v>5698</v>
      </c>
      <c r="F2573" s="2">
        <v>51202</v>
      </c>
      <c r="G2573" t="s">
        <v>18</v>
      </c>
      <c r="H2573">
        <f>F2573/Tabla2[[#This Row],[Cosecha Mensual]]</f>
        <v>8.9859599859599868</v>
      </c>
      <c r="I2573">
        <f>H2573*_xlfn.XLOOKUP(Tabla2[[#This Row],[Unidad de producción]],Tabla3[Medida],Tabla3[Equivalencia en Kg],"ELVIS",0)</f>
        <v>407.60314496314498</v>
      </c>
      <c r="J2573">
        <v>1755.1441666666699</v>
      </c>
      <c r="K2573" t="s">
        <v>18</v>
      </c>
      <c r="L2573">
        <f>J2573/_xlfn.XLOOKUP(Tabla2[[#This Row],[Unidad de precio]],Tabla3[Medida],Tabla3[Equivalencia en Kg],"ELVIS",0)</f>
        <v>38.693654467960094</v>
      </c>
      <c r="M2573">
        <v>9358.7144173845209</v>
      </c>
      <c r="N2573" s="2">
        <f>(Tabla2[[#This Row],[Productividad (kg/TAS)]]*Tabla2[[#This Row],[Precio por kg]]-Tabla2[[#This Row],[Costos (En RD$/Tarea)]])</f>
        <v>6412.9408338732592</v>
      </c>
      <c r="O2573" s="6">
        <f>IF(Tabla2[[#This Row],[Costos (En RD$/Tarea)]]=0,0,Tabla2[[#This Row],[Beneficio Neto  (En RD$/Tarea)]]/Tabla2[[#This Row],[Costos (En RD$/Tarea)]])</f>
        <v>0.68523736785479161</v>
      </c>
      <c r="P2573" s="4">
        <f>Tabla2[[#This Row],[Rentabilidad (%)]]/12</f>
        <v>5.7103113987899301E-2</v>
      </c>
    </row>
    <row r="2574" spans="1:16" x14ac:dyDescent="0.35">
      <c r="A2574" s="1">
        <v>43040</v>
      </c>
      <c r="B2574" t="s">
        <v>23</v>
      </c>
      <c r="C2574" s="2">
        <v>5202</v>
      </c>
      <c r="D2574" s="5" t="s">
        <v>17</v>
      </c>
      <c r="E2574" s="2">
        <f>IF(Tabla2[[#This Row],[Frecuencia]]="Annual", Tabla2[[#This Row],[Cosecha/Tarea]]/12,Tabla2[[#This Row],[Cosecha/Tarea]])</f>
        <v>5202</v>
      </c>
      <c r="F2574" s="2">
        <v>175620</v>
      </c>
      <c r="G2574" t="s">
        <v>18</v>
      </c>
      <c r="H2574">
        <f>F2574/Tabla2[[#This Row],[Cosecha Mensual]]</f>
        <v>33.760092272202996</v>
      </c>
      <c r="I2574">
        <f>H2574*_xlfn.XLOOKUP(Tabla2[[#This Row],[Unidad de producción]],Tabla3[Medida],Tabla3[Equivalencia en Kg],"ELVIS",0)</f>
        <v>1531.357785467128</v>
      </c>
      <c r="J2574">
        <v>1065</v>
      </c>
      <c r="K2574" t="s">
        <v>18</v>
      </c>
      <c r="L2574">
        <f>J2574/_xlfn.XLOOKUP(Tabla2[[#This Row],[Unidad de precio]],Tabla3[Medida],Tabla3[Equivalencia en Kg],"ELVIS",0)</f>
        <v>23.478835978835978</v>
      </c>
      <c r="M2574">
        <v>23497.681152818699</v>
      </c>
      <c r="N2574" s="2">
        <f>(Tabla2[[#This Row],[Productividad (kg/TAS)]]*Tabla2[[#This Row],[Precio por kg]]-Tabla2[[#This Row],[Costos (En RD$/Tarea)]])</f>
        <v>12456.817117077491</v>
      </c>
      <c r="O2574" s="6">
        <f>IF(Tabla2[[#This Row],[Costos (En RD$/Tarea)]]=0,0,Tabla2[[#This Row],[Beneficio Neto  (En RD$/Tarea)]]/Tabla2[[#This Row],[Costos (En RD$/Tarea)]])</f>
        <v>0.53012963432705429</v>
      </c>
      <c r="P2574" s="4">
        <f>Tabla2[[#This Row],[Rentabilidad (%)]]/12</f>
        <v>4.4177469527254522E-2</v>
      </c>
    </row>
    <row r="2575" spans="1:16" x14ac:dyDescent="0.35">
      <c r="A2575" s="1">
        <v>43040</v>
      </c>
      <c r="B2575" t="s">
        <v>24</v>
      </c>
      <c r="C2575" s="2">
        <v>6958</v>
      </c>
      <c r="D2575" s="5" t="s">
        <v>17</v>
      </c>
      <c r="E2575" s="2">
        <f>IF(Tabla2[[#This Row],[Frecuencia]]="Annual", Tabla2[[#This Row],[Cosecha/Tarea]]/12,Tabla2[[#This Row],[Cosecha/Tarea]])</f>
        <v>6958</v>
      </c>
      <c r="F2575" s="2">
        <v>51029</v>
      </c>
      <c r="G2575" t="s">
        <v>18</v>
      </c>
      <c r="H2575">
        <f>F2575/Tabla2[[#This Row],[Cosecha Mensual]]</f>
        <v>7.3338603046852544</v>
      </c>
      <c r="I2575">
        <f>H2575*_xlfn.XLOOKUP(Tabla2[[#This Row],[Unidad de producción]],Tabla3[Medida],Tabla3[Equivalencia en Kg],"ELVIS",0)</f>
        <v>332.66390342052313</v>
      </c>
      <c r="J2575">
        <v>1847.1380208333301</v>
      </c>
      <c r="K2575" t="s">
        <v>18</v>
      </c>
      <c r="L2575">
        <f>J2575/_xlfn.XLOOKUP(Tabla2[[#This Row],[Unidad de precio]],Tabla3[Medida],Tabla3[Equivalencia en Kg],"ELVIS",0)</f>
        <v>40.721737672692463</v>
      </c>
      <c r="M2575">
        <v>9059.4442114895992</v>
      </c>
      <c r="N2575" s="2">
        <f>(Tabla2[[#This Row],[Productividad (kg/TAS)]]*Tabla2[[#This Row],[Precio por kg]]-Tabla2[[#This Row],[Costos (En RD$/Tarea)]])</f>
        <v>4487.207996774845</v>
      </c>
      <c r="O2575" s="6">
        <f>IF(Tabla2[[#This Row],[Costos (En RD$/Tarea)]]=0,0,Tabla2[[#This Row],[Beneficio Neto  (En RD$/Tarea)]]/Tabla2[[#This Row],[Costos (En RD$/Tarea)]])</f>
        <v>0.49530720561024744</v>
      </c>
      <c r="P2575" s="4">
        <f>Tabla2[[#This Row],[Rentabilidad (%)]]/12</f>
        <v>4.1275600467520622E-2</v>
      </c>
    </row>
    <row r="2576" spans="1:16" x14ac:dyDescent="0.35">
      <c r="A2576" s="1">
        <v>43040</v>
      </c>
      <c r="B2576" t="s">
        <v>25</v>
      </c>
      <c r="C2576" s="2">
        <v>46987</v>
      </c>
      <c r="D2576" s="5" t="s">
        <v>17</v>
      </c>
      <c r="E2576" s="2">
        <f>IF(Tabla2[[#This Row],[Frecuencia]]="Annual", Tabla2[[#This Row],[Cosecha/Tarea]]/12,Tabla2[[#This Row],[Cosecha/Tarea]])</f>
        <v>46987</v>
      </c>
      <c r="F2576" s="2">
        <v>423541</v>
      </c>
      <c r="G2576" t="s">
        <v>18</v>
      </c>
      <c r="H2576">
        <f>F2576/Tabla2[[#This Row],[Cosecha Mensual]]</f>
        <v>9.0140038734117951</v>
      </c>
      <c r="I2576">
        <f>H2576*_xlfn.XLOOKUP(Tabla2[[#This Row],[Unidad de producción]],Tabla3[Medida],Tabla3[Equivalencia en Kg],"ELVIS",0)</f>
        <v>408.87521569795899</v>
      </c>
      <c r="J2576">
        <v>710.11354166666695</v>
      </c>
      <c r="K2576" t="s">
        <v>18</v>
      </c>
      <c r="L2576">
        <f>J2576/_xlfn.XLOOKUP(Tabla2[[#This Row],[Unidad de precio]],Tabla3[Medida],Tabla3[Equivalencia en Kg],"ELVIS",0)</f>
        <v>15.655060442386837</v>
      </c>
      <c r="M2576">
        <v>4667.2658565265501</v>
      </c>
      <c r="N2576" s="2">
        <f>(Tabla2[[#This Row],[Productividad (kg/TAS)]]*Tabla2[[#This Row],[Precio por kg]]-Tabla2[[#This Row],[Costos (En RD$/Tarea)]])</f>
        <v>1733.700358618953</v>
      </c>
      <c r="O2576" s="6">
        <f>IF(Tabla2[[#This Row],[Costos (En RD$/Tarea)]]=0,0,Tabla2[[#This Row],[Beneficio Neto  (En RD$/Tarea)]]/Tabla2[[#This Row],[Costos (En RD$/Tarea)]])</f>
        <v>0.37145952510817526</v>
      </c>
      <c r="P2576" s="4">
        <f>Tabla2[[#This Row],[Rentabilidad (%)]]/12</f>
        <v>3.0954960425681272E-2</v>
      </c>
    </row>
    <row r="2577" spans="1:16" x14ac:dyDescent="0.35">
      <c r="A2577" s="1">
        <v>43040</v>
      </c>
      <c r="B2577" t="s">
        <v>26</v>
      </c>
      <c r="C2577" s="2">
        <v>11569</v>
      </c>
      <c r="D2577" s="5" t="s">
        <v>17</v>
      </c>
      <c r="E2577" s="2">
        <f>IF(Tabla2[[#This Row],[Frecuencia]]="Annual", Tabla2[[#This Row],[Cosecha/Tarea]]/12,Tabla2[[#This Row],[Cosecha/Tarea]])</f>
        <v>11569</v>
      </c>
      <c r="F2577" s="2">
        <v>75019</v>
      </c>
      <c r="G2577" t="s">
        <v>18</v>
      </c>
      <c r="H2577">
        <f>F2577/Tabla2[[#This Row],[Cosecha Mensual]]</f>
        <v>6.4844843979600659</v>
      </c>
      <c r="I2577">
        <f>H2577*_xlfn.XLOOKUP(Tabla2[[#This Row],[Unidad de producción]],Tabla3[Medida],Tabla3[Equivalencia en Kg],"ELVIS",0)</f>
        <v>294.13621229146861</v>
      </c>
      <c r="J2577">
        <v>905.75937499999998</v>
      </c>
      <c r="K2577" t="s">
        <v>18</v>
      </c>
      <c r="L2577">
        <f>J2577/_xlfn.XLOOKUP(Tabla2[[#This Row],[Unidad de precio]],Tabla3[Medida],Tabla3[Equivalencia en Kg],"ELVIS",0)</f>
        <v>19.968240189594358</v>
      </c>
      <c r="M2577">
        <v>1810.9755302292599</v>
      </c>
      <c r="N2577" s="2">
        <f>(Tabla2[[#This Row],[Productividad (kg/TAS)]]*Tabla2[[#This Row],[Precio por kg]]-Tabla2[[#This Row],[Costos (En RD$/Tarea)]])</f>
        <v>4062.4070052643019</v>
      </c>
      <c r="O2577" s="6">
        <f>IF(Tabla2[[#This Row],[Costos (En RD$/Tarea)]]=0,0,Tabla2[[#This Row],[Beneficio Neto  (En RD$/Tarea)]]/Tabla2[[#This Row],[Costos (En RD$/Tarea)]])</f>
        <v>2.2432147411456316</v>
      </c>
      <c r="P2577" s="4">
        <f>Tabla2[[#This Row],[Rentabilidad (%)]]/12</f>
        <v>0.18693456176213596</v>
      </c>
    </row>
    <row r="2578" spans="1:16" x14ac:dyDescent="0.35">
      <c r="A2578" s="1">
        <v>43040</v>
      </c>
      <c r="B2578" t="s">
        <v>27</v>
      </c>
      <c r="C2578" s="2">
        <v>6021</v>
      </c>
      <c r="D2578" s="5" t="s">
        <v>17</v>
      </c>
      <c r="E2578" s="2">
        <f>IF(Tabla2[[#This Row],[Frecuencia]]="Annual", Tabla2[[#This Row],[Cosecha/Tarea]]/12,Tabla2[[#This Row],[Cosecha/Tarea]])</f>
        <v>6021</v>
      </c>
      <c r="F2578" s="2">
        <v>34526</v>
      </c>
      <c r="G2578" t="s">
        <v>18</v>
      </c>
      <c r="H2578">
        <f>F2578/Tabla2[[#This Row],[Cosecha Mensual]]</f>
        <v>5.7342634113934565</v>
      </c>
      <c r="I2578">
        <f>H2578*_xlfn.XLOOKUP(Tabla2[[#This Row],[Unidad de producción]],Tabla3[Medida],Tabla3[Equivalencia en Kg],"ELVIS",0)</f>
        <v>260.10618834080719</v>
      </c>
      <c r="J2578">
        <v>703.99266666666699</v>
      </c>
      <c r="K2578" t="s">
        <v>18</v>
      </c>
      <c r="L2578">
        <f>J2578/_xlfn.XLOOKUP(Tabla2[[#This Row],[Unidad de precio]],Tabla3[Medida],Tabla3[Equivalencia en Kg],"ELVIS",0)</f>
        <v>15.520120517342747</v>
      </c>
      <c r="M2578">
        <v>8788.4318764689997</v>
      </c>
      <c r="N2578" s="2">
        <f>(Tabla2[[#This Row],[Productividad (kg/TAS)]]*Tabla2[[#This Row],[Precio por kg]]-Tabla2[[#This Row],[Costos (En RD$/Tarea)]])</f>
        <v>-4751.5524861130216</v>
      </c>
      <c r="O2578" s="6">
        <f>IF(Tabla2[[#This Row],[Costos (En RD$/Tarea)]]=0,0,Tabla2[[#This Row],[Beneficio Neto  (En RD$/Tarea)]]/Tabla2[[#This Row],[Costos (En RD$/Tarea)]])</f>
        <v>-0.54065987572086549</v>
      </c>
      <c r="P2578" s="4">
        <f>Tabla2[[#This Row],[Rentabilidad (%)]]/12</f>
        <v>-4.5054989643405458E-2</v>
      </c>
    </row>
    <row r="2579" spans="1:16" x14ac:dyDescent="0.35">
      <c r="A2579" s="1">
        <v>43040</v>
      </c>
      <c r="B2579" t="s">
        <v>28</v>
      </c>
      <c r="C2579" s="2">
        <v>64251</v>
      </c>
      <c r="D2579" s="5" t="s">
        <v>17</v>
      </c>
      <c r="E2579" s="2">
        <f>IF(Tabla2[[#This Row],[Frecuencia]]="Annual", Tabla2[[#This Row],[Cosecha/Tarea]]/12,Tabla2[[#This Row],[Cosecha/Tarea]])</f>
        <v>64251</v>
      </c>
      <c r="F2579" s="2">
        <v>947820</v>
      </c>
      <c r="G2579" t="s">
        <v>18</v>
      </c>
      <c r="H2579">
        <f>F2579/Tabla2[[#This Row],[Cosecha Mensual]]</f>
        <v>14.751832656301069</v>
      </c>
      <c r="I2579">
        <f>H2579*_xlfn.XLOOKUP(Tabla2[[#This Row],[Unidad de producción]],Tabla3[Medida],Tabla3[Equivalencia en Kg],"ELVIS",0)</f>
        <v>669.14312928981644</v>
      </c>
      <c r="J2579">
        <v>7564.8749007936503</v>
      </c>
      <c r="K2579" t="s">
        <v>29</v>
      </c>
      <c r="L2579">
        <f>J2579/_xlfn.XLOOKUP(Tabla2[[#This Row],[Unidad de precio]],Tabla3[Medida],Tabla3[Equivalencia en Kg],"ELVIS",0)</f>
        <v>13.452492977191111</v>
      </c>
      <c r="M2579">
        <v>7106.9649214587198</v>
      </c>
      <c r="N2579" s="2">
        <f>(Tabla2[[#This Row],[Productividad (kg/TAS)]]*Tabla2[[#This Row],[Precio por kg]]-Tabla2[[#This Row],[Costos (En RD$/Tarea)]])</f>
        <v>1894.6783260482198</v>
      </c>
      <c r="O2579" s="6">
        <f>IF(Tabla2[[#This Row],[Costos (En RD$/Tarea)]]=0,0,Tabla2[[#This Row],[Beneficio Neto  (En RD$/Tarea)]]/Tabla2[[#This Row],[Costos (En RD$/Tarea)]])</f>
        <v>0.26659457968160805</v>
      </c>
      <c r="P2579" s="4">
        <f>Tabla2[[#This Row],[Rentabilidad (%)]]/12</f>
        <v>2.2216214973467336E-2</v>
      </c>
    </row>
    <row r="2580" spans="1:16" x14ac:dyDescent="0.35">
      <c r="A2580" s="1">
        <v>43040</v>
      </c>
      <c r="B2580" t="s">
        <v>30</v>
      </c>
      <c r="C2580" s="2">
        <v>365487</v>
      </c>
      <c r="D2580" s="2" t="s">
        <v>31</v>
      </c>
      <c r="E2580" s="2">
        <f>IF(Tabla2[[#This Row],[Frecuencia]]="Annual", Tabla2[[#This Row],[Cosecha/Tarea]]/12,Tabla2[[#This Row],[Cosecha/Tarea]])</f>
        <v>30457.25</v>
      </c>
      <c r="F2580" s="2">
        <v>1506147.6</v>
      </c>
      <c r="G2580" t="s">
        <v>18</v>
      </c>
      <c r="H2580">
        <f>F2580/Tabla2[[#This Row],[Cosecha Mensual]]</f>
        <v>49.451201273916723</v>
      </c>
      <c r="I2580">
        <f>H2580*_xlfn.XLOOKUP(Tabla2[[#This Row],[Unidad de producción]],Tabla3[Medida],Tabla3[Equivalencia en Kg],"ELVIS",0)</f>
        <v>2243.1064897848623</v>
      </c>
      <c r="J2580">
        <v>171.097395833333</v>
      </c>
      <c r="K2580" t="s">
        <v>32</v>
      </c>
      <c r="L2580">
        <f>J2580/_xlfn.XLOOKUP(Tabla2[[#This Row],[Unidad de precio]],Tabla3[Medida],Tabla3[Equivalencia en Kg],"ELVIS",0)</f>
        <v>6.2880336579688718</v>
      </c>
      <c r="M2580" s="2">
        <v>32851.801352371498</v>
      </c>
      <c r="N2580" s="2">
        <f>(Tabla2[[#This Row],[Productividad (kg/TAS)]]*Tabla2[[#This Row],[Precio por kg]]-Tabla2[[#This Row],[Costos (En RD$/Tarea)]])</f>
        <v>-18747.072246195872</v>
      </c>
      <c r="O2580" s="6">
        <f>IF(Tabla2[[#This Row],[Costos (En RD$/Tarea)]]=0,0,Tabla2[[#This Row],[Beneficio Neto  (En RD$/Tarea)]]/Tabla2[[#This Row],[Costos (En RD$/Tarea)]])</f>
        <v>-0.57065583847634471</v>
      </c>
      <c r="P2580" s="4">
        <f>Tabla2[[#This Row],[Rentabilidad (%)]]/12</f>
        <v>-4.7554653206362062E-2</v>
      </c>
    </row>
    <row r="2581" spans="1:16" x14ac:dyDescent="0.35">
      <c r="A2581" s="1">
        <v>43040</v>
      </c>
      <c r="B2581" t="s">
        <v>33</v>
      </c>
      <c r="C2581" s="2">
        <v>734985</v>
      </c>
      <c r="D2581" s="2" t="s">
        <v>31</v>
      </c>
      <c r="E2581" s="2">
        <f>IF(Tabla2[[#This Row],[Frecuencia]]="Annual", Tabla2[[#This Row],[Cosecha/Tarea]]/12,Tabla2[[#This Row],[Cosecha/Tarea]])</f>
        <v>61248.75</v>
      </c>
      <c r="F2581" s="2">
        <v>1205901</v>
      </c>
      <c r="G2581" t="s">
        <v>18</v>
      </c>
      <c r="H2581">
        <f>F2581/Tabla2[[#This Row],[Cosecha Mensual]]</f>
        <v>19.6885813996204</v>
      </c>
      <c r="I2581">
        <f>H2581*_xlfn.XLOOKUP(Tabla2[[#This Row],[Unidad de producción]],Tabla3[Medida],Tabla3[Equivalencia en Kg],"ELVIS",0)</f>
        <v>893.07405228678135</v>
      </c>
      <c r="J2581">
        <v>8039.7854166666702</v>
      </c>
      <c r="K2581" t="s">
        <v>34</v>
      </c>
      <c r="L2581">
        <f>J2581/_xlfn.XLOOKUP(Tabla2[[#This Row],[Unidad de precio]],Tabla3[Medida],Tabla3[Equivalencia en Kg],"ELVIS",0)</f>
        <v>19.698114459553278</v>
      </c>
      <c r="M2581" s="2">
        <v>21460.483889989398</v>
      </c>
      <c r="N2581" s="2">
        <f>(Tabla2[[#This Row],[Productividad (kg/TAS)]]*Tabla2[[#This Row],[Precio por kg]]-Tabla2[[#This Row],[Costos (En RD$/Tarea)]])</f>
        <v>-3868.6089871873119</v>
      </c>
      <c r="O2581" s="6">
        <f>IF(Tabla2[[#This Row],[Costos (En RD$/Tarea)]]=0,0,Tabla2[[#This Row],[Beneficio Neto  (En RD$/Tarea)]]/Tabla2[[#This Row],[Costos (En RD$/Tarea)]])</f>
        <v>-0.18026662432303725</v>
      </c>
      <c r="P2581" s="4">
        <f>Tabla2[[#This Row],[Rentabilidad (%)]]/12</f>
        <v>-1.5022218693586437E-2</v>
      </c>
    </row>
    <row r="2582" spans="1:16" x14ac:dyDescent="0.35">
      <c r="A2582" s="1">
        <v>43070</v>
      </c>
      <c r="B2582" t="s">
        <v>16</v>
      </c>
      <c r="C2582" s="2">
        <v>101989</v>
      </c>
      <c r="D2582" s="5" t="s">
        <v>17</v>
      </c>
      <c r="E2582" s="2">
        <f>IF(Tabla2[[#This Row],[Frecuencia]]="Annual", Tabla2[[#This Row],[Cosecha/Tarea]]/12,Tabla2[[#This Row],[Cosecha/Tarea]])</f>
        <v>101989</v>
      </c>
      <c r="F2582" s="2">
        <v>401245</v>
      </c>
      <c r="G2582" t="s">
        <v>18</v>
      </c>
      <c r="H2582">
        <f>F2582/Tabla2[[#This Row],[Cosecha Mensual]]</f>
        <v>3.9341987861436039</v>
      </c>
      <c r="I2582">
        <f>H2582*_xlfn.XLOOKUP(Tabla2[[#This Row],[Unidad de producción]],Tabla3[Medida],Tabla3[Equivalencia en Kg],"ELVIS",0)</f>
        <v>178.45525693947386</v>
      </c>
      <c r="J2582">
        <v>2059.3952374404098</v>
      </c>
      <c r="K2582" t="s">
        <v>19</v>
      </c>
      <c r="L2582">
        <f>J2582/_xlfn.XLOOKUP(Tabla2[[#This Row],[Unidad de precio]],Tabla3[Medida],Tabla3[Equivalencia en Kg],"ELVIS",0)</f>
        <v>18.721774885821908</v>
      </c>
      <c r="M2582">
        <v>6064.2164945385503</v>
      </c>
      <c r="N2582" s="2">
        <f>(Tabla2[[#This Row],[Productividad (kg/TAS)]]*Tabla2[[#This Row],[Precio por kg]]-Tabla2[[#This Row],[Costos (En RD$/Tarea)]])</f>
        <v>-2723.2173469262129</v>
      </c>
      <c r="O2582" s="6">
        <f>IF(Tabla2[[#This Row],[Costos (En RD$/Tarea)]]=0,0,Tabla2[[#This Row],[Beneficio Neto  (En RD$/Tarea)]]/Tabla2[[#This Row],[Costos (En RD$/Tarea)]])</f>
        <v>-0.44906334550864896</v>
      </c>
      <c r="P2582" s="4">
        <f>Tabla2[[#This Row],[Rentabilidad (%)]]/12</f>
        <v>-3.7421945459054078E-2</v>
      </c>
    </row>
    <row r="2583" spans="1:16" x14ac:dyDescent="0.35">
      <c r="A2583" s="1">
        <v>43070</v>
      </c>
      <c r="B2583" t="s">
        <v>20</v>
      </c>
      <c r="C2583" s="2">
        <v>50214</v>
      </c>
      <c r="D2583" s="5" t="s">
        <v>17</v>
      </c>
      <c r="E2583" s="2">
        <f>IF(Tabla2[[#This Row],[Frecuencia]]="Annual", Tabla2[[#This Row],[Cosecha/Tarea]]/12,Tabla2[[#This Row],[Cosecha/Tarea]])</f>
        <v>50214</v>
      </c>
      <c r="F2583" s="2">
        <v>94218</v>
      </c>
      <c r="G2583" t="s">
        <v>18</v>
      </c>
      <c r="H2583">
        <f>F2583/Tabla2[[#This Row],[Cosecha Mensual]]</f>
        <v>1.8763293105508423</v>
      </c>
      <c r="I2583">
        <f>H2583*_xlfn.XLOOKUP(Tabla2[[#This Row],[Unidad de producción]],Tabla3[Medida],Tabla3[Equivalencia en Kg],"ELVIS",0)</f>
        <v>85.110297526586209</v>
      </c>
      <c r="J2583">
        <v>848.28645833333303</v>
      </c>
      <c r="K2583" t="s">
        <v>18</v>
      </c>
      <c r="L2583">
        <f>J2583/_xlfn.XLOOKUP(Tabla2[[#This Row],[Unidad de precio]],Tabla3[Medida],Tabla3[Equivalencia en Kg],"ELVIS",0)</f>
        <v>18.701200580540853</v>
      </c>
      <c r="M2583">
        <v>2479.0864296156001</v>
      </c>
      <c r="N2583" s="2">
        <f>(Tabla2[[#This Row],[Productividad (kg/TAS)]]*Tabla2[[#This Row],[Precio por kg]]-Tabla2[[#This Row],[Costos (En RD$/Tarea)]])</f>
        <v>-887.4216841014013</v>
      </c>
      <c r="O2583" s="6">
        <f>IF(Tabla2[[#This Row],[Costos (En RD$/Tarea)]]=0,0,Tabla2[[#This Row],[Beneficio Neto  (En RD$/Tarea)]]/Tabla2[[#This Row],[Costos (En RD$/Tarea)]])</f>
        <v>-0.35796318897966067</v>
      </c>
      <c r="P2583" s="4">
        <f>Tabla2[[#This Row],[Rentabilidad (%)]]/12</f>
        <v>-2.9830265748305055E-2</v>
      </c>
    </row>
    <row r="2584" spans="1:16" x14ac:dyDescent="0.35">
      <c r="A2584" s="1">
        <v>43070</v>
      </c>
      <c r="B2584" t="s">
        <v>21</v>
      </c>
      <c r="C2584" s="2">
        <v>8965</v>
      </c>
      <c r="D2584" s="5" t="s">
        <v>17</v>
      </c>
      <c r="E2584" s="2">
        <f>IF(Tabla2[[#This Row],[Frecuencia]]="Annual", Tabla2[[#This Row],[Cosecha/Tarea]]/12,Tabla2[[#This Row],[Cosecha/Tarea]])</f>
        <v>8965</v>
      </c>
      <c r="F2584" s="2">
        <v>95498</v>
      </c>
      <c r="G2584" t="s">
        <v>18</v>
      </c>
      <c r="H2584">
        <f>F2584/Tabla2[[#This Row],[Cosecha Mensual]]</f>
        <v>10.652314556609035</v>
      </c>
      <c r="I2584">
        <f>H2584*_xlfn.XLOOKUP(Tabla2[[#This Row],[Unidad de producción]],Tabla3[Medida],Tabla3[Equivalencia en Kg],"ELVIS",0)</f>
        <v>483.18898828778583</v>
      </c>
      <c r="J2584">
        <v>707.05357142857099</v>
      </c>
      <c r="K2584" t="s">
        <v>18</v>
      </c>
      <c r="L2584">
        <f>J2584/_xlfn.XLOOKUP(Tabla2[[#This Row],[Unidad de precio]],Tabla3[Medida],Tabla3[Equivalencia en Kg],"ELVIS",0)</f>
        <v>15.587600781053153</v>
      </c>
      <c r="M2584">
        <v>5064.8045077463803</v>
      </c>
      <c r="N2584" s="2">
        <f>(Tabla2[[#This Row],[Productividad (kg/TAS)]]*Tabla2[[#This Row],[Precio por kg]]-Tabla2[[#This Row],[Costos (En RD$/Tarea)]])</f>
        <v>2466.9525434845928</v>
      </c>
      <c r="O2584" s="6">
        <f>IF(Tabla2[[#This Row],[Costos (En RD$/Tarea)]]=0,0,Tabla2[[#This Row],[Beneficio Neto  (En RD$/Tarea)]]/Tabla2[[#This Row],[Costos (En RD$/Tarea)]])</f>
        <v>0.48707754459456526</v>
      </c>
      <c r="P2584" s="4">
        <f>Tabla2[[#This Row],[Rentabilidad (%)]]/12</f>
        <v>4.0589795382880441E-2</v>
      </c>
    </row>
    <row r="2585" spans="1:16" x14ac:dyDescent="0.35">
      <c r="A2585" s="1">
        <v>43070</v>
      </c>
      <c r="B2585" t="s">
        <v>22</v>
      </c>
      <c r="C2585" s="2">
        <v>7098</v>
      </c>
      <c r="D2585" s="5" t="s">
        <v>17</v>
      </c>
      <c r="E2585" s="2">
        <f>IF(Tabla2[[#This Row],[Frecuencia]]="Annual", Tabla2[[#This Row],[Cosecha/Tarea]]/12,Tabla2[[#This Row],[Cosecha/Tarea]])</f>
        <v>7098</v>
      </c>
      <c r="F2585" s="2">
        <v>61024</v>
      </c>
      <c r="G2585" t="s">
        <v>18</v>
      </c>
      <c r="H2585">
        <f>F2585/Tabla2[[#This Row],[Cosecha Mensual]]</f>
        <v>8.5973513665821351</v>
      </c>
      <c r="I2585">
        <f>H2585*_xlfn.XLOOKUP(Tabla2[[#This Row],[Unidad de producción]],Tabla3[Medida],Tabla3[Equivalencia en Kg],"ELVIS",0)</f>
        <v>389.97585798816561</v>
      </c>
      <c r="J2585">
        <v>1875.9208333333299</v>
      </c>
      <c r="K2585" t="s">
        <v>18</v>
      </c>
      <c r="L2585">
        <f>J2585/_xlfn.XLOOKUP(Tabla2[[#This Row],[Unidad de precio]],Tabla3[Medida],Tabla3[Equivalencia en Kg],"ELVIS",0)</f>
        <v>41.356279394473766</v>
      </c>
      <c r="M2585">
        <v>9358.7144173845209</v>
      </c>
      <c r="N2585" s="2">
        <f>(Tabla2[[#This Row],[Productividad (kg/TAS)]]*Tabla2[[#This Row],[Precio por kg]]-Tabla2[[#This Row],[Costos (En RD$/Tarea)]])</f>
        <v>6769.2361226736812</v>
      </c>
      <c r="O2585" s="6">
        <f>IF(Tabla2[[#This Row],[Costos (En RD$/Tarea)]]=0,0,Tabla2[[#This Row],[Beneficio Neto  (En RD$/Tarea)]]/Tabla2[[#This Row],[Costos (En RD$/Tarea)]])</f>
        <v>0.72330833283034179</v>
      </c>
      <c r="P2585" s="4">
        <f>Tabla2[[#This Row],[Rentabilidad (%)]]/12</f>
        <v>6.027569440252848E-2</v>
      </c>
    </row>
    <row r="2586" spans="1:16" x14ac:dyDescent="0.35">
      <c r="A2586" s="1">
        <v>43070</v>
      </c>
      <c r="B2586" t="s">
        <v>23</v>
      </c>
      <c r="C2586" s="2">
        <v>4490</v>
      </c>
      <c r="D2586" s="5" t="s">
        <v>17</v>
      </c>
      <c r="E2586" s="2">
        <f>IF(Tabla2[[#This Row],[Frecuencia]]="Annual", Tabla2[[#This Row],[Cosecha/Tarea]]/12,Tabla2[[#This Row],[Cosecha/Tarea]])</f>
        <v>4490</v>
      </c>
      <c r="F2586" s="2">
        <v>161397</v>
      </c>
      <c r="G2586" t="s">
        <v>18</v>
      </c>
      <c r="H2586">
        <f>F2586/Tabla2[[#This Row],[Cosecha Mensual]]</f>
        <v>35.945879732739421</v>
      </c>
      <c r="I2586">
        <f>H2586*_xlfn.XLOOKUP(Tabla2[[#This Row],[Unidad de producción]],Tabla3[Medida],Tabla3[Equivalencia en Kg],"ELVIS",0)</f>
        <v>1630.5051046770602</v>
      </c>
      <c r="J2586">
        <v>1456.25</v>
      </c>
      <c r="K2586" t="s">
        <v>18</v>
      </c>
      <c r="L2586">
        <f>J2586/_xlfn.XLOOKUP(Tabla2[[#This Row],[Unidad de precio]],Tabla3[Medida],Tabla3[Equivalencia en Kg],"ELVIS",0)</f>
        <v>32.104276895943563</v>
      </c>
      <c r="M2586">
        <v>23497.681152818699</v>
      </c>
      <c r="N2586" s="2">
        <f>(Tabla2[[#This Row],[Productividad (kg/TAS)]]*Tabla2[[#This Row],[Precio por kg]]-Tabla2[[#This Row],[Costos (En RD$/Tarea)]])</f>
        <v>28848.506207983086</v>
      </c>
      <c r="O2586" s="6">
        <f>IF(Tabla2[[#This Row],[Costos (En RD$/Tarea)]]=0,0,Tabla2[[#This Row],[Beneficio Neto  (En RD$/Tarea)]]/Tabla2[[#This Row],[Costos (En RD$/Tarea)]])</f>
        <v>1.2277171530401212</v>
      </c>
      <c r="P2586" s="4">
        <f>Tabla2[[#This Row],[Rentabilidad (%)]]/12</f>
        <v>0.10230976275334343</v>
      </c>
    </row>
    <row r="2587" spans="1:16" x14ac:dyDescent="0.35">
      <c r="A2587" s="1">
        <v>43070</v>
      </c>
      <c r="B2587" t="s">
        <v>24</v>
      </c>
      <c r="C2587" s="2">
        <v>8452</v>
      </c>
      <c r="D2587" s="5" t="s">
        <v>17</v>
      </c>
      <c r="E2587" s="2">
        <f>IF(Tabla2[[#This Row],[Frecuencia]]="Annual", Tabla2[[#This Row],[Cosecha/Tarea]]/12,Tabla2[[#This Row],[Cosecha/Tarea]])</f>
        <v>8452</v>
      </c>
      <c r="F2587" s="2">
        <v>84578</v>
      </c>
      <c r="G2587" t="s">
        <v>18</v>
      </c>
      <c r="H2587">
        <f>F2587/Tabla2[[#This Row],[Cosecha Mensual]]</f>
        <v>10.006862281116895</v>
      </c>
      <c r="I2587">
        <f>H2587*_xlfn.XLOOKUP(Tabla2[[#This Row],[Unidad de producción]],Tabla3[Medida],Tabla3[Equivalencia en Kg],"ELVIS",0)</f>
        <v>453.91127307146235</v>
      </c>
      <c r="J2587">
        <v>1809.80357142857</v>
      </c>
      <c r="K2587" t="s">
        <v>18</v>
      </c>
      <c r="L2587">
        <f>J2587/_xlfn.XLOOKUP(Tabla2[[#This Row],[Unidad de precio]],Tabla3[Medida],Tabla3[Equivalencia en Kg],"ELVIS",0)</f>
        <v>39.898667800453481</v>
      </c>
      <c r="M2587">
        <v>9059.4442114895992</v>
      </c>
      <c r="N2587" s="2">
        <f>(Tabla2[[#This Row],[Productividad (kg/TAS)]]*Tabla2[[#This Row],[Precio por kg]]-Tabla2[[#This Row],[Costos (En RD$/Tarea)]])</f>
        <v>9051.0108836696036</v>
      </c>
      <c r="O2587" s="6">
        <f>IF(Tabla2[[#This Row],[Costos (En RD$/Tarea)]]=0,0,Tabla2[[#This Row],[Beneficio Neto  (En RD$/Tarea)]]/Tabla2[[#This Row],[Costos (En RD$/Tarea)]])</f>
        <v>0.99906911200917825</v>
      </c>
      <c r="P2587" s="4">
        <f>Tabla2[[#This Row],[Rentabilidad (%)]]/12</f>
        <v>8.3255759334098192E-2</v>
      </c>
    </row>
    <row r="2588" spans="1:16" x14ac:dyDescent="0.35">
      <c r="A2588" s="1">
        <v>43070</v>
      </c>
      <c r="B2588" t="s">
        <v>25</v>
      </c>
      <c r="C2588" s="2">
        <v>29412</v>
      </c>
      <c r="D2588" s="5" t="s">
        <v>17</v>
      </c>
      <c r="E2588" s="2">
        <f>IF(Tabla2[[#This Row],[Frecuencia]]="Annual", Tabla2[[#This Row],[Cosecha/Tarea]]/12,Tabla2[[#This Row],[Cosecha/Tarea]])</f>
        <v>29412</v>
      </c>
      <c r="F2588" s="2">
        <v>338547</v>
      </c>
      <c r="G2588" t="s">
        <v>18</v>
      </c>
      <c r="H2588">
        <f>F2588/Tabla2[[#This Row],[Cosecha Mensual]]</f>
        <v>11.510505915952672</v>
      </c>
      <c r="I2588">
        <f>H2588*_xlfn.XLOOKUP(Tabla2[[#This Row],[Unidad de producción]],Tabla3[Medida],Tabla3[Equivalencia en Kg],"ELVIS",0)</f>
        <v>522.11654834761316</v>
      </c>
      <c r="J2588">
        <v>755.22222222222194</v>
      </c>
      <c r="K2588" t="s">
        <v>18</v>
      </c>
      <c r="L2588">
        <f>J2588/_xlfn.XLOOKUP(Tabla2[[#This Row],[Unidad de precio]],Tabla3[Medida],Tabla3[Equivalencia en Kg],"ELVIS",0)</f>
        <v>16.649519890260624</v>
      </c>
      <c r="M2588">
        <v>4667.2658565265501</v>
      </c>
      <c r="N2588" s="2">
        <f>(Tabla2[[#This Row],[Productividad (kg/TAS)]]*Tabla2[[#This Row],[Precio por kg]]-Tabla2[[#This Row],[Costos (En RD$/Tarea)]])</f>
        <v>4025.7240002212584</v>
      </c>
      <c r="O2588" s="6">
        <f>IF(Tabla2[[#This Row],[Costos (En RD$/Tarea)]]=0,0,Tabla2[[#This Row],[Beneficio Neto  (En RD$/Tarea)]]/Tabla2[[#This Row],[Costos (En RD$/Tarea)]])</f>
        <v>0.86254439407856298</v>
      </c>
      <c r="P2588" s="4">
        <f>Tabla2[[#This Row],[Rentabilidad (%)]]/12</f>
        <v>7.187869950654692E-2</v>
      </c>
    </row>
    <row r="2589" spans="1:16" x14ac:dyDescent="0.35">
      <c r="A2589" s="1">
        <v>43070</v>
      </c>
      <c r="B2589" t="s">
        <v>26</v>
      </c>
      <c r="C2589" s="2">
        <v>13452</v>
      </c>
      <c r="D2589" s="5" t="s">
        <v>17</v>
      </c>
      <c r="E2589" s="2">
        <f>IF(Tabla2[[#This Row],[Frecuencia]]="Annual", Tabla2[[#This Row],[Cosecha/Tarea]]/12,Tabla2[[#This Row],[Cosecha/Tarea]])</f>
        <v>13452</v>
      </c>
      <c r="F2589" s="2">
        <v>95478</v>
      </c>
      <c r="G2589" t="s">
        <v>18</v>
      </c>
      <c r="H2589">
        <f>F2589/Tabla2[[#This Row],[Cosecha Mensual]]</f>
        <v>7.0976806422836756</v>
      </c>
      <c r="I2589">
        <f>H2589*_xlfn.XLOOKUP(Tabla2[[#This Row],[Unidad de producción]],Tabla3[Medida],Tabla3[Equivalencia en Kg],"ELVIS",0)</f>
        <v>321.95079393398754</v>
      </c>
      <c r="J2589">
        <v>952.25</v>
      </c>
      <c r="K2589" t="s">
        <v>18</v>
      </c>
      <c r="L2589">
        <f>J2589/_xlfn.XLOOKUP(Tabla2[[#This Row],[Unidad de precio]],Tabla3[Medida],Tabla3[Equivalencia en Kg],"ELVIS",0)</f>
        <v>20.993165784832453</v>
      </c>
      <c r="M2589">
        <v>1810.9755302292599</v>
      </c>
      <c r="N2589" s="2">
        <f>(Tabla2[[#This Row],[Productividad (kg/TAS)]]*Tabla2[[#This Row],[Precio por kg]]-Tabla2[[#This Row],[Costos (En RD$/Tarea)]])</f>
        <v>4947.7908613853715</v>
      </c>
      <c r="O2589" s="6">
        <f>IF(Tabla2[[#This Row],[Costos (En RD$/Tarea)]]=0,0,Tabla2[[#This Row],[Beneficio Neto  (En RD$/Tarea)]]/Tabla2[[#This Row],[Costos (En RD$/Tarea)]])</f>
        <v>2.7321135922576532</v>
      </c>
      <c r="P2589" s="4">
        <f>Tabla2[[#This Row],[Rentabilidad (%)]]/12</f>
        <v>0.22767613268813777</v>
      </c>
    </row>
    <row r="2590" spans="1:16" x14ac:dyDescent="0.35">
      <c r="A2590" s="1">
        <v>43070</v>
      </c>
      <c r="B2590" t="s">
        <v>27</v>
      </c>
      <c r="C2590" s="2">
        <v>7412</v>
      </c>
      <c r="D2590" s="5" t="s">
        <v>17</v>
      </c>
      <c r="E2590" s="2">
        <f>IF(Tabla2[[#This Row],[Frecuencia]]="Annual", Tabla2[[#This Row],[Cosecha/Tarea]]/12,Tabla2[[#This Row],[Cosecha/Tarea]])</f>
        <v>7412</v>
      </c>
      <c r="F2590" s="2">
        <v>45221</v>
      </c>
      <c r="G2590" t="s">
        <v>18</v>
      </c>
      <c r="H2590">
        <f>F2590/Tabla2[[#This Row],[Cosecha Mensual]]</f>
        <v>6.1010523475445222</v>
      </c>
      <c r="I2590">
        <f>H2590*_xlfn.XLOOKUP(Tabla2[[#This Row],[Unidad de producción]],Tabla3[Medida],Tabla3[Equivalencia en Kg],"ELVIS",0)</f>
        <v>276.74373448461955</v>
      </c>
      <c r="J2590">
        <v>692.57291666666697</v>
      </c>
      <c r="K2590" t="s">
        <v>18</v>
      </c>
      <c r="L2590">
        <f>J2590/_xlfn.XLOOKUP(Tabla2[[#This Row],[Unidad de precio]],Tabla3[Medida],Tabla3[Equivalencia en Kg],"ELVIS",0)</f>
        <v>15.268362360376257</v>
      </c>
      <c r="M2590">
        <v>8788.4318764689997</v>
      </c>
      <c r="N2590" s="2">
        <f>(Tabla2[[#This Row],[Productividad (kg/TAS)]]*Tabla2[[#This Row],[Precio por kg]]-Tabla2[[#This Row],[Costos (En RD$/Tarea)]])</f>
        <v>-4563.0082573940736</v>
      </c>
      <c r="O2590" s="6">
        <f>IF(Tabla2[[#This Row],[Costos (En RD$/Tarea)]]=0,0,Tabla2[[#This Row],[Beneficio Neto  (En RD$/Tarea)]]/Tabla2[[#This Row],[Costos (En RD$/Tarea)]])</f>
        <v>-0.51920619304241467</v>
      </c>
      <c r="P2590" s="4">
        <f>Tabla2[[#This Row],[Rentabilidad (%)]]/12</f>
        <v>-4.3267182753534555E-2</v>
      </c>
    </row>
    <row r="2591" spans="1:16" x14ac:dyDescent="0.35">
      <c r="A2591" s="1">
        <v>43070</v>
      </c>
      <c r="B2591" t="s">
        <v>28</v>
      </c>
      <c r="C2591" s="2">
        <v>66498</v>
      </c>
      <c r="D2591" s="5" t="s">
        <v>17</v>
      </c>
      <c r="E2591" s="2">
        <f>IF(Tabla2[[#This Row],[Frecuencia]]="Annual", Tabla2[[#This Row],[Cosecha/Tarea]]/12,Tabla2[[#This Row],[Cosecha/Tarea]])</f>
        <v>66498</v>
      </c>
      <c r="F2591" s="2">
        <v>1330776</v>
      </c>
      <c r="G2591" t="s">
        <v>18</v>
      </c>
      <c r="H2591">
        <f>F2591/Tabla2[[#This Row],[Cosecha Mensual]]</f>
        <v>20.012271045745738</v>
      </c>
      <c r="I2591">
        <f>H2591*_xlfn.XLOOKUP(Tabla2[[#This Row],[Unidad de producción]],Tabla3[Medida],Tabla3[Equivalencia en Kg],"ELVIS",0)</f>
        <v>907.75661463502661</v>
      </c>
      <c r="J2591">
        <v>8422.8333333333303</v>
      </c>
      <c r="K2591" t="s">
        <v>29</v>
      </c>
      <c r="L2591">
        <f>J2591/_xlfn.XLOOKUP(Tabla2[[#This Row],[Unidad de precio]],Tabla3[Medida],Tabla3[Equivalencia en Kg],"ELVIS",0)</f>
        <v>14.978186387831792</v>
      </c>
      <c r="M2591">
        <v>7106.9649214587198</v>
      </c>
      <c r="N2591" s="2">
        <f>(Tabla2[[#This Row],[Productividad (kg/TAS)]]*Tabla2[[#This Row],[Precio por kg]]-Tabla2[[#This Row],[Costos (En RD$/Tarea)]])</f>
        <v>6489.5828473319061</v>
      </c>
      <c r="O2591" s="6">
        <f>IF(Tabla2[[#This Row],[Costos (En RD$/Tarea)]]=0,0,Tabla2[[#This Row],[Beneficio Neto  (En RD$/Tarea)]]/Tabla2[[#This Row],[Costos (En RD$/Tarea)]])</f>
        <v>0.91312999558184194</v>
      </c>
      <c r="P2591" s="4">
        <f>Tabla2[[#This Row],[Rentabilidad (%)]]/12</f>
        <v>7.6094166298486823E-2</v>
      </c>
    </row>
    <row r="2592" spans="1:16" x14ac:dyDescent="0.35">
      <c r="A2592" s="1">
        <v>43070</v>
      </c>
      <c r="B2592" t="s">
        <v>30</v>
      </c>
      <c r="C2592" s="2">
        <v>373452</v>
      </c>
      <c r="D2592" s="2" t="s">
        <v>31</v>
      </c>
      <c r="E2592" s="2">
        <f>IF(Tabla2[[#This Row],[Frecuencia]]="Annual", Tabla2[[#This Row],[Cosecha/Tarea]]/12,Tabla2[[#This Row],[Cosecha/Tarea]])</f>
        <v>31121</v>
      </c>
      <c r="F2592" s="2">
        <v>1947527.4</v>
      </c>
      <c r="G2592" t="s">
        <v>18</v>
      </c>
      <c r="H2592">
        <f>F2592/Tabla2[[#This Row],[Cosecha Mensual]]</f>
        <v>62.579203753092763</v>
      </c>
      <c r="I2592">
        <f>H2592*_xlfn.XLOOKUP(Tabla2[[#This Row],[Unidad de producción]],Tabla3[Medida],Tabla3[Equivalencia en Kg],"ELVIS",0)</f>
        <v>2838.5926822402876</v>
      </c>
      <c r="J2592">
        <v>191.651041666667</v>
      </c>
      <c r="K2592" t="s">
        <v>32</v>
      </c>
      <c r="L2592">
        <f>J2592/_xlfn.XLOOKUP(Tabla2[[#This Row],[Unidad de precio]],Tabla3[Medida],Tabla3[Equivalencia en Kg],"ELVIS",0)</f>
        <v>7.0434046919024986</v>
      </c>
      <c r="M2592" s="2">
        <v>32851.801352371498</v>
      </c>
      <c r="N2592" s="2">
        <f>(Tabla2[[#This Row],[Productividad (kg/TAS)]]*Tabla2[[#This Row],[Precio por kg]]-Tabla2[[#This Row],[Costos (En RD$/Tarea)]])</f>
        <v>-12858.444335880158</v>
      </c>
      <c r="O2592" s="6">
        <f>IF(Tabla2[[#This Row],[Costos (En RD$/Tarea)]]=0,0,Tabla2[[#This Row],[Beneficio Neto  (En RD$/Tarea)]]/Tabla2[[#This Row],[Costos (En RD$/Tarea)]])</f>
        <v>-0.39140758821591792</v>
      </c>
      <c r="P2592" s="4">
        <f>Tabla2[[#This Row],[Rentabilidad (%)]]/12</f>
        <v>-3.2617299017993158E-2</v>
      </c>
    </row>
    <row r="2593" spans="1:16" x14ac:dyDescent="0.35">
      <c r="A2593" s="1">
        <v>43070</v>
      </c>
      <c r="B2593" t="s">
        <v>33</v>
      </c>
      <c r="C2593" s="2">
        <v>752717</v>
      </c>
      <c r="D2593" s="2" t="s">
        <v>31</v>
      </c>
      <c r="E2593" s="8">
        <f>IF(Tabla2[[#This Row],[Frecuencia]]="Annual", Tabla2[[#This Row],[Cosecha/Tarea]]/12,Tabla2[[#This Row],[Cosecha/Tarea]])</f>
        <v>62726.416666666664</v>
      </c>
      <c r="F2593" s="2">
        <v>1335071.94567809</v>
      </c>
      <c r="G2593" t="s">
        <v>18</v>
      </c>
      <c r="H2593">
        <f>F2593/Tabla2[[#This Row],[Cosecha Mensual]]</f>
        <v>21.284046126415479</v>
      </c>
      <c r="I2593">
        <f>H2593*_xlfn.XLOOKUP(Tabla2[[#This Row],[Unidad de producción]],Tabla3[Medida],Tabla3[Equivalencia en Kg],"ELVIS",0)</f>
        <v>965.44433229420611</v>
      </c>
      <c r="J2593">
        <v>9417.8020833333303</v>
      </c>
      <c r="K2593" t="s">
        <v>34</v>
      </c>
      <c r="L2593">
        <f>J2593/_xlfn.XLOOKUP(Tabla2[[#This Row],[Unidad de precio]],Tabla3[Medida],Tabla3[Equivalencia en Kg],"ELVIS",0)</f>
        <v>23.074365021029845</v>
      </c>
      <c r="M2593" s="2">
        <v>21460.483889989398</v>
      </c>
      <c r="N2593" s="2">
        <f>(Tabla2[[#This Row],[Productividad (kg/TAS)]]*Tabla2[[#This Row],[Precio por kg]]-Tabla2[[#This Row],[Costos (En RD$/Tarea)]])</f>
        <v>816.53104085154337</v>
      </c>
      <c r="O2593" s="6">
        <f>IF(Tabla2[[#This Row],[Costos (En RD$/Tarea)]]=0,0,Tabla2[[#This Row],[Beneficio Neto  (En RD$/Tarea)]]/Tabla2[[#This Row],[Costos (En RD$/Tarea)]])</f>
        <v>3.8048118813967094E-2</v>
      </c>
      <c r="P2593" s="4">
        <f>Tabla2[[#This Row],[Rentabilidad (%)]]/12</f>
        <v>3.170676567830591E-3</v>
      </c>
    </row>
    <row r="2594" spans="1:16" x14ac:dyDescent="0.35">
      <c r="A2594" s="1">
        <v>43101</v>
      </c>
      <c r="B2594" t="s">
        <v>16</v>
      </c>
      <c r="C2594" s="2">
        <v>17458</v>
      </c>
      <c r="D2594" s="5" t="s">
        <v>17</v>
      </c>
      <c r="E2594" s="2">
        <f>IF(Tabla2[[#This Row],[Frecuencia]]="Annual", Tabla2[[#This Row],[Cosecha/Tarea]]/12,Tabla2[[#This Row],[Cosecha/Tarea]])</f>
        <v>17458</v>
      </c>
      <c r="F2594" s="2">
        <v>59483</v>
      </c>
      <c r="G2594" t="s">
        <v>18</v>
      </c>
      <c r="H2594">
        <f>F2594/Tabla2[[#This Row],[Cosecha Mensual]]</f>
        <v>3.4072058655057855</v>
      </c>
      <c r="I2594">
        <f>H2594*_xlfn.XLOOKUP(Tabla2[[#This Row],[Unidad de producción]],Tabla3[Medida],Tabla3[Equivalencia en Kg],"ELVIS",0)</f>
        <v>154.55085805934243</v>
      </c>
      <c r="J2594">
        <v>2052.5495158415802</v>
      </c>
      <c r="K2594" t="s">
        <v>19</v>
      </c>
      <c r="L2594">
        <f>J2594/_xlfn.XLOOKUP(Tabla2[[#This Row],[Unidad de precio]],Tabla3[Medida],Tabla3[Equivalencia en Kg],"ELVIS",0)</f>
        <v>18.659541053105276</v>
      </c>
      <c r="M2594">
        <v>6204.1782065486696</v>
      </c>
      <c r="N2594" s="2">
        <f>(Tabla2[[#This Row],[Productividad (kg/TAS)]]*Tabla2[[#This Row],[Precio por kg]]-Tabla2[[#This Row],[Costos (En RD$/Tarea)]])</f>
        <v>-3320.3301257977232</v>
      </c>
      <c r="O2594" s="6">
        <f>IF(Tabla2[[#This Row],[Costos (En RD$/Tarea)]]=0,0,Tabla2[[#This Row],[Beneficio Neto  (En RD$/Tarea)]]/Tabla2[[#This Row],[Costos (En RD$/Tarea)]])</f>
        <v>-0.53517645935653968</v>
      </c>
      <c r="P2594" s="4">
        <f>Tabla2[[#This Row],[Rentabilidad (%)]]/12</f>
        <v>-4.4598038279711642E-2</v>
      </c>
    </row>
    <row r="2595" spans="1:16" x14ac:dyDescent="0.35">
      <c r="A2595" s="1">
        <v>43101</v>
      </c>
      <c r="B2595" t="s">
        <v>20</v>
      </c>
      <c r="C2595" s="2">
        <v>29211</v>
      </c>
      <c r="D2595" s="5" t="s">
        <v>17</v>
      </c>
      <c r="E2595" s="2">
        <f>IF(Tabla2[[#This Row],[Frecuencia]]="Annual", Tabla2[[#This Row],[Cosecha/Tarea]]/12,Tabla2[[#This Row],[Cosecha/Tarea]])</f>
        <v>29211</v>
      </c>
      <c r="F2595" s="2">
        <v>53966</v>
      </c>
      <c r="G2595" t="s">
        <v>18</v>
      </c>
      <c r="H2595">
        <f>F2595/Tabla2[[#This Row],[Cosecha Mensual]]</f>
        <v>1.8474547259593987</v>
      </c>
      <c r="I2595">
        <f>H2595*_xlfn.XLOOKUP(Tabla2[[#This Row],[Unidad de producción]],Tabla3[Medida],Tabla3[Equivalencia en Kg],"ELVIS",0)</f>
        <v>83.800546369518329</v>
      </c>
      <c r="J2595">
        <v>868.65104166666697</v>
      </c>
      <c r="K2595" t="s">
        <v>18</v>
      </c>
      <c r="L2595">
        <f>J2595/_xlfn.XLOOKUP(Tabla2[[#This Row],[Unidad de precio]],Tabla3[Medida],Tabla3[Equivalencia en Kg],"ELVIS",0)</f>
        <v>19.15015523956497</v>
      </c>
      <c r="M2595">
        <v>2494.8799608792001</v>
      </c>
      <c r="N2595" s="2">
        <f>(Tabla2[[#This Row],[Productividad (kg/TAS)]]*Tabla2[[#This Row],[Precio por kg]]-Tabla2[[#This Row],[Costos (En RD$/Tarea)]])</f>
        <v>-890.08648874256141</v>
      </c>
      <c r="O2595" s="6">
        <f>IF(Tabla2[[#This Row],[Costos (En RD$/Tarea)]]=0,0,Tabla2[[#This Row],[Beneficio Neto  (En RD$/Tarea)]]/Tabla2[[#This Row],[Costos (En RD$/Tarea)]])</f>
        <v>-0.35676525632475453</v>
      </c>
      <c r="P2595" s="4">
        <f>Tabla2[[#This Row],[Rentabilidad (%)]]/12</f>
        <v>-2.9730438027062878E-2</v>
      </c>
    </row>
    <row r="2596" spans="1:16" x14ac:dyDescent="0.35">
      <c r="A2596" s="1">
        <v>43101</v>
      </c>
      <c r="B2596" t="s">
        <v>21</v>
      </c>
      <c r="C2596" s="2">
        <v>5982</v>
      </c>
      <c r="D2596" s="5" t="s">
        <v>17</v>
      </c>
      <c r="E2596" s="2">
        <f>IF(Tabla2[[#This Row],[Frecuencia]]="Annual", Tabla2[[#This Row],[Cosecha/Tarea]]/12,Tabla2[[#This Row],[Cosecha/Tarea]])</f>
        <v>5982</v>
      </c>
      <c r="F2596" s="2">
        <v>80214</v>
      </c>
      <c r="G2596" t="s">
        <v>18</v>
      </c>
      <c r="H2596">
        <f>F2596/Tabla2[[#This Row],[Cosecha Mensual]]</f>
        <v>13.409227683049147</v>
      </c>
      <c r="I2596">
        <f>H2596*_xlfn.XLOOKUP(Tabla2[[#This Row],[Unidad de producción]],Tabla3[Medida],Tabla3[Equivalencia en Kg],"ELVIS",0)</f>
        <v>608.24256770310933</v>
      </c>
      <c r="J2596">
        <v>675.38690476190504</v>
      </c>
      <c r="K2596" t="s">
        <v>18</v>
      </c>
      <c r="L2596">
        <f>J2596/_xlfn.XLOOKUP(Tabla2[[#This Row],[Unidad de precio]],Tabla3[Medida],Tabla3[Equivalencia en Kg],"ELVIS",0)</f>
        <v>14.889482027378859</v>
      </c>
      <c r="M2596">
        <v>5415.9215773320002</v>
      </c>
      <c r="N2596" s="2">
        <f>(Tabla2[[#This Row],[Productividad (kg/TAS)]]*Tabla2[[#This Row],[Precio por kg]]-Tabla2[[#This Row],[Costos (En RD$/Tarea)]])</f>
        <v>3640.4952027702157</v>
      </c>
      <c r="O2596" s="6">
        <f>IF(Tabla2[[#This Row],[Costos (En RD$/Tarea)]]=0,0,Tabla2[[#This Row],[Beneficio Neto  (En RD$/Tarea)]]/Tabla2[[#This Row],[Costos (En RD$/Tarea)]])</f>
        <v>0.67218388427322873</v>
      </c>
      <c r="P2596" s="4">
        <f>Tabla2[[#This Row],[Rentabilidad (%)]]/12</f>
        <v>5.601532368943573E-2</v>
      </c>
    </row>
    <row r="2597" spans="1:16" x14ac:dyDescent="0.35">
      <c r="A2597" s="1">
        <v>43101</v>
      </c>
      <c r="B2597" t="s">
        <v>22</v>
      </c>
      <c r="C2597" s="2">
        <v>9001</v>
      </c>
      <c r="D2597" s="5" t="s">
        <v>17</v>
      </c>
      <c r="E2597" s="2">
        <f>IF(Tabla2[[#This Row],[Frecuencia]]="Annual", Tabla2[[#This Row],[Cosecha/Tarea]]/12,Tabla2[[#This Row],[Cosecha/Tarea]])</f>
        <v>9001</v>
      </c>
      <c r="F2597" s="2">
        <v>75214</v>
      </c>
      <c r="G2597" t="s">
        <v>18</v>
      </c>
      <c r="H2597">
        <f>F2597/Tabla2[[#This Row],[Cosecha Mensual]]</f>
        <v>8.3561826463726252</v>
      </c>
      <c r="I2597">
        <f>H2597*_xlfn.XLOOKUP(Tabla2[[#This Row],[Unidad de producción]],Tabla3[Medida],Tabla3[Equivalencia en Kg],"ELVIS",0)</f>
        <v>379.03644483946226</v>
      </c>
      <c r="J2597">
        <v>2271.1103661616198</v>
      </c>
      <c r="K2597" t="s">
        <v>18</v>
      </c>
      <c r="L2597">
        <f>J2597/_xlfn.XLOOKUP(Tabla2[[#This Row],[Unidad de precio]],Tabla3[Medida],Tabla3[Equivalencia en Kg],"ELVIS",0)</f>
        <v>50.068570682575391</v>
      </c>
      <c r="M2597">
        <v>10167.2711784</v>
      </c>
      <c r="N2597" s="2">
        <f>(Tabla2[[#This Row],[Productividad (kg/TAS)]]*Tabla2[[#This Row],[Precio por kg]]-Tabla2[[#This Row],[Costos (En RD$/Tarea)]])</f>
        <v>8810.5418513167042</v>
      </c>
      <c r="O2597" s="6">
        <f>IF(Tabla2[[#This Row],[Costos (En RD$/Tarea)]]=0,0,Tabla2[[#This Row],[Beneficio Neto  (En RD$/Tarea)]]/Tabla2[[#This Row],[Costos (En RD$/Tarea)]])</f>
        <v>0.86655914814531376</v>
      </c>
      <c r="P2597" s="4">
        <f>Tabla2[[#This Row],[Rentabilidad (%)]]/12</f>
        <v>7.2213262345442814E-2</v>
      </c>
    </row>
    <row r="2598" spans="1:16" x14ac:dyDescent="0.35">
      <c r="A2598" s="1">
        <v>43101</v>
      </c>
      <c r="B2598" t="s">
        <v>23</v>
      </c>
      <c r="C2598" s="2">
        <v>4865</v>
      </c>
      <c r="D2598" s="5" t="s">
        <v>17</v>
      </c>
      <c r="E2598" s="2">
        <f>IF(Tabla2[[#This Row],[Frecuencia]]="Annual", Tabla2[[#This Row],[Cosecha/Tarea]]/12,Tabla2[[#This Row],[Cosecha/Tarea]])</f>
        <v>4865</v>
      </c>
      <c r="F2598" s="2">
        <v>139120</v>
      </c>
      <c r="G2598" t="s">
        <v>18</v>
      </c>
      <c r="H2598">
        <f>F2598/Tabla2[[#This Row],[Cosecha Mensual]]</f>
        <v>28.596094552929085</v>
      </c>
      <c r="I2598">
        <f>H2598*_xlfn.XLOOKUP(Tabla2[[#This Row],[Unidad de producción]],Tabla3[Medida],Tabla3[Equivalencia en Kg],"ELVIS",0)</f>
        <v>1297.1188489208632</v>
      </c>
      <c r="J2598">
        <v>1151.1479377104399</v>
      </c>
      <c r="K2598" t="s">
        <v>18</v>
      </c>
      <c r="L2598">
        <f>J2598/_xlfn.XLOOKUP(Tabla2[[#This Row],[Unidad de precio]],Tabla3[Medida],Tabla3[Equivalencia en Kg],"ELVIS",0)</f>
        <v>25.378040954815695</v>
      </c>
      <c r="M2598">
        <v>23803.192305637302</v>
      </c>
      <c r="N2598" s="2">
        <f>(Tabla2[[#This Row],[Productividad (kg/TAS)]]*Tabla2[[#This Row],[Precio por kg]]-Tabla2[[#This Row],[Costos (En RD$/Tarea)]])</f>
        <v>9115.1429655397551</v>
      </c>
      <c r="O2598" s="6">
        <f>IF(Tabla2[[#This Row],[Costos (En RD$/Tarea)]]=0,0,Tabla2[[#This Row],[Beneficio Neto  (En RD$/Tarea)]]/Tabla2[[#This Row],[Costos (En RD$/Tarea)]])</f>
        <v>0.38293783659349839</v>
      </c>
      <c r="P2598" s="4">
        <f>Tabla2[[#This Row],[Rentabilidad (%)]]/12</f>
        <v>3.191148638279153E-2</v>
      </c>
    </row>
    <row r="2599" spans="1:16" x14ac:dyDescent="0.35">
      <c r="A2599" s="1">
        <v>43101</v>
      </c>
      <c r="B2599" t="s">
        <v>24</v>
      </c>
      <c r="C2599" s="2">
        <v>5645</v>
      </c>
      <c r="D2599" s="5" t="s">
        <v>17</v>
      </c>
      <c r="E2599" s="2">
        <f>IF(Tabla2[[#This Row],[Frecuencia]]="Annual", Tabla2[[#This Row],[Cosecha/Tarea]]/12,Tabla2[[#This Row],[Cosecha/Tarea]])</f>
        <v>5645</v>
      </c>
      <c r="F2599" s="2">
        <v>70124</v>
      </c>
      <c r="G2599" t="s">
        <v>18</v>
      </c>
      <c r="H2599">
        <f>F2599/Tabla2[[#This Row],[Cosecha Mensual]]</f>
        <v>12.422320637732506</v>
      </c>
      <c r="I2599">
        <f>H2599*_xlfn.XLOOKUP(Tabla2[[#This Row],[Unidad de producción]],Tabla3[Medida],Tabla3[Equivalencia en Kg],"ELVIS",0)</f>
        <v>563.47646412754648</v>
      </c>
      <c r="J2599">
        <v>1974.2604166666699</v>
      </c>
      <c r="K2599" t="s">
        <v>18</v>
      </c>
      <c r="L2599">
        <f>J2599/_xlfn.XLOOKUP(Tabla2[[#This Row],[Unidad de precio]],Tabla3[Medida],Tabla3[Equivalencia en Kg],"ELVIS",0)</f>
        <v>43.524259626690252</v>
      </c>
      <c r="M2599">
        <v>9413.7321988511994</v>
      </c>
      <c r="N2599" s="2">
        <f>(Tabla2[[#This Row],[Productividad (kg/TAS)]]*Tabla2[[#This Row],[Precio por kg]]-Tabla2[[#This Row],[Costos (En RD$/Tarea)]])</f>
        <v>15111.16371936555</v>
      </c>
      <c r="O2599" s="6">
        <f>IF(Tabla2[[#This Row],[Costos (En RD$/Tarea)]]=0,0,Tabla2[[#This Row],[Beneficio Neto  (En RD$/Tarea)]]/Tabla2[[#This Row],[Costos (En RD$/Tarea)]])</f>
        <v>1.6052255789908314</v>
      </c>
      <c r="P2599" s="4">
        <f>Tabla2[[#This Row],[Rentabilidad (%)]]/12</f>
        <v>0.13376879824923596</v>
      </c>
    </row>
    <row r="2600" spans="1:16" x14ac:dyDescent="0.35">
      <c r="A2600" s="1">
        <v>43101</v>
      </c>
      <c r="B2600" t="s">
        <v>25</v>
      </c>
      <c r="C2600" s="2">
        <v>25647</v>
      </c>
      <c r="D2600" s="5" t="s">
        <v>17</v>
      </c>
      <c r="E2600" s="2">
        <f>IF(Tabla2[[#This Row],[Frecuencia]]="Annual", Tabla2[[#This Row],[Cosecha/Tarea]]/12,Tabla2[[#This Row],[Cosecha/Tarea]])</f>
        <v>25647</v>
      </c>
      <c r="F2600" s="2">
        <v>272015</v>
      </c>
      <c r="G2600" t="s">
        <v>18</v>
      </c>
      <c r="H2600">
        <f>F2600/Tabla2[[#This Row],[Cosecha Mensual]]</f>
        <v>10.606113775490311</v>
      </c>
      <c r="I2600">
        <f>H2600*_xlfn.XLOOKUP(Tabla2[[#This Row],[Unidad de producción]],Tabla3[Medida],Tabla3[Equivalencia en Kg],"ELVIS",0)</f>
        <v>481.0933208562405</v>
      </c>
      <c r="J2600">
        <v>770.83333333333303</v>
      </c>
      <c r="K2600" t="s">
        <v>18</v>
      </c>
      <c r="L2600">
        <f>J2600/_xlfn.XLOOKUP(Tabla2[[#This Row],[Unidad de precio]],Tabla3[Medida],Tabla3[Equivalencia en Kg],"ELVIS",0)</f>
        <v>16.993680188124625</v>
      </c>
      <c r="M2600">
        <v>4549.7689931721798</v>
      </c>
      <c r="N2600" s="2">
        <f>(Tabla2[[#This Row],[Productividad (kg/TAS)]]*Tabla2[[#This Row],[Precio por kg]]-Tabla2[[#This Row],[Costos (En RD$/Tarea)]])</f>
        <v>3625.7770421015975</v>
      </c>
      <c r="O2600" s="6">
        <f>IF(Tabla2[[#This Row],[Costos (En RD$/Tarea)]]=0,0,Tabla2[[#This Row],[Beneficio Neto  (En RD$/Tarea)]]/Tabla2[[#This Row],[Costos (En RD$/Tarea)]])</f>
        <v>0.79691453512096699</v>
      </c>
      <c r="P2600" s="4">
        <f>Tabla2[[#This Row],[Rentabilidad (%)]]/12</f>
        <v>6.6409544593413916E-2</v>
      </c>
    </row>
    <row r="2601" spans="1:16" x14ac:dyDescent="0.35">
      <c r="A2601" s="1">
        <v>43101</v>
      </c>
      <c r="B2601" t="s">
        <v>26</v>
      </c>
      <c r="C2601" s="2">
        <v>12420</v>
      </c>
      <c r="D2601" s="5" t="s">
        <v>17</v>
      </c>
      <c r="E2601" s="2">
        <f>IF(Tabla2[[#This Row],[Frecuencia]]="Annual", Tabla2[[#This Row],[Cosecha/Tarea]]/12,Tabla2[[#This Row],[Cosecha/Tarea]])</f>
        <v>12420</v>
      </c>
      <c r="F2601" s="2">
        <v>78998</v>
      </c>
      <c r="G2601" t="s">
        <v>18</v>
      </c>
      <c r="H2601">
        <f>F2601/Tabla2[[#This Row],[Cosecha Mensual]]</f>
        <v>6.3605475040257646</v>
      </c>
      <c r="I2601">
        <f>H2601*_xlfn.XLOOKUP(Tabla2[[#This Row],[Unidad de producción]],Tabla3[Medida],Tabla3[Equivalencia en Kg],"ELVIS",0)</f>
        <v>288.5144347826087</v>
      </c>
      <c r="J2601">
        <v>950.984375</v>
      </c>
      <c r="K2601" t="s">
        <v>18</v>
      </c>
      <c r="L2601">
        <f>J2601/_xlfn.XLOOKUP(Tabla2[[#This Row],[Unidad de precio]],Tabla3[Medida],Tabla3[Equivalencia en Kg],"ELVIS",0)</f>
        <v>20.965263999118164</v>
      </c>
      <c r="M2601">
        <v>1733.52094425</v>
      </c>
      <c r="N2601" s="2">
        <f>(Tabla2[[#This Row],[Productividad (kg/TAS)]]*Tabla2[[#This Row],[Precio por kg]]-Tabla2[[#This Row],[Costos (En RD$/Tarea)]])</f>
        <v>4315.2603485237514</v>
      </c>
      <c r="O2601" s="6">
        <f>IF(Tabla2[[#This Row],[Costos (En RD$/Tarea)]]=0,0,Tabla2[[#This Row],[Beneficio Neto  (En RD$/Tarea)]]/Tabla2[[#This Row],[Costos (En RD$/Tarea)]])</f>
        <v>2.489303843046863</v>
      </c>
      <c r="P2601" s="4">
        <f>Tabla2[[#This Row],[Rentabilidad (%)]]/12</f>
        <v>0.20744198692057192</v>
      </c>
    </row>
    <row r="2602" spans="1:16" x14ac:dyDescent="0.35">
      <c r="A2602" s="1">
        <v>43101</v>
      </c>
      <c r="B2602" t="s">
        <v>27</v>
      </c>
      <c r="C2602" s="2">
        <v>7012</v>
      </c>
      <c r="D2602" s="5" t="s">
        <v>17</v>
      </c>
      <c r="E2602" s="2">
        <f>IF(Tabla2[[#This Row],[Frecuencia]]="Annual", Tabla2[[#This Row],[Cosecha/Tarea]]/12,Tabla2[[#This Row],[Cosecha/Tarea]])</f>
        <v>7012</v>
      </c>
      <c r="F2602" s="2">
        <v>60124</v>
      </c>
      <c r="G2602" t="s">
        <v>18</v>
      </c>
      <c r="H2602">
        <f>F2602/Tabla2[[#This Row],[Cosecha Mensual]]</f>
        <v>8.5744438106103829</v>
      </c>
      <c r="I2602">
        <f>H2602*_xlfn.XLOOKUP(Tabla2[[#This Row],[Unidad de producción]],Tabla3[Medida],Tabla3[Equivalencia en Kg],"ELVIS",0)</f>
        <v>388.93677124928695</v>
      </c>
      <c r="J2602">
        <v>677.28757619047599</v>
      </c>
      <c r="K2602" t="s">
        <v>18</v>
      </c>
      <c r="L2602">
        <f>J2602/_xlfn.XLOOKUP(Tabla2[[#This Row],[Unidad de precio]],Tabla3[Medida],Tabla3[Equivalencia en Kg],"ELVIS",0)</f>
        <v>14.931383954816491</v>
      </c>
      <c r="M2602">
        <v>9289.5754777799993</v>
      </c>
      <c r="N2602" s="2">
        <f>(Tabla2[[#This Row],[Productividad (kg/TAS)]]*Tabla2[[#This Row],[Precio por kg]]-Tabla2[[#This Row],[Costos (En RD$/Tarea)]])</f>
        <v>-3482.2112121102646</v>
      </c>
      <c r="O2602" s="6">
        <f>IF(Tabla2[[#This Row],[Costos (En RD$/Tarea)]]=0,0,Tabla2[[#This Row],[Beneficio Neto  (En RD$/Tarea)]]/Tabla2[[#This Row],[Costos (En RD$/Tarea)]])</f>
        <v>-0.37485149030108694</v>
      </c>
      <c r="P2602" s="4">
        <f>Tabla2[[#This Row],[Rentabilidad (%)]]/12</f>
        <v>-3.1237624191757244E-2</v>
      </c>
    </row>
    <row r="2603" spans="1:16" x14ac:dyDescent="0.35">
      <c r="A2603" s="1">
        <v>43101</v>
      </c>
      <c r="B2603" t="s">
        <v>28</v>
      </c>
      <c r="C2603" s="2">
        <v>73012</v>
      </c>
      <c r="D2603" s="5" t="s">
        <v>17</v>
      </c>
      <c r="E2603" s="2">
        <f>IF(Tabla2[[#This Row],[Frecuencia]]="Annual", Tabla2[[#This Row],[Cosecha/Tarea]]/12,Tabla2[[#This Row],[Cosecha/Tarea]])</f>
        <v>73012</v>
      </c>
      <c r="F2603" s="2">
        <v>1345308</v>
      </c>
      <c r="G2603" t="s">
        <v>18</v>
      </c>
      <c r="H2603">
        <f>F2603/Tabla2[[#This Row],[Cosecha Mensual]]</f>
        <v>18.425847805840135</v>
      </c>
      <c r="I2603">
        <f>H2603*_xlfn.XLOOKUP(Tabla2[[#This Row],[Unidad de producción]],Tabla3[Medida],Tabla3[Equivalencia en Kg],"ELVIS",0)</f>
        <v>835.79645647290852</v>
      </c>
      <c r="J2603">
        <v>7864.7916666666697</v>
      </c>
      <c r="K2603" t="s">
        <v>29</v>
      </c>
      <c r="L2603">
        <f>J2603/_xlfn.XLOOKUP(Tabla2[[#This Row],[Unidad de precio]],Tabla3[Medida],Tabla3[Equivalencia en Kg],"ELVIS",0)</f>
        <v>13.985830043508678</v>
      </c>
      <c r="M2603">
        <v>7167.6799321206599</v>
      </c>
      <c r="N2603" s="2">
        <f>(Tabla2[[#This Row],[Productividad (kg/TAS)]]*Tabla2[[#This Row],[Precio por kg]]-Tabla2[[#This Row],[Costos (En RD$/Tarea)]])</f>
        <v>4521.6272590762364</v>
      </c>
      <c r="O2603" s="6">
        <f>IF(Tabla2[[#This Row],[Costos (En RD$/Tarea)]]=0,0,Tabla2[[#This Row],[Beneficio Neto  (En RD$/Tarea)]]/Tabla2[[#This Row],[Costos (En RD$/Tarea)]])</f>
        <v>0.63083554258796948</v>
      </c>
      <c r="P2603" s="4">
        <f>Tabla2[[#This Row],[Rentabilidad (%)]]/12</f>
        <v>5.2569628548997459E-2</v>
      </c>
    </row>
    <row r="2604" spans="1:16" x14ac:dyDescent="0.35">
      <c r="A2604" s="1">
        <v>43101</v>
      </c>
      <c r="B2604" t="s">
        <v>30</v>
      </c>
      <c r="C2604" s="2">
        <v>401244</v>
      </c>
      <c r="D2604" s="2" t="s">
        <v>31</v>
      </c>
      <c r="E2604" s="2">
        <f>IF(Tabla2[[#This Row],[Frecuencia]]="Annual", Tabla2[[#This Row],[Cosecha/Tarea]]/12,Tabla2[[#This Row],[Cosecha/Tarea]])</f>
        <v>33437</v>
      </c>
      <c r="F2604" s="2">
        <v>1817075.4</v>
      </c>
      <c r="G2604" t="s">
        <v>18</v>
      </c>
      <c r="H2604">
        <f>F2604/Tabla2[[#This Row],[Cosecha Mensual]]</f>
        <v>54.343254478571637</v>
      </c>
      <c r="I2604">
        <f>H2604*_xlfn.XLOOKUP(Tabla2[[#This Row],[Unidad de producción]],Tabla3[Medida],Tabla3[Equivalencia en Kg],"ELVIS",0)</f>
        <v>2465.0100231480096</v>
      </c>
      <c r="J2604">
        <v>182.76458333333301</v>
      </c>
      <c r="K2604" t="s">
        <v>32</v>
      </c>
      <c r="L2604">
        <f>J2604/_xlfn.XLOOKUP(Tabla2[[#This Row],[Unidad de precio]],Tabla3[Medida],Tabla3[Equivalencia en Kg],"ELVIS",0)</f>
        <v>6.7168167340438441</v>
      </c>
      <c r="M2604" s="2">
        <v>34069.662396</v>
      </c>
      <c r="N2604" s="2">
        <f>(Tabla2[[#This Row],[Productividad (kg/TAS)]]*Tabla2[[#This Row],[Precio por kg]]-Tabla2[[#This Row],[Costos (En RD$/Tarea)]])</f>
        <v>-17512.641822933645</v>
      </c>
      <c r="O2604" s="6">
        <f>IF(Tabla2[[#This Row],[Costos (En RD$/Tarea)]]=0,0,Tabla2[[#This Row],[Beneficio Neto  (En RD$/Tarea)]]/Tabla2[[#This Row],[Costos (En RD$/Tarea)]])</f>
        <v>-0.51402451892184708</v>
      </c>
      <c r="P2604" s="4">
        <f>Tabla2[[#This Row],[Rentabilidad (%)]]/12</f>
        <v>-4.2835376576820593E-2</v>
      </c>
    </row>
    <row r="2605" spans="1:16" x14ac:dyDescent="0.35">
      <c r="A2605" s="1">
        <v>43101</v>
      </c>
      <c r="B2605" t="s">
        <v>33</v>
      </c>
      <c r="C2605" s="2">
        <v>694578</v>
      </c>
      <c r="D2605" s="2" t="s">
        <v>31</v>
      </c>
      <c r="E2605" s="2">
        <f>IF(Tabla2[[#This Row],[Frecuencia]]="Annual", Tabla2[[#This Row],[Cosecha/Tarea]]/12,Tabla2[[#This Row],[Cosecha/Tarea]])</f>
        <v>57881.5</v>
      </c>
      <c r="F2605" s="2">
        <v>1230750</v>
      </c>
      <c r="G2605" t="s">
        <v>18</v>
      </c>
      <c r="H2605">
        <f>F2605/Tabla2[[#This Row],[Cosecha Mensual]]</f>
        <v>21.263270647789017</v>
      </c>
      <c r="I2605">
        <f>H2605*_xlfn.XLOOKUP(Tabla2[[#This Row],[Unidad de producción]],Tabla3[Medida],Tabla3[Equivalencia en Kg],"ELVIS",0)</f>
        <v>964.50195658370978</v>
      </c>
      <c r="J2605">
        <v>9398.6197916666697</v>
      </c>
      <c r="K2605" t="s">
        <v>34</v>
      </c>
      <c r="L2605">
        <f>J2605/_xlfn.XLOOKUP(Tabla2[[#This Row],[Unidad de precio]],Tabla3[Medida],Tabla3[Equivalencia en Kg],"ELVIS",0)</f>
        <v>23.027366879006909</v>
      </c>
      <c r="M2605" s="2">
        <v>22932.1463359308</v>
      </c>
      <c r="N2605" s="2">
        <f>(Tabla2[[#This Row],[Productividad (kg/TAS)]]*Tabla2[[#This Row],[Precio por kg]]-Tabla2[[#This Row],[Costos (En RD$/Tarea)]])</f>
        <v>-722.2059261577233</v>
      </c>
      <c r="O2605" s="6">
        <f>IF(Tabla2[[#This Row],[Costos (En RD$/Tarea)]]=0,0,Tabla2[[#This Row],[Beneficio Neto  (En RD$/Tarea)]]/Tabla2[[#This Row],[Costos (En RD$/Tarea)]])</f>
        <v>-3.1493167520309624E-2</v>
      </c>
      <c r="P2605" s="4">
        <f>Tabla2[[#This Row],[Rentabilidad (%)]]/12</f>
        <v>-2.6244306266924688E-3</v>
      </c>
    </row>
    <row r="2606" spans="1:16" x14ac:dyDescent="0.35">
      <c r="A2606" s="1">
        <v>43132</v>
      </c>
      <c r="B2606" t="s">
        <v>16</v>
      </c>
      <c r="C2606" s="2">
        <v>2851</v>
      </c>
      <c r="D2606" s="5" t="s">
        <v>17</v>
      </c>
      <c r="E2606" s="2">
        <f>IF(Tabla2[[#This Row],[Frecuencia]]="Annual", Tabla2[[#This Row],[Cosecha/Tarea]]/12,Tabla2[[#This Row],[Cosecha/Tarea]])</f>
        <v>2851</v>
      </c>
      <c r="F2606" s="2">
        <v>8754</v>
      </c>
      <c r="G2606" t="s">
        <v>18</v>
      </c>
      <c r="H2606">
        <f>F2606/Tabla2[[#This Row],[Cosecha Mensual]]</f>
        <v>3.0705015783935461</v>
      </c>
      <c r="I2606">
        <f>H2606*_xlfn.XLOOKUP(Tabla2[[#This Row],[Unidad de producción]],Tabla3[Medida],Tabla3[Equivalencia en Kg],"ELVIS",0)</f>
        <v>139.27795159593126</v>
      </c>
      <c r="J2606">
        <v>1986.751</v>
      </c>
      <c r="K2606" t="s">
        <v>19</v>
      </c>
      <c r="L2606">
        <f>J2606/_xlfn.XLOOKUP(Tabla2[[#This Row],[Unidad de precio]],Tabla3[Medida],Tabla3[Equivalencia en Kg],"ELVIS",0)</f>
        <v>18.061372727272726</v>
      </c>
      <c r="M2606">
        <v>6204.1782065486696</v>
      </c>
      <c r="N2606" s="2">
        <f>(Tabla2[[#This Row],[Productividad (kg/TAS)]]*Tabla2[[#This Row],[Precio por kg]]-Tabla2[[#This Row],[Costos (En RD$/Tarea)]])</f>
        <v>-3688.6272100835058</v>
      </c>
      <c r="O2606" s="6">
        <f>IF(Tabla2[[#This Row],[Costos (En RD$/Tarea)]]=0,0,Tabla2[[#This Row],[Beneficio Neto  (En RD$/Tarea)]]/Tabla2[[#This Row],[Costos (En RD$/Tarea)]])</f>
        <v>-0.59453921007460186</v>
      </c>
      <c r="P2606" s="4">
        <f>Tabla2[[#This Row],[Rentabilidad (%)]]/12</f>
        <v>-4.9544934172883491E-2</v>
      </c>
    </row>
    <row r="2607" spans="1:16" x14ac:dyDescent="0.35">
      <c r="A2607" s="1">
        <v>43132</v>
      </c>
      <c r="B2607" t="s">
        <v>20</v>
      </c>
      <c r="C2607" s="2">
        <v>31021</v>
      </c>
      <c r="D2607" s="5" t="s">
        <v>17</v>
      </c>
      <c r="E2607" s="2">
        <f>IF(Tabla2[[#This Row],[Frecuencia]]="Annual", Tabla2[[#This Row],[Cosecha/Tarea]]/12,Tabla2[[#This Row],[Cosecha/Tarea]])</f>
        <v>31021</v>
      </c>
      <c r="F2607" s="2">
        <v>75142</v>
      </c>
      <c r="G2607" t="s">
        <v>18</v>
      </c>
      <c r="H2607">
        <f>F2607/Tabla2[[#This Row],[Cosecha Mensual]]</f>
        <v>2.4222945746429838</v>
      </c>
      <c r="I2607">
        <f>H2607*_xlfn.XLOOKUP(Tabla2[[#This Row],[Unidad de producción]],Tabla3[Medida],Tabla3[Equivalencia en Kg],"ELVIS",0)</f>
        <v>109.87528190580575</v>
      </c>
      <c r="J2607">
        <v>926.76190476190504</v>
      </c>
      <c r="K2607" t="s">
        <v>18</v>
      </c>
      <c r="L2607">
        <f>J2607/_xlfn.XLOOKUP(Tabla2[[#This Row],[Unidad de precio]],Tabla3[Medida],Tabla3[Equivalencia en Kg],"ELVIS",0)</f>
        <v>20.431258923322421</v>
      </c>
      <c r="M2607">
        <v>2494.8799608792001</v>
      </c>
      <c r="N2607" s="2">
        <f>(Tabla2[[#This Row],[Productividad (kg/TAS)]]*Tabla2[[#This Row],[Precio por kg]]-Tabla2[[#This Row],[Costos (En RD$/Tarea)]])</f>
        <v>-249.98962698863988</v>
      </c>
      <c r="O2607" s="6">
        <f>IF(Tabla2[[#This Row],[Costos (En RD$/Tarea)]]=0,0,Tabla2[[#This Row],[Beneficio Neto  (En RD$/Tarea)]]/Tabla2[[#This Row],[Costos (En RD$/Tarea)]])</f>
        <v>-0.10020106414279872</v>
      </c>
      <c r="P2607" s="4">
        <f>Tabla2[[#This Row],[Rentabilidad (%)]]/12</f>
        <v>-8.3500886785665609E-3</v>
      </c>
    </row>
    <row r="2608" spans="1:16" x14ac:dyDescent="0.35">
      <c r="A2608" s="1">
        <v>43132</v>
      </c>
      <c r="B2608" t="s">
        <v>21</v>
      </c>
      <c r="C2608" s="2">
        <v>10321</v>
      </c>
      <c r="D2608" s="5" t="s">
        <v>17</v>
      </c>
      <c r="E2608" s="2">
        <f>IF(Tabla2[[#This Row],[Frecuencia]]="Annual", Tabla2[[#This Row],[Cosecha/Tarea]]/12,Tabla2[[#This Row],[Cosecha/Tarea]])</f>
        <v>10321</v>
      </c>
      <c r="F2608" s="2">
        <v>97706</v>
      </c>
      <c r="G2608" t="s">
        <v>18</v>
      </c>
      <c r="H2608">
        <f>F2608/Tabla2[[#This Row],[Cosecha Mensual]]</f>
        <v>9.4667183412460041</v>
      </c>
      <c r="I2608">
        <f>H2608*_xlfn.XLOOKUP(Tabla2[[#This Row],[Unidad de producción]],Tabla3[Medida],Tabla3[Equivalencia en Kg],"ELVIS",0)</f>
        <v>429.41034395891876</v>
      </c>
      <c r="J2608">
        <v>661.5</v>
      </c>
      <c r="K2608" t="s">
        <v>18</v>
      </c>
      <c r="L2608">
        <f>J2608/_xlfn.XLOOKUP(Tabla2[[#This Row],[Unidad de precio]],Tabla3[Medida],Tabla3[Equivalencia en Kg],"ELVIS",0)</f>
        <v>14.583333333333334</v>
      </c>
      <c r="M2608">
        <v>5415.9215773320002</v>
      </c>
      <c r="N2608" s="2">
        <f>(Tabla2[[#This Row],[Productividad (kg/TAS)]]*Tabla2[[#This Row],[Precio por kg]]-Tabla2[[#This Row],[Costos (En RD$/Tarea)]])</f>
        <v>846.31260540223229</v>
      </c>
      <c r="O2608" s="6">
        <f>IF(Tabla2[[#This Row],[Costos (En RD$/Tarea)]]=0,0,Tabla2[[#This Row],[Beneficio Neto  (En RD$/Tarea)]]/Tabla2[[#This Row],[Costos (En RD$/Tarea)]])</f>
        <v>0.15626382201404476</v>
      </c>
      <c r="P2608" s="4">
        <f>Tabla2[[#This Row],[Rentabilidad (%)]]/12</f>
        <v>1.3021985167837064E-2</v>
      </c>
    </row>
    <row r="2609" spans="1:16" x14ac:dyDescent="0.35">
      <c r="A2609" s="1">
        <v>43132</v>
      </c>
      <c r="B2609" t="s">
        <v>22</v>
      </c>
      <c r="C2609" s="2">
        <v>9287</v>
      </c>
      <c r="D2609" s="5" t="s">
        <v>17</v>
      </c>
      <c r="E2609" s="2">
        <f>IF(Tabla2[[#This Row],[Frecuencia]]="Annual", Tabla2[[#This Row],[Cosecha/Tarea]]/12,Tabla2[[#This Row],[Cosecha/Tarea]])</f>
        <v>9287</v>
      </c>
      <c r="F2609" s="2">
        <v>82458</v>
      </c>
      <c r="G2609" t="s">
        <v>18</v>
      </c>
      <c r="H2609">
        <f>F2609/Tabla2[[#This Row],[Cosecha Mensual]]</f>
        <v>8.8788629266716921</v>
      </c>
      <c r="I2609">
        <f>H2609*_xlfn.XLOOKUP(Tabla2[[#This Row],[Unidad de producción]],Tabla3[Medida],Tabla3[Equivalencia en Kg],"ELVIS",0)</f>
        <v>402.74522235382796</v>
      </c>
      <c r="J2609">
        <v>2664.5808368714602</v>
      </c>
      <c r="K2609" t="s">
        <v>18</v>
      </c>
      <c r="L2609">
        <f>J2609/_xlfn.XLOOKUP(Tabla2[[#This Row],[Unidad de precio]],Tabla3[Medida],Tabla3[Equivalencia en Kg],"ELVIS",0)</f>
        <v>58.742963775825842</v>
      </c>
      <c r="M2609">
        <v>10167.2711784</v>
      </c>
      <c r="N2609" s="2">
        <f>(Tabla2[[#This Row],[Productividad (kg/TAS)]]*Tabla2[[#This Row],[Precio por kg]]-Tabla2[[#This Row],[Costos (En RD$/Tarea)]])</f>
        <v>13491.17682921784</v>
      </c>
      <c r="O2609" s="6">
        <f>IF(Tabla2[[#This Row],[Costos (En RD$/Tarea)]]=0,0,Tabla2[[#This Row],[Beneficio Neto  (En RD$/Tarea)]]/Tabla2[[#This Row],[Costos (En RD$/Tarea)]])</f>
        <v>1.3269221005808676</v>
      </c>
      <c r="P2609" s="4">
        <f>Tabla2[[#This Row],[Rentabilidad (%)]]/12</f>
        <v>0.1105768417150723</v>
      </c>
    </row>
    <row r="2610" spans="1:16" x14ac:dyDescent="0.35">
      <c r="A2610" s="1">
        <v>43132</v>
      </c>
      <c r="B2610" t="s">
        <v>23</v>
      </c>
      <c r="C2610" s="2">
        <v>5521</v>
      </c>
      <c r="D2610" s="5" t="s">
        <v>17</v>
      </c>
      <c r="E2610" s="2">
        <f>IF(Tabla2[[#This Row],[Frecuencia]]="Annual", Tabla2[[#This Row],[Cosecha/Tarea]]/12,Tabla2[[#This Row],[Cosecha/Tarea]])</f>
        <v>5521</v>
      </c>
      <c r="F2610" s="2">
        <v>189524</v>
      </c>
      <c r="G2610" t="s">
        <v>18</v>
      </c>
      <c r="H2610">
        <f>F2610/Tabla2[[#This Row],[Cosecha Mensual]]</f>
        <v>34.327839159572541</v>
      </c>
      <c r="I2610">
        <f>H2610*_xlfn.XLOOKUP(Tabla2[[#This Row],[Unidad de producción]],Tabla3[Medida],Tabla3[Equivalencia en Kg],"ELVIS",0)</f>
        <v>1557.1107842782105</v>
      </c>
      <c r="J2610">
        <v>1169.00171587672</v>
      </c>
      <c r="K2610" t="s">
        <v>18</v>
      </c>
      <c r="L2610">
        <f>J2610/_xlfn.XLOOKUP(Tabla2[[#This Row],[Unidad de precio]],Tabla3[Medida],Tabla3[Equivalencia en Kg],"ELVIS",0)</f>
        <v>25.771642766241623</v>
      </c>
      <c r="M2610">
        <v>23803.192305637302</v>
      </c>
      <c r="N2610" s="2">
        <f>(Tabla2[[#This Row],[Productividad (kg/TAS)]]*Tabla2[[#This Row],[Precio por kg]]-Tabla2[[#This Row],[Costos (En RD$/Tarea)]])</f>
        <v>16326.110574243063</v>
      </c>
      <c r="O2610" s="6">
        <f>IF(Tabla2[[#This Row],[Costos (En RD$/Tarea)]]=0,0,Tabla2[[#This Row],[Beneficio Neto  (En RD$/Tarea)]]/Tabla2[[#This Row],[Costos (En RD$/Tarea)]])</f>
        <v>0.68587903524085536</v>
      </c>
      <c r="P2610" s="4">
        <f>Tabla2[[#This Row],[Rentabilidad (%)]]/12</f>
        <v>5.715658627007128E-2</v>
      </c>
    </row>
    <row r="2611" spans="1:16" x14ac:dyDescent="0.35">
      <c r="A2611" s="1">
        <v>43132</v>
      </c>
      <c r="B2611" t="s">
        <v>24</v>
      </c>
      <c r="C2611" s="2">
        <v>7851</v>
      </c>
      <c r="D2611" s="5" t="s">
        <v>17</v>
      </c>
      <c r="E2611" s="2">
        <f>IF(Tabla2[[#This Row],[Frecuencia]]="Annual", Tabla2[[#This Row],[Cosecha/Tarea]]/12,Tabla2[[#This Row],[Cosecha/Tarea]])</f>
        <v>7851</v>
      </c>
      <c r="F2611" s="2">
        <v>74251</v>
      </c>
      <c r="G2611" t="s">
        <v>18</v>
      </c>
      <c r="H2611">
        <f>F2611/Tabla2[[#This Row],[Cosecha Mensual]]</f>
        <v>9.4575213348618004</v>
      </c>
      <c r="I2611">
        <f>H2611*_xlfn.XLOOKUP(Tabla2[[#This Row],[Unidad de producción]],Tabla3[Medida],Tabla3[Equivalencia en Kg],"ELVIS",0)</f>
        <v>428.99316774933123</v>
      </c>
      <c r="J2611">
        <v>2066.4801587301599</v>
      </c>
      <c r="K2611" t="s">
        <v>18</v>
      </c>
      <c r="L2611">
        <f>J2611/_xlfn.XLOOKUP(Tabla2[[#This Row],[Unidad de precio]],Tabla3[Medida],Tabla3[Equivalencia en Kg],"ELVIS",0)</f>
        <v>45.557322723328042</v>
      </c>
      <c r="M2611">
        <v>9413.7321988511994</v>
      </c>
      <c r="N2611" s="2">
        <f>(Tabla2[[#This Row],[Productividad (kg/TAS)]]*Tabla2[[#This Row],[Precio por kg]]-Tabla2[[#This Row],[Costos (En RD$/Tarea)]])</f>
        <v>10130.047990407887</v>
      </c>
      <c r="O2611" s="6">
        <f>IF(Tabla2[[#This Row],[Costos (En RD$/Tarea)]]=0,0,Tabla2[[#This Row],[Beneficio Neto  (En RD$/Tarea)]]/Tabla2[[#This Row],[Costos (En RD$/Tarea)]])</f>
        <v>1.0760926459798914</v>
      </c>
      <c r="P2611" s="4">
        <f>Tabla2[[#This Row],[Rentabilidad (%)]]/12</f>
        <v>8.9674387164990946E-2</v>
      </c>
    </row>
    <row r="2612" spans="1:16" x14ac:dyDescent="0.35">
      <c r="A2612" s="1">
        <v>43132</v>
      </c>
      <c r="B2612" t="s">
        <v>25</v>
      </c>
      <c r="C2612" s="2">
        <v>35689</v>
      </c>
      <c r="D2612" s="5" t="s">
        <v>17</v>
      </c>
      <c r="E2612" s="2">
        <f>IF(Tabla2[[#This Row],[Frecuencia]]="Annual", Tabla2[[#This Row],[Cosecha/Tarea]]/12,Tabla2[[#This Row],[Cosecha/Tarea]])</f>
        <v>35689</v>
      </c>
      <c r="F2612" s="2">
        <v>395958</v>
      </c>
      <c r="G2612" t="s">
        <v>18</v>
      </c>
      <c r="H2612">
        <f>F2612/Tabla2[[#This Row],[Cosecha Mensual]]</f>
        <v>11.09467903275519</v>
      </c>
      <c r="I2612">
        <f>H2612*_xlfn.XLOOKUP(Tabla2[[#This Row],[Unidad de producción]],Tabla3[Medida],Tabla3[Equivalencia en Kg],"ELVIS",0)</f>
        <v>503.25464092577539</v>
      </c>
      <c r="J2612">
        <v>814.94047619047603</v>
      </c>
      <c r="K2612" t="s">
        <v>18</v>
      </c>
      <c r="L2612">
        <f>J2612/_xlfn.XLOOKUP(Tabla2[[#This Row],[Unidad de precio]],Tabla3[Medida],Tabla3[Equivalencia en Kg],"ELVIS",0)</f>
        <v>17.966059880742417</v>
      </c>
      <c r="M2612">
        <v>4549.7689931721798</v>
      </c>
      <c r="N2612" s="2">
        <f>(Tabla2[[#This Row],[Productividad (kg/TAS)]]*Tabla2[[#This Row],[Precio por kg]]-Tabla2[[#This Row],[Costos (En RD$/Tarea)]])</f>
        <v>4491.7340209618251</v>
      </c>
      <c r="O2612" s="6">
        <f>IF(Tabla2[[#This Row],[Costos (En RD$/Tarea)]]=0,0,Tabla2[[#This Row],[Beneficio Neto  (En RD$/Tarea)]]/Tabla2[[#This Row],[Costos (En RD$/Tarea)]])</f>
        <v>0.98724441344221048</v>
      </c>
      <c r="P2612" s="4">
        <f>Tabla2[[#This Row],[Rentabilidad (%)]]/12</f>
        <v>8.2270367786850873E-2</v>
      </c>
    </row>
    <row r="2613" spans="1:16" x14ac:dyDescent="0.35">
      <c r="A2613" s="1">
        <v>43132</v>
      </c>
      <c r="B2613" t="s">
        <v>26</v>
      </c>
      <c r="C2613" s="2">
        <v>12012</v>
      </c>
      <c r="D2613" s="5" t="s">
        <v>17</v>
      </c>
      <c r="E2613" s="2">
        <f>IF(Tabla2[[#This Row],[Frecuencia]]="Annual", Tabla2[[#This Row],[Cosecha/Tarea]]/12,Tabla2[[#This Row],[Cosecha/Tarea]])</f>
        <v>12012</v>
      </c>
      <c r="F2613" s="2">
        <v>78990</v>
      </c>
      <c r="G2613" t="s">
        <v>18</v>
      </c>
      <c r="H2613">
        <f>F2613/Tabla2[[#This Row],[Cosecha Mensual]]</f>
        <v>6.5759240759240756</v>
      </c>
      <c r="I2613">
        <f>H2613*_xlfn.XLOOKUP(Tabla2[[#This Row],[Unidad de producción]],Tabla3[Medida],Tabla3[Equivalencia en Kg],"ELVIS",0)</f>
        <v>298.28391608391604</v>
      </c>
      <c r="J2613">
        <v>1078.2797619047601</v>
      </c>
      <c r="K2613" t="s">
        <v>18</v>
      </c>
      <c r="L2613">
        <f>J2613/_xlfn.XLOOKUP(Tabla2[[#This Row],[Unidad de precio]],Tabla3[Medida],Tabla3[Equivalencia en Kg],"ELVIS",0)</f>
        <v>23.77159968925838</v>
      </c>
      <c r="M2613">
        <v>1733.52094425</v>
      </c>
      <c r="N2613" s="2">
        <f>(Tabla2[[#This Row],[Productividad (kg/TAS)]]*Tabla2[[#This Row],[Precio por kg]]-Tabla2[[#This Row],[Costos (En RD$/Tarea)]])</f>
        <v>5357.1649026411915</v>
      </c>
      <c r="O2613" s="6">
        <f>IF(Tabla2[[#This Row],[Costos (En RD$/Tarea)]]=0,0,Tabla2[[#This Row],[Beneficio Neto  (En RD$/Tarea)]]/Tabla2[[#This Row],[Costos (En RD$/Tarea)]])</f>
        <v>3.0903375701404894</v>
      </c>
      <c r="P2613" s="4">
        <f>Tabla2[[#This Row],[Rentabilidad (%)]]/12</f>
        <v>0.25752813084504078</v>
      </c>
    </row>
    <row r="2614" spans="1:16" x14ac:dyDescent="0.35">
      <c r="A2614" s="1">
        <v>43132</v>
      </c>
      <c r="B2614" t="s">
        <v>27</v>
      </c>
      <c r="C2614" s="2">
        <v>5854</v>
      </c>
      <c r="D2614" s="5" t="s">
        <v>17</v>
      </c>
      <c r="E2614" s="2">
        <f>IF(Tabla2[[#This Row],[Frecuencia]]="Annual", Tabla2[[#This Row],[Cosecha/Tarea]]/12,Tabla2[[#This Row],[Cosecha/Tarea]])</f>
        <v>5854</v>
      </c>
      <c r="F2614" s="2">
        <v>49899</v>
      </c>
      <c r="G2614" t="s">
        <v>18</v>
      </c>
      <c r="H2614">
        <f>F2614/Tabla2[[#This Row],[Cosecha Mensual]]</f>
        <v>8.5239152716091553</v>
      </c>
      <c r="I2614">
        <f>H2614*_xlfn.XLOOKUP(Tabla2[[#This Row],[Unidad de producción]],Tabla3[Medida],Tabla3[Equivalencia en Kg],"ELVIS",0)</f>
        <v>386.64479672019127</v>
      </c>
      <c r="J2614">
        <v>787.63888888888903</v>
      </c>
      <c r="K2614" t="s">
        <v>18</v>
      </c>
      <c r="L2614">
        <f>J2614/_xlfn.XLOOKUP(Tabla2[[#This Row],[Unidad de precio]],Tabla3[Medida],Tabla3[Equivalencia en Kg],"ELVIS",0)</f>
        <v>17.364173035469335</v>
      </c>
      <c r="M2614">
        <v>9289.5754777799993</v>
      </c>
      <c r="N2614" s="2">
        <f>(Tabla2[[#This Row],[Productividad (kg/TAS)]]*Tabla2[[#This Row],[Precio por kg]]-Tabla2[[#This Row],[Costos (En RD$/Tarea)]])</f>
        <v>-2575.8083242667317</v>
      </c>
      <c r="O2614" s="6">
        <f>IF(Tabla2[[#This Row],[Costos (En RD$/Tarea)]]=0,0,Tabla2[[#This Row],[Beneficio Neto  (En RD$/Tarea)]]/Tabla2[[#This Row],[Costos (En RD$/Tarea)]])</f>
        <v>-0.27727944408524169</v>
      </c>
      <c r="P2614" s="4">
        <f>Tabla2[[#This Row],[Rentabilidad (%)]]/12</f>
        <v>-2.3106620340436809E-2</v>
      </c>
    </row>
    <row r="2615" spans="1:16" x14ac:dyDescent="0.35">
      <c r="A2615" s="1">
        <v>43132</v>
      </c>
      <c r="B2615" t="s">
        <v>28</v>
      </c>
      <c r="C2615" s="2">
        <v>91254</v>
      </c>
      <c r="D2615" s="5" t="s">
        <v>17</v>
      </c>
      <c r="E2615" s="2">
        <f>IF(Tabla2[[#This Row],[Frecuencia]]="Annual", Tabla2[[#This Row],[Cosecha/Tarea]]/12,Tabla2[[#This Row],[Cosecha/Tarea]])</f>
        <v>91254</v>
      </c>
      <c r="F2615" s="2">
        <v>1839048</v>
      </c>
      <c r="G2615" t="s">
        <v>18</v>
      </c>
      <c r="H2615">
        <f>F2615/Tabla2[[#This Row],[Cosecha Mensual]]</f>
        <v>20.153067262804917</v>
      </c>
      <c r="I2615">
        <f>H2615*_xlfn.XLOOKUP(Tabla2[[#This Row],[Unidad de producción]],Tabla3[Medida],Tabla3[Equivalencia en Kg],"ELVIS",0)</f>
        <v>914.14313104083101</v>
      </c>
      <c r="J2615">
        <v>8979.1666666666697</v>
      </c>
      <c r="K2615" t="s">
        <v>29</v>
      </c>
      <c r="L2615">
        <f>J2615/_xlfn.XLOOKUP(Tabla2[[#This Row],[Unidad de precio]],Tabla3[Medida],Tabla3[Equivalencia en Kg],"ELVIS",0)</f>
        <v>15.967504831003787</v>
      </c>
      <c r="M2615">
        <v>7167.6799321206599</v>
      </c>
      <c r="N2615" s="2">
        <f>(Tabla2[[#This Row],[Productividad (kg/TAS)]]*Tabla2[[#This Row],[Precio por kg]]-Tabla2[[#This Row],[Costos (En RD$/Tarea)]])</f>
        <v>7428.904929002736</v>
      </c>
      <c r="O2615" s="6">
        <f>IF(Tabla2[[#This Row],[Costos (En RD$/Tarea)]]=0,0,Tabla2[[#This Row],[Beneficio Neto  (En RD$/Tarea)]]/Tabla2[[#This Row],[Costos (En RD$/Tarea)]])</f>
        <v>1.0364448467783061</v>
      </c>
      <c r="P2615" s="4">
        <f>Tabla2[[#This Row],[Rentabilidad (%)]]/12</f>
        <v>8.6370403898192172E-2</v>
      </c>
    </row>
    <row r="2616" spans="1:16" x14ac:dyDescent="0.35">
      <c r="A2616" s="1">
        <v>43132</v>
      </c>
      <c r="B2616" t="s">
        <v>30</v>
      </c>
      <c r="C2616" s="2">
        <v>467381</v>
      </c>
      <c r="D2616" s="2" t="s">
        <v>31</v>
      </c>
      <c r="E2616" s="2">
        <f>IF(Tabla2[[#This Row],[Frecuencia]]="Annual", Tabla2[[#This Row],[Cosecha/Tarea]]/12,Tabla2[[#This Row],[Cosecha/Tarea]])</f>
        <v>38948.416666666664</v>
      </c>
      <c r="F2616" s="2">
        <v>2093712.6</v>
      </c>
      <c r="G2616" t="s">
        <v>18</v>
      </c>
      <c r="H2616">
        <f>F2616/Tabla2[[#This Row],[Cosecha Mensual]]</f>
        <v>53.756038863368438</v>
      </c>
      <c r="I2616">
        <f>H2616*_xlfn.XLOOKUP(Tabla2[[#This Row],[Unidad de producción]],Tabla3[Medida],Tabla3[Equivalencia en Kg],"ELVIS",0)</f>
        <v>2438.3739228423924</v>
      </c>
      <c r="J2616">
        <v>167.97023809523799</v>
      </c>
      <c r="K2616" t="s">
        <v>32</v>
      </c>
      <c r="L2616">
        <f>J2616/_xlfn.XLOOKUP(Tabla2[[#This Row],[Unidad de precio]],Tabla3[Medida],Tabla3[Equivalencia en Kg],"ELVIS",0)</f>
        <v>6.1731068759734651</v>
      </c>
      <c r="M2616" s="2">
        <v>34069.662396</v>
      </c>
      <c r="N2616" s="2">
        <f>(Tabla2[[#This Row],[Productividad (kg/TAS)]]*Tabla2[[#This Row],[Precio por kg]]-Tabla2[[#This Row],[Costos (En RD$/Tarea)]])</f>
        <v>-19017.319566707236</v>
      </c>
      <c r="O2616" s="6">
        <f>IF(Tabla2[[#This Row],[Costos (En RD$/Tarea)]]=0,0,Tabla2[[#This Row],[Beneficio Neto  (En RD$/Tarea)]]/Tabla2[[#This Row],[Costos (En RD$/Tarea)]])</f>
        <v>-0.55818925781137163</v>
      </c>
      <c r="P2616" s="4">
        <f>Tabla2[[#This Row],[Rentabilidad (%)]]/12</f>
        <v>-4.6515771484280967E-2</v>
      </c>
    </row>
    <row r="2617" spans="1:16" x14ac:dyDescent="0.35">
      <c r="A2617" s="1">
        <v>43132</v>
      </c>
      <c r="B2617" t="s">
        <v>33</v>
      </c>
      <c r="C2617" s="2">
        <v>775241</v>
      </c>
      <c r="D2617" s="2" t="s">
        <v>31</v>
      </c>
      <c r="E2617" s="2">
        <f>IF(Tabla2[[#This Row],[Frecuencia]]="Annual", Tabla2[[#This Row],[Cosecha/Tarea]]/12,Tabla2[[#This Row],[Cosecha/Tarea]])</f>
        <v>64603.416666666664</v>
      </c>
      <c r="F2617" s="2">
        <v>1452780</v>
      </c>
      <c r="G2617" t="s">
        <v>18</v>
      </c>
      <c r="H2617">
        <f>F2617/Tabla2[[#This Row],[Cosecha Mensual]]</f>
        <v>22.487665126070475</v>
      </c>
      <c r="I2617">
        <f>H2617*_xlfn.XLOOKUP(Tabla2[[#This Row],[Unidad de producción]],Tabla3[Medida],Tabla3[Equivalencia en Kg],"ELVIS",0)</f>
        <v>1020.0404901185567</v>
      </c>
      <c r="J2617">
        <v>8062.3452380952403</v>
      </c>
      <c r="K2617" t="s">
        <v>34</v>
      </c>
      <c r="L2617">
        <f>J2617/_xlfn.XLOOKUP(Tabla2[[#This Row],[Unidad de precio]],Tabla3[Medida],Tabla3[Equivalencia en Kg],"ELVIS",0)</f>
        <v>19.753387818437439</v>
      </c>
      <c r="M2617" s="2">
        <v>22932.1463359308</v>
      </c>
      <c r="N2617" s="2">
        <f>(Tabla2[[#This Row],[Productividad (kg/TAS)]]*Tabla2[[#This Row],[Precio por kg]]-Tabla2[[#This Row],[Costos (En RD$/Tarea)]])</f>
        <v>-2782.8909441099458</v>
      </c>
      <c r="O2617" s="6">
        <f>IF(Tabla2[[#This Row],[Costos (En RD$/Tarea)]]=0,0,Tabla2[[#This Row],[Beneficio Neto  (En RD$/Tarea)]]/Tabla2[[#This Row],[Costos (En RD$/Tarea)]])</f>
        <v>-0.12135326991829046</v>
      </c>
      <c r="P2617" s="4">
        <f>Tabla2[[#This Row],[Rentabilidad (%)]]/12</f>
        <v>-1.0112772493190871E-2</v>
      </c>
    </row>
    <row r="2618" spans="1:16" x14ac:dyDescent="0.35">
      <c r="A2618" s="1">
        <v>43160</v>
      </c>
      <c r="B2618" t="s">
        <v>16</v>
      </c>
      <c r="C2618" s="2">
        <v>102303</v>
      </c>
      <c r="D2618" s="5" t="s">
        <v>17</v>
      </c>
      <c r="E2618" s="2">
        <f>IF(Tabla2[[#This Row],[Frecuencia]]="Annual", Tabla2[[#This Row],[Cosecha/Tarea]]/12,Tabla2[[#This Row],[Cosecha/Tarea]])</f>
        <v>102303</v>
      </c>
      <c r="F2618" s="2">
        <v>446612</v>
      </c>
      <c r="G2618" t="s">
        <v>18</v>
      </c>
      <c r="H2618">
        <f>F2618/Tabla2[[#This Row],[Cosecha Mensual]]</f>
        <v>4.3655806770084942</v>
      </c>
      <c r="I2618">
        <f>H2618*_xlfn.XLOOKUP(Tabla2[[#This Row],[Unidad de producción]],Tabla3[Medida],Tabla3[Equivalencia en Kg],"ELVIS",0)</f>
        <v>198.02273950910529</v>
      </c>
      <c r="J2618">
        <v>1986.5745008250799</v>
      </c>
      <c r="K2618" t="s">
        <v>19</v>
      </c>
      <c r="L2618">
        <f>J2618/_xlfn.XLOOKUP(Tabla2[[#This Row],[Unidad de precio]],Tabla3[Medida],Tabla3[Equivalencia en Kg],"ELVIS",0)</f>
        <v>18.059768189318909</v>
      </c>
      <c r="M2618">
        <v>6204.1782065486696</v>
      </c>
      <c r="N2618" s="2">
        <f>(Tabla2[[#This Row],[Productividad (kg/TAS)]]*Tabla2[[#This Row],[Precio por kg]]-Tabla2[[#This Row],[Costos (En RD$/Tarea)]])</f>
        <v>-2627.9334348003449</v>
      </c>
      <c r="O2618" s="6">
        <f>IF(Tabla2[[#This Row],[Costos (En RD$/Tarea)]]=0,0,Tabla2[[#This Row],[Beneficio Neto  (En RD$/Tarea)]]/Tabla2[[#This Row],[Costos (En RD$/Tarea)]])</f>
        <v>-0.42357478255967784</v>
      </c>
      <c r="P2618" s="4">
        <f>Tabla2[[#This Row],[Rentabilidad (%)]]/12</f>
        <v>-3.5297898546639818E-2</v>
      </c>
    </row>
    <row r="2619" spans="1:16" x14ac:dyDescent="0.35">
      <c r="A2619" s="1">
        <v>43160</v>
      </c>
      <c r="B2619" t="s">
        <v>20</v>
      </c>
      <c r="C2619" s="2">
        <v>27892</v>
      </c>
      <c r="D2619" s="5" t="s">
        <v>17</v>
      </c>
      <c r="E2619" s="2">
        <f>IF(Tabla2[[#This Row],[Frecuencia]]="Annual", Tabla2[[#This Row],[Cosecha/Tarea]]/12,Tabla2[[#This Row],[Cosecha/Tarea]])</f>
        <v>27892</v>
      </c>
      <c r="F2619" s="2">
        <v>72015</v>
      </c>
      <c r="G2619" t="s">
        <v>18</v>
      </c>
      <c r="H2619">
        <f>F2619/Tabla2[[#This Row],[Cosecha Mensual]]</f>
        <v>2.5819231320808833</v>
      </c>
      <c r="I2619">
        <f>H2619*_xlfn.XLOOKUP(Tabla2[[#This Row],[Unidad de producción]],Tabla3[Medida],Tabla3[Equivalencia en Kg],"ELVIS",0)</f>
        <v>117.11603327118887</v>
      </c>
      <c r="J2619">
        <v>883.53098958333305</v>
      </c>
      <c r="K2619" t="s">
        <v>18</v>
      </c>
      <c r="L2619">
        <f>J2619/_xlfn.XLOOKUP(Tabla2[[#This Row],[Unidad de precio]],Tabla3[Medida],Tabla3[Equivalencia en Kg],"ELVIS",0)</f>
        <v>19.47819641938565</v>
      </c>
      <c r="M2619">
        <v>2494.8799608792001</v>
      </c>
      <c r="N2619" s="2">
        <f>(Tabla2[[#This Row],[Productividad (kg/TAS)]]*Tabla2[[#This Row],[Precio por kg]]-Tabla2[[#This Row],[Costos (En RD$/Tarea)]])</f>
        <v>-213.67086096367848</v>
      </c>
      <c r="O2619" s="6">
        <f>IF(Tabla2[[#This Row],[Costos (En RD$/Tarea)]]=0,0,Tabla2[[#This Row],[Beneficio Neto  (En RD$/Tarea)]]/Tabla2[[#This Row],[Costos (En RD$/Tarea)]])</f>
        <v>-8.5643744113596751E-2</v>
      </c>
      <c r="P2619" s="4">
        <f>Tabla2[[#This Row],[Rentabilidad (%)]]/12</f>
        <v>-7.1369786761330623E-3</v>
      </c>
    </row>
    <row r="2620" spans="1:16" x14ac:dyDescent="0.35">
      <c r="A2620" s="1">
        <v>43160</v>
      </c>
      <c r="B2620" t="s">
        <v>21</v>
      </c>
      <c r="C2620" s="2">
        <v>9542</v>
      </c>
      <c r="D2620" s="5" t="s">
        <v>17</v>
      </c>
      <c r="E2620" s="2">
        <f>IF(Tabla2[[#This Row],[Frecuencia]]="Annual", Tabla2[[#This Row],[Cosecha/Tarea]]/12,Tabla2[[#This Row],[Cosecha/Tarea]])</f>
        <v>9542</v>
      </c>
      <c r="F2620" s="2">
        <v>112410</v>
      </c>
      <c r="G2620" t="s">
        <v>18</v>
      </c>
      <c r="H2620">
        <f>F2620/Tabla2[[#This Row],[Cosecha Mensual]]</f>
        <v>11.780549151121358</v>
      </c>
      <c r="I2620">
        <f>H2620*_xlfn.XLOOKUP(Tabla2[[#This Row],[Unidad de producción]],Tabla3[Medida],Tabla3[Equivalencia en Kg],"ELVIS",0)</f>
        <v>534.36570949486475</v>
      </c>
      <c r="J2620">
        <v>674.80047619047605</v>
      </c>
      <c r="K2620" t="s">
        <v>18</v>
      </c>
      <c r="L2620">
        <f>J2620/_xlfn.XLOOKUP(Tabla2[[#This Row],[Unidad de precio]],Tabla3[Medida],Tabla3[Equivalencia en Kg],"ELVIS",0)</f>
        <v>14.876553707902911</v>
      </c>
      <c r="M2620">
        <v>5415.9215773320002</v>
      </c>
      <c r="N2620" s="2">
        <f>(Tabla2[[#This Row],[Productividad (kg/TAS)]]*Tabla2[[#This Row],[Precio por kg]]-Tabla2[[#This Row],[Costos (En RD$/Tarea)]])</f>
        <v>2533.5985996299996</v>
      </c>
      <c r="O2620" s="6">
        <f>IF(Tabla2[[#This Row],[Costos (En RD$/Tarea)]]=0,0,Tabla2[[#This Row],[Beneficio Neto  (En RD$/Tarea)]]/Tabla2[[#This Row],[Costos (En RD$/Tarea)]])</f>
        <v>0.46780562891350153</v>
      </c>
      <c r="P2620" s="4">
        <f>Tabla2[[#This Row],[Rentabilidad (%)]]/12</f>
        <v>3.8983802409458458E-2</v>
      </c>
    </row>
    <row r="2621" spans="1:16" x14ac:dyDescent="0.35">
      <c r="A2621" s="1">
        <v>43160</v>
      </c>
      <c r="B2621" t="s">
        <v>22</v>
      </c>
      <c r="C2621" s="2">
        <v>7784</v>
      </c>
      <c r="D2621" s="5" t="s">
        <v>17</v>
      </c>
      <c r="E2621" s="2">
        <f>IF(Tabla2[[#This Row],[Frecuencia]]="Annual", Tabla2[[#This Row],[Cosecha/Tarea]]/12,Tabla2[[#This Row],[Cosecha/Tarea]])</f>
        <v>7784</v>
      </c>
      <c r="F2621" s="2">
        <v>80198</v>
      </c>
      <c r="G2621" t="s">
        <v>18</v>
      </c>
      <c r="H2621">
        <f>F2621/Tabla2[[#This Row],[Cosecha Mensual]]</f>
        <v>10.302929085303186</v>
      </c>
      <c r="I2621">
        <f>H2621*_xlfn.XLOOKUP(Tabla2[[#This Row],[Unidad de producción]],Tabla3[Medida],Tabla3[Equivalencia en Kg],"ELVIS",0)</f>
        <v>467.34086330935247</v>
      </c>
      <c r="J2621">
        <v>2877.7113075813099</v>
      </c>
      <c r="K2621" t="s">
        <v>18</v>
      </c>
      <c r="L2621">
        <f>J2621/_xlfn.XLOOKUP(Tabla2[[#This Row],[Unidad de precio]],Tabla3[Medida],Tabla3[Equivalencia en Kg],"ELVIS",0)</f>
        <v>63.441607309993607</v>
      </c>
      <c r="M2621">
        <v>10167.2711784</v>
      </c>
      <c r="N2621" s="2">
        <f>(Tabla2[[#This Row],[Productividad (kg/TAS)]]*Tabla2[[#This Row],[Precio por kg]]-Tabla2[[#This Row],[Costos (En RD$/Tarea)]])</f>
        <v>19481.584351585341</v>
      </c>
      <c r="O2621" s="6">
        <f>IF(Tabla2[[#This Row],[Costos (En RD$/Tarea)]]=0,0,Tabla2[[#This Row],[Beneficio Neto  (En RD$/Tarea)]]/Tabla2[[#This Row],[Costos (En RD$/Tarea)]])</f>
        <v>1.9161074795539301</v>
      </c>
      <c r="P2621" s="4">
        <f>Tabla2[[#This Row],[Rentabilidad (%)]]/12</f>
        <v>0.15967562329616083</v>
      </c>
    </row>
    <row r="2622" spans="1:16" x14ac:dyDescent="0.35">
      <c r="A2622" s="1">
        <v>43160</v>
      </c>
      <c r="B2622" t="s">
        <v>23</v>
      </c>
      <c r="C2622" s="2">
        <v>4321</v>
      </c>
      <c r="D2622" s="5" t="s">
        <v>17</v>
      </c>
      <c r="E2622" s="2">
        <f>IF(Tabla2[[#This Row],[Frecuencia]]="Annual", Tabla2[[#This Row],[Cosecha/Tarea]]/12,Tabla2[[#This Row],[Cosecha/Tarea]])</f>
        <v>4321</v>
      </c>
      <c r="F2622" s="2">
        <v>186015</v>
      </c>
      <c r="G2622" t="s">
        <v>18</v>
      </c>
      <c r="H2622">
        <f>F2622/Tabla2[[#This Row],[Cosecha Mensual]]</f>
        <v>43.049062716963668</v>
      </c>
      <c r="I2622">
        <f>H2622*_xlfn.XLOOKUP(Tabla2[[#This Row],[Unidad de producción]],Tabla3[Medida],Tabla3[Equivalencia en Kg],"ELVIS",0)</f>
        <v>1952.7054848414721</v>
      </c>
      <c r="J2622">
        <v>1068.1699446386899</v>
      </c>
      <c r="K2622" t="s">
        <v>18</v>
      </c>
      <c r="L2622">
        <f>J2622/_xlfn.XLOOKUP(Tabla2[[#This Row],[Unidad de precio]],Tabla3[Medida],Tabla3[Equivalencia en Kg],"ELVIS",0)</f>
        <v>23.548720119900572</v>
      </c>
      <c r="M2622">
        <v>23803.192305637302</v>
      </c>
      <c r="N2622" s="2">
        <f>(Tabla2[[#This Row],[Productividad (kg/TAS)]]*Tabla2[[#This Row],[Precio por kg]]-Tabla2[[#This Row],[Costos (En RD$/Tarea)]])</f>
        <v>22180.522633489276</v>
      </c>
      <c r="O2622" s="6">
        <f>IF(Tabla2[[#This Row],[Costos (En RD$/Tarea)]]=0,0,Tabla2[[#This Row],[Beneficio Neto  (En RD$/Tarea)]]/Tabla2[[#This Row],[Costos (En RD$/Tarea)]])</f>
        <v>0.93182974572012645</v>
      </c>
      <c r="P2622" s="4">
        <f>Tabla2[[#This Row],[Rentabilidad (%)]]/12</f>
        <v>7.7652478810010542E-2</v>
      </c>
    </row>
    <row r="2623" spans="1:16" x14ac:dyDescent="0.35">
      <c r="A2623" s="1">
        <v>43160</v>
      </c>
      <c r="B2623" t="s">
        <v>24</v>
      </c>
      <c r="C2623" s="2">
        <v>6845</v>
      </c>
      <c r="D2623" s="5" t="s">
        <v>17</v>
      </c>
      <c r="E2623" s="2">
        <f>IF(Tabla2[[#This Row],[Frecuencia]]="Annual", Tabla2[[#This Row],[Cosecha/Tarea]]/12,Tabla2[[#This Row],[Cosecha/Tarea]])</f>
        <v>6845</v>
      </c>
      <c r="F2623" s="2">
        <v>57891</v>
      </c>
      <c r="G2623" t="s">
        <v>18</v>
      </c>
      <c r="H2623">
        <f>F2623/Tabla2[[#This Row],[Cosecha Mensual]]</f>
        <v>8.4574141709276844</v>
      </c>
      <c r="I2623">
        <f>H2623*_xlfn.XLOOKUP(Tabla2[[#This Row],[Unidad de producción]],Tabla3[Medida],Tabla3[Equivalencia en Kg],"ELVIS",0)</f>
        <v>383.62830679327976</v>
      </c>
      <c r="J2623">
        <v>1979.1432291666699</v>
      </c>
      <c r="K2623" t="s">
        <v>18</v>
      </c>
      <c r="L2623">
        <f>J2623/_xlfn.XLOOKUP(Tabla2[[#This Row],[Unidad de precio]],Tabla3[Medida],Tabla3[Equivalencia en Kg],"ELVIS",0)</f>
        <v>43.631905404908949</v>
      </c>
      <c r="M2623">
        <v>9413.7321988511994</v>
      </c>
      <c r="N2623" s="2">
        <f>(Tabla2[[#This Row],[Productividad (kg/TAS)]]*Tabla2[[#This Row],[Precio por kg]]-Tabla2[[#This Row],[Costos (En RD$/Tarea)]])</f>
        <v>7324.7017937985711</v>
      </c>
      <c r="O2623" s="6">
        <f>IF(Tabla2[[#This Row],[Costos (En RD$/Tarea)]]=0,0,Tabla2[[#This Row],[Beneficio Neto  (En RD$/Tarea)]]/Tabla2[[#This Row],[Costos (En RD$/Tarea)]])</f>
        <v>0.778086909535459</v>
      </c>
      <c r="P2623" s="4">
        <f>Tabla2[[#This Row],[Rentabilidad (%)]]/12</f>
        <v>6.4840575794621588E-2</v>
      </c>
    </row>
    <row r="2624" spans="1:16" x14ac:dyDescent="0.35">
      <c r="A2624" s="1">
        <v>43160</v>
      </c>
      <c r="B2624" t="s">
        <v>25</v>
      </c>
      <c r="C2624" s="2">
        <v>27845</v>
      </c>
      <c r="D2624" s="5" t="s">
        <v>17</v>
      </c>
      <c r="E2624" s="2">
        <f>IF(Tabla2[[#This Row],[Frecuencia]]="Annual", Tabla2[[#This Row],[Cosecha/Tarea]]/12,Tabla2[[#This Row],[Cosecha/Tarea]])</f>
        <v>27845</v>
      </c>
      <c r="F2624" s="2">
        <v>265478</v>
      </c>
      <c r="G2624" t="s">
        <v>18</v>
      </c>
      <c r="H2624">
        <f>F2624/Tabla2[[#This Row],[Cosecha Mensual]]</f>
        <v>9.5341353923505121</v>
      </c>
      <c r="I2624">
        <f>H2624*_xlfn.XLOOKUP(Tabla2[[#This Row],[Unidad de producción]],Tabla3[Medida],Tabla3[Equivalencia en Kg],"ELVIS",0)</f>
        <v>432.46838139701924</v>
      </c>
      <c r="J2624">
        <v>971.66666666666697</v>
      </c>
      <c r="K2624" t="s">
        <v>18</v>
      </c>
      <c r="L2624">
        <f>J2624/_xlfn.XLOOKUP(Tabla2[[#This Row],[Unidad de precio]],Tabla3[Medida],Tabla3[Equivalencia en Kg],"ELVIS",0)</f>
        <v>21.421222810111708</v>
      </c>
      <c r="M2624">
        <v>4549.7689931721798</v>
      </c>
      <c r="N2624" s="2">
        <f>(Tabla2[[#This Row],[Productividad (kg/TAS)]]*Tabla2[[#This Row],[Precio por kg]]-Tabla2[[#This Row],[Costos (En RD$/Tarea)]])</f>
        <v>4714.2325630617379</v>
      </c>
      <c r="O2624" s="6">
        <f>IF(Tabla2[[#This Row],[Costos (En RD$/Tarea)]]=0,0,Tabla2[[#This Row],[Beneficio Neto  (En RD$/Tarea)]]/Tabla2[[#This Row],[Costos (En RD$/Tarea)]])</f>
        <v>1.0361476747800533</v>
      </c>
      <c r="P2624" s="4">
        <f>Tabla2[[#This Row],[Rentabilidad (%)]]/12</f>
        <v>8.6345639565004448E-2</v>
      </c>
    </row>
    <row r="2625" spans="1:16" x14ac:dyDescent="0.35">
      <c r="A2625" s="1">
        <v>43160</v>
      </c>
      <c r="B2625" t="s">
        <v>26</v>
      </c>
      <c r="C2625" s="2">
        <v>15021</v>
      </c>
      <c r="D2625" s="5" t="s">
        <v>17</v>
      </c>
      <c r="E2625" s="2">
        <f>IF(Tabla2[[#This Row],[Frecuencia]]="Annual", Tabla2[[#This Row],[Cosecha/Tarea]]/12,Tabla2[[#This Row],[Cosecha/Tarea]])</f>
        <v>15021</v>
      </c>
      <c r="F2625" s="2">
        <v>85475</v>
      </c>
      <c r="G2625" t="s">
        <v>18</v>
      </c>
      <c r="H2625">
        <f>F2625/Tabla2[[#This Row],[Cosecha Mensual]]</f>
        <v>5.6903668197856332</v>
      </c>
      <c r="I2625">
        <f>H2625*_xlfn.XLOOKUP(Tabla2[[#This Row],[Unidad de producción]],Tabla3[Medida],Tabla3[Equivalencia en Kg],"ELVIS",0)</f>
        <v>258.11503894547633</v>
      </c>
      <c r="J2625">
        <v>1022.00520833333</v>
      </c>
      <c r="K2625" t="s">
        <v>18</v>
      </c>
      <c r="L2625">
        <f>J2625/_xlfn.XLOOKUP(Tabla2[[#This Row],[Unidad de precio]],Tabla3[Medida],Tabla3[Equivalencia en Kg],"ELVIS",0)</f>
        <v>22.530979019694222</v>
      </c>
      <c r="M2625">
        <v>1733.52094425</v>
      </c>
      <c r="N2625" s="2">
        <f>(Tabla2[[#This Row],[Productividad (kg/TAS)]]*Tabla2[[#This Row],[Precio por kg]]-Tabla2[[#This Row],[Costos (En RD$/Tarea)]])</f>
        <v>4082.063582898084</v>
      </c>
      <c r="O2625" s="6">
        <f>IF(Tabla2[[#This Row],[Costos (En RD$/Tarea)]]=0,0,Tabla2[[#This Row],[Beneficio Neto  (En RD$/Tarea)]]/Tabla2[[#This Row],[Costos (En RD$/Tarea)]])</f>
        <v>2.3547818077641804</v>
      </c>
      <c r="P2625" s="4">
        <f>Tabla2[[#This Row],[Rentabilidad (%)]]/12</f>
        <v>0.19623181731368169</v>
      </c>
    </row>
    <row r="2626" spans="1:16" x14ac:dyDescent="0.35">
      <c r="A2626" s="1">
        <v>43160</v>
      </c>
      <c r="B2626" t="s">
        <v>27</v>
      </c>
      <c r="C2626" s="2">
        <v>6214</v>
      </c>
      <c r="D2626" s="5" t="s">
        <v>17</v>
      </c>
      <c r="E2626" s="2">
        <f>IF(Tabla2[[#This Row],[Frecuencia]]="Annual", Tabla2[[#This Row],[Cosecha/Tarea]]/12,Tabla2[[#This Row],[Cosecha/Tarea]])</f>
        <v>6214</v>
      </c>
      <c r="F2626" s="2">
        <v>58421</v>
      </c>
      <c r="G2626" t="s">
        <v>18</v>
      </c>
      <c r="H2626">
        <f>F2626/Tabla2[[#This Row],[Cosecha Mensual]]</f>
        <v>9.401512713228195</v>
      </c>
      <c r="I2626">
        <f>H2626*_xlfn.XLOOKUP(Tabla2[[#This Row],[Unidad de producción]],Tabla3[Medida],Tabla3[Equivalencia en Kg],"ELVIS",0)</f>
        <v>426.4526166720309</v>
      </c>
      <c r="J2626">
        <v>799.63357142857103</v>
      </c>
      <c r="K2626" t="s">
        <v>18</v>
      </c>
      <c r="L2626">
        <f>J2626/_xlfn.XLOOKUP(Tabla2[[#This Row],[Unidad de precio]],Tabla3[Medida],Tabla3[Equivalencia en Kg],"ELVIS",0)</f>
        <v>17.628606072058446</v>
      </c>
      <c r="M2626">
        <v>9289.5754777799993</v>
      </c>
      <c r="N2626" s="2">
        <f>(Tabla2[[#This Row],[Productividad (kg/TAS)]]*Tabla2[[#This Row],[Precio por kg]]-Tabla2[[#This Row],[Costos (En RD$/Tarea)]])</f>
        <v>-1771.8102900702224</v>
      </c>
      <c r="O2626" s="6">
        <f>IF(Tabla2[[#This Row],[Costos (En RD$/Tarea)]]=0,0,Tabla2[[#This Row],[Beneficio Neto  (En RD$/Tarea)]]/Tabla2[[#This Row],[Costos (En RD$/Tarea)]])</f>
        <v>-0.19073102902369068</v>
      </c>
      <c r="P2626" s="4">
        <f>Tabla2[[#This Row],[Rentabilidad (%)]]/12</f>
        <v>-1.589425241864089E-2</v>
      </c>
    </row>
    <row r="2627" spans="1:16" x14ac:dyDescent="0.35">
      <c r="A2627" s="1">
        <v>43160</v>
      </c>
      <c r="B2627" t="s">
        <v>28</v>
      </c>
      <c r="C2627" s="2">
        <v>66541</v>
      </c>
      <c r="D2627" s="5" t="s">
        <v>17</v>
      </c>
      <c r="E2627" s="2">
        <f>IF(Tabla2[[#This Row],[Frecuencia]]="Annual", Tabla2[[#This Row],[Cosecha/Tarea]]/12,Tabla2[[#This Row],[Cosecha/Tarea]])</f>
        <v>66541</v>
      </c>
      <c r="F2627" s="2">
        <v>1063164</v>
      </c>
      <c r="G2627" t="s">
        <v>18</v>
      </c>
      <c r="H2627">
        <f>F2627/Tabla2[[#This Row],[Cosecha Mensual]]</f>
        <v>15.977577734028644</v>
      </c>
      <c r="I2627">
        <f>H2627*_xlfn.XLOOKUP(Tabla2[[#This Row],[Unidad de producción]],Tabla3[Medida],Tabla3[Equivalencia en Kg],"ELVIS",0)</f>
        <v>724.7429260155393</v>
      </c>
      <c r="J2627">
        <v>9833.3333333333303</v>
      </c>
      <c r="K2627" t="s">
        <v>29</v>
      </c>
      <c r="L2627">
        <f>J2627/_xlfn.XLOOKUP(Tabla2[[#This Row],[Unidad de precio]],Tabla3[Medida],Tabla3[Equivalencia en Kg],"ELVIS",0)</f>
        <v>17.486455406574901</v>
      </c>
      <c r="M2627">
        <v>7167.6799321206599</v>
      </c>
      <c r="N2627" s="2">
        <f>(Tabla2[[#This Row],[Productividad (kg/TAS)]]*Tabla2[[#This Row],[Precio por kg]]-Tabla2[[#This Row],[Costos (En RD$/Tarea)]])</f>
        <v>5505.5049248806808</v>
      </c>
      <c r="O2627" s="6">
        <f>IF(Tabla2[[#This Row],[Costos (En RD$/Tarea)]]=0,0,Tabla2[[#This Row],[Beneficio Neto  (En RD$/Tarea)]]/Tabla2[[#This Row],[Costos (En RD$/Tarea)]])</f>
        <v>0.76810139082923568</v>
      </c>
      <c r="P2627" s="4">
        <f>Tabla2[[#This Row],[Rentabilidad (%)]]/12</f>
        <v>6.4008449235769635E-2</v>
      </c>
    </row>
    <row r="2628" spans="1:16" x14ac:dyDescent="0.35">
      <c r="A2628" s="1">
        <v>43160</v>
      </c>
      <c r="B2628" t="s">
        <v>30</v>
      </c>
      <c r="C2628" s="2">
        <v>478552</v>
      </c>
      <c r="D2628" s="2" t="s">
        <v>31</v>
      </c>
      <c r="E2628" s="2">
        <f>IF(Tabla2[[#This Row],[Frecuencia]]="Annual", Tabla2[[#This Row],[Cosecha/Tarea]]/12,Tabla2[[#This Row],[Cosecha/Tarea]])</f>
        <v>39879.333333333336</v>
      </c>
      <c r="F2628" s="2">
        <v>2198526.6</v>
      </c>
      <c r="G2628" t="s">
        <v>18</v>
      </c>
      <c r="H2628">
        <f>F2628/Tabla2[[#This Row],[Cosecha Mensual]]</f>
        <v>55.129472241261134</v>
      </c>
      <c r="I2628">
        <f>H2628*_xlfn.XLOOKUP(Tabla2[[#This Row],[Unidad de producción]],Tabla3[Medida],Tabla3[Equivalencia en Kg],"ELVIS",0)</f>
        <v>2500.6728608636049</v>
      </c>
      <c r="J2628">
        <v>154.95208333333301</v>
      </c>
      <c r="K2628" t="s">
        <v>32</v>
      </c>
      <c r="L2628">
        <f>J2628/_xlfn.XLOOKUP(Tabla2[[#This Row],[Unidad de precio]],Tabla3[Medida],Tabla3[Equivalencia en Kg],"ELVIS",0)</f>
        <v>5.6946741394095186</v>
      </c>
      <c r="M2628" s="2">
        <v>34069.662396</v>
      </c>
      <c r="N2628" s="2">
        <f>(Tabla2[[#This Row],[Productividad (kg/TAS)]]*Tabla2[[#This Row],[Precio por kg]]-Tabla2[[#This Row],[Costos (En RD$/Tarea)]])</f>
        <v>-19829.145324116813</v>
      </c>
      <c r="O2628" s="6">
        <f>IF(Tabla2[[#This Row],[Costos (En RD$/Tarea)]]=0,0,Tabla2[[#This Row],[Beneficio Neto  (En RD$/Tarea)]]/Tabla2[[#This Row],[Costos (En RD$/Tarea)]])</f>
        <v>-0.58201766409181921</v>
      </c>
      <c r="P2628" s="4">
        <f>Tabla2[[#This Row],[Rentabilidad (%)]]/12</f>
        <v>-4.8501472007651598E-2</v>
      </c>
    </row>
    <row r="2629" spans="1:16" x14ac:dyDescent="0.35">
      <c r="A2629" s="1">
        <v>43160</v>
      </c>
      <c r="B2629" t="s">
        <v>33</v>
      </c>
      <c r="C2629" s="2">
        <v>733459</v>
      </c>
      <c r="D2629" s="2" t="s">
        <v>31</v>
      </c>
      <c r="E2629" s="2">
        <f>IF(Tabla2[[#This Row],[Frecuencia]]="Annual", Tabla2[[#This Row],[Cosecha/Tarea]]/12,Tabla2[[#This Row],[Cosecha/Tarea]])</f>
        <v>61121.583333333336</v>
      </c>
      <c r="F2629" s="2">
        <v>1621116</v>
      </c>
      <c r="G2629" t="s">
        <v>18</v>
      </c>
      <c r="H2629">
        <f>F2629/Tabla2[[#This Row],[Cosecha Mensual]]</f>
        <v>26.522807682501679</v>
      </c>
      <c r="I2629">
        <f>H2629*_xlfn.XLOOKUP(Tabla2[[#This Row],[Unidad de producción]],Tabla3[Medida],Tabla3[Equivalencia en Kg],"ELVIS",0)</f>
        <v>1203.0745564782762</v>
      </c>
      <c r="J2629">
        <v>6383.2630208333303</v>
      </c>
      <c r="K2629" t="s">
        <v>34</v>
      </c>
      <c r="L2629">
        <f>J2629/_xlfn.XLOOKUP(Tabla2[[#This Row],[Unidad de precio]],Tabla3[Medida],Tabla3[Equivalencia en Kg],"ELVIS",0)</f>
        <v>15.639502684878918</v>
      </c>
      <c r="M2629" s="2">
        <v>22932.1463359308</v>
      </c>
      <c r="N2629" s="2">
        <f>(Tabla2[[#This Row],[Productividad (kg/TAS)]]*Tabla2[[#This Row],[Precio por kg]]-Tabla2[[#This Row],[Costos (En RD$/Tarea)]])</f>
        <v>-4116.6585797792868</v>
      </c>
      <c r="O2629" s="6">
        <f>IF(Tabla2[[#This Row],[Costos (En RD$/Tarea)]]=0,0,Tabla2[[#This Row],[Beneficio Neto  (En RD$/Tarea)]]/Tabla2[[#This Row],[Costos (En RD$/Tarea)]])</f>
        <v>-0.17951475276124407</v>
      </c>
      <c r="P2629" s="4">
        <f>Tabla2[[#This Row],[Rentabilidad (%)]]/12</f>
        <v>-1.4959562730103673E-2</v>
      </c>
    </row>
    <row r="2630" spans="1:16" x14ac:dyDescent="0.35">
      <c r="A2630" s="1">
        <v>43191</v>
      </c>
      <c r="B2630" t="s">
        <v>16</v>
      </c>
      <c r="C2630" s="2">
        <v>480124</v>
      </c>
      <c r="D2630" s="5" t="s">
        <v>17</v>
      </c>
      <c r="E2630" s="2">
        <f>IF(Tabla2[[#This Row],[Frecuencia]]="Annual", Tabla2[[#This Row],[Cosecha/Tarea]]/12,Tabla2[[#This Row],[Cosecha/Tarea]])</f>
        <v>480124</v>
      </c>
      <c r="F2630" s="2">
        <v>2498578</v>
      </c>
      <c r="G2630" t="s">
        <v>18</v>
      </c>
      <c r="H2630">
        <f>F2630/Tabla2[[#This Row],[Cosecha Mensual]]</f>
        <v>5.2040264598312103</v>
      </c>
      <c r="I2630">
        <f>H2630*_xlfn.XLOOKUP(Tabla2[[#This Row],[Unidad de producción]],Tabla3[Medida],Tabla3[Equivalencia en Kg],"ELVIS",0)</f>
        <v>236.0546402179437</v>
      </c>
      <c r="J2630">
        <v>2037.4628723872399</v>
      </c>
      <c r="K2630" t="s">
        <v>19</v>
      </c>
      <c r="L2630">
        <f>J2630/_xlfn.XLOOKUP(Tabla2[[#This Row],[Unidad de precio]],Tabla3[Medida],Tabla3[Equivalencia en Kg],"ELVIS",0)</f>
        <v>18.522389748974909</v>
      </c>
      <c r="M2630">
        <v>6204.1782065486696</v>
      </c>
      <c r="N2630" s="2">
        <f>(Tabla2[[#This Row],[Productividad (kg/TAS)]]*Tabla2[[#This Row],[Precio por kg]]-Tabla2[[#This Row],[Costos (En RD$/Tarea)]])</f>
        <v>-1831.882158377869</v>
      </c>
      <c r="O2630" s="6">
        <f>IF(Tabla2[[#This Row],[Costos (En RD$/Tarea)]]=0,0,Tabla2[[#This Row],[Beneficio Neto  (En RD$/Tarea)]]/Tabla2[[#This Row],[Costos (En RD$/Tarea)]])</f>
        <v>-0.29526588331139009</v>
      </c>
      <c r="P2630" s="4">
        <f>Tabla2[[#This Row],[Rentabilidad (%)]]/12</f>
        <v>-2.4605490275949174E-2</v>
      </c>
    </row>
    <row r="2631" spans="1:16" x14ac:dyDescent="0.35">
      <c r="A2631" s="1">
        <v>43191</v>
      </c>
      <c r="B2631" t="s">
        <v>20</v>
      </c>
      <c r="C2631" s="2">
        <v>27541</v>
      </c>
      <c r="D2631" s="5" t="s">
        <v>17</v>
      </c>
      <c r="E2631" s="2">
        <f>IF(Tabla2[[#This Row],[Frecuencia]]="Annual", Tabla2[[#This Row],[Cosecha/Tarea]]/12,Tabla2[[#This Row],[Cosecha/Tarea]])</f>
        <v>27541</v>
      </c>
      <c r="F2631" s="2">
        <v>67215</v>
      </c>
      <c r="G2631" t="s">
        <v>18</v>
      </c>
      <c r="H2631">
        <f>F2631/Tabla2[[#This Row],[Cosecha Mensual]]</f>
        <v>2.4405431901528631</v>
      </c>
      <c r="I2631">
        <f>H2631*_xlfn.XLOOKUP(Tabla2[[#This Row],[Unidad de producción]],Tabla3[Medida],Tabla3[Equivalencia en Kg],"ELVIS",0)</f>
        <v>110.70303910533387</v>
      </c>
      <c r="J2631">
        <v>885.70609375000004</v>
      </c>
      <c r="K2631" t="s">
        <v>18</v>
      </c>
      <c r="L2631">
        <f>J2631/_xlfn.XLOOKUP(Tabla2[[#This Row],[Unidad de precio]],Tabla3[Medida],Tabla3[Equivalencia en Kg],"ELVIS",0)</f>
        <v>19.526148451278662</v>
      </c>
      <c r="M2631">
        <v>2494.8799608792001</v>
      </c>
      <c r="N2631" s="2">
        <f>(Tabla2[[#This Row],[Productividad (kg/TAS)]]*Tabla2[[#This Row],[Precio por kg]]-Tabla2[[#This Row],[Costos (En RD$/Tarea)]])</f>
        <v>-333.2759853007442</v>
      </c>
      <c r="O2631" s="6">
        <f>IF(Tabla2[[#This Row],[Costos (En RD$/Tarea)]]=0,0,Tabla2[[#This Row],[Beneficio Neto  (En RD$/Tarea)]]/Tabla2[[#This Row],[Costos (En RD$/Tarea)]])</f>
        <v>-0.13358397619390761</v>
      </c>
      <c r="P2631" s="4">
        <f>Tabla2[[#This Row],[Rentabilidad (%)]]/12</f>
        <v>-1.1131998016158967E-2</v>
      </c>
    </row>
    <row r="2632" spans="1:16" x14ac:dyDescent="0.35">
      <c r="A2632" s="1">
        <v>43191</v>
      </c>
      <c r="B2632" t="s">
        <v>21</v>
      </c>
      <c r="C2632" s="2">
        <v>11899</v>
      </c>
      <c r="D2632" s="5" t="s">
        <v>17</v>
      </c>
      <c r="E2632" s="2">
        <f>IF(Tabla2[[#This Row],[Frecuencia]]="Annual", Tabla2[[#This Row],[Cosecha/Tarea]]/12,Tabla2[[#This Row],[Cosecha/Tarea]])</f>
        <v>11899</v>
      </c>
      <c r="F2632" s="2">
        <v>138357</v>
      </c>
      <c r="G2632" t="s">
        <v>18</v>
      </c>
      <c r="H2632">
        <f>F2632/Tabla2[[#This Row],[Cosecha Mensual]]</f>
        <v>11.627615766030759</v>
      </c>
      <c r="I2632">
        <f>H2632*_xlfn.XLOOKUP(Tabla2[[#This Row],[Unidad de producción]],Tabla3[Medida],Tabla3[Equivalencia en Kg],"ELVIS",0)</f>
        <v>527.42865114715528</v>
      </c>
      <c r="J2632">
        <v>702.48958333333303</v>
      </c>
      <c r="K2632" t="s">
        <v>18</v>
      </c>
      <c r="L2632">
        <f>J2632/_xlfn.XLOOKUP(Tabla2[[#This Row],[Unidad de precio]],Tabla3[Medida],Tabla3[Equivalencia en Kg],"ELVIS",0)</f>
        <v>15.486983759553198</v>
      </c>
      <c r="M2632">
        <v>5415.9215773320002</v>
      </c>
      <c r="N2632" s="2">
        <f>(Tabla2[[#This Row],[Productividad (kg/TAS)]]*Tabla2[[#This Row],[Precio por kg]]-Tabla2[[#This Row],[Costos (En RD$/Tarea)]])</f>
        <v>2752.357377307043</v>
      </c>
      <c r="O2632" s="6">
        <f>IF(Tabla2[[#This Row],[Costos (En RD$/Tarea)]]=0,0,Tabla2[[#This Row],[Beneficio Neto  (En RD$/Tarea)]]/Tabla2[[#This Row],[Costos (En RD$/Tarea)]])</f>
        <v>0.50819742088343045</v>
      </c>
      <c r="P2632" s="4">
        <f>Tabla2[[#This Row],[Rentabilidad (%)]]/12</f>
        <v>4.2349785073619202E-2</v>
      </c>
    </row>
    <row r="2633" spans="1:16" x14ac:dyDescent="0.35">
      <c r="A2633" s="1">
        <v>43191</v>
      </c>
      <c r="B2633" t="s">
        <v>22</v>
      </c>
      <c r="C2633" s="2">
        <v>9452</v>
      </c>
      <c r="D2633" s="5" t="s">
        <v>17</v>
      </c>
      <c r="E2633" s="2">
        <f>IF(Tabla2[[#This Row],[Frecuencia]]="Annual", Tabla2[[#This Row],[Cosecha/Tarea]]/12,Tabla2[[#This Row],[Cosecha/Tarea]])</f>
        <v>9452</v>
      </c>
      <c r="F2633" s="2">
        <v>92458</v>
      </c>
      <c r="G2633" t="s">
        <v>18</v>
      </c>
      <c r="H2633">
        <f>F2633/Tabla2[[#This Row],[Cosecha Mensual]]</f>
        <v>9.7818451121455769</v>
      </c>
      <c r="I2633">
        <f>H2633*_xlfn.XLOOKUP(Tabla2[[#This Row],[Unidad de producción]],Tabla3[Medida],Tabla3[Equivalencia en Kg],"ELVIS",0)</f>
        <v>443.70449428692336</v>
      </c>
      <c r="J2633">
        <v>2961.1917782911501</v>
      </c>
      <c r="K2633" t="s">
        <v>18</v>
      </c>
      <c r="L2633">
        <f>J2633/_xlfn.XLOOKUP(Tabla2[[#This Row],[Unidad de precio]],Tabla3[Medida],Tabla3[Equivalencia en Kg],"ELVIS",0)</f>
        <v>65.282005694249335</v>
      </c>
      <c r="M2633">
        <v>10167.2711784</v>
      </c>
      <c r="N2633" s="2">
        <f>(Tabla2[[#This Row],[Productividad (kg/TAS)]]*Tabla2[[#This Row],[Precio por kg]]-Tabla2[[#This Row],[Costos (En RD$/Tarea)]])</f>
        <v>18798.648144202954</v>
      </c>
      <c r="O2633" s="6">
        <f>IF(Tabla2[[#This Row],[Costos (En RD$/Tarea)]]=0,0,Tabla2[[#This Row],[Beneficio Neto  (En RD$/Tarea)]]/Tabla2[[#This Row],[Costos (En RD$/Tarea)]])</f>
        <v>1.8489374203119517</v>
      </c>
      <c r="P2633" s="4">
        <f>Tabla2[[#This Row],[Rentabilidad (%)]]/12</f>
        <v>0.1540781183593293</v>
      </c>
    </row>
    <row r="2634" spans="1:16" x14ac:dyDescent="0.35">
      <c r="A2634" s="1">
        <v>43191</v>
      </c>
      <c r="B2634" t="s">
        <v>23</v>
      </c>
      <c r="C2634" s="2">
        <v>4102</v>
      </c>
      <c r="D2634" s="5" t="s">
        <v>17</v>
      </c>
      <c r="E2634" s="2">
        <f>IF(Tabla2[[#This Row],[Frecuencia]]="Annual", Tabla2[[#This Row],[Cosecha/Tarea]]/12,Tabla2[[#This Row],[Cosecha/Tarea]])</f>
        <v>4102</v>
      </c>
      <c r="F2634" s="2">
        <v>156925</v>
      </c>
      <c r="G2634" t="s">
        <v>18</v>
      </c>
      <c r="H2634">
        <f>F2634/Tabla2[[#This Row],[Cosecha Mensual]]</f>
        <v>38.255728912725502</v>
      </c>
      <c r="I2634">
        <f>H2634*_xlfn.XLOOKUP(Tabla2[[#This Row],[Unidad de producción]],Tabla3[Medida],Tabla3[Equivalencia en Kg],"ELVIS",0)</f>
        <v>1735.2798634812286</v>
      </c>
      <c r="J2634">
        <v>963.76741776741596</v>
      </c>
      <c r="K2634" t="s">
        <v>18</v>
      </c>
      <c r="L2634">
        <f>J2634/_xlfn.XLOOKUP(Tabla2[[#This Row],[Unidad de precio]],Tabla3[Medida],Tabla3[Equivalencia en Kg],"ELVIS",0)</f>
        <v>21.247077111274603</v>
      </c>
      <c r="M2634">
        <v>23803.192305637302</v>
      </c>
      <c r="N2634" s="2">
        <f>(Tabla2[[#This Row],[Productividad (kg/TAS)]]*Tabla2[[#This Row],[Precio por kg]]-Tabla2[[#This Row],[Costos (En RD$/Tarea)]])</f>
        <v>13066.432763390429</v>
      </c>
      <c r="O2634" s="6">
        <f>IF(Tabla2[[#This Row],[Costos (En RD$/Tarea)]]=0,0,Tabla2[[#This Row],[Beneficio Neto  (En RD$/Tarea)]]/Tabla2[[#This Row],[Costos (En RD$/Tarea)]])</f>
        <v>0.54893615090005843</v>
      </c>
      <c r="P2634" s="4">
        <f>Tabla2[[#This Row],[Rentabilidad (%)]]/12</f>
        <v>4.5744679241671533E-2</v>
      </c>
    </row>
    <row r="2635" spans="1:16" x14ac:dyDescent="0.35">
      <c r="A2635" s="1">
        <v>43191</v>
      </c>
      <c r="B2635" t="s">
        <v>24</v>
      </c>
      <c r="C2635" s="2">
        <v>6854</v>
      </c>
      <c r="D2635" s="5" t="s">
        <v>17</v>
      </c>
      <c r="E2635" s="2">
        <f>IF(Tabla2[[#This Row],[Frecuencia]]="Annual", Tabla2[[#This Row],[Cosecha/Tarea]]/12,Tabla2[[#This Row],[Cosecha/Tarea]])</f>
        <v>6854</v>
      </c>
      <c r="F2635" s="2">
        <v>66498</v>
      </c>
      <c r="G2635" t="s">
        <v>18</v>
      </c>
      <c r="H2635">
        <f>F2635/Tabla2[[#This Row],[Cosecha Mensual]]</f>
        <v>9.7020717829004965</v>
      </c>
      <c r="I2635">
        <f>H2635*_xlfn.XLOOKUP(Tabla2[[#This Row],[Unidad de producción]],Tabla3[Medida],Tabla3[Equivalencia en Kg],"ELVIS",0)</f>
        <v>440.08597607236652</v>
      </c>
      <c r="J2635">
        <v>2017.1875</v>
      </c>
      <c r="K2635" t="s">
        <v>18</v>
      </c>
      <c r="L2635">
        <f>J2635/_xlfn.XLOOKUP(Tabla2[[#This Row],[Unidad de precio]],Tabla3[Medida],Tabla3[Equivalencia en Kg],"ELVIS",0)</f>
        <v>44.470623897707235</v>
      </c>
      <c r="M2635">
        <v>9413.7321988511994</v>
      </c>
      <c r="N2635" s="2">
        <f>(Tabla2[[#This Row],[Productividad (kg/TAS)]]*Tabla2[[#This Row],[Precio por kg]]-Tabla2[[#This Row],[Costos (En RD$/Tarea)]])</f>
        <v>10157.165725718396</v>
      </c>
      <c r="O2635" s="6">
        <f>IF(Tabla2[[#This Row],[Costos (En RD$/Tarea)]]=0,0,Tabla2[[#This Row],[Beneficio Neto  (En RD$/Tarea)]]/Tabla2[[#This Row],[Costos (En RD$/Tarea)]])</f>
        <v>1.0789733031664022</v>
      </c>
      <c r="P2635" s="4">
        <f>Tabla2[[#This Row],[Rentabilidad (%)]]/12</f>
        <v>8.9914441930533509E-2</v>
      </c>
    </row>
    <row r="2636" spans="1:16" x14ac:dyDescent="0.35">
      <c r="A2636" s="1">
        <v>43191</v>
      </c>
      <c r="B2636" t="s">
        <v>25</v>
      </c>
      <c r="C2636" s="2">
        <v>28545</v>
      </c>
      <c r="D2636" s="5" t="s">
        <v>17</v>
      </c>
      <c r="E2636" s="2">
        <f>IF(Tabla2[[#This Row],[Frecuencia]]="Annual", Tabla2[[#This Row],[Cosecha/Tarea]]/12,Tabla2[[#This Row],[Cosecha/Tarea]])</f>
        <v>28545</v>
      </c>
      <c r="F2636" s="2">
        <v>273589</v>
      </c>
      <c r="G2636" t="s">
        <v>18</v>
      </c>
      <c r="H2636">
        <f>F2636/Tabla2[[#This Row],[Cosecha Mensual]]</f>
        <v>9.5844806445962512</v>
      </c>
      <c r="I2636">
        <f>H2636*_xlfn.XLOOKUP(Tabla2[[#This Row],[Unidad de producción]],Tabla3[Medida],Tabla3[Equivalencia en Kg],"ELVIS",0)</f>
        <v>434.75204203888597</v>
      </c>
      <c r="J2636">
        <v>1137.8515625</v>
      </c>
      <c r="K2636" t="s">
        <v>18</v>
      </c>
      <c r="L2636">
        <f>J2636/_xlfn.XLOOKUP(Tabla2[[#This Row],[Unidad de precio]],Tabla3[Medida],Tabla3[Equivalencia en Kg],"ELVIS",0)</f>
        <v>25.084910989858908</v>
      </c>
      <c r="M2636">
        <v>4549.7689931721798</v>
      </c>
      <c r="N2636" s="2">
        <f>(Tabla2[[#This Row],[Productividad (kg/TAS)]]*Tabla2[[#This Row],[Precio por kg]]-Tabla2[[#This Row],[Costos (En RD$/Tarea)]])</f>
        <v>6355.9472840326725</v>
      </c>
      <c r="O2636" s="6">
        <f>IF(Tabla2[[#This Row],[Costos (En RD$/Tarea)]]=0,0,Tabla2[[#This Row],[Beneficio Neto  (En RD$/Tarea)]]/Tabla2[[#This Row],[Costos (En RD$/Tarea)]])</f>
        <v>1.3969824168152312</v>
      </c>
      <c r="P2636" s="4">
        <f>Tabla2[[#This Row],[Rentabilidad (%)]]/12</f>
        <v>0.11641520140126926</v>
      </c>
    </row>
    <row r="2637" spans="1:16" x14ac:dyDescent="0.35">
      <c r="A2637" s="1">
        <v>43191</v>
      </c>
      <c r="B2637" t="s">
        <v>26</v>
      </c>
      <c r="C2637" s="2">
        <v>8541</v>
      </c>
      <c r="D2637" s="5" t="s">
        <v>17</v>
      </c>
      <c r="E2637" s="2">
        <f>IF(Tabla2[[#This Row],[Frecuencia]]="Annual", Tabla2[[#This Row],[Cosecha/Tarea]]/12,Tabla2[[#This Row],[Cosecha/Tarea]])</f>
        <v>8541</v>
      </c>
      <c r="F2637" s="2">
        <v>63052</v>
      </c>
      <c r="G2637" t="s">
        <v>18</v>
      </c>
      <c r="H2637">
        <f>F2637/Tabla2[[#This Row],[Cosecha Mensual]]</f>
        <v>7.3822737384381218</v>
      </c>
      <c r="I2637">
        <f>H2637*_xlfn.XLOOKUP(Tabla2[[#This Row],[Unidad de producción]],Tabla3[Medida],Tabla3[Equivalencia en Kg],"ELVIS",0)</f>
        <v>334.85993677555319</v>
      </c>
      <c r="J2637">
        <v>1007.44010416667</v>
      </c>
      <c r="K2637" t="s">
        <v>18</v>
      </c>
      <c r="L2637">
        <f>J2637/_xlfn.XLOOKUP(Tabla2[[#This Row],[Unidad de precio]],Tabla3[Medida],Tabla3[Equivalencia en Kg],"ELVIS",0)</f>
        <v>22.209878839653221</v>
      </c>
      <c r="M2637">
        <v>1733.52094425</v>
      </c>
      <c r="N2637" s="2">
        <f>(Tabla2[[#This Row],[Productividad (kg/TAS)]]*Tabla2[[#This Row],[Precio por kg]]-Tabla2[[#This Row],[Costos (En RD$/Tarea)]])</f>
        <v>5703.6776797889743</v>
      </c>
      <c r="O2637" s="6">
        <f>IF(Tabla2[[#This Row],[Costos (En RD$/Tarea)]]=0,0,Tabla2[[#This Row],[Beneficio Neto  (En RD$/Tarea)]]/Tabla2[[#This Row],[Costos (En RD$/Tarea)]])</f>
        <v>3.2902271522635944</v>
      </c>
      <c r="P2637" s="4">
        <f>Tabla2[[#This Row],[Rentabilidad (%)]]/12</f>
        <v>0.27418559602196618</v>
      </c>
    </row>
    <row r="2638" spans="1:16" x14ac:dyDescent="0.35">
      <c r="A2638" s="1">
        <v>43191</v>
      </c>
      <c r="B2638" t="s">
        <v>27</v>
      </c>
      <c r="C2638" s="2">
        <v>2104</v>
      </c>
      <c r="D2638" s="5" t="s">
        <v>17</v>
      </c>
      <c r="E2638" s="2">
        <f>IF(Tabla2[[#This Row],[Frecuencia]]="Annual", Tabla2[[#This Row],[Cosecha/Tarea]]/12,Tabla2[[#This Row],[Cosecha/Tarea]])</f>
        <v>2104</v>
      </c>
      <c r="F2638" s="2">
        <v>53252</v>
      </c>
      <c r="G2638" t="s">
        <v>18</v>
      </c>
      <c r="H2638">
        <f>F2638/Tabla2[[#This Row],[Cosecha Mensual]]</f>
        <v>25.309885931558934</v>
      </c>
      <c r="I2638">
        <f>H2638*_xlfn.XLOOKUP(Tabla2[[#This Row],[Unidad de producción]],Tabla3[Medida],Tabla3[Equivalencia en Kg],"ELVIS",0)</f>
        <v>1148.0564258555132</v>
      </c>
      <c r="J2638">
        <v>726.33981481481499</v>
      </c>
      <c r="K2638" t="s">
        <v>18</v>
      </c>
      <c r="L2638">
        <f>J2638/_xlfn.XLOOKUP(Tabla2[[#This Row],[Unidad de precio]],Tabla3[Medida],Tabla3[Equivalencia en Kg],"ELVIS",0)</f>
        <v>16.012782513554122</v>
      </c>
      <c r="M2638">
        <v>9289.5754777799993</v>
      </c>
      <c r="N2638" s="2">
        <f>(Tabla2[[#This Row],[Productividad (kg/TAS)]]*Tabla2[[#This Row],[Precio por kg]]-Tabla2[[#This Row],[Costos (En RD$/Tarea)]])</f>
        <v>9094.0023827326077</v>
      </c>
      <c r="O2638" s="6">
        <f>IF(Tabla2[[#This Row],[Costos (En RD$/Tarea)]]=0,0,Tabla2[[#This Row],[Beneficio Neto  (En RD$/Tarea)]]/Tabla2[[#This Row],[Costos (En RD$/Tarea)]])</f>
        <v>0.97894703632957303</v>
      </c>
      <c r="P2638" s="4">
        <f>Tabla2[[#This Row],[Rentabilidad (%)]]/12</f>
        <v>8.1578919694131086E-2</v>
      </c>
    </row>
    <row r="2639" spans="1:16" x14ac:dyDescent="0.35">
      <c r="A2639" s="1">
        <v>43191</v>
      </c>
      <c r="B2639" t="s">
        <v>28</v>
      </c>
      <c r="C2639" s="2">
        <v>10214</v>
      </c>
      <c r="D2639" s="5" t="s">
        <v>17</v>
      </c>
      <c r="E2639" s="2">
        <f>IF(Tabla2[[#This Row],[Frecuencia]]="Annual", Tabla2[[#This Row],[Cosecha/Tarea]]/12,Tabla2[[#This Row],[Cosecha/Tarea]])</f>
        <v>10214</v>
      </c>
      <c r="F2639" s="2">
        <v>138504</v>
      </c>
      <c r="G2639" t="s">
        <v>18</v>
      </c>
      <c r="H2639">
        <f>F2639/Tabla2[[#This Row],[Cosecha Mensual]]</f>
        <v>13.560211474446838</v>
      </c>
      <c r="I2639">
        <f>H2639*_xlfn.XLOOKUP(Tabla2[[#This Row],[Unidad de producción]],Tabla3[Medida],Tabla3[Equivalencia en Kg],"ELVIS",0)</f>
        <v>615.0911924809086</v>
      </c>
      <c r="J2639">
        <v>10000</v>
      </c>
      <c r="K2639" t="s">
        <v>29</v>
      </c>
      <c r="L2639">
        <f>J2639/_xlfn.XLOOKUP(Tabla2[[#This Row],[Unidad de precio]],Tabla3[Medida],Tabla3[Equivalencia en Kg],"ELVIS",0)</f>
        <v>17.782836006686345</v>
      </c>
      <c r="M2639">
        <v>7167.6799321206599</v>
      </c>
      <c r="N2639" s="2">
        <f>(Tabla2[[#This Row],[Productividad (kg/TAS)]]*Tabla2[[#This Row],[Precio por kg]]-Tabla2[[#This Row],[Costos (En RD$/Tarea)]])</f>
        <v>3770.3858729244821</v>
      </c>
      <c r="O2639" s="6">
        <f>IF(Tabla2[[#This Row],[Costos (En RD$/Tarea)]]=0,0,Tabla2[[#This Row],[Beneficio Neto  (En RD$/Tarea)]]/Tabla2[[#This Row],[Costos (En RD$/Tarea)]])</f>
        <v>0.52602598171664727</v>
      </c>
      <c r="P2639" s="4">
        <f>Tabla2[[#This Row],[Rentabilidad (%)]]/12</f>
        <v>4.383549847638727E-2</v>
      </c>
    </row>
    <row r="2640" spans="1:16" x14ac:dyDescent="0.35">
      <c r="A2640" s="1">
        <v>43191</v>
      </c>
      <c r="B2640" t="s">
        <v>30</v>
      </c>
      <c r="C2640" s="2">
        <v>463425</v>
      </c>
      <c r="D2640" s="2" t="s">
        <v>31</v>
      </c>
      <c r="E2640" s="2">
        <f>IF(Tabla2[[#This Row],[Frecuencia]]="Annual", Tabla2[[#This Row],[Cosecha/Tarea]]/12,Tabla2[[#This Row],[Cosecha/Tarea]])</f>
        <v>38618.75</v>
      </c>
      <c r="F2640" s="2">
        <v>2279993.4</v>
      </c>
      <c r="G2640" t="s">
        <v>18</v>
      </c>
      <c r="H2640">
        <f>F2640/Tabla2[[#This Row],[Cosecha Mensual]]</f>
        <v>59.038508496520471</v>
      </c>
      <c r="I2640">
        <f>H2640*_xlfn.XLOOKUP(Tabla2[[#This Row],[Unidad de producción]],Tabla3[Medida],Tabla3[Equivalencia en Kg],"ELVIS",0)</f>
        <v>2677.9867454021687</v>
      </c>
      <c r="J2640">
        <v>160.81927083333301</v>
      </c>
      <c r="K2640" t="s">
        <v>32</v>
      </c>
      <c r="L2640">
        <f>J2640/_xlfn.XLOOKUP(Tabla2[[#This Row],[Unidad de precio]],Tabla3[Medida],Tabla3[Equivalencia en Kg],"ELVIS",0)</f>
        <v>5.9103002878843443</v>
      </c>
      <c r="M2640" s="2">
        <v>34069.662396</v>
      </c>
      <c r="N2640" s="2">
        <f>(Tabla2[[#This Row],[Productividad (kg/TAS)]]*Tabla2[[#This Row],[Precio por kg]]-Tabla2[[#This Row],[Costos (En RD$/Tarea)]])</f>
        <v>-18241.956563699103</v>
      </c>
      <c r="O2640" s="6">
        <f>IF(Tabla2[[#This Row],[Costos (En RD$/Tarea)]]=0,0,Tabla2[[#This Row],[Beneficio Neto  (En RD$/Tarea)]]/Tabla2[[#This Row],[Costos (En RD$/Tarea)]])</f>
        <v>-0.53543109267325251</v>
      </c>
      <c r="P2640" s="4">
        <f>Tabla2[[#This Row],[Rentabilidad (%)]]/12</f>
        <v>-4.461925772277104E-2</v>
      </c>
    </row>
    <row r="2641" spans="1:16" x14ac:dyDescent="0.35">
      <c r="A2641" s="1">
        <v>43191</v>
      </c>
      <c r="B2641" t="s">
        <v>33</v>
      </c>
      <c r="C2641" s="2">
        <v>766985</v>
      </c>
      <c r="D2641" s="2" t="s">
        <v>31</v>
      </c>
      <c r="E2641" s="8">
        <f>IF(Tabla2[[#This Row],[Frecuencia]]="Annual", Tabla2[[#This Row],[Cosecha/Tarea]]/12,Tabla2[[#This Row],[Cosecha/Tarea]])</f>
        <v>63915.416666666664</v>
      </c>
      <c r="F2641" s="2">
        <v>3167883</v>
      </c>
      <c r="G2641" t="s">
        <v>18</v>
      </c>
      <c r="H2641">
        <f>F2641/Tabla2[[#This Row],[Cosecha Mensual]]</f>
        <v>49.563675951941697</v>
      </c>
      <c r="I2641">
        <f>H2641*_xlfn.XLOOKUP(Tabla2[[#This Row],[Unidad de producción]],Tabla3[Medida],Tabla3[Equivalencia en Kg],"ELVIS",0)</f>
        <v>2248.2083411800754</v>
      </c>
      <c r="J2641">
        <v>5815.7473958333303</v>
      </c>
      <c r="K2641" t="s">
        <v>34</v>
      </c>
      <c r="L2641">
        <f>J2641/_xlfn.XLOOKUP(Tabla2[[#This Row],[Unidad de precio]],Tabla3[Medida],Tabla3[Equivalencia en Kg],"ELVIS",0)</f>
        <v>14.249044213728606</v>
      </c>
      <c r="M2641" s="2">
        <v>22932.1463359308</v>
      </c>
      <c r="N2641" s="2">
        <f>(Tabla2[[#This Row],[Productividad (kg/TAS)]]*Tabla2[[#This Row],[Precio por kg]]-Tabla2[[#This Row],[Costos (En RD$/Tarea)]])</f>
        <v>9102.6737192175424</v>
      </c>
      <c r="O2641" s="6">
        <f>IF(Tabla2[[#This Row],[Costos (En RD$/Tarea)]]=0,0,Tabla2[[#This Row],[Beneficio Neto  (En RD$/Tarea)]]/Tabla2[[#This Row],[Costos (En RD$/Tarea)]])</f>
        <v>0.3969394572088174</v>
      </c>
      <c r="P2641" s="4">
        <f>Tabla2[[#This Row],[Rentabilidad (%)]]/12</f>
        <v>3.3078288100734786E-2</v>
      </c>
    </row>
    <row r="2642" spans="1:16" x14ac:dyDescent="0.35">
      <c r="A2642" s="1">
        <v>43221</v>
      </c>
      <c r="B2642" t="s">
        <v>16</v>
      </c>
      <c r="C2642" s="2">
        <v>469932</v>
      </c>
      <c r="D2642" s="5" t="s">
        <v>17</v>
      </c>
      <c r="E2642" s="2">
        <f>IF(Tabla2[[#This Row],[Frecuencia]]="Annual", Tabla2[[#This Row],[Cosecha/Tarea]]/12,Tabla2[[#This Row],[Cosecha/Tarea]])</f>
        <v>469932</v>
      </c>
      <c r="F2642" s="2">
        <v>2459812.1266950001</v>
      </c>
      <c r="G2642" t="s">
        <v>18</v>
      </c>
      <c r="H2642">
        <f>F2642/Tabla2[[#This Row],[Cosecha Mensual]]</f>
        <v>5.234400140222415</v>
      </c>
      <c r="I2642">
        <f>H2642*_xlfn.XLOOKUP(Tabla2[[#This Row],[Unidad de producción]],Tabla3[Medida],Tabla3[Equivalencia en Kg],"ELVIS",0)</f>
        <v>237.43239036048874</v>
      </c>
      <c r="J2642">
        <v>2083.2523542354202</v>
      </c>
      <c r="K2642" t="s">
        <v>19</v>
      </c>
      <c r="L2642">
        <f>J2642/_xlfn.XLOOKUP(Tabla2[[#This Row],[Unidad de precio]],Tabla3[Medida],Tabla3[Equivalencia en Kg],"ELVIS",0)</f>
        <v>18.938657765776547</v>
      </c>
      <c r="M2642">
        <v>6204.1782065486696</v>
      </c>
      <c r="N2642" s="2">
        <f>(Tabla2[[#This Row],[Productividad (kg/TAS)]]*Tabla2[[#This Row],[Precio por kg]]-Tabla2[[#This Row],[Costos (En RD$/Tarea)]])</f>
        <v>-1707.5274230011109</v>
      </c>
      <c r="O2642" s="6">
        <f>IF(Tabla2[[#This Row],[Costos (En RD$/Tarea)]]=0,0,Tabla2[[#This Row],[Beneficio Neto  (En RD$/Tarea)]]/Tabla2[[#This Row],[Costos (En RD$/Tarea)]])</f>
        <v>-0.27522217546858535</v>
      </c>
      <c r="P2642" s="4">
        <f>Tabla2[[#This Row],[Rentabilidad (%)]]/12</f>
        <v>-2.293518128904878E-2</v>
      </c>
    </row>
    <row r="2643" spans="1:16" x14ac:dyDescent="0.35">
      <c r="A2643" s="1">
        <v>43221</v>
      </c>
      <c r="B2643" t="s">
        <v>20</v>
      </c>
      <c r="C2643" s="2">
        <v>20945</v>
      </c>
      <c r="D2643" s="5" t="s">
        <v>17</v>
      </c>
      <c r="E2643" s="2">
        <f>IF(Tabla2[[#This Row],[Frecuencia]]="Annual", Tabla2[[#This Row],[Cosecha/Tarea]]/12,Tabla2[[#This Row],[Cosecha/Tarea]])</f>
        <v>20945</v>
      </c>
      <c r="F2643" s="2">
        <v>74012</v>
      </c>
      <c r="G2643" t="s">
        <v>18</v>
      </c>
      <c r="H2643">
        <f>F2643/Tabla2[[#This Row],[Cosecha Mensual]]</f>
        <v>3.5336357125805682</v>
      </c>
      <c r="I2643">
        <f>H2643*_xlfn.XLOOKUP(Tabla2[[#This Row],[Unidad de producción]],Tabla3[Medida],Tabla3[Equivalencia en Kg],"ELVIS",0)</f>
        <v>160.28571592265456</v>
      </c>
      <c r="J2643">
        <v>905.25</v>
      </c>
      <c r="K2643" t="s">
        <v>18</v>
      </c>
      <c r="L2643">
        <f>J2643/_xlfn.XLOOKUP(Tabla2[[#This Row],[Unidad de precio]],Tabla3[Medida],Tabla3[Equivalencia en Kg],"ELVIS",0)</f>
        <v>19.957010582010582</v>
      </c>
      <c r="M2643">
        <v>2494.8799608792001</v>
      </c>
      <c r="N2643" s="2">
        <f>(Tabla2[[#This Row],[Productividad (kg/TAS)]]*Tabla2[[#This Row],[Precio por kg]]-Tabla2[[#This Row],[Costos (En RD$/Tarea)]])</f>
        <v>703.94376793435913</v>
      </c>
      <c r="O2643" s="6">
        <f>IF(Tabla2[[#This Row],[Costos (En RD$/Tarea)]]=0,0,Tabla2[[#This Row],[Beneficio Neto  (En RD$/Tarea)]]/Tabla2[[#This Row],[Costos (En RD$/Tarea)]])</f>
        <v>0.28215536577811468</v>
      </c>
      <c r="P2643" s="4">
        <f>Tabla2[[#This Row],[Rentabilidad (%)]]/12</f>
        <v>2.3512947148176224E-2</v>
      </c>
    </row>
    <row r="2644" spans="1:16" x14ac:dyDescent="0.35">
      <c r="A2644" s="1">
        <v>43221</v>
      </c>
      <c r="B2644" t="s">
        <v>21</v>
      </c>
      <c r="C2644" s="2">
        <v>8959</v>
      </c>
      <c r="D2644" s="5" t="s">
        <v>17</v>
      </c>
      <c r="E2644" s="2">
        <f>IF(Tabla2[[#This Row],[Frecuencia]]="Annual", Tabla2[[#This Row],[Cosecha/Tarea]]/12,Tabla2[[#This Row],[Cosecha/Tarea]])</f>
        <v>8959</v>
      </c>
      <c r="F2644" s="2">
        <v>103432</v>
      </c>
      <c r="G2644" t="s">
        <v>18</v>
      </c>
      <c r="H2644">
        <f>F2644/Tabla2[[#This Row],[Cosecha Mensual]]</f>
        <v>11.545038508762138</v>
      </c>
      <c r="I2644">
        <f>H2644*_xlfn.XLOOKUP(Tabla2[[#This Row],[Unidad de producción]],Tabla3[Medida],Tabla3[Equivalencia en Kg],"ELVIS",0)</f>
        <v>523.68294675745062</v>
      </c>
      <c r="J2644">
        <v>593.53288095238099</v>
      </c>
      <c r="K2644" t="s">
        <v>18</v>
      </c>
      <c r="L2644">
        <f>J2644/_xlfn.XLOOKUP(Tabla2[[#This Row],[Unidad de precio]],Tabla3[Medida],Tabla3[Equivalencia en Kg],"ELVIS",0)</f>
        <v>13.084940056269422</v>
      </c>
      <c r="M2644">
        <v>5415.9215773320002</v>
      </c>
      <c r="N2644" s="2">
        <f>(Tabla2[[#This Row],[Productividad (kg/TAS)]]*Tabla2[[#This Row],[Precio por kg]]-Tabla2[[#This Row],[Costos (En RD$/Tarea)]])</f>
        <v>1436.4383894797729</v>
      </c>
      <c r="O2644" s="6">
        <f>IF(Tabla2[[#This Row],[Costos (En RD$/Tarea)]]=0,0,Tabla2[[#This Row],[Beneficio Neto  (En RD$/Tarea)]]/Tabla2[[#This Row],[Costos (En RD$/Tarea)]])</f>
        <v>0.26522510877777394</v>
      </c>
      <c r="P2644" s="4">
        <f>Tabla2[[#This Row],[Rentabilidad (%)]]/12</f>
        <v>2.2102092398147827E-2</v>
      </c>
    </row>
    <row r="2645" spans="1:16" x14ac:dyDescent="0.35">
      <c r="A2645" s="1">
        <v>43221</v>
      </c>
      <c r="B2645" t="s">
        <v>22</v>
      </c>
      <c r="C2645" s="2">
        <v>5301</v>
      </c>
      <c r="D2645" s="5" t="s">
        <v>17</v>
      </c>
      <c r="E2645" s="2">
        <f>IF(Tabla2[[#This Row],[Frecuencia]]="Annual", Tabla2[[#This Row],[Cosecha/Tarea]]/12,Tabla2[[#This Row],[Cosecha/Tarea]])</f>
        <v>5301</v>
      </c>
      <c r="F2645" s="2">
        <v>54214</v>
      </c>
      <c r="G2645" t="s">
        <v>18</v>
      </c>
      <c r="H2645">
        <f>F2645/Tabla2[[#This Row],[Cosecha Mensual]]</f>
        <v>10.227126957177891</v>
      </c>
      <c r="I2645">
        <f>H2645*_xlfn.XLOOKUP(Tabla2[[#This Row],[Unidad de producción]],Tabla3[Medida],Tabla3[Equivalencia en Kg],"ELVIS",0)</f>
        <v>463.90247877758912</v>
      </c>
      <c r="J2645">
        <v>2960.5022490010001</v>
      </c>
      <c r="K2645" t="s">
        <v>18</v>
      </c>
      <c r="L2645">
        <f>J2645/_xlfn.XLOOKUP(Tabla2[[#This Row],[Unidad de precio]],Tabla3[Medida],Tabla3[Equivalencia en Kg],"ELVIS",0)</f>
        <v>65.266804431238981</v>
      </c>
      <c r="M2645">
        <v>10167.2711784</v>
      </c>
      <c r="N2645" s="2">
        <f>(Tabla2[[#This Row],[Productividad (kg/TAS)]]*Tabla2[[#This Row],[Precio por kg]]-Tabla2[[#This Row],[Costos (En RD$/Tarea)]])</f>
        <v>20110.161179143899</v>
      </c>
      <c r="O2645" s="6">
        <f>IF(Tabla2[[#This Row],[Costos (En RD$/Tarea)]]=0,0,Tabla2[[#This Row],[Beneficio Neto  (En RD$/Tarea)]]/Tabla2[[#This Row],[Costos (En RD$/Tarea)]])</f>
        <v>1.9779310324551203</v>
      </c>
      <c r="P2645" s="4">
        <f>Tabla2[[#This Row],[Rentabilidad (%)]]/12</f>
        <v>0.16482758603792669</v>
      </c>
    </row>
    <row r="2646" spans="1:16" x14ac:dyDescent="0.35">
      <c r="A2646" s="1">
        <v>43221</v>
      </c>
      <c r="B2646" t="s">
        <v>23</v>
      </c>
      <c r="C2646" s="2">
        <v>5010</v>
      </c>
      <c r="D2646" s="5" t="s">
        <v>17</v>
      </c>
      <c r="E2646" s="2">
        <f>IF(Tabla2[[#This Row],[Frecuencia]]="Annual", Tabla2[[#This Row],[Cosecha/Tarea]]/12,Tabla2[[#This Row],[Cosecha/Tarea]])</f>
        <v>5010</v>
      </c>
      <c r="F2646" s="2">
        <v>196675</v>
      </c>
      <c r="G2646" t="s">
        <v>18</v>
      </c>
      <c r="H2646">
        <f>F2646/Tabla2[[#This Row],[Cosecha Mensual]]</f>
        <v>39.256487025948104</v>
      </c>
      <c r="I2646">
        <f>H2646*_xlfn.XLOOKUP(Tabla2[[#This Row],[Unidad de producción]],Tabla3[Medida],Tabla3[Equivalencia en Kg],"ELVIS",0)</f>
        <v>1780.674251497006</v>
      </c>
      <c r="J2646">
        <v>978.05044030043996</v>
      </c>
      <c r="K2646" t="s">
        <v>18</v>
      </c>
      <c r="L2646">
        <f>J2646/_xlfn.XLOOKUP(Tabla2[[#This Row],[Unidad de precio]],Tabla3[Medida],Tabla3[Equivalencia en Kg],"ELVIS",0)</f>
        <v>21.561958560415345</v>
      </c>
      <c r="M2646">
        <v>23803.192305637302</v>
      </c>
      <c r="N2646" s="2">
        <f>(Tabla2[[#This Row],[Productividad (kg/TAS)]]*Tabla2[[#This Row],[Precio por kg]]-Tabla2[[#This Row],[Costos (En RD$/Tarea)]])</f>
        <v>14591.632114739758</v>
      </c>
      <c r="O2646" s="6">
        <f>IF(Tabla2[[#This Row],[Costos (En RD$/Tarea)]]=0,0,Tabla2[[#This Row],[Beneficio Neto  (En RD$/Tarea)]]/Tabla2[[#This Row],[Costos (En RD$/Tarea)]])</f>
        <v>0.61301156279294633</v>
      </c>
      <c r="P2646" s="4">
        <f>Tabla2[[#This Row],[Rentabilidad (%)]]/12</f>
        <v>5.1084296899412192E-2</v>
      </c>
    </row>
    <row r="2647" spans="1:16" x14ac:dyDescent="0.35">
      <c r="A2647" s="1">
        <v>43221</v>
      </c>
      <c r="B2647" t="s">
        <v>24</v>
      </c>
      <c r="C2647" s="2">
        <v>5898</v>
      </c>
      <c r="D2647" s="5" t="s">
        <v>17</v>
      </c>
      <c r="E2647" s="2">
        <f>IF(Tabla2[[#This Row],[Frecuencia]]="Annual", Tabla2[[#This Row],[Cosecha/Tarea]]/12,Tabla2[[#This Row],[Cosecha/Tarea]])</f>
        <v>5898</v>
      </c>
      <c r="F2647" s="2">
        <v>38998</v>
      </c>
      <c r="G2647" t="s">
        <v>18</v>
      </c>
      <c r="H2647">
        <f>F2647/Tabla2[[#This Row],[Cosecha Mensual]]</f>
        <v>6.6120718887758558</v>
      </c>
      <c r="I2647">
        <f>H2647*_xlfn.XLOOKUP(Tabla2[[#This Row],[Unidad de producción]],Tabla3[Medida],Tabla3[Equivalencia en Kg],"ELVIS",0)</f>
        <v>299.92358087487281</v>
      </c>
      <c r="J2647">
        <v>1995.38333333333</v>
      </c>
      <c r="K2647" t="s">
        <v>18</v>
      </c>
      <c r="L2647">
        <f>J2647/_xlfn.XLOOKUP(Tabla2[[#This Row],[Unidad de precio]],Tabla3[Medida],Tabla3[Equivalencia en Kg],"ELVIS",0)</f>
        <v>43.989932392710095</v>
      </c>
      <c r="M2647">
        <v>9413.7321988511994</v>
      </c>
      <c r="N2647" s="2">
        <f>(Tabla2[[#This Row],[Productividad (kg/TAS)]]*Tabla2[[#This Row],[Precio por kg]]-Tabla2[[#This Row],[Costos (En RD$/Tarea)]])</f>
        <v>3779.8858468139733</v>
      </c>
      <c r="O2647" s="6">
        <f>IF(Tabla2[[#This Row],[Costos (En RD$/Tarea)]]=0,0,Tabla2[[#This Row],[Beneficio Neto  (En RD$/Tarea)]]/Tabla2[[#This Row],[Costos (En RD$/Tarea)]])</f>
        <v>0.40152893315525273</v>
      </c>
      <c r="P2647" s="4">
        <f>Tabla2[[#This Row],[Rentabilidad (%)]]/12</f>
        <v>3.3460744429604394E-2</v>
      </c>
    </row>
    <row r="2648" spans="1:16" x14ac:dyDescent="0.35">
      <c r="A2648" s="1">
        <v>43221</v>
      </c>
      <c r="B2648" t="s">
        <v>25</v>
      </c>
      <c r="C2648" s="2">
        <v>24154</v>
      </c>
      <c r="D2648" s="5" t="s">
        <v>17</v>
      </c>
      <c r="E2648" s="2">
        <f>IF(Tabla2[[#This Row],[Frecuencia]]="Annual", Tabla2[[#This Row],[Cosecha/Tarea]]/12,Tabla2[[#This Row],[Cosecha/Tarea]])</f>
        <v>24154</v>
      </c>
      <c r="F2648" s="2">
        <v>245871</v>
      </c>
      <c r="G2648" t="s">
        <v>18</v>
      </c>
      <c r="H2648">
        <f>F2648/Tabla2[[#This Row],[Cosecha Mensual]]</f>
        <v>10.179307775109713</v>
      </c>
      <c r="I2648">
        <f>H2648*_xlfn.XLOOKUP(Tabla2[[#This Row],[Unidad de producción]],Tabla3[Medida],Tabla3[Equivalencia en Kg],"ELVIS",0)</f>
        <v>461.73340067897658</v>
      </c>
      <c r="J2648">
        <v>1168.5930555555601</v>
      </c>
      <c r="K2648" t="s">
        <v>18</v>
      </c>
      <c r="L2648">
        <f>J2648/_xlfn.XLOOKUP(Tabla2[[#This Row],[Unidad de precio]],Tabla3[Medida],Tabla3[Equivalencia en Kg],"ELVIS",0)</f>
        <v>25.762633499902119</v>
      </c>
      <c r="M2648">
        <v>4549.7689931721798</v>
      </c>
      <c r="N2648" s="2">
        <f>(Tabla2[[#This Row],[Productividad (kg/TAS)]]*Tabla2[[#This Row],[Precio por kg]]-Tabla2[[#This Row],[Costos (En RD$/Tarea)]])</f>
        <v>7345.6993831837499</v>
      </c>
      <c r="O2648" s="6">
        <f>IF(Tabla2[[#This Row],[Costos (En RD$/Tarea)]]=0,0,Tabla2[[#This Row],[Beneficio Neto  (En RD$/Tarea)]]/Tabla2[[#This Row],[Costos (En RD$/Tarea)]])</f>
        <v>1.6145213953076325</v>
      </c>
      <c r="P2648" s="4">
        <f>Tabla2[[#This Row],[Rentabilidad (%)]]/12</f>
        <v>0.13454344960896938</v>
      </c>
    </row>
    <row r="2649" spans="1:16" x14ac:dyDescent="0.35">
      <c r="A2649" s="1">
        <v>43221</v>
      </c>
      <c r="B2649" t="s">
        <v>26</v>
      </c>
      <c r="C2649" s="2">
        <v>9521</v>
      </c>
      <c r="D2649" s="5" t="s">
        <v>17</v>
      </c>
      <c r="E2649" s="2">
        <f>IF(Tabla2[[#This Row],[Frecuencia]]="Annual", Tabla2[[#This Row],[Cosecha/Tarea]]/12,Tabla2[[#This Row],[Cosecha/Tarea]])</f>
        <v>9521</v>
      </c>
      <c r="F2649" s="2">
        <v>65870</v>
      </c>
      <c r="G2649" t="s">
        <v>18</v>
      </c>
      <c r="H2649">
        <f>F2649/Tabla2[[#This Row],[Cosecha Mensual]]</f>
        <v>6.9183909253229698</v>
      </c>
      <c r="I2649">
        <f>H2649*_xlfn.XLOOKUP(Tabla2[[#This Row],[Unidad de producción]],Tabla3[Medida],Tabla3[Equivalencia en Kg],"ELVIS",0)</f>
        <v>313.8182123726499</v>
      </c>
      <c r="J2649">
        <v>1139.2395833333301</v>
      </c>
      <c r="K2649" t="s">
        <v>18</v>
      </c>
      <c r="L2649">
        <f>J2649/_xlfn.XLOOKUP(Tabla2[[#This Row],[Unidad de precio]],Tabla3[Medida],Tabla3[Equivalencia en Kg],"ELVIS",0)</f>
        <v>25.115511096413801</v>
      </c>
      <c r="M2649">
        <v>1733.52094425</v>
      </c>
      <c r="N2649" s="2">
        <f>(Tabla2[[#This Row],[Productividad (kg/TAS)]]*Tabla2[[#This Row],[Precio por kg]]-Tabla2[[#This Row],[Costos (En RD$/Tarea)]])</f>
        <v>6148.1838508520314</v>
      </c>
      <c r="O2649" s="6">
        <f>IF(Tabla2[[#This Row],[Costos (En RD$/Tarea)]]=0,0,Tabla2[[#This Row],[Beneficio Neto  (En RD$/Tarea)]]/Tabla2[[#This Row],[Costos (En RD$/Tarea)]])</f>
        <v>3.5466452662399273</v>
      </c>
      <c r="P2649" s="4">
        <f>Tabla2[[#This Row],[Rentabilidad (%)]]/12</f>
        <v>0.29555377218666062</v>
      </c>
    </row>
    <row r="2650" spans="1:16" x14ac:dyDescent="0.35">
      <c r="A2650" s="1">
        <v>43221</v>
      </c>
      <c r="B2650" t="s">
        <v>27</v>
      </c>
      <c r="C2650" s="2">
        <v>4521</v>
      </c>
      <c r="D2650" s="5" t="s">
        <v>17</v>
      </c>
      <c r="E2650" s="2">
        <f>IF(Tabla2[[#This Row],[Frecuencia]]="Annual", Tabla2[[#This Row],[Cosecha/Tarea]]/12,Tabla2[[#This Row],[Cosecha/Tarea]])</f>
        <v>4521</v>
      </c>
      <c r="F2650" s="2">
        <v>49852</v>
      </c>
      <c r="G2650" t="s">
        <v>18</v>
      </c>
      <c r="H2650">
        <f>F2650/Tabla2[[#This Row],[Cosecha Mensual]]</f>
        <v>11.026763990267639</v>
      </c>
      <c r="I2650">
        <f>H2650*_xlfn.XLOOKUP(Tabla2[[#This Row],[Unidad de producción]],Tabla3[Medida],Tabla3[Equivalencia en Kg],"ELVIS",0)</f>
        <v>500.17401459854011</v>
      </c>
      <c r="J2650">
        <v>795.798888888889</v>
      </c>
      <c r="K2650" t="s">
        <v>18</v>
      </c>
      <c r="L2650">
        <f>J2650/_xlfn.XLOOKUP(Tabla2[[#This Row],[Unidad de precio]],Tabla3[Medida],Tabla3[Equivalencia en Kg],"ELVIS",0)</f>
        <v>17.544067215363516</v>
      </c>
      <c r="M2650">
        <v>9289.5754777799993</v>
      </c>
      <c r="N2650" s="2">
        <f>(Tabla2[[#This Row],[Productividad (kg/TAS)]]*Tabla2[[#This Row],[Precio por kg]]-Tabla2[[#This Row],[Costos (En RD$/Tarea)]])</f>
        <v>-514.48894628499875</v>
      </c>
      <c r="O2650" s="6">
        <f>IF(Tabla2[[#This Row],[Costos (En RD$/Tarea)]]=0,0,Tabla2[[#This Row],[Beneficio Neto  (En RD$/Tarea)]]/Tabla2[[#This Row],[Costos (En RD$/Tarea)]])</f>
        <v>-5.5383472314275234E-2</v>
      </c>
      <c r="P2650" s="4">
        <f>Tabla2[[#This Row],[Rentabilidad (%)]]/12</f>
        <v>-4.6152893595229364E-3</v>
      </c>
    </row>
    <row r="2651" spans="1:16" x14ac:dyDescent="0.35">
      <c r="A2651" s="1">
        <v>43221</v>
      </c>
      <c r="B2651" t="s">
        <v>28</v>
      </c>
      <c r="C2651" s="2">
        <v>11012</v>
      </c>
      <c r="D2651" s="5" t="s">
        <v>17</v>
      </c>
      <c r="E2651" s="2">
        <f>IF(Tabla2[[#This Row],[Frecuencia]]="Annual", Tabla2[[#This Row],[Cosecha/Tarea]]/12,Tabla2[[#This Row],[Cosecha/Tarea]])</f>
        <v>11012</v>
      </c>
      <c r="F2651" s="2">
        <v>318144</v>
      </c>
      <c r="G2651" t="s">
        <v>18</v>
      </c>
      <c r="H2651">
        <f>F2651/Tabla2[[#This Row],[Cosecha Mensual]]</f>
        <v>28.890664729386124</v>
      </c>
      <c r="I2651">
        <f>H2651*_xlfn.XLOOKUP(Tabla2[[#This Row],[Unidad de producción]],Tabla3[Medida],Tabla3[Equivalencia en Kg],"ELVIS",0)</f>
        <v>1310.4805521249546</v>
      </c>
      <c r="J2651">
        <v>17642.3</v>
      </c>
      <c r="K2651" t="s">
        <v>29</v>
      </c>
      <c r="L2651">
        <f>J2651/_xlfn.XLOOKUP(Tabla2[[#This Row],[Unidad de precio]],Tabla3[Medida],Tabla3[Equivalencia en Kg],"ELVIS",0)</f>
        <v>31.373012768076251</v>
      </c>
      <c r="M2651">
        <v>7167.6799321206599</v>
      </c>
      <c r="N2651" s="2">
        <f>(Tabla2[[#This Row],[Productividad (kg/TAS)]]*Tabla2[[#This Row],[Precio por kg]]-Tabla2[[#This Row],[Costos (En RD$/Tarea)]])</f>
        <v>33946.043162011149</v>
      </c>
      <c r="O2651" s="6">
        <f>IF(Tabla2[[#This Row],[Costos (En RD$/Tarea)]]=0,0,Tabla2[[#This Row],[Beneficio Neto  (En RD$/Tarea)]]/Tabla2[[#This Row],[Costos (En RD$/Tarea)]])</f>
        <v>4.7359875836375034</v>
      </c>
      <c r="P2651" s="4">
        <f>Tabla2[[#This Row],[Rentabilidad (%)]]/12</f>
        <v>0.39466563196979193</v>
      </c>
    </row>
    <row r="2652" spans="1:16" x14ac:dyDescent="0.35">
      <c r="A2652" s="1">
        <v>43221</v>
      </c>
      <c r="B2652" t="s">
        <v>30</v>
      </c>
      <c r="C2652" s="2">
        <v>485647</v>
      </c>
      <c r="D2652" s="2" t="s">
        <v>31</v>
      </c>
      <c r="E2652" s="2">
        <f>IF(Tabla2[[#This Row],[Frecuencia]]="Annual", Tabla2[[#This Row],[Cosecha/Tarea]]/12,Tabla2[[#This Row],[Cosecha/Tarea]])</f>
        <v>40470.583333333336</v>
      </c>
      <c r="F2652" s="2">
        <v>2233875</v>
      </c>
      <c r="G2652" t="s">
        <v>18</v>
      </c>
      <c r="H2652">
        <f>F2652/Tabla2[[#This Row],[Cosecha Mensual]]</f>
        <v>55.197499418301767</v>
      </c>
      <c r="I2652">
        <f>H2652*_xlfn.XLOOKUP(Tabla2[[#This Row],[Unidad de producción]],Tabla3[Medida],Tabla3[Equivalencia en Kg],"ELVIS",0)</f>
        <v>2503.7585736141682</v>
      </c>
      <c r="J2652">
        <v>147.355208333333</v>
      </c>
      <c r="K2652" t="s">
        <v>32</v>
      </c>
      <c r="L2652">
        <f>J2652/_xlfn.XLOOKUP(Tabla2[[#This Row],[Unidad de precio]],Tabla3[Medida],Tabla3[Equivalencia en Kg],"ELVIS",0)</f>
        <v>5.4154799093470416</v>
      </c>
      <c r="M2652" s="2">
        <v>34069.662396</v>
      </c>
      <c r="N2652" s="2">
        <f>(Tabla2[[#This Row],[Productividad (kg/TAS)]]*Tabla2[[#This Row],[Precio por kg]]-Tabla2[[#This Row],[Costos (En RD$/Tarea)]])</f>
        <v>-20510.608142737066</v>
      </c>
      <c r="O2652" s="6">
        <f>IF(Tabla2[[#This Row],[Costos (En RD$/Tarea)]]=0,0,Tabla2[[#This Row],[Beneficio Neto  (En RD$/Tarea)]]/Tabla2[[#This Row],[Costos (En RD$/Tarea)]])</f>
        <v>-0.60201970610501687</v>
      </c>
      <c r="P2652" s="4">
        <f>Tabla2[[#This Row],[Rentabilidad (%)]]/12</f>
        <v>-5.0168308842084737E-2</v>
      </c>
    </row>
    <row r="2653" spans="1:16" x14ac:dyDescent="0.35">
      <c r="A2653" s="1">
        <v>43221</v>
      </c>
      <c r="B2653" t="s">
        <v>33</v>
      </c>
      <c r="C2653" s="2">
        <v>785547</v>
      </c>
      <c r="D2653" s="2" t="s">
        <v>31</v>
      </c>
      <c r="E2653" s="8">
        <f>IF(Tabla2[[#This Row],[Frecuencia]]="Annual", Tabla2[[#This Row],[Cosecha/Tarea]]/12,Tabla2[[#This Row],[Cosecha/Tarea]])</f>
        <v>65462.25</v>
      </c>
      <c r="F2653" s="2">
        <v>2727801</v>
      </c>
      <c r="G2653" t="s">
        <v>18</v>
      </c>
      <c r="H2653">
        <f>F2653/Tabla2[[#This Row],[Cosecha Mensual]]</f>
        <v>41.66983261345279</v>
      </c>
      <c r="I2653">
        <f>H2653*_xlfn.XLOOKUP(Tabla2[[#This Row],[Unidad de producción]],Tabla3[Medida],Tabla3[Equivalencia en Kg],"ELVIS",0)</f>
        <v>1890.1436073462185</v>
      </c>
      <c r="J2653">
        <v>5438.7947916666699</v>
      </c>
      <c r="K2653" t="s">
        <v>34</v>
      </c>
      <c r="L2653">
        <f>J2653/_xlfn.XLOOKUP(Tabla2[[#This Row],[Unidad de precio]],Tabla3[Medida],Tabla3[Equivalencia en Kg],"ELVIS",0)</f>
        <v>13.325480317693668</v>
      </c>
      <c r="M2653" s="2">
        <v>22932.1463359308</v>
      </c>
      <c r="N2653" s="2">
        <f>(Tabla2[[#This Row],[Productividad (kg/TAS)]]*Tabla2[[#This Row],[Precio por kg]]-Tabla2[[#This Row],[Costos (En RD$/Tarea)]])</f>
        <v>2254.9251013757421</v>
      </c>
      <c r="O2653" s="6">
        <f>IF(Tabla2[[#This Row],[Costos (En RD$/Tarea)]]=0,0,Tabla2[[#This Row],[Beneficio Neto  (En RD$/Tarea)]]/Tabla2[[#This Row],[Costos (En RD$/Tarea)]])</f>
        <v>9.8330311883744401E-2</v>
      </c>
      <c r="P2653" s="4">
        <f>Tabla2[[#This Row],[Rentabilidad (%)]]/12</f>
        <v>8.1941926569787001E-3</v>
      </c>
    </row>
    <row r="2654" spans="1:16" x14ac:dyDescent="0.35">
      <c r="A2654" s="1">
        <v>43252</v>
      </c>
      <c r="B2654" t="s">
        <v>16</v>
      </c>
      <c r="C2654" s="2">
        <v>203753</v>
      </c>
      <c r="D2654" s="5" t="s">
        <v>17</v>
      </c>
      <c r="E2654" s="2">
        <f>IF(Tabla2[[#This Row],[Frecuencia]]="Annual", Tabla2[[#This Row],[Cosecha/Tarea]]/12,Tabla2[[#This Row],[Cosecha/Tarea]])</f>
        <v>203753</v>
      </c>
      <c r="F2654" s="2">
        <v>1021625</v>
      </c>
      <c r="G2654" t="s">
        <v>18</v>
      </c>
      <c r="H2654">
        <f>F2654/Tabla2[[#This Row],[Cosecha Mensual]]</f>
        <v>5.0140366031420394</v>
      </c>
      <c r="I2654">
        <f>H2654*_xlfn.XLOOKUP(Tabla2[[#This Row],[Unidad de producción]],Tabla3[Medida],Tabla3[Equivalencia en Kg],"ELVIS",0)</f>
        <v>227.4367003185229</v>
      </c>
      <c r="J2654">
        <v>2081.2705216354998</v>
      </c>
      <c r="K2654" t="s">
        <v>19</v>
      </c>
      <c r="L2654">
        <f>J2654/_xlfn.XLOOKUP(Tabla2[[#This Row],[Unidad de precio]],Tabla3[Medida],Tabla3[Equivalencia en Kg],"ELVIS",0)</f>
        <v>18.920641105777271</v>
      </c>
      <c r="M2654">
        <v>6204.1782065486696</v>
      </c>
      <c r="N2654" s="2">
        <f>(Tabla2[[#This Row],[Productividad (kg/TAS)]]*Tabla2[[#This Row],[Precio por kg]]-Tabla2[[#This Row],[Costos (En RD$/Tarea)]])</f>
        <v>-1900.9300255396784</v>
      </c>
      <c r="O2654" s="6">
        <f>IF(Tabla2[[#This Row],[Costos (En RD$/Tarea)]]=0,0,Tabla2[[#This Row],[Beneficio Neto  (En RD$/Tarea)]]/Tabla2[[#This Row],[Costos (En RD$/Tarea)]])</f>
        <v>-0.30639513602836194</v>
      </c>
      <c r="P2654" s="4">
        <f>Tabla2[[#This Row],[Rentabilidad (%)]]/12</f>
        <v>-2.5532928002363495E-2</v>
      </c>
    </row>
    <row r="2655" spans="1:16" x14ac:dyDescent="0.35">
      <c r="A2655" s="1">
        <v>43252</v>
      </c>
      <c r="B2655" t="s">
        <v>20</v>
      </c>
      <c r="C2655" s="2">
        <v>31854</v>
      </c>
      <c r="D2655" s="5" t="s">
        <v>17</v>
      </c>
      <c r="E2655" s="2">
        <f>IF(Tabla2[[#This Row],[Frecuencia]]="Annual", Tabla2[[#This Row],[Cosecha/Tarea]]/12,Tabla2[[#This Row],[Cosecha/Tarea]])</f>
        <v>31854</v>
      </c>
      <c r="F2655" s="2">
        <v>85621</v>
      </c>
      <c r="G2655" t="s">
        <v>18</v>
      </c>
      <c r="H2655">
        <f>F2655/Tabla2[[#This Row],[Cosecha Mensual]]</f>
        <v>2.6879198844729077</v>
      </c>
      <c r="I2655">
        <f>H2655*_xlfn.XLOOKUP(Tabla2[[#This Row],[Unidad de producción]],Tabla3[Medida],Tabla3[Equivalencia en Kg],"ELVIS",0)</f>
        <v>121.9240459596911</v>
      </c>
      <c r="J2655">
        <v>895.42447916666697</v>
      </c>
      <c r="K2655" t="s">
        <v>18</v>
      </c>
      <c r="L2655">
        <f>J2655/_xlfn.XLOOKUP(Tabla2[[#This Row],[Unidad de precio]],Tabla3[Medida],Tabla3[Equivalencia en Kg],"ELVIS",0)</f>
        <v>19.740398570693717</v>
      </c>
      <c r="M2655">
        <v>2494.8799608792001</v>
      </c>
      <c r="N2655" s="2">
        <f>(Tabla2[[#This Row],[Productividad (kg/TAS)]]*Tabla2[[#This Row],[Precio por kg]]-Tabla2[[#This Row],[Costos (En RD$/Tarea)]])</f>
        <v>-88.05069828331898</v>
      </c>
      <c r="O2655" s="6">
        <f>IF(Tabla2[[#This Row],[Costos (En RD$/Tarea)]]=0,0,Tabla2[[#This Row],[Beneficio Neto  (En RD$/Tarea)]]/Tabla2[[#This Row],[Costos (En RD$/Tarea)]])</f>
        <v>-3.5292559026483088E-2</v>
      </c>
      <c r="P2655" s="4">
        <f>Tabla2[[#This Row],[Rentabilidad (%)]]/12</f>
        <v>-2.9410465855402575E-3</v>
      </c>
    </row>
    <row r="2656" spans="1:16" x14ac:dyDescent="0.35">
      <c r="A2656" s="1">
        <v>43252</v>
      </c>
      <c r="B2656" t="s">
        <v>21</v>
      </c>
      <c r="C2656" s="2">
        <v>8245</v>
      </c>
      <c r="D2656" s="5" t="s">
        <v>17</v>
      </c>
      <c r="E2656" s="2">
        <f>IF(Tabla2[[#This Row],[Frecuencia]]="Annual", Tabla2[[#This Row],[Cosecha/Tarea]]/12,Tabla2[[#This Row],[Cosecha/Tarea]])</f>
        <v>8245</v>
      </c>
      <c r="F2656" s="2">
        <v>95570</v>
      </c>
      <c r="G2656" t="s">
        <v>18</v>
      </c>
      <c r="H2656">
        <f>F2656/Tabla2[[#This Row],[Cosecha Mensual]]</f>
        <v>11.591267434808975</v>
      </c>
      <c r="I2656">
        <f>H2656*_xlfn.XLOOKUP(Tabla2[[#This Row],[Unidad de producción]],Tabla3[Medida],Tabla3[Equivalencia en Kg],"ELVIS",0)</f>
        <v>525.77989084293506</v>
      </c>
      <c r="J2656">
        <v>546.64761904761895</v>
      </c>
      <c r="K2656" t="s">
        <v>18</v>
      </c>
      <c r="L2656">
        <f>J2656/_xlfn.XLOOKUP(Tabla2[[#This Row],[Unidad de precio]],Tabla3[Medida],Tabla3[Equivalencia en Kg],"ELVIS",0)</f>
        <v>12.051314352901652</v>
      </c>
      <c r="M2656">
        <v>5415.9215773320002</v>
      </c>
      <c r="N2656" s="2">
        <f>(Tabla2[[#This Row],[Productividad (kg/TAS)]]*Tabla2[[#This Row],[Precio por kg]]-Tabla2[[#This Row],[Costos (En RD$/Tarea)]])</f>
        <v>920.41716765052752</v>
      </c>
      <c r="O2656" s="6">
        <f>IF(Tabla2[[#This Row],[Costos (En RD$/Tarea)]]=0,0,Tabla2[[#This Row],[Beneficio Neto  (En RD$/Tarea)]]/Tabla2[[#This Row],[Costos (En RD$/Tarea)]])</f>
        <v>0.16994654640179352</v>
      </c>
      <c r="P2656" s="4">
        <f>Tabla2[[#This Row],[Rentabilidad (%)]]/12</f>
        <v>1.416221220014946E-2</v>
      </c>
    </row>
    <row r="2657" spans="1:16" x14ac:dyDescent="0.35">
      <c r="A2657" s="1">
        <v>43252</v>
      </c>
      <c r="B2657" t="s">
        <v>22</v>
      </c>
      <c r="C2657" s="2">
        <v>6541</v>
      </c>
      <c r="D2657" s="5" t="s">
        <v>17</v>
      </c>
      <c r="E2657" s="2">
        <f>IF(Tabla2[[#This Row],[Frecuencia]]="Annual", Tabla2[[#This Row],[Cosecha/Tarea]]/12,Tabla2[[#This Row],[Cosecha/Tarea]])</f>
        <v>6541</v>
      </c>
      <c r="F2657" s="2">
        <v>47854</v>
      </c>
      <c r="G2657" t="s">
        <v>18</v>
      </c>
      <c r="H2657">
        <f>F2657/Tabla2[[#This Row],[Cosecha Mensual]]</f>
        <v>7.3160067268001834</v>
      </c>
      <c r="I2657">
        <f>H2657*_xlfn.XLOOKUP(Tabla2[[#This Row],[Unidad de producción]],Tabla3[Medida],Tabla3[Equivalencia en Kg],"ELVIS",0)</f>
        <v>331.85406512765633</v>
      </c>
      <c r="J2657">
        <v>2793.3727197108401</v>
      </c>
      <c r="K2657" t="s">
        <v>18</v>
      </c>
      <c r="L2657">
        <f>J2657/_xlfn.XLOOKUP(Tabla2[[#This Row],[Unidad de precio]],Tabla3[Medida],Tabla3[Equivalencia en Kg],"ELVIS",0)</f>
        <v>61.582290998916228</v>
      </c>
      <c r="M2657">
        <v>10167.2711784</v>
      </c>
      <c r="N2657" s="2">
        <f>(Tabla2[[#This Row],[Productividad (kg/TAS)]]*Tabla2[[#This Row],[Precio por kg]]-Tabla2[[#This Row],[Costos (En RD$/Tarea)]])</f>
        <v>10269.062429464631</v>
      </c>
      <c r="O2657" s="6">
        <f>IF(Tabla2[[#This Row],[Costos (En RD$/Tarea)]]=0,0,Tabla2[[#This Row],[Beneficio Neto  (En RD$/Tarea)]]/Tabla2[[#This Row],[Costos (En RD$/Tarea)]])</f>
        <v>1.0100116589081329</v>
      </c>
      <c r="P2657" s="4">
        <f>Tabla2[[#This Row],[Rentabilidad (%)]]/12</f>
        <v>8.4167638242344411E-2</v>
      </c>
    </row>
    <row r="2658" spans="1:16" x14ac:dyDescent="0.35">
      <c r="A2658" s="1">
        <v>43252</v>
      </c>
      <c r="B2658" t="s">
        <v>23</v>
      </c>
      <c r="C2658" s="2">
        <v>3912</v>
      </c>
      <c r="D2658" s="5" t="s">
        <v>17</v>
      </c>
      <c r="E2658" s="2">
        <f>IF(Tabla2[[#This Row],[Frecuencia]]="Annual", Tabla2[[#This Row],[Cosecha/Tarea]]/12,Tabla2[[#This Row],[Cosecha/Tarea]])</f>
        <v>3912</v>
      </c>
      <c r="F2658" s="2">
        <v>150121</v>
      </c>
      <c r="G2658" t="s">
        <v>18</v>
      </c>
      <c r="H2658">
        <f>F2658/Tabla2[[#This Row],[Cosecha Mensual]]</f>
        <v>38.374488752556239</v>
      </c>
      <c r="I2658">
        <f>H2658*_xlfn.XLOOKUP(Tabla2[[#This Row],[Unidad de producción]],Tabla3[Medida],Tabla3[Equivalencia en Kg],"ELVIS",0)</f>
        <v>1740.666809815951</v>
      </c>
      <c r="J2658">
        <v>806.27093855219005</v>
      </c>
      <c r="K2658" t="s">
        <v>18</v>
      </c>
      <c r="L2658">
        <f>J2658/_xlfn.XLOOKUP(Tabla2[[#This Row],[Unidad de precio]],Tabla3[Medida],Tabla3[Equivalencia en Kg],"ELVIS",0)</f>
        <v>17.77493250776433</v>
      </c>
      <c r="M2658">
        <v>23803.192305637302</v>
      </c>
      <c r="N2658" s="2">
        <f>(Tabla2[[#This Row],[Productividad (kg/TAS)]]*Tabla2[[#This Row],[Precio por kg]]-Tabla2[[#This Row],[Costos (En RD$/Tarea)]])</f>
        <v>7137.0427573466768</v>
      </c>
      <c r="O2658" s="6">
        <f>IF(Tabla2[[#This Row],[Costos (En RD$/Tarea)]]=0,0,Tabla2[[#This Row],[Beneficio Neto  (En RD$/Tarea)]]/Tabla2[[#This Row],[Costos (En RD$/Tarea)]])</f>
        <v>0.29983552902088739</v>
      </c>
      <c r="P2658" s="4">
        <f>Tabla2[[#This Row],[Rentabilidad (%)]]/12</f>
        <v>2.4986294085073951E-2</v>
      </c>
    </row>
    <row r="2659" spans="1:16" x14ac:dyDescent="0.35">
      <c r="A2659" s="1">
        <v>43252</v>
      </c>
      <c r="B2659" t="s">
        <v>24</v>
      </c>
      <c r="C2659" s="2">
        <v>6214</v>
      </c>
      <c r="D2659" s="5" t="s">
        <v>17</v>
      </c>
      <c r="E2659" s="2">
        <f>IF(Tabla2[[#This Row],[Frecuencia]]="Annual", Tabla2[[#This Row],[Cosecha/Tarea]]/12,Tabla2[[#This Row],[Cosecha/Tarea]])</f>
        <v>6214</v>
      </c>
      <c r="F2659" s="2">
        <v>58254</v>
      </c>
      <c r="G2659" t="s">
        <v>18</v>
      </c>
      <c r="H2659">
        <f>F2659/Tabla2[[#This Row],[Cosecha Mensual]]</f>
        <v>9.3746379143868683</v>
      </c>
      <c r="I2659">
        <f>H2659*_xlfn.XLOOKUP(Tabla2[[#This Row],[Unidad de producción]],Tabla3[Medida],Tabla3[Equivalencia en Kg],"ELVIS",0)</f>
        <v>425.23357579658835</v>
      </c>
      <c r="J2659">
        <v>2131.5</v>
      </c>
      <c r="K2659" t="s">
        <v>18</v>
      </c>
      <c r="L2659">
        <f>J2659/_xlfn.XLOOKUP(Tabla2[[#This Row],[Unidad de precio]],Tabla3[Medida],Tabla3[Equivalencia en Kg],"ELVIS",0)</f>
        <v>46.99074074074074</v>
      </c>
      <c r="M2659">
        <v>9413.7321988511994</v>
      </c>
      <c r="N2659" s="2">
        <f>(Tabla2[[#This Row],[Productividad (kg/TAS)]]*Tabla2[[#This Row],[Precio por kg]]-Tabla2[[#This Row],[Costos (En RD$/Tarea)]])</f>
        <v>10568.30851566441</v>
      </c>
      <c r="O2659" s="6">
        <f>IF(Tabla2[[#This Row],[Costos (En RD$/Tarea)]]=0,0,Tabla2[[#This Row],[Beneficio Neto  (En RD$/Tarea)]]/Tabla2[[#This Row],[Costos (En RD$/Tarea)]])</f>
        <v>1.1226480945521382</v>
      </c>
      <c r="P2659" s="4">
        <f>Tabla2[[#This Row],[Rentabilidad (%)]]/12</f>
        <v>9.3554007879344855E-2</v>
      </c>
    </row>
    <row r="2660" spans="1:16" x14ac:dyDescent="0.35">
      <c r="A2660" s="1">
        <v>43252</v>
      </c>
      <c r="B2660" t="s">
        <v>25</v>
      </c>
      <c r="C2660" s="2">
        <v>26544</v>
      </c>
      <c r="D2660" s="5" t="s">
        <v>17</v>
      </c>
      <c r="E2660" s="2">
        <f>IF(Tabla2[[#This Row],[Frecuencia]]="Annual", Tabla2[[#This Row],[Cosecha/Tarea]]/12,Tabla2[[#This Row],[Cosecha/Tarea]])</f>
        <v>26544</v>
      </c>
      <c r="F2660" s="2">
        <v>254587</v>
      </c>
      <c r="G2660" t="s">
        <v>18</v>
      </c>
      <c r="H2660">
        <f>F2660/Tabla2[[#This Row],[Cosecha Mensual]]</f>
        <v>9.5911317058468963</v>
      </c>
      <c r="I2660">
        <f>H2660*_xlfn.XLOOKUP(Tabla2[[#This Row],[Unidad de producción]],Tabla3[Medida],Tabla3[Equivalencia en Kg],"ELVIS",0)</f>
        <v>435.05373417721523</v>
      </c>
      <c r="J2660">
        <v>1215.5911458333301</v>
      </c>
      <c r="K2660" t="s">
        <v>18</v>
      </c>
      <c r="L2660">
        <f>J2660/_xlfn.XLOOKUP(Tabla2[[#This Row],[Unidad de precio]],Tabla3[Medida],Tabla3[Equivalencia en Kg],"ELVIS",0)</f>
        <v>26.79874660126389</v>
      </c>
      <c r="M2660">
        <v>4549.7689931721798</v>
      </c>
      <c r="N2660" s="2">
        <f>(Tabla2[[#This Row],[Productividad (kg/TAS)]]*Tabla2[[#This Row],[Precio por kg]]-Tabla2[[#This Row],[Costos (En RD$/Tarea)]])</f>
        <v>7109.1257869766305</v>
      </c>
      <c r="O2660" s="6">
        <f>IF(Tabla2[[#This Row],[Costos (En RD$/Tarea)]]=0,0,Tabla2[[#This Row],[Beneficio Neto  (En RD$/Tarea)]]/Tabla2[[#This Row],[Costos (En RD$/Tarea)]])</f>
        <v>1.5625245584215961</v>
      </c>
      <c r="P2660" s="4">
        <f>Tabla2[[#This Row],[Rentabilidad (%)]]/12</f>
        <v>0.13021037986846634</v>
      </c>
    </row>
    <row r="2661" spans="1:16" x14ac:dyDescent="0.35">
      <c r="A2661" s="1">
        <v>43252</v>
      </c>
      <c r="B2661" t="s">
        <v>26</v>
      </c>
      <c r="C2661" s="2">
        <v>11021</v>
      </c>
      <c r="D2661" s="5" t="s">
        <v>17</v>
      </c>
      <c r="E2661" s="2">
        <f>IF(Tabla2[[#This Row],[Frecuencia]]="Annual", Tabla2[[#This Row],[Cosecha/Tarea]]/12,Tabla2[[#This Row],[Cosecha/Tarea]])</f>
        <v>11021</v>
      </c>
      <c r="F2661" s="2">
        <v>67549.202668397207</v>
      </c>
      <c r="G2661" t="s">
        <v>18</v>
      </c>
      <c r="H2661">
        <f>F2661/Tabla2[[#This Row],[Cosecha Mensual]]</f>
        <v>6.1291355292983587</v>
      </c>
      <c r="I2661">
        <f>H2661*_xlfn.XLOOKUP(Tabla2[[#This Row],[Unidad de producción]],Tabla3[Medida],Tabla3[Equivalencia en Kg],"ELVIS",0)</f>
        <v>278.01758760897354</v>
      </c>
      <c r="J2661">
        <v>1204.3072916666699</v>
      </c>
      <c r="K2661" t="s">
        <v>18</v>
      </c>
      <c r="L2661">
        <f>J2661/_xlfn.XLOOKUP(Tabla2[[#This Row],[Unidad de precio]],Tabla3[Medida],Tabla3[Equivalencia en Kg],"ELVIS",0)</f>
        <v>26.549984384185844</v>
      </c>
      <c r="M2661">
        <v>1733.52094425</v>
      </c>
      <c r="N2661" s="2">
        <f>(Tabla2[[#This Row],[Productividad (kg/TAS)]]*Tabla2[[#This Row],[Precio por kg]]-Tabla2[[#This Row],[Costos (En RD$/Tarea)]])</f>
        <v>5647.8416652972674</v>
      </c>
      <c r="O2661" s="6">
        <f>IF(Tabla2[[#This Row],[Costos (En RD$/Tarea)]]=0,0,Tabla2[[#This Row],[Beneficio Neto  (En RD$/Tarea)]]/Tabla2[[#This Row],[Costos (En RD$/Tarea)]])</f>
        <v>3.2580175532524533</v>
      </c>
      <c r="P2661" s="4">
        <f>Tabla2[[#This Row],[Rentabilidad (%)]]/12</f>
        <v>0.27150146277103776</v>
      </c>
    </row>
    <row r="2662" spans="1:16" x14ac:dyDescent="0.35">
      <c r="A2662" s="1">
        <v>43252</v>
      </c>
      <c r="B2662" t="s">
        <v>27</v>
      </c>
      <c r="C2662" s="2">
        <v>8214</v>
      </c>
      <c r="D2662" s="5" t="s">
        <v>17</v>
      </c>
      <c r="E2662" s="2">
        <f>IF(Tabla2[[#This Row],[Frecuencia]]="Annual", Tabla2[[#This Row],[Cosecha/Tarea]]/12,Tabla2[[#This Row],[Cosecha/Tarea]])</f>
        <v>8214</v>
      </c>
      <c r="F2662" s="2">
        <v>57401</v>
      </c>
      <c r="G2662" t="s">
        <v>18</v>
      </c>
      <c r="H2662">
        <f>F2662/Tabla2[[#This Row],[Cosecha Mensual]]</f>
        <v>6.9881908935962986</v>
      </c>
      <c r="I2662">
        <f>H2662*_xlfn.XLOOKUP(Tabla2[[#This Row],[Unidad de producción]],Tabla3[Medida],Tabla3[Equivalencia en Kg],"ELVIS",0)</f>
        <v>316.98433893352808</v>
      </c>
      <c r="J2662">
        <v>577.72916666666697</v>
      </c>
      <c r="K2662" t="s">
        <v>18</v>
      </c>
      <c r="L2662">
        <f>J2662/_xlfn.XLOOKUP(Tabla2[[#This Row],[Unidad de precio]],Tabla3[Medida],Tabla3[Equivalencia en Kg],"ELVIS",0)</f>
        <v>12.736533656672552</v>
      </c>
      <c r="M2662">
        <v>9289.5754777799993</v>
      </c>
      <c r="N2662" s="2">
        <f>(Tabla2[[#This Row],[Productividad (kg/TAS)]]*Tabla2[[#This Row],[Precio por kg]]-Tabla2[[#This Row],[Costos (En RD$/Tarea)]])</f>
        <v>-5252.2937763150194</v>
      </c>
      <c r="O2662" s="6">
        <f>IF(Tabla2[[#This Row],[Costos (En RD$/Tarea)]]=0,0,Tabla2[[#This Row],[Beneficio Neto  (En RD$/Tarea)]]/Tabla2[[#This Row],[Costos (En RD$/Tarea)]])</f>
        <v>-0.56539653387586231</v>
      </c>
      <c r="P2662" s="4">
        <f>Tabla2[[#This Row],[Rentabilidad (%)]]/12</f>
        <v>-4.7116377822988526E-2</v>
      </c>
    </row>
    <row r="2663" spans="1:16" x14ac:dyDescent="0.35">
      <c r="A2663" s="1">
        <v>43252</v>
      </c>
      <c r="B2663" t="s">
        <v>28</v>
      </c>
      <c r="C2663" s="2">
        <v>43524</v>
      </c>
      <c r="D2663" s="5" t="s">
        <v>17</v>
      </c>
      <c r="E2663" s="2">
        <f>IF(Tabla2[[#This Row],[Frecuencia]]="Annual", Tabla2[[#This Row],[Cosecha/Tarea]]/12,Tabla2[[#This Row],[Cosecha/Tarea]])</f>
        <v>43524</v>
      </c>
      <c r="F2663" s="2">
        <v>1198464</v>
      </c>
      <c r="G2663" t="s">
        <v>18</v>
      </c>
      <c r="H2663">
        <f>F2663/Tabla2[[#This Row],[Cosecha Mensual]]</f>
        <v>27.535704438930246</v>
      </c>
      <c r="I2663">
        <f>H2663*_xlfn.XLOOKUP(Tabla2[[#This Row],[Unidad de producción]],Tabla3[Medida],Tabla3[Equivalencia en Kg],"ELVIS",0)</f>
        <v>1249.0195533498759</v>
      </c>
      <c r="J2663">
        <v>9000</v>
      </c>
      <c r="K2663" t="s">
        <v>29</v>
      </c>
      <c r="L2663">
        <f>J2663/_xlfn.XLOOKUP(Tabla2[[#This Row],[Unidad de precio]],Tabla3[Medida],Tabla3[Equivalencia en Kg],"ELVIS",0)</f>
        <v>16.004552406017712</v>
      </c>
      <c r="M2663">
        <v>7167.6799321206599</v>
      </c>
      <c r="N2663" s="2">
        <f>(Tabla2[[#This Row],[Productividad (kg/TAS)]]*Tabla2[[#This Row],[Precio por kg]]-Tabla2[[#This Row],[Costos (En RD$/Tarea)]])</f>
        <v>12822.318965608265</v>
      </c>
      <c r="O2663" s="6">
        <f>IF(Tabla2[[#This Row],[Costos (En RD$/Tarea)]]=0,0,Tabla2[[#This Row],[Beneficio Neto  (En RD$/Tarea)]]/Tabla2[[#This Row],[Costos (En RD$/Tarea)]])</f>
        <v>1.7889078595916879</v>
      </c>
      <c r="P2663" s="4">
        <f>Tabla2[[#This Row],[Rentabilidad (%)]]/12</f>
        <v>0.149075654965974</v>
      </c>
    </row>
    <row r="2664" spans="1:16" x14ac:dyDescent="0.35">
      <c r="A2664" s="1">
        <v>43252</v>
      </c>
      <c r="B2664" t="s">
        <v>30</v>
      </c>
      <c r="C2664" s="2">
        <v>462154</v>
      </c>
      <c r="D2664" s="2" t="s">
        <v>31</v>
      </c>
      <c r="E2664" s="2">
        <f>IF(Tabla2[[#This Row],[Frecuencia]]="Annual", Tabla2[[#This Row],[Cosecha/Tarea]]/12,Tabla2[[#This Row],[Cosecha/Tarea]])</f>
        <v>38512.833333333336</v>
      </c>
      <c r="F2664" s="2">
        <v>2318529</v>
      </c>
      <c r="G2664" t="s">
        <v>18</v>
      </c>
      <c r="H2664">
        <f>F2664/Tabla2[[#This Row],[Cosecha Mensual]]</f>
        <v>60.201465312428319</v>
      </c>
      <c r="I2664">
        <f>H2664*_xlfn.XLOOKUP(Tabla2[[#This Row],[Unidad de producción]],Tabla3[Medida],Tabla3[Equivalencia en Kg],"ELVIS",0)</f>
        <v>2730.7384665717486</v>
      </c>
      <c r="J2664">
        <v>146.005208333333</v>
      </c>
      <c r="K2664" t="s">
        <v>32</v>
      </c>
      <c r="L2664">
        <f>J2664/_xlfn.XLOOKUP(Tabla2[[#This Row],[Unidad de precio]],Tabla3[Medida],Tabla3[Equivalencia en Kg],"ELVIS",0)</f>
        <v>5.3658657968883867</v>
      </c>
      <c r="M2664" s="2">
        <v>34069.662396</v>
      </c>
      <c r="N2664" s="2">
        <f>(Tabla2[[#This Row],[Productividad (kg/TAS)]]*Tabla2[[#This Row],[Precio por kg]]-Tabla2[[#This Row],[Costos (En RD$/Tarea)]])</f>
        <v>-19416.886257975213</v>
      </c>
      <c r="O2664" s="6">
        <f>IF(Tabla2[[#This Row],[Costos (En RD$/Tarea)]]=0,0,Tabla2[[#This Row],[Beneficio Neto  (En RD$/Tarea)]]/Tabla2[[#This Row],[Costos (En RD$/Tarea)]])</f>
        <v>-0.56991719002929953</v>
      </c>
      <c r="P2664" s="4">
        <f>Tabla2[[#This Row],[Rentabilidad (%)]]/12</f>
        <v>-4.7493099169108294E-2</v>
      </c>
    </row>
    <row r="2665" spans="1:16" x14ac:dyDescent="0.35">
      <c r="A2665" s="1">
        <v>43252</v>
      </c>
      <c r="B2665" t="s">
        <v>33</v>
      </c>
      <c r="C2665" s="2">
        <v>798395</v>
      </c>
      <c r="D2665" s="2" t="s">
        <v>31</v>
      </c>
      <c r="E2665" s="2">
        <f>IF(Tabla2[[#This Row],[Frecuencia]]="Annual", Tabla2[[#This Row],[Cosecha/Tarea]]/12,Tabla2[[#This Row],[Cosecha/Tarea]])</f>
        <v>66532.916666666672</v>
      </c>
      <c r="F2665" s="2">
        <v>1815390</v>
      </c>
      <c r="G2665" t="s">
        <v>18</v>
      </c>
      <c r="H2665">
        <f>F2665/Tabla2[[#This Row],[Cosecha Mensual]]</f>
        <v>27.285591718385007</v>
      </c>
      <c r="I2665">
        <f>H2665*_xlfn.XLOOKUP(Tabla2[[#This Row],[Unidad de producción]],Tabla3[Medida],Tabla3[Equivalencia en Kg],"ELVIS",0)</f>
        <v>1237.6744403459438</v>
      </c>
      <c r="J2665">
        <v>5566.9401041666697</v>
      </c>
      <c r="K2665" t="s">
        <v>34</v>
      </c>
      <c r="L2665">
        <f>J2665/_xlfn.XLOOKUP(Tabla2[[#This Row],[Unidad de precio]],Tabla3[Medida],Tabla3[Equivalencia en Kg],"ELVIS",0)</f>
        <v>13.639446537220801</v>
      </c>
      <c r="M2665" s="2">
        <v>22932.1463359308</v>
      </c>
      <c r="N2665" s="2">
        <f>(Tabla2[[#This Row],[Productividad (kg/TAS)]]*Tabla2[[#This Row],[Precio por kg]]-Tabla2[[#This Row],[Costos (En RD$/Tarea)]])</f>
        <v>-6050.9519763476237</v>
      </c>
      <c r="O2665" s="6">
        <f>IF(Tabla2[[#This Row],[Costos (En RD$/Tarea)]]=0,0,Tabla2[[#This Row],[Beneficio Neto  (En RD$/Tarea)]]/Tabla2[[#This Row],[Costos (En RD$/Tarea)]])</f>
        <v>-0.26386330732883928</v>
      </c>
      <c r="P2665" s="4">
        <f>Tabla2[[#This Row],[Rentabilidad (%)]]/12</f>
        <v>-2.198860894406994E-2</v>
      </c>
    </row>
    <row r="2666" spans="1:16" x14ac:dyDescent="0.35">
      <c r="A2666" s="1">
        <v>43282</v>
      </c>
      <c r="B2666" t="s">
        <v>16</v>
      </c>
      <c r="C2666" s="2">
        <v>130013</v>
      </c>
      <c r="D2666" s="5" t="s">
        <v>17</v>
      </c>
      <c r="E2666" s="2">
        <f>IF(Tabla2[[#This Row],[Frecuencia]]="Annual", Tabla2[[#This Row],[Cosecha/Tarea]]/12,Tabla2[[#This Row],[Cosecha/Tarea]])</f>
        <v>130013</v>
      </c>
      <c r="F2666" s="2">
        <v>467910</v>
      </c>
      <c r="G2666" t="s">
        <v>18</v>
      </c>
      <c r="H2666">
        <f>F2666/Tabla2[[#This Row],[Cosecha Mensual]]</f>
        <v>3.5989477975279396</v>
      </c>
      <c r="I2666">
        <f>H2666*_xlfn.XLOOKUP(Tabla2[[#This Row],[Unidad de producción]],Tabla3[Medida],Tabla3[Equivalencia en Kg],"ELVIS",0)</f>
        <v>163.24827209586735</v>
      </c>
      <c r="J2666">
        <v>2100.0565524385802</v>
      </c>
      <c r="K2666" t="s">
        <v>19</v>
      </c>
      <c r="L2666">
        <f>J2666/_xlfn.XLOOKUP(Tabla2[[#This Row],[Unidad de precio]],Tabla3[Medida],Tabla3[Equivalencia en Kg],"ELVIS",0)</f>
        <v>19.091423203987091</v>
      </c>
      <c r="M2666">
        <v>6204.1782065486696</v>
      </c>
      <c r="N2666" s="2">
        <f>(Tabla2[[#This Row],[Productividad (kg/TAS)]]*Tabla2[[#This Row],[Precio por kg]]-Tabla2[[#This Row],[Costos (En RD$/Tarea)]])</f>
        <v>-3087.5363566468291</v>
      </c>
      <c r="O2666" s="6">
        <f>IF(Tabla2[[#This Row],[Costos (En RD$/Tarea)]]=0,0,Tabla2[[#This Row],[Beneficio Neto  (En RD$/Tarea)]]/Tabla2[[#This Row],[Costos (En RD$/Tarea)]])</f>
        <v>-0.49765436353647208</v>
      </c>
      <c r="P2666" s="4">
        <f>Tabla2[[#This Row],[Rentabilidad (%)]]/12</f>
        <v>-4.1471196961372671E-2</v>
      </c>
    </row>
    <row r="2667" spans="1:16" x14ac:dyDescent="0.35">
      <c r="A2667" s="1">
        <v>43282</v>
      </c>
      <c r="B2667" t="s">
        <v>20</v>
      </c>
      <c r="C2667" s="2">
        <v>37120</v>
      </c>
      <c r="D2667" s="5" t="s">
        <v>17</v>
      </c>
      <c r="E2667" s="2">
        <f>IF(Tabla2[[#This Row],[Frecuencia]]="Annual", Tabla2[[#This Row],[Cosecha/Tarea]]/12,Tabla2[[#This Row],[Cosecha/Tarea]])</f>
        <v>37120</v>
      </c>
      <c r="F2667" s="2">
        <v>106201</v>
      </c>
      <c r="G2667" t="s">
        <v>18</v>
      </c>
      <c r="H2667">
        <f>F2667/Tabla2[[#This Row],[Cosecha Mensual]]</f>
        <v>2.8610183189655172</v>
      </c>
      <c r="I2667">
        <f>H2667*_xlfn.XLOOKUP(Tabla2[[#This Row],[Unidad de producción]],Tabla3[Medida],Tabla3[Equivalencia en Kg],"ELVIS",0)</f>
        <v>129.77579094827587</v>
      </c>
      <c r="J2667">
        <v>899.28572916666701</v>
      </c>
      <c r="K2667" t="s">
        <v>18</v>
      </c>
      <c r="L2667">
        <f>J2667/_xlfn.XLOOKUP(Tabla2[[#This Row],[Unidad de precio]],Tabla3[Medida],Tabla3[Equivalencia en Kg],"ELVIS",0)</f>
        <v>19.825523129776609</v>
      </c>
      <c r="M2667">
        <v>2494.8799608792001</v>
      </c>
      <c r="N2667" s="2">
        <f>(Tabla2[[#This Row],[Productividad (kg/TAS)]]*Tabla2[[#This Row],[Precio por kg]]-Tabla2[[#This Row],[Costos (En RD$/Tarea)]])</f>
        <v>77.99298425089728</v>
      </c>
      <c r="O2667" s="6">
        <f>IF(Tabla2[[#This Row],[Costos (En RD$/Tarea)]]=0,0,Tabla2[[#This Row],[Beneficio Neto  (En RD$/Tarea)]]/Tabla2[[#This Row],[Costos (En RD$/Tarea)]])</f>
        <v>3.1261217162292819E-2</v>
      </c>
      <c r="P2667" s="4">
        <f>Tabla2[[#This Row],[Rentabilidad (%)]]/12</f>
        <v>2.6051014301910684E-3</v>
      </c>
    </row>
    <row r="2668" spans="1:16" x14ac:dyDescent="0.35">
      <c r="A2668" s="1">
        <v>43282</v>
      </c>
      <c r="B2668" t="s">
        <v>21</v>
      </c>
      <c r="C2668" s="2">
        <v>7985</v>
      </c>
      <c r="D2668" s="5" t="s">
        <v>17</v>
      </c>
      <c r="E2668" s="2">
        <f>IF(Tabla2[[#This Row],[Frecuencia]]="Annual", Tabla2[[#This Row],[Cosecha/Tarea]]/12,Tabla2[[#This Row],[Cosecha/Tarea]])</f>
        <v>7985</v>
      </c>
      <c r="F2668" s="2">
        <v>96897</v>
      </c>
      <c r="G2668" t="s">
        <v>18</v>
      </c>
      <c r="H2668">
        <f>F2668/Tabla2[[#This Row],[Cosecha Mensual]]</f>
        <v>12.134877896055103</v>
      </c>
      <c r="I2668">
        <f>H2668*_xlfn.XLOOKUP(Tabla2[[#This Row],[Unidad de producción]],Tabla3[Medida],Tabla3[Equivalencia en Kg],"ELVIS",0)</f>
        <v>550.43806136505953</v>
      </c>
      <c r="J2668">
        <v>567.1268</v>
      </c>
      <c r="K2668" t="s">
        <v>18</v>
      </c>
      <c r="L2668">
        <f>J2668/_xlfn.XLOOKUP(Tabla2[[#This Row],[Unidad de precio]],Tabla3[Medida],Tabla3[Equivalencia en Kg],"ELVIS",0)</f>
        <v>12.502795414462081</v>
      </c>
      <c r="M2668">
        <v>5415.9215773320002</v>
      </c>
      <c r="N2668" s="2">
        <f>(Tabla2[[#This Row],[Productividad (kg/TAS)]]*Tabla2[[#This Row],[Precio por kg]]-Tabla2[[#This Row],[Costos (En RD$/Tarea)]])</f>
        <v>1466.0928922484636</v>
      </c>
      <c r="O2668" s="6">
        <f>IF(Tabla2[[#This Row],[Costos (En RD$/Tarea)]]=0,0,Tabla2[[#This Row],[Beneficio Neto  (En RD$/Tarea)]]/Tabla2[[#This Row],[Costos (En RD$/Tarea)]])</f>
        <v>0.27070053938459954</v>
      </c>
      <c r="P2668" s="4">
        <f>Tabla2[[#This Row],[Rentabilidad (%)]]/12</f>
        <v>2.255837828204996E-2</v>
      </c>
    </row>
    <row r="2669" spans="1:16" x14ac:dyDescent="0.35">
      <c r="A2669" s="1">
        <v>43282</v>
      </c>
      <c r="B2669" t="s">
        <v>22</v>
      </c>
      <c r="C2669" s="2">
        <v>4421</v>
      </c>
      <c r="D2669" s="5" t="s">
        <v>17</v>
      </c>
      <c r="E2669" s="2">
        <f>IF(Tabla2[[#This Row],[Frecuencia]]="Annual", Tabla2[[#This Row],[Cosecha/Tarea]]/12,Tabla2[[#This Row],[Cosecha/Tarea]])</f>
        <v>4421</v>
      </c>
      <c r="F2669" s="2">
        <v>42584</v>
      </c>
      <c r="G2669" t="s">
        <v>18</v>
      </c>
      <c r="H2669">
        <f>F2669/Tabla2[[#This Row],[Cosecha Mensual]]</f>
        <v>9.6322099072608012</v>
      </c>
      <c r="I2669">
        <f>H2669*_xlfn.XLOOKUP(Tabla2[[#This Row],[Unidad de producción]],Tabla3[Medida],Tabla3[Equivalencia en Kg],"ELVIS",0)</f>
        <v>436.91704139334996</v>
      </c>
      <c r="J2669">
        <v>2708.2531904206899</v>
      </c>
      <c r="K2669" t="s">
        <v>18</v>
      </c>
      <c r="L2669">
        <f>J2669/_xlfn.XLOOKUP(Tabla2[[#This Row],[Unidad de precio]],Tabla3[Medida],Tabla3[Equivalencia en Kg],"ELVIS",0)</f>
        <v>59.705758166240962</v>
      </c>
      <c r="M2669">
        <v>10167.2711784</v>
      </c>
      <c r="N2669" s="2">
        <f>(Tabla2[[#This Row],[Productividad (kg/TAS)]]*Tabla2[[#This Row],[Precio por kg]]-Tabla2[[#This Row],[Costos (En RD$/Tarea)]])</f>
        <v>15919.192033740843</v>
      </c>
      <c r="O2669" s="6">
        <f>IF(Tabla2[[#This Row],[Costos (En RD$/Tarea)]]=0,0,Tabla2[[#This Row],[Beneficio Neto  (En RD$/Tarea)]]/Tabla2[[#This Row],[Costos (En RD$/Tarea)]])</f>
        <v>1.5657290687358265</v>
      </c>
      <c r="P2669" s="4">
        <f>Tabla2[[#This Row],[Rentabilidad (%)]]/12</f>
        <v>0.13047742239465221</v>
      </c>
    </row>
    <row r="2670" spans="1:16" x14ac:dyDescent="0.35">
      <c r="A2670" s="1">
        <v>43282</v>
      </c>
      <c r="B2670" t="s">
        <v>23</v>
      </c>
      <c r="C2670" s="2">
        <v>3310</v>
      </c>
      <c r="D2670" s="5" t="s">
        <v>17</v>
      </c>
      <c r="E2670" s="2">
        <f>IF(Tabla2[[#This Row],[Frecuencia]]="Annual", Tabla2[[#This Row],[Cosecha/Tarea]]/12,Tabla2[[#This Row],[Cosecha/Tarea]])</f>
        <v>3310</v>
      </c>
      <c r="F2670" s="2">
        <v>118245</v>
      </c>
      <c r="G2670" t="s">
        <v>18</v>
      </c>
      <c r="H2670">
        <f>F2670/Tabla2[[#This Row],[Cosecha Mensual]]</f>
        <v>35.723564954682779</v>
      </c>
      <c r="I2670">
        <f>H2670*_xlfn.XLOOKUP(Tabla2[[#This Row],[Unidad de producción]],Tabla3[Medida],Tabla3[Equivalencia en Kg],"ELVIS",0)</f>
        <v>1620.4209063444109</v>
      </c>
      <c r="J2670">
        <v>754.96236402486602</v>
      </c>
      <c r="K2670" t="s">
        <v>18</v>
      </c>
      <c r="L2670">
        <f>J2670/_xlfn.XLOOKUP(Tabla2[[#This Row],[Unidad de precio]],Tabla3[Medida],Tabla3[Equivalencia en Kg],"ELVIS",0)</f>
        <v>16.643791094022621</v>
      </c>
      <c r="M2670">
        <v>23803.192305637302</v>
      </c>
      <c r="N2670" s="2">
        <f>(Tabla2[[#This Row],[Productividad (kg/TAS)]]*Tabla2[[#This Row],[Precio por kg]]-Tabla2[[#This Row],[Costos (En RD$/Tarea)]])</f>
        <v>3166.7547439458685</v>
      </c>
      <c r="O2670" s="6">
        <f>IF(Tabla2[[#This Row],[Costos (En RD$/Tarea)]]=0,0,Tabla2[[#This Row],[Beneficio Neto  (En RD$/Tarea)]]/Tabla2[[#This Row],[Costos (En RD$/Tarea)]])</f>
        <v>0.13303907741802712</v>
      </c>
      <c r="P2670" s="4">
        <f>Tabla2[[#This Row],[Rentabilidad (%)]]/12</f>
        <v>1.1086589784835593E-2</v>
      </c>
    </row>
    <row r="2671" spans="1:16" x14ac:dyDescent="0.35">
      <c r="A2671" s="1">
        <v>43282</v>
      </c>
      <c r="B2671" t="s">
        <v>24</v>
      </c>
      <c r="C2671" s="2">
        <v>4854</v>
      </c>
      <c r="D2671" s="5" t="s">
        <v>17</v>
      </c>
      <c r="E2671" s="2">
        <f>IF(Tabla2[[#This Row],[Frecuencia]]="Annual", Tabla2[[#This Row],[Cosecha/Tarea]]/12,Tabla2[[#This Row],[Cosecha/Tarea]])</f>
        <v>4854</v>
      </c>
      <c r="F2671" s="2">
        <v>45788</v>
      </c>
      <c r="G2671" t="s">
        <v>18</v>
      </c>
      <c r="H2671">
        <f>F2671/Tabla2[[#This Row],[Cosecha Mensual]]</f>
        <v>9.4330449114132673</v>
      </c>
      <c r="I2671">
        <f>H2671*_xlfn.XLOOKUP(Tabla2[[#This Row],[Unidad de producción]],Tabla3[Medida],Tabla3[Equivalencia en Kg],"ELVIS",0)</f>
        <v>427.88291718170581</v>
      </c>
      <c r="J2671">
        <v>2133.0052083333298</v>
      </c>
      <c r="K2671" t="s">
        <v>18</v>
      </c>
      <c r="L2671">
        <f>J2671/_xlfn.XLOOKUP(Tabla2[[#This Row],[Unidad de precio]],Tabla3[Medida],Tabla3[Equivalencia en Kg],"ELVIS",0)</f>
        <v>47.02392434597288</v>
      </c>
      <c r="M2671">
        <v>9413.7321988511994</v>
      </c>
      <c r="N2671" s="2">
        <f>(Tabla2[[#This Row],[Productividad (kg/TAS)]]*Tabla2[[#This Row],[Precio por kg]]-Tabla2[[#This Row],[Costos (En RD$/Tarea)]])</f>
        <v>10707.001727635512</v>
      </c>
      <c r="O2671" s="6">
        <f>IF(Tabla2[[#This Row],[Costos (En RD$/Tarea)]]=0,0,Tabla2[[#This Row],[Beneficio Neto  (En RD$/Tarea)]]/Tabla2[[#This Row],[Costos (En RD$/Tarea)]])</f>
        <v>1.1373811684320205</v>
      </c>
      <c r="P2671" s="4">
        <f>Tabla2[[#This Row],[Rentabilidad (%)]]/12</f>
        <v>9.4781764036001706E-2</v>
      </c>
    </row>
    <row r="2672" spans="1:16" x14ac:dyDescent="0.35">
      <c r="A2672" s="1">
        <v>43282</v>
      </c>
      <c r="B2672" t="s">
        <v>25</v>
      </c>
      <c r="C2672" s="2">
        <v>18524</v>
      </c>
      <c r="D2672" s="5" t="s">
        <v>17</v>
      </c>
      <c r="E2672" s="2">
        <f>IF(Tabla2[[#This Row],[Frecuencia]]="Annual", Tabla2[[#This Row],[Cosecha/Tarea]]/12,Tabla2[[#This Row],[Cosecha/Tarea]])</f>
        <v>18524</v>
      </c>
      <c r="F2672" s="2">
        <v>183699</v>
      </c>
      <c r="G2672" t="s">
        <v>18</v>
      </c>
      <c r="H2672">
        <f>F2672/Tabla2[[#This Row],[Cosecha Mensual]]</f>
        <v>9.9168106240552802</v>
      </c>
      <c r="I2672">
        <f>H2672*_xlfn.XLOOKUP(Tabla2[[#This Row],[Unidad de producción]],Tabla3[Medida],Tabla3[Equivalencia en Kg],"ELVIS",0)</f>
        <v>449.82652990714752</v>
      </c>
      <c r="J2672">
        <v>1293.6614583333301</v>
      </c>
      <c r="K2672" t="s">
        <v>18</v>
      </c>
      <c r="L2672">
        <f>J2672/_xlfn.XLOOKUP(Tabla2[[#This Row],[Unidad de precio]],Tabla3[Medida],Tabla3[Equivalencia en Kg],"ELVIS",0)</f>
        <v>28.519873420046959</v>
      </c>
      <c r="M2672">
        <v>4549.7689931721798</v>
      </c>
      <c r="N2672" s="2">
        <f>(Tabla2[[#This Row],[Productividad (kg/TAS)]]*Tabla2[[#This Row],[Precio por kg]]-Tabla2[[#This Row],[Costos (En RD$/Tarea)]])</f>
        <v>8279.2267007586361</v>
      </c>
      <c r="O2672" s="6">
        <f>IF(Tabla2[[#This Row],[Costos (En RD$/Tarea)]]=0,0,Tabla2[[#This Row],[Beneficio Neto  (En RD$/Tarea)]]/Tabla2[[#This Row],[Costos (En RD$/Tarea)]])</f>
        <v>1.8197026515375261</v>
      </c>
      <c r="P2672" s="4">
        <f>Tabla2[[#This Row],[Rentabilidad (%)]]/12</f>
        <v>0.15164188762812716</v>
      </c>
    </row>
    <row r="2673" spans="1:16" x14ac:dyDescent="0.35">
      <c r="A2673" s="1">
        <v>43282</v>
      </c>
      <c r="B2673" t="s">
        <v>26</v>
      </c>
      <c r="C2673" s="2">
        <v>10245</v>
      </c>
      <c r="D2673" s="5" t="s">
        <v>17</v>
      </c>
      <c r="E2673" s="2">
        <f>IF(Tabla2[[#This Row],[Frecuencia]]="Annual", Tabla2[[#This Row],[Cosecha/Tarea]]/12,Tabla2[[#This Row],[Cosecha/Tarea]])</f>
        <v>10245</v>
      </c>
      <c r="F2673" s="2">
        <v>54214</v>
      </c>
      <c r="G2673" t="s">
        <v>18</v>
      </c>
      <c r="H2673">
        <f>F2673/Tabla2[[#This Row],[Cosecha Mensual]]</f>
        <v>5.2917520741825284</v>
      </c>
      <c r="I2673">
        <f>H2673*_xlfn.XLOOKUP(Tabla2[[#This Row],[Unidad de producción]],Tabla3[Medida],Tabla3[Equivalencia en Kg],"ELVIS",0)</f>
        <v>240.03387408491949</v>
      </c>
      <c r="J2673">
        <v>912.86535714285696</v>
      </c>
      <c r="K2673" t="s">
        <v>18</v>
      </c>
      <c r="L2673">
        <f>J2673/_xlfn.XLOOKUP(Tabla2[[#This Row],[Unidad de precio]],Tabla3[Medida],Tabla3[Equivalencia en Kg],"ELVIS",0)</f>
        <v>20.124897644242878</v>
      </c>
      <c r="M2673">
        <v>1733.52094425</v>
      </c>
      <c r="N2673" s="2">
        <f>(Tabla2[[#This Row],[Productividad (kg/TAS)]]*Tabla2[[#This Row],[Precio por kg]]-Tabla2[[#This Row],[Costos (En RD$/Tarea)]])</f>
        <v>3097.1362028600879</v>
      </c>
      <c r="O2673" s="6">
        <f>IF(Tabla2[[#This Row],[Costos (En RD$/Tarea)]]=0,0,Tabla2[[#This Row],[Beneficio Neto  (En RD$/Tarea)]]/Tabla2[[#This Row],[Costos (En RD$/Tarea)]])</f>
        <v>1.7866159697309281</v>
      </c>
      <c r="P2673" s="4">
        <f>Tabla2[[#This Row],[Rentabilidad (%)]]/12</f>
        <v>0.14888466414424401</v>
      </c>
    </row>
    <row r="2674" spans="1:16" x14ac:dyDescent="0.35">
      <c r="A2674" s="1">
        <v>43282</v>
      </c>
      <c r="B2674" t="s">
        <v>27</v>
      </c>
      <c r="C2674" s="2">
        <v>5312</v>
      </c>
      <c r="D2674" s="5" t="s">
        <v>17</v>
      </c>
      <c r="E2674" s="2">
        <f>IF(Tabla2[[#This Row],[Frecuencia]]="Annual", Tabla2[[#This Row],[Cosecha/Tarea]]/12,Tabla2[[#This Row],[Cosecha/Tarea]])</f>
        <v>5312</v>
      </c>
      <c r="F2674" s="2">
        <v>53214</v>
      </c>
      <c r="G2674" t="s">
        <v>18</v>
      </c>
      <c r="H2674">
        <f>F2674/Tabla2[[#This Row],[Cosecha Mensual]]</f>
        <v>10.017695783132529</v>
      </c>
      <c r="I2674">
        <f>H2674*_xlfn.XLOOKUP(Tabla2[[#This Row],[Unidad de producción]],Tabla3[Medida],Tabla3[Equivalencia en Kg],"ELVIS",0)</f>
        <v>454.40268072289155</v>
      </c>
      <c r="J2674">
        <v>640.70000000000005</v>
      </c>
      <c r="K2674" t="s">
        <v>18</v>
      </c>
      <c r="L2674">
        <f>J2674/_xlfn.XLOOKUP(Tabla2[[#This Row],[Unidad de precio]],Tabla3[Medida],Tabla3[Equivalencia en Kg],"ELVIS",0)</f>
        <v>14.124779541446209</v>
      </c>
      <c r="M2674">
        <v>9289.5754777799993</v>
      </c>
      <c r="N2674" s="2">
        <f>(Tabla2[[#This Row],[Productividad (kg/TAS)]]*Tabla2[[#This Row],[Precio por kg]]-Tabla2[[#This Row],[Costos (En RD$/Tarea)]])</f>
        <v>-2871.2377895269874</v>
      </c>
      <c r="O2674" s="6">
        <f>IF(Tabla2[[#This Row],[Costos (En RD$/Tarea)]]=0,0,Tabla2[[#This Row],[Beneficio Neto  (En RD$/Tarea)]]/Tabla2[[#This Row],[Costos (En RD$/Tarea)]])</f>
        <v>-0.30908170092323195</v>
      </c>
      <c r="P2674" s="4">
        <f>Tabla2[[#This Row],[Rentabilidad (%)]]/12</f>
        <v>-2.5756808410269328E-2</v>
      </c>
    </row>
    <row r="2675" spans="1:16" x14ac:dyDescent="0.35">
      <c r="A2675" s="1">
        <v>43282</v>
      </c>
      <c r="B2675" t="s">
        <v>28</v>
      </c>
      <c r="C2675" s="2">
        <v>32422</v>
      </c>
      <c r="D2675" s="5" t="s">
        <v>17</v>
      </c>
      <c r="E2675" s="2">
        <f>IF(Tabla2[[#This Row],[Frecuencia]]="Annual", Tabla2[[#This Row],[Cosecha/Tarea]]/12,Tabla2[[#This Row],[Cosecha/Tarea]])</f>
        <v>32422</v>
      </c>
      <c r="F2675" s="2">
        <v>1130520</v>
      </c>
      <c r="G2675" t="s">
        <v>18</v>
      </c>
      <c r="H2675">
        <f>F2675/Tabla2[[#This Row],[Cosecha Mensual]]</f>
        <v>34.868916168034048</v>
      </c>
      <c r="I2675">
        <f>H2675*_xlfn.XLOOKUP(Tabla2[[#This Row],[Unidad de producción]],Tabla3[Medida],Tabla3[Equivalencia en Kg],"ELVIS",0)</f>
        <v>1581.6540373820244</v>
      </c>
      <c r="J2675">
        <v>9052.7777777777792</v>
      </c>
      <c r="K2675" t="s">
        <v>29</v>
      </c>
      <c r="L2675">
        <f>J2675/_xlfn.XLOOKUP(Tabla2[[#This Row],[Unidad de precio]],Tabla3[Medida],Tabla3[Equivalencia en Kg],"ELVIS",0)</f>
        <v>16.098406262719671</v>
      </c>
      <c r="M2675">
        <v>7167.6799321206599</v>
      </c>
      <c r="N2675" s="2">
        <f>(Tabla2[[#This Row],[Productividad (kg/TAS)]]*Tabla2[[#This Row],[Precio por kg]]-Tabla2[[#This Row],[Costos (En RD$/Tarea)]])</f>
        <v>18294.429328725975</v>
      </c>
      <c r="O2675" s="6">
        <f>IF(Tabla2[[#This Row],[Costos (En RD$/Tarea)]]=0,0,Tabla2[[#This Row],[Beneficio Neto  (En RD$/Tarea)]]/Tabla2[[#This Row],[Costos (En RD$/Tarea)]])</f>
        <v>2.5523502028519442</v>
      </c>
      <c r="P2675" s="4">
        <f>Tabla2[[#This Row],[Rentabilidad (%)]]/12</f>
        <v>0.21269585023766202</v>
      </c>
    </row>
    <row r="2676" spans="1:16" x14ac:dyDescent="0.35">
      <c r="A2676" s="1">
        <v>43282</v>
      </c>
      <c r="B2676" t="s">
        <v>30</v>
      </c>
      <c r="C2676" s="2">
        <v>460124</v>
      </c>
      <c r="D2676" s="2" t="s">
        <v>31</v>
      </c>
      <c r="E2676" s="2">
        <f>IF(Tabla2[[#This Row],[Frecuencia]]="Annual", Tabla2[[#This Row],[Cosecha/Tarea]]/12,Tabla2[[#This Row],[Cosecha/Tarea]])</f>
        <v>38343.666666666664</v>
      </c>
      <c r="F2676" s="2">
        <v>2414463</v>
      </c>
      <c r="G2676" t="s">
        <v>18</v>
      </c>
      <c r="H2676">
        <f>F2676/Tabla2[[#This Row],[Cosecha Mensual]]</f>
        <v>62.969017047578483</v>
      </c>
      <c r="I2676">
        <f>H2676*_xlfn.XLOOKUP(Tabla2[[#This Row],[Unidad de producción]],Tabla3[Medida],Tabla3[Equivalencia en Kg],"ELVIS",0)</f>
        <v>2856.2746132781599</v>
      </c>
      <c r="J2676">
        <v>135.6484375</v>
      </c>
      <c r="K2676" t="s">
        <v>32</v>
      </c>
      <c r="L2676">
        <f>J2676/_xlfn.XLOOKUP(Tabla2[[#This Row],[Unidad de precio]],Tabla3[Medida],Tabla3[Equivalencia en Kg],"ELVIS",0)</f>
        <v>4.9852420984932007</v>
      </c>
      <c r="M2676" s="2">
        <v>34069.662396</v>
      </c>
      <c r="N2676" s="2">
        <f>(Tabla2[[#This Row],[Productividad (kg/TAS)]]*Tabla2[[#This Row],[Precio por kg]]-Tabla2[[#This Row],[Costos (En RD$/Tarea)]])</f>
        <v>-19830.441949028333</v>
      </c>
      <c r="O2676" s="6">
        <f>IF(Tabla2[[#This Row],[Costos (En RD$/Tarea)]]=0,0,Tabla2[[#This Row],[Beneficio Neto  (En RD$/Tarea)]]/Tabla2[[#This Row],[Costos (En RD$/Tarea)]])</f>
        <v>-0.58205572214171852</v>
      </c>
      <c r="P2676" s="4">
        <f>Tabla2[[#This Row],[Rentabilidad (%)]]/12</f>
        <v>-4.8504643511809879E-2</v>
      </c>
    </row>
    <row r="2677" spans="1:16" x14ac:dyDescent="0.35">
      <c r="A2677" s="1">
        <v>43282</v>
      </c>
      <c r="B2677" t="s">
        <v>33</v>
      </c>
      <c r="C2677" s="2">
        <v>798546</v>
      </c>
      <c r="D2677" s="2" t="s">
        <v>31</v>
      </c>
      <c r="E2677" s="2">
        <f>IF(Tabla2[[#This Row],[Frecuencia]]="Annual", Tabla2[[#This Row],[Cosecha/Tarea]]/12,Tabla2[[#This Row],[Cosecha/Tarea]])</f>
        <v>66545.5</v>
      </c>
      <c r="F2677" s="2">
        <v>2095065</v>
      </c>
      <c r="G2677" t="s">
        <v>18</v>
      </c>
      <c r="H2677">
        <f>F2677/Tabla2[[#This Row],[Cosecha Mensual]]</f>
        <v>31.483195708199652</v>
      </c>
      <c r="I2677">
        <f>H2677*_xlfn.XLOOKUP(Tabla2[[#This Row],[Unidad de producción]],Tabla3[Medida],Tabla3[Equivalencia en Kg],"ELVIS",0)</f>
        <v>1428.0777573239361</v>
      </c>
      <c r="J2677">
        <v>5319.8567708333303</v>
      </c>
      <c r="K2677" t="s">
        <v>34</v>
      </c>
      <c r="L2677">
        <f>J2677/_xlfn.XLOOKUP(Tabla2[[#This Row],[Unidad de precio]],Tabla3[Medida],Tabla3[Equivalencia en Kg],"ELVIS",0)</f>
        <v>13.034072695904277</v>
      </c>
      <c r="M2677" s="2">
        <v>22932.1463359308</v>
      </c>
      <c r="N2677" s="2">
        <f>(Tabla2[[#This Row],[Productividad (kg/TAS)]]*Tabla2[[#This Row],[Precio por kg]]-Tabla2[[#This Row],[Costos (En RD$/Tarea)]])</f>
        <v>-4318.4770315666719</v>
      </c>
      <c r="O2677" s="6">
        <f>IF(Tabla2[[#This Row],[Costos (En RD$/Tarea)]]=0,0,Tabla2[[#This Row],[Beneficio Neto  (En RD$/Tarea)]]/Tabla2[[#This Row],[Costos (En RD$/Tarea)]])</f>
        <v>-0.18831543146052351</v>
      </c>
      <c r="P2677" s="4">
        <f>Tabla2[[#This Row],[Rentabilidad (%)]]/12</f>
        <v>-1.5692952621710294E-2</v>
      </c>
    </row>
    <row r="2678" spans="1:16" x14ac:dyDescent="0.35">
      <c r="A2678" s="1">
        <v>43313</v>
      </c>
      <c r="B2678" t="s">
        <v>16</v>
      </c>
      <c r="C2678" s="2">
        <v>278629</v>
      </c>
      <c r="D2678" s="5" t="s">
        <v>17</v>
      </c>
      <c r="E2678" s="2">
        <f>IF(Tabla2[[#This Row],[Frecuencia]]="Annual", Tabla2[[#This Row],[Cosecha/Tarea]]/12,Tabla2[[#This Row],[Cosecha/Tarea]])</f>
        <v>278629</v>
      </c>
      <c r="F2678" s="2">
        <v>1106730</v>
      </c>
      <c r="G2678" t="s">
        <v>18</v>
      </c>
      <c r="H2678">
        <f>F2678/Tabla2[[#This Row],[Cosecha Mensual]]</f>
        <v>3.9720560314970803</v>
      </c>
      <c r="I2678">
        <f>H2678*_xlfn.XLOOKUP(Tabla2[[#This Row],[Unidad de producción]],Tabla3[Medida],Tabla3[Equivalencia en Kg],"ELVIS",0)</f>
        <v>180.17246158870756</v>
      </c>
      <c r="J2678">
        <v>2085.01907304731</v>
      </c>
      <c r="K2678" t="s">
        <v>19</v>
      </c>
      <c r="L2678">
        <f>J2678/_xlfn.XLOOKUP(Tabla2[[#This Row],[Unidad de precio]],Tabla3[Medida],Tabla3[Equivalencia en Kg],"ELVIS",0)</f>
        <v>18.954718845884635</v>
      </c>
      <c r="M2678">
        <v>6204.1782065486696</v>
      </c>
      <c r="N2678" s="2">
        <f>(Tabla2[[#This Row],[Productividad (kg/TAS)]]*Tabla2[[#This Row],[Precio por kg]]-Tabla2[[#This Row],[Costos (En RD$/Tarea)]])</f>
        <v>-2789.059853363769</v>
      </c>
      <c r="O2678" s="6">
        <f>IF(Tabla2[[#This Row],[Costos (En RD$/Tarea)]]=0,0,Tabla2[[#This Row],[Beneficio Neto  (En RD$/Tarea)]]/Tabla2[[#This Row],[Costos (En RD$/Tarea)]])</f>
        <v>-0.44954541286706506</v>
      </c>
      <c r="P2678" s="4">
        <f>Tabla2[[#This Row],[Rentabilidad (%)]]/12</f>
        <v>-3.7462117738922086E-2</v>
      </c>
    </row>
    <row r="2679" spans="1:16" x14ac:dyDescent="0.35">
      <c r="A2679" s="1">
        <v>43313</v>
      </c>
      <c r="B2679" t="s">
        <v>20</v>
      </c>
      <c r="C2679" s="2">
        <v>39210</v>
      </c>
      <c r="D2679" s="5" t="s">
        <v>17</v>
      </c>
      <c r="E2679" s="2">
        <f>IF(Tabla2[[#This Row],[Frecuencia]]="Annual", Tabla2[[#This Row],[Cosecha/Tarea]]/12,Tabla2[[#This Row],[Cosecha/Tarea]])</f>
        <v>39210</v>
      </c>
      <c r="F2679" s="2">
        <v>82198</v>
      </c>
      <c r="G2679" t="s">
        <v>18</v>
      </c>
      <c r="H2679">
        <f>F2679/Tabla2[[#This Row],[Cosecha Mensual]]</f>
        <v>2.0963529711808211</v>
      </c>
      <c r="I2679">
        <f>H2679*_xlfn.XLOOKUP(Tabla2[[#This Row],[Unidad de producción]],Tabla3[Medida],Tabla3[Equivalencia en Kg],"ELVIS",0)</f>
        <v>95.09057077276205</v>
      </c>
      <c r="J2679">
        <v>923.43489583333303</v>
      </c>
      <c r="K2679" t="s">
        <v>18</v>
      </c>
      <c r="L2679">
        <f>J2679/_xlfn.XLOOKUP(Tabla2[[#This Row],[Unidad de precio]],Tabla3[Medida],Tabla3[Equivalencia en Kg],"ELVIS",0)</f>
        <v>20.357912165637853</v>
      </c>
      <c r="M2679">
        <v>2494.8799608792001</v>
      </c>
      <c r="N2679" s="2">
        <f>(Tabla2[[#This Row],[Productividad (kg/TAS)]]*Tabla2[[#This Row],[Precio por kg]]-Tabla2[[#This Row],[Costos (En RD$/Tarea)]])</f>
        <v>-559.0344733069403</v>
      </c>
      <c r="O2679" s="6">
        <f>IF(Tabla2[[#This Row],[Costos (En RD$/Tarea)]]=0,0,Tabla2[[#This Row],[Beneficio Neto  (En RD$/Tarea)]]/Tabla2[[#This Row],[Costos (En RD$/Tarea)]])</f>
        <v>-0.2240726937058469</v>
      </c>
      <c r="P2679" s="4">
        <f>Tabla2[[#This Row],[Rentabilidad (%)]]/12</f>
        <v>-1.8672724475487242E-2</v>
      </c>
    </row>
    <row r="2680" spans="1:16" x14ac:dyDescent="0.35">
      <c r="A2680" s="1">
        <v>43313</v>
      </c>
      <c r="B2680" t="s">
        <v>21</v>
      </c>
      <c r="C2680" s="2">
        <v>7281</v>
      </c>
      <c r="D2680" s="5" t="s">
        <v>17</v>
      </c>
      <c r="E2680" s="2">
        <f>IF(Tabla2[[#This Row],[Frecuencia]]="Annual", Tabla2[[#This Row],[Cosecha/Tarea]]/12,Tabla2[[#This Row],[Cosecha/Tarea]])</f>
        <v>7281</v>
      </c>
      <c r="F2680" s="2">
        <v>87382</v>
      </c>
      <c r="G2680" t="s">
        <v>18</v>
      </c>
      <c r="H2680">
        <f>F2680/Tabla2[[#This Row],[Cosecha Mensual]]</f>
        <v>12.0013734377146</v>
      </c>
      <c r="I2680">
        <f>H2680*_xlfn.XLOOKUP(Tabla2[[#This Row],[Unidad de producción]],Tabla3[Medida],Tabla3[Equivalencia en Kg],"ELVIS",0)</f>
        <v>544.38229913473424</v>
      </c>
      <c r="J2680">
        <v>595.732672619048</v>
      </c>
      <c r="K2680" t="s">
        <v>18</v>
      </c>
      <c r="L2680">
        <f>J2680/_xlfn.XLOOKUP(Tabla2[[#This Row],[Unidad de precio]],Tabla3[Medida],Tabla3[Equivalencia en Kg],"ELVIS",0)</f>
        <v>13.133436345217108</v>
      </c>
      <c r="M2680">
        <v>5415.9215773320002</v>
      </c>
      <c r="N2680" s="2">
        <f>(Tabla2[[#This Row],[Productividad (kg/TAS)]]*Tabla2[[#This Row],[Precio por kg]]-Tabla2[[#This Row],[Costos (En RD$/Tarea)]])</f>
        <v>1733.6886958169698</v>
      </c>
      <c r="O2680" s="6">
        <f>IF(Tabla2[[#This Row],[Costos (En RD$/Tarea)]]=0,0,Tabla2[[#This Row],[Beneficio Neto  (En RD$/Tarea)]]/Tabla2[[#This Row],[Costos (En RD$/Tarea)]])</f>
        <v>0.32010963804816062</v>
      </c>
      <c r="P2680" s="4">
        <f>Tabla2[[#This Row],[Rentabilidad (%)]]/12</f>
        <v>2.6675803170680051E-2</v>
      </c>
    </row>
    <row r="2681" spans="1:16" x14ac:dyDescent="0.35">
      <c r="A2681" s="1">
        <v>43313</v>
      </c>
      <c r="B2681" t="s">
        <v>22</v>
      </c>
      <c r="C2681" s="2">
        <v>3852</v>
      </c>
      <c r="D2681" s="5" t="s">
        <v>17</v>
      </c>
      <c r="E2681" s="2">
        <f>IF(Tabla2[[#This Row],[Frecuencia]]="Annual", Tabla2[[#This Row],[Cosecha/Tarea]]/12,Tabla2[[#This Row],[Cosecha/Tarea]])</f>
        <v>3852</v>
      </c>
      <c r="F2681" s="2">
        <v>30998</v>
      </c>
      <c r="G2681" t="s">
        <v>18</v>
      </c>
      <c r="H2681">
        <f>F2681/Tabla2[[#This Row],[Cosecha Mensual]]</f>
        <v>8.0472481827622016</v>
      </c>
      <c r="I2681">
        <f>H2681*_xlfn.XLOOKUP(Tabla2[[#This Row],[Unidad de producción]],Tabla3[Medida],Tabla3[Equivalencia en Kg],"ELVIS",0)</f>
        <v>365.02317757009348</v>
      </c>
      <c r="J2681">
        <v>1940.5636611305399</v>
      </c>
      <c r="K2681" t="s">
        <v>18</v>
      </c>
      <c r="L2681">
        <f>J2681/_xlfn.XLOOKUP(Tabla2[[#This Row],[Unidad de precio]],Tabla3[Medida],Tabla3[Equivalencia en Kg],"ELVIS",0)</f>
        <v>42.781385827392853</v>
      </c>
      <c r="M2681">
        <v>10167.2711784</v>
      </c>
      <c r="N2681" s="2">
        <f>(Tabla2[[#This Row],[Productividad (kg/TAS)]]*Tabla2[[#This Row],[Precio por kg]]-Tabla2[[#This Row],[Costos (En RD$/Tarea)]])</f>
        <v>5448.9262171671016</v>
      </c>
      <c r="O2681" s="6">
        <f>IF(Tabla2[[#This Row],[Costos (En RD$/Tarea)]]=0,0,Tabla2[[#This Row],[Beneficio Neto  (En RD$/Tarea)]]/Tabla2[[#This Row],[Costos (En RD$/Tarea)]])</f>
        <v>0.53592808941136028</v>
      </c>
      <c r="P2681" s="4">
        <f>Tabla2[[#This Row],[Rentabilidad (%)]]/12</f>
        <v>4.4660674117613354E-2</v>
      </c>
    </row>
    <row r="2682" spans="1:16" x14ac:dyDescent="0.35">
      <c r="A2682" s="1">
        <v>43313</v>
      </c>
      <c r="B2682" t="s">
        <v>23</v>
      </c>
      <c r="C2682" s="2">
        <v>3385</v>
      </c>
      <c r="D2682" s="5" t="s">
        <v>17</v>
      </c>
      <c r="E2682" s="2">
        <f>IF(Tabla2[[#This Row],[Frecuencia]]="Annual", Tabla2[[#This Row],[Cosecha/Tarea]]/12,Tabla2[[#This Row],[Cosecha/Tarea]])</f>
        <v>3385</v>
      </c>
      <c r="F2682" s="2">
        <v>127985</v>
      </c>
      <c r="G2682" t="s">
        <v>18</v>
      </c>
      <c r="H2682">
        <f>F2682/Tabla2[[#This Row],[Cosecha Mensual]]</f>
        <v>37.809453471196456</v>
      </c>
      <c r="I2682">
        <f>H2682*_xlfn.XLOOKUP(Tabla2[[#This Row],[Unidad de producción]],Tabla3[Medida],Tabla3[Equivalencia en Kg],"ELVIS",0)</f>
        <v>1715.0368094534713</v>
      </c>
      <c r="J2682">
        <v>893.28706941206599</v>
      </c>
      <c r="K2682" t="s">
        <v>18</v>
      </c>
      <c r="L2682">
        <f>J2682/_xlfn.XLOOKUP(Tabla2[[#This Row],[Unidad de precio]],Tabla3[Medida],Tabla3[Equivalencia en Kg],"ELVIS",0)</f>
        <v>19.693277544357716</v>
      </c>
      <c r="M2682">
        <v>23803.192305637302</v>
      </c>
      <c r="N2682" s="2">
        <f>(Tabla2[[#This Row],[Productividad (kg/TAS)]]*Tabla2[[#This Row],[Precio por kg]]-Tabla2[[#This Row],[Costos (En RD$/Tarea)]])</f>
        <v>9971.5035817196513</v>
      </c>
      <c r="O2682" s="6">
        <f>IF(Tabla2[[#This Row],[Costos (En RD$/Tarea)]]=0,0,Tabla2[[#This Row],[Beneficio Neto  (En RD$/Tarea)]]/Tabla2[[#This Row],[Costos (En RD$/Tarea)]])</f>
        <v>0.41891454951435669</v>
      </c>
      <c r="P2682" s="4">
        <f>Tabla2[[#This Row],[Rentabilidad (%)]]/12</f>
        <v>3.490954579286306E-2</v>
      </c>
    </row>
    <row r="2683" spans="1:16" x14ac:dyDescent="0.35">
      <c r="A2683" s="1">
        <v>43313</v>
      </c>
      <c r="B2683" t="s">
        <v>24</v>
      </c>
      <c r="C2683" s="2">
        <v>4692</v>
      </c>
      <c r="D2683" s="5" t="s">
        <v>17</v>
      </c>
      <c r="E2683" s="2">
        <f>IF(Tabla2[[#This Row],[Frecuencia]]="Annual", Tabla2[[#This Row],[Cosecha/Tarea]]/12,Tabla2[[#This Row],[Cosecha/Tarea]])</f>
        <v>4692</v>
      </c>
      <c r="F2683" s="2">
        <v>48999</v>
      </c>
      <c r="G2683" t="s">
        <v>18</v>
      </c>
      <c r="H2683">
        <f>F2683/Tabla2[[#This Row],[Cosecha Mensual]]</f>
        <v>10.443094629156009</v>
      </c>
      <c r="I2683">
        <f>H2683*_xlfn.XLOOKUP(Tabla2[[#This Row],[Unidad de producción]],Tabla3[Medida],Tabla3[Equivalencia en Kg],"ELVIS",0)</f>
        <v>473.69877237851659</v>
      </c>
      <c r="J2683">
        <v>2281.0520833333298</v>
      </c>
      <c r="K2683" t="s">
        <v>18</v>
      </c>
      <c r="L2683">
        <f>J2683/_xlfn.XLOOKUP(Tabla2[[#This Row],[Unidad de precio]],Tabla3[Medida],Tabla3[Equivalencia en Kg],"ELVIS",0)</f>
        <v>50.287744341563709</v>
      </c>
      <c r="M2683">
        <v>9413.7321988511994</v>
      </c>
      <c r="N2683" s="2">
        <f>(Tabla2[[#This Row],[Productividad (kg/TAS)]]*Tabla2[[#This Row],[Precio por kg]]-Tabla2[[#This Row],[Costos (En RD$/Tarea)]])</f>
        <v>14407.510561432222</v>
      </c>
      <c r="O2683" s="6">
        <f>IF(Tabla2[[#This Row],[Costos (En RD$/Tarea)]]=0,0,Tabla2[[#This Row],[Beneficio Neto  (En RD$/Tarea)]]/Tabla2[[#This Row],[Costos (En RD$/Tarea)]])</f>
        <v>1.5304780566405358</v>
      </c>
      <c r="P2683" s="4">
        <f>Tabla2[[#This Row],[Rentabilidad (%)]]/12</f>
        <v>0.12753983805337799</v>
      </c>
    </row>
    <row r="2684" spans="1:16" x14ac:dyDescent="0.35">
      <c r="A2684" s="1">
        <v>43313</v>
      </c>
      <c r="B2684" t="s">
        <v>25</v>
      </c>
      <c r="C2684" s="2">
        <v>26754</v>
      </c>
      <c r="D2684" s="5" t="s">
        <v>17</v>
      </c>
      <c r="E2684" s="2">
        <f>IF(Tabla2[[#This Row],[Frecuencia]]="Annual", Tabla2[[#This Row],[Cosecha/Tarea]]/12,Tabla2[[#This Row],[Cosecha/Tarea]])</f>
        <v>26754</v>
      </c>
      <c r="F2684" s="2">
        <v>284125</v>
      </c>
      <c r="G2684" t="s">
        <v>18</v>
      </c>
      <c r="H2684">
        <f>F2684/Tabla2[[#This Row],[Cosecha Mensual]]</f>
        <v>10.619907303580773</v>
      </c>
      <c r="I2684">
        <f>H2684*_xlfn.XLOOKUP(Tabla2[[#This Row],[Unidad de producción]],Tabla3[Medida],Tabla3[Equivalencia en Kg],"ELVIS",0)</f>
        <v>481.71899529042383</v>
      </c>
      <c r="J2684">
        <v>1296.9765625</v>
      </c>
      <c r="K2684" t="s">
        <v>18</v>
      </c>
      <c r="L2684">
        <f>J2684/_xlfn.XLOOKUP(Tabla2[[#This Row],[Unidad de precio]],Tabla3[Medida],Tabla3[Equivalencia en Kg],"ELVIS",0)</f>
        <v>28.59295772707231</v>
      </c>
      <c r="M2684">
        <v>4549.7689931721798</v>
      </c>
      <c r="N2684" s="2">
        <f>(Tabla2[[#This Row],[Productividad (kg/TAS)]]*Tabla2[[#This Row],[Precio por kg]]-Tabla2[[#This Row],[Costos (En RD$/Tarea)]])</f>
        <v>9224.0018754946541</v>
      </c>
      <c r="O2684" s="6">
        <f>IF(Tabla2[[#This Row],[Costos (En RD$/Tarea)]]=0,0,Tabla2[[#This Row],[Beneficio Neto  (En RD$/Tarea)]]/Tabla2[[#This Row],[Costos (En RD$/Tarea)]])</f>
        <v>2.0273560898008398</v>
      </c>
      <c r="P2684" s="4">
        <f>Tabla2[[#This Row],[Rentabilidad (%)]]/12</f>
        <v>0.16894634081673665</v>
      </c>
    </row>
    <row r="2685" spans="1:16" x14ac:dyDescent="0.35">
      <c r="A2685" s="1">
        <v>43313</v>
      </c>
      <c r="B2685" t="s">
        <v>26</v>
      </c>
      <c r="C2685" s="2">
        <v>9142</v>
      </c>
      <c r="D2685" s="5" t="s">
        <v>17</v>
      </c>
      <c r="E2685" s="2">
        <f>IF(Tabla2[[#This Row],[Frecuencia]]="Annual", Tabla2[[#This Row],[Cosecha/Tarea]]/12,Tabla2[[#This Row],[Cosecha/Tarea]])</f>
        <v>9142</v>
      </c>
      <c r="F2685" s="2">
        <v>81021</v>
      </c>
      <c r="G2685" t="s">
        <v>18</v>
      </c>
      <c r="H2685">
        <f>F2685/Tabla2[[#This Row],[Cosecha Mensual]]</f>
        <v>8.8625027346313718</v>
      </c>
      <c r="I2685">
        <f>H2685*_xlfn.XLOOKUP(Tabla2[[#This Row],[Unidad de producción]],Tabla3[Medida],Tabla3[Equivalencia en Kg],"ELVIS",0)</f>
        <v>402.00312404287899</v>
      </c>
      <c r="J2685">
        <v>815.33293809523798</v>
      </c>
      <c r="K2685" t="s">
        <v>18</v>
      </c>
      <c r="L2685">
        <f>J2685/_xlfn.XLOOKUP(Tabla2[[#This Row],[Unidad de precio]],Tabla3[Medida],Tabla3[Equivalencia en Kg],"ELVIS",0)</f>
        <v>17.974712039136641</v>
      </c>
      <c r="M2685">
        <v>1733.52094425</v>
      </c>
      <c r="N2685" s="2">
        <f>(Tabla2[[#This Row],[Productividad (kg/TAS)]]*Tabla2[[#This Row],[Precio por kg]]-Tabla2[[#This Row],[Costos (En RD$/Tarea)]])</f>
        <v>5492.3694492540772</v>
      </c>
      <c r="O2685" s="6">
        <f>IF(Tabla2[[#This Row],[Costos (En RD$/Tarea)]]=0,0,Tabla2[[#This Row],[Beneficio Neto  (En RD$/Tarea)]]/Tabla2[[#This Row],[Costos (En RD$/Tarea)]])</f>
        <v>3.1683317513249465</v>
      </c>
      <c r="P2685" s="4">
        <f>Tabla2[[#This Row],[Rentabilidad (%)]]/12</f>
        <v>0.26402764594374556</v>
      </c>
    </row>
    <row r="2686" spans="1:16" x14ac:dyDescent="0.35">
      <c r="A2686" s="1">
        <v>43313</v>
      </c>
      <c r="B2686" t="s">
        <v>27</v>
      </c>
      <c r="C2686" s="2">
        <v>4752</v>
      </c>
      <c r="D2686" s="5" t="s">
        <v>17</v>
      </c>
      <c r="E2686" s="2">
        <f>IF(Tabla2[[#This Row],[Frecuencia]]="Annual", Tabla2[[#This Row],[Cosecha/Tarea]]/12,Tabla2[[#This Row],[Cosecha/Tarea]])</f>
        <v>4752</v>
      </c>
      <c r="F2686" s="2">
        <v>47685</v>
      </c>
      <c r="G2686" t="s">
        <v>18</v>
      </c>
      <c r="H2686">
        <f>F2686/Tabla2[[#This Row],[Cosecha Mensual]]</f>
        <v>10.034722222222221</v>
      </c>
      <c r="I2686">
        <f>H2686*_xlfn.XLOOKUP(Tabla2[[#This Row],[Unidad de producción]],Tabla3[Medida],Tabla3[Equivalencia en Kg],"ELVIS",0)</f>
        <v>455.17499999999995</v>
      </c>
      <c r="J2686">
        <v>716.23958333333303</v>
      </c>
      <c r="K2686" t="s">
        <v>18</v>
      </c>
      <c r="L2686">
        <f>J2686/_xlfn.XLOOKUP(Tabla2[[#This Row],[Unidad de precio]],Tabla3[Medida],Tabla3[Equivalencia en Kg],"ELVIS",0)</f>
        <v>15.790114271017043</v>
      </c>
      <c r="M2686">
        <v>9289.5754777799993</v>
      </c>
      <c r="N2686" s="2">
        <f>(Tabla2[[#This Row],[Productividad (kg/TAS)]]*Tabla2[[#This Row],[Precio por kg]]-Tabla2[[#This Row],[Costos (En RD$/Tarea)]])</f>
        <v>-2102.3102144698178</v>
      </c>
      <c r="O2686" s="6">
        <f>IF(Tabla2[[#This Row],[Costos (En RD$/Tarea)]]=0,0,Tabla2[[#This Row],[Beneficio Neto  (En RD$/Tarea)]]/Tabla2[[#This Row],[Costos (En RD$/Tarea)]])</f>
        <v>-0.22630853471166618</v>
      </c>
      <c r="P2686" s="4">
        <f>Tabla2[[#This Row],[Rentabilidad (%)]]/12</f>
        <v>-1.8859044559305514E-2</v>
      </c>
    </row>
    <row r="2687" spans="1:16" x14ac:dyDescent="0.35">
      <c r="A2687" s="1">
        <v>43313</v>
      </c>
      <c r="B2687" t="s">
        <v>28</v>
      </c>
      <c r="C2687" s="2">
        <v>52124</v>
      </c>
      <c r="D2687" s="5" t="s">
        <v>17</v>
      </c>
      <c r="E2687" s="2">
        <f>IF(Tabla2[[#This Row],[Frecuencia]]="Annual", Tabla2[[#This Row],[Cosecha/Tarea]]/12,Tabla2[[#This Row],[Cosecha/Tarea]])</f>
        <v>52124</v>
      </c>
      <c r="F2687" s="2">
        <v>1356216</v>
      </c>
      <c r="G2687" t="s">
        <v>18</v>
      </c>
      <c r="H2687">
        <f>F2687/Tabla2[[#This Row],[Cosecha Mensual]]</f>
        <v>26.019031540173433</v>
      </c>
      <c r="I2687">
        <f>H2687*_xlfn.XLOOKUP(Tabla2[[#This Row],[Unidad de producción]],Tabla3[Medida],Tabla3[Equivalencia en Kg],"ELVIS",0)</f>
        <v>1180.2232706622669</v>
      </c>
      <c r="J2687">
        <v>6647.8958333333303</v>
      </c>
      <c r="K2687" t="s">
        <v>29</v>
      </c>
      <c r="L2687">
        <f>J2687/_xlfn.XLOOKUP(Tabla2[[#This Row],[Unidad de precio]],Tabla3[Medida],Tabla3[Equivalencia en Kg],"ELVIS",0)</f>
        <v>11.821844139370008</v>
      </c>
      <c r="M2687">
        <v>7167.6799321206599</v>
      </c>
      <c r="N2687" s="2">
        <f>(Tabla2[[#This Row],[Productividad (kg/TAS)]]*Tabla2[[#This Row],[Precio por kg]]-Tabla2[[#This Row],[Costos (En RD$/Tarea)]])</f>
        <v>6784.7356233061619</v>
      </c>
      <c r="O2687" s="6">
        <f>IF(Tabla2[[#This Row],[Costos (En RD$/Tarea)]]=0,0,Tabla2[[#This Row],[Beneficio Neto  (En RD$/Tarea)]]/Tabla2[[#This Row],[Costos (En RD$/Tarea)]])</f>
        <v>0.94657346415561849</v>
      </c>
      <c r="P2687" s="4">
        <f>Tabla2[[#This Row],[Rentabilidad (%)]]/12</f>
        <v>7.8881122012968208E-2</v>
      </c>
    </row>
    <row r="2688" spans="1:16" x14ac:dyDescent="0.35">
      <c r="A2688" s="1">
        <v>43313</v>
      </c>
      <c r="B2688" t="s">
        <v>30</v>
      </c>
      <c r="C2688" s="2">
        <v>452154</v>
      </c>
      <c r="D2688" s="2" t="s">
        <v>31</v>
      </c>
      <c r="E2688" s="2">
        <f>IF(Tabla2[[#This Row],[Frecuencia]]="Annual", Tabla2[[#This Row],[Cosecha/Tarea]]/12,Tabla2[[#This Row],[Cosecha/Tarea]])</f>
        <v>37679.5</v>
      </c>
      <c r="F2688" s="2">
        <v>2393852.4</v>
      </c>
      <c r="G2688" t="s">
        <v>18</v>
      </c>
      <c r="H2688">
        <f>F2688/Tabla2[[#This Row],[Cosecha Mensual]]</f>
        <v>63.531957695829291</v>
      </c>
      <c r="I2688">
        <f>H2688*_xlfn.XLOOKUP(Tabla2[[#This Row],[Unidad de producción]],Tabla3[Medida],Tabla3[Equivalencia en Kg],"ELVIS",0)</f>
        <v>2881.8096010828167</v>
      </c>
      <c r="J2688">
        <v>129.510416666667</v>
      </c>
      <c r="K2688" t="s">
        <v>32</v>
      </c>
      <c r="L2688">
        <f>J2688/_xlfn.XLOOKUP(Tabla2[[#This Row],[Unidad de precio]],Tabla3[Medida],Tabla3[Equivalencia en Kg],"ELVIS",0)</f>
        <v>4.7596625015313121</v>
      </c>
      <c r="M2688" s="2">
        <v>34069.662396</v>
      </c>
      <c r="N2688" s="2">
        <f>(Tabla2[[#This Row],[Productividad (kg/TAS)]]*Tabla2[[#This Row],[Precio por kg]]-Tabla2[[#This Row],[Costos (En RD$/Tarea)]])</f>
        <v>-20353.221301173209</v>
      </c>
      <c r="O2688" s="6">
        <f>IF(Tabla2[[#This Row],[Costos (En RD$/Tarea)]]=0,0,Tabla2[[#This Row],[Beneficio Neto  (En RD$/Tarea)]]/Tabla2[[#This Row],[Costos (En RD$/Tarea)]])</f>
        <v>-0.59740014634142102</v>
      </c>
      <c r="P2688" s="4">
        <f>Tabla2[[#This Row],[Rentabilidad (%)]]/12</f>
        <v>-4.9783345528451754E-2</v>
      </c>
    </row>
    <row r="2689" spans="1:16" x14ac:dyDescent="0.35">
      <c r="A2689" s="1">
        <v>43313</v>
      </c>
      <c r="B2689" t="s">
        <v>33</v>
      </c>
      <c r="C2689" s="2">
        <v>792458</v>
      </c>
      <c r="D2689" s="2" t="s">
        <v>31</v>
      </c>
      <c r="E2689" s="2">
        <f>IF(Tabla2[[#This Row],[Frecuencia]]="Annual", Tabla2[[#This Row],[Cosecha/Tarea]]/12,Tabla2[[#This Row],[Cosecha/Tarea]])</f>
        <v>66038.166666666672</v>
      </c>
      <c r="F2689" s="2">
        <v>2391201</v>
      </c>
      <c r="G2689" t="s">
        <v>18</v>
      </c>
      <c r="H2689">
        <f>F2689/Tabla2[[#This Row],[Cosecha Mensual]]</f>
        <v>36.209378919766095</v>
      </c>
      <c r="I2689">
        <f>H2689*_xlfn.XLOOKUP(Tabla2[[#This Row],[Unidad de producción]],Tabla3[Medida],Tabla3[Equivalencia en Kg],"ELVIS",0)</f>
        <v>1642.45742780059</v>
      </c>
      <c r="J2689">
        <v>5290.2916666666697</v>
      </c>
      <c r="K2689" t="s">
        <v>34</v>
      </c>
      <c r="L2689">
        <f>J2689/_xlfn.XLOOKUP(Tabla2[[#This Row],[Unidad de precio]],Tabla3[Medida],Tabla3[Equivalencia en Kg],"ELVIS",0)</f>
        <v>12.961635836498028</v>
      </c>
      <c r="M2689" s="2">
        <v>22932.1463359308</v>
      </c>
      <c r="N2689" s="2">
        <f>(Tabla2[[#This Row],[Productividad (kg/TAS)]]*Tabla2[[#This Row],[Precio por kg]]-Tabla2[[#This Row],[Costos (En RD$/Tarea)]])</f>
        <v>-1643.2112798283015</v>
      </c>
      <c r="O2689" s="6">
        <f>IF(Tabla2[[#This Row],[Costos (En RD$/Tarea)]]=0,0,Tabla2[[#This Row],[Beneficio Neto  (En RD$/Tarea)]]/Tabla2[[#This Row],[Costos (En RD$/Tarea)]])</f>
        <v>-7.1655363425518828E-2</v>
      </c>
      <c r="P2689" s="4">
        <f>Tabla2[[#This Row],[Rentabilidad (%)]]/12</f>
        <v>-5.9712802854599021E-3</v>
      </c>
    </row>
    <row r="2690" spans="1:16" x14ac:dyDescent="0.35">
      <c r="A2690" s="1">
        <v>43344</v>
      </c>
      <c r="B2690" t="s">
        <v>16</v>
      </c>
      <c r="C2690" s="2">
        <v>333920</v>
      </c>
      <c r="D2690" s="5" t="s">
        <v>17</v>
      </c>
      <c r="E2690" s="2">
        <f>IF(Tabla2[[#This Row],[Frecuencia]]="Annual", Tabla2[[#This Row],[Cosecha/Tarea]]/12,Tabla2[[#This Row],[Cosecha/Tarea]])</f>
        <v>333920</v>
      </c>
      <c r="F2690" s="2">
        <v>1645975</v>
      </c>
      <c r="G2690" t="s">
        <v>18</v>
      </c>
      <c r="H2690">
        <f>F2690/Tabla2[[#This Row],[Cosecha Mensual]]</f>
        <v>4.9292495208433156</v>
      </c>
      <c r="I2690">
        <f>H2690*_xlfn.XLOOKUP(Tabla2[[#This Row],[Unidad de producción]],Tabla3[Medida],Tabla3[Equivalencia en Kg],"ELVIS",0)</f>
        <v>223.59075826545279</v>
      </c>
      <c r="J2690">
        <v>2148.6032384488499</v>
      </c>
      <c r="K2690" t="s">
        <v>19</v>
      </c>
      <c r="L2690">
        <f>J2690/_xlfn.XLOOKUP(Tabla2[[#This Row],[Unidad de precio]],Tabla3[Medida],Tabla3[Equivalencia en Kg],"ELVIS",0)</f>
        <v>19.532756713171363</v>
      </c>
      <c r="M2690">
        <v>6204.1782065486696</v>
      </c>
      <c r="N2690" s="2">
        <f>(Tabla2[[#This Row],[Productividad (kg/TAS)]]*Tabla2[[#This Row],[Precio por kg]]-Tabla2[[#This Row],[Costos (En RD$/Tarea)]])</f>
        <v>-1836.8343220360712</v>
      </c>
      <c r="O2690" s="6">
        <f>IF(Tabla2[[#This Row],[Costos (En RD$/Tarea)]]=0,0,Tabla2[[#This Row],[Beneficio Neto  (En RD$/Tarea)]]/Tabla2[[#This Row],[Costos (En RD$/Tarea)]])</f>
        <v>-0.29606408147613256</v>
      </c>
      <c r="P2690" s="4">
        <f>Tabla2[[#This Row],[Rentabilidad (%)]]/12</f>
        <v>-2.4672006789677712E-2</v>
      </c>
    </row>
    <row r="2691" spans="1:16" x14ac:dyDescent="0.35">
      <c r="A2691" s="1">
        <v>43344</v>
      </c>
      <c r="B2691" t="s">
        <v>20</v>
      </c>
      <c r="C2691" s="2">
        <v>48999</v>
      </c>
      <c r="D2691" s="5" t="s">
        <v>17</v>
      </c>
      <c r="E2691" s="2">
        <f>IF(Tabla2[[#This Row],[Frecuencia]]="Annual", Tabla2[[#This Row],[Cosecha/Tarea]]/12,Tabla2[[#This Row],[Cosecha/Tarea]])</f>
        <v>48999</v>
      </c>
      <c r="F2691" s="2">
        <v>122498</v>
      </c>
      <c r="G2691" t="s">
        <v>18</v>
      </c>
      <c r="H2691">
        <f>F2691/Tabla2[[#This Row],[Cosecha Mensual]]</f>
        <v>2.5000102042898833</v>
      </c>
      <c r="I2691">
        <f>H2691*_xlfn.XLOOKUP(Tabla2[[#This Row],[Unidad de producción]],Tabla3[Medida],Tabla3[Equivalencia en Kg],"ELVIS",0)</f>
        <v>113.40046286658911</v>
      </c>
      <c r="J2691">
        <v>954.23958333333303</v>
      </c>
      <c r="K2691" t="s">
        <v>18</v>
      </c>
      <c r="L2691">
        <f>J2691/_xlfn.XLOOKUP(Tabla2[[#This Row],[Unidad de precio]],Tabla3[Medida],Tabla3[Equivalencia en Kg],"ELVIS",0)</f>
        <v>21.037027851263957</v>
      </c>
      <c r="M2691">
        <v>2494.8799608792001</v>
      </c>
      <c r="N2691" s="2">
        <f>(Tabla2[[#This Row],[Productividad (kg/TAS)]]*Tabla2[[#This Row],[Precio por kg]]-Tabla2[[#This Row],[Costos (En RD$/Tarea)]])</f>
        <v>-109.27126520854063</v>
      </c>
      <c r="O2691" s="6">
        <f>IF(Tabla2[[#This Row],[Costos (En RD$/Tarea)]]=0,0,Tabla2[[#This Row],[Beneficio Neto  (En RD$/Tarea)]]/Tabla2[[#This Row],[Costos (En RD$/Tarea)]])</f>
        <v>-4.3798205493635549E-2</v>
      </c>
      <c r="P2691" s="4">
        <f>Tabla2[[#This Row],[Rentabilidad (%)]]/12</f>
        <v>-3.6498504578029623E-3</v>
      </c>
    </row>
    <row r="2692" spans="1:16" x14ac:dyDescent="0.35">
      <c r="A2692" s="1">
        <v>43344</v>
      </c>
      <c r="B2692" t="s">
        <v>21</v>
      </c>
      <c r="C2692" s="2">
        <v>7102</v>
      </c>
      <c r="D2692" s="5" t="s">
        <v>17</v>
      </c>
      <c r="E2692" s="2">
        <f>IF(Tabla2[[#This Row],[Frecuencia]]="Annual", Tabla2[[#This Row],[Cosecha/Tarea]]/12,Tabla2[[#This Row],[Cosecha/Tarea]])</f>
        <v>7102</v>
      </c>
      <c r="F2692" s="2">
        <v>75215</v>
      </c>
      <c r="G2692" t="s">
        <v>18</v>
      </c>
      <c r="H2692">
        <f>F2692/Tabla2[[#This Row],[Cosecha Mensual]]</f>
        <v>10.590678682061391</v>
      </c>
      <c r="I2692">
        <f>H2692*_xlfn.XLOOKUP(Tabla2[[#This Row],[Unidad de producción]],Tabla3[Medida],Tabla3[Equivalencia en Kg],"ELVIS",0)</f>
        <v>480.39318501830468</v>
      </c>
      <c r="J2692">
        <v>741.97023809523796</v>
      </c>
      <c r="K2692" t="s">
        <v>18</v>
      </c>
      <c r="L2692">
        <f>J2692/_xlfn.XLOOKUP(Tabla2[[#This Row],[Unidad de precio]],Tabla3[Medida],Tabla3[Equivalencia en Kg],"ELVIS",0)</f>
        <v>16.35736856470983</v>
      </c>
      <c r="M2692">
        <v>5415.9215773320002</v>
      </c>
      <c r="N2692" s="2">
        <f>(Tabla2[[#This Row],[Productividad (kg/TAS)]]*Tabla2[[#This Row],[Precio por kg]]-Tabla2[[#This Row],[Costos (En RD$/Tarea)]])</f>
        <v>2442.0468059872501</v>
      </c>
      <c r="O2692" s="6">
        <f>IF(Tabla2[[#This Row],[Costos (En RD$/Tarea)]]=0,0,Tabla2[[#This Row],[Beneficio Neto  (En RD$/Tarea)]]/Tabla2[[#This Row],[Costos (En RD$/Tarea)]])</f>
        <v>0.45090143406217026</v>
      </c>
      <c r="P2692" s="4">
        <f>Tabla2[[#This Row],[Rentabilidad (%)]]/12</f>
        <v>3.7575119505180853E-2</v>
      </c>
    </row>
    <row r="2693" spans="1:16" x14ac:dyDescent="0.35">
      <c r="A2693" s="1">
        <v>43344</v>
      </c>
      <c r="B2693" t="s">
        <v>22</v>
      </c>
      <c r="C2693" s="2">
        <v>4658</v>
      </c>
      <c r="D2693" s="5" t="s">
        <v>17</v>
      </c>
      <c r="E2693" s="2">
        <f>IF(Tabla2[[#This Row],[Frecuencia]]="Annual", Tabla2[[#This Row],[Cosecha/Tarea]]/12,Tabla2[[#This Row],[Cosecha/Tarea]])</f>
        <v>4658</v>
      </c>
      <c r="F2693" s="2">
        <v>40989</v>
      </c>
      <c r="G2693" t="s">
        <v>18</v>
      </c>
      <c r="H2693">
        <f>F2693/Tabla2[[#This Row],[Cosecha Mensual]]</f>
        <v>8.7996994418205237</v>
      </c>
      <c r="I2693">
        <f>H2693*_xlfn.XLOOKUP(Tabla2[[#This Row],[Unidad de producción]],Tabla3[Medida],Tabla3[Equivalencia en Kg],"ELVIS",0)</f>
        <v>399.15436668097897</v>
      </c>
      <c r="J2693">
        <v>1966.60413184038</v>
      </c>
      <c r="K2693" t="s">
        <v>18</v>
      </c>
      <c r="L2693">
        <f>J2693/_xlfn.XLOOKUP(Tabla2[[#This Row],[Unidad de precio]],Tabla3[Medida],Tabla3[Equivalencia en Kg],"ELVIS",0)</f>
        <v>43.355470278667987</v>
      </c>
      <c r="M2693">
        <v>10167.2711784</v>
      </c>
      <c r="N2693" s="2">
        <f>(Tabla2[[#This Row],[Productividad (kg/TAS)]]*Tabla2[[#This Row],[Precio por kg]]-Tabla2[[#This Row],[Costos (En RD$/Tarea)]])</f>
        <v>7138.2541028377254</v>
      </c>
      <c r="O2693" s="6">
        <f>IF(Tabla2[[#This Row],[Costos (En RD$/Tarea)]]=0,0,Tabla2[[#This Row],[Beneficio Neto  (En RD$/Tarea)]]/Tabla2[[#This Row],[Costos (En RD$/Tarea)]])</f>
        <v>0.70208160848534151</v>
      </c>
      <c r="P2693" s="4">
        <f>Tabla2[[#This Row],[Rentabilidad (%)]]/12</f>
        <v>5.850680070711179E-2</v>
      </c>
    </row>
    <row r="2694" spans="1:16" x14ac:dyDescent="0.35">
      <c r="A2694" s="1">
        <v>43344</v>
      </c>
      <c r="B2694" t="s">
        <v>23</v>
      </c>
      <c r="C2694" s="2">
        <v>4521</v>
      </c>
      <c r="D2694" s="5" t="s">
        <v>17</v>
      </c>
      <c r="E2694" s="2">
        <f>IF(Tabla2[[#This Row],[Frecuencia]]="Annual", Tabla2[[#This Row],[Cosecha/Tarea]]/12,Tabla2[[#This Row],[Cosecha/Tarea]])</f>
        <v>4521</v>
      </c>
      <c r="F2694" s="2">
        <v>189457</v>
      </c>
      <c r="G2694" t="s">
        <v>18</v>
      </c>
      <c r="H2694">
        <f>F2694/Tabla2[[#This Row],[Cosecha Mensual]]</f>
        <v>41.905994249059944</v>
      </c>
      <c r="I2694">
        <f>H2694*_xlfn.XLOOKUP(Tabla2[[#This Row],[Unidad de producción]],Tabla3[Medida],Tabla3[Equivalencia en Kg],"ELVIS",0)</f>
        <v>1900.8558991373591</v>
      </c>
      <c r="J2694">
        <v>905.78471412846204</v>
      </c>
      <c r="K2694" t="s">
        <v>18</v>
      </c>
      <c r="L2694">
        <f>J2694/_xlfn.XLOOKUP(Tabla2[[#This Row],[Unidad de precio]],Tabla3[Medida],Tabla3[Equivalencia en Kg],"ELVIS",0)</f>
        <v>19.968798812355864</v>
      </c>
      <c r="M2694">
        <v>23803.192305637302</v>
      </c>
      <c r="N2694" s="2">
        <f>(Tabla2[[#This Row],[Productividad (kg/TAS)]]*Tabla2[[#This Row],[Precio por kg]]-Tabla2[[#This Row],[Costos (En RD$/Tarea)]])</f>
        <v>14154.616715516433</v>
      </c>
      <c r="O2694" s="6">
        <f>IF(Tabla2[[#This Row],[Costos (En RD$/Tarea)]]=0,0,Tabla2[[#This Row],[Beneficio Neto  (En RD$/Tarea)]]/Tabla2[[#This Row],[Costos (En RD$/Tarea)]])</f>
        <v>0.59465203380154186</v>
      </c>
      <c r="P2694" s="4">
        <f>Tabla2[[#This Row],[Rentabilidad (%)]]/12</f>
        <v>4.955433615012849E-2</v>
      </c>
    </row>
    <row r="2695" spans="1:16" x14ac:dyDescent="0.35">
      <c r="A2695" s="1">
        <v>43344</v>
      </c>
      <c r="B2695" t="s">
        <v>24</v>
      </c>
      <c r="C2695" s="2">
        <v>4621</v>
      </c>
      <c r="D2695" s="5" t="s">
        <v>17</v>
      </c>
      <c r="E2695" s="2">
        <f>IF(Tabla2[[#This Row],[Frecuencia]]="Annual", Tabla2[[#This Row],[Cosecha/Tarea]]/12,Tabla2[[#This Row],[Cosecha/Tarea]])</f>
        <v>4621</v>
      </c>
      <c r="F2695" s="2">
        <v>44989</v>
      </c>
      <c r="G2695" t="s">
        <v>18</v>
      </c>
      <c r="H2695">
        <f>F2695/Tabla2[[#This Row],[Cosecha Mensual]]</f>
        <v>9.7357714780350566</v>
      </c>
      <c r="I2695">
        <f>H2695*_xlfn.XLOOKUP(Tabla2[[#This Row],[Unidad de producción]],Tabla3[Medida],Tabla3[Equivalencia en Kg],"ELVIS",0)</f>
        <v>441.61459424367018</v>
      </c>
      <c r="J2695">
        <v>2442.765625</v>
      </c>
      <c r="K2695" t="s">
        <v>18</v>
      </c>
      <c r="L2695">
        <f>J2695/_xlfn.XLOOKUP(Tabla2[[#This Row],[Unidad de precio]],Tabla3[Medida],Tabla3[Equivalencia en Kg],"ELVIS",0)</f>
        <v>53.852857694003525</v>
      </c>
      <c r="M2695">
        <v>9413.7321988511994</v>
      </c>
      <c r="N2695" s="2">
        <f>(Tabla2[[#This Row],[Productividad (kg/TAS)]]*Tabla2[[#This Row],[Precio por kg]]-Tabla2[[#This Row],[Costos (En RD$/Tarea)]])</f>
        <v>14368.475700548281</v>
      </c>
      <c r="O2695" s="6">
        <f>IF(Tabla2[[#This Row],[Costos (En RD$/Tarea)]]=0,0,Tabla2[[#This Row],[Beneficio Neto  (En RD$/Tarea)]]/Tabla2[[#This Row],[Costos (En RD$/Tarea)]])</f>
        <v>1.5263314694996031</v>
      </c>
      <c r="P2695" s="4">
        <f>Tabla2[[#This Row],[Rentabilidad (%)]]/12</f>
        <v>0.12719428912496691</v>
      </c>
    </row>
    <row r="2696" spans="1:16" x14ac:dyDescent="0.35">
      <c r="A2696" s="1">
        <v>43344</v>
      </c>
      <c r="B2696" t="s">
        <v>25</v>
      </c>
      <c r="C2696" s="2">
        <v>25698</v>
      </c>
      <c r="D2696" s="5" t="s">
        <v>17</v>
      </c>
      <c r="E2696" s="2">
        <f>IF(Tabla2[[#This Row],[Frecuencia]]="Annual", Tabla2[[#This Row],[Cosecha/Tarea]]/12,Tabla2[[#This Row],[Cosecha/Tarea]])</f>
        <v>25698</v>
      </c>
      <c r="F2696" s="2">
        <v>289547</v>
      </c>
      <c r="G2696" t="s">
        <v>18</v>
      </c>
      <c r="H2696">
        <f>F2696/Tabla2[[#This Row],[Cosecha Mensual]]</f>
        <v>11.267297065919527</v>
      </c>
      <c r="I2696">
        <f>H2696*_xlfn.XLOOKUP(Tabla2[[#This Row],[Unidad de producción]],Tabla3[Medida],Tabla3[Equivalencia en Kg],"ELVIS",0)</f>
        <v>511.08459491010973</v>
      </c>
      <c r="J2696">
        <v>1163.03125</v>
      </c>
      <c r="K2696" t="s">
        <v>18</v>
      </c>
      <c r="L2696">
        <f>J2696/_xlfn.XLOOKUP(Tabla2[[#This Row],[Unidad de precio]],Tabla3[Medida],Tabla3[Equivalencia en Kg],"ELVIS",0)</f>
        <v>25.640018738977073</v>
      </c>
      <c r="M2696">
        <v>4549.7689931721798</v>
      </c>
      <c r="N2696" s="2">
        <f>(Tabla2[[#This Row],[Productividad (kg/TAS)]]*Tabla2[[#This Row],[Precio por kg]]-Tabla2[[#This Row],[Costos (En RD$/Tarea)]])</f>
        <v>8554.4495975255395</v>
      </c>
      <c r="O2696" s="6">
        <f>IF(Tabla2[[#This Row],[Costos (En RD$/Tarea)]]=0,0,Tabla2[[#This Row],[Beneficio Neto  (En RD$/Tarea)]]/Tabla2[[#This Row],[Costos (En RD$/Tarea)]])</f>
        <v>1.8801942714812923</v>
      </c>
      <c r="P2696" s="4">
        <f>Tabla2[[#This Row],[Rentabilidad (%)]]/12</f>
        <v>0.15668285595677436</v>
      </c>
    </row>
    <row r="2697" spans="1:16" x14ac:dyDescent="0.35">
      <c r="A2697" s="1">
        <v>43344</v>
      </c>
      <c r="B2697" t="s">
        <v>26</v>
      </c>
      <c r="C2697" s="2">
        <v>10354</v>
      </c>
      <c r="D2697" s="5" t="s">
        <v>17</v>
      </c>
      <c r="E2697" s="2">
        <f>IF(Tabla2[[#This Row],[Frecuencia]]="Annual", Tabla2[[#This Row],[Cosecha/Tarea]]/12,Tabla2[[#This Row],[Cosecha/Tarea]])</f>
        <v>10354</v>
      </c>
      <c r="F2697" s="2">
        <v>64590</v>
      </c>
      <c r="G2697" t="s">
        <v>18</v>
      </c>
      <c r="H2697">
        <f>F2697/Tabla2[[#This Row],[Cosecha Mensual]]</f>
        <v>6.2381688236430364</v>
      </c>
      <c r="I2697">
        <f>H2697*_xlfn.XLOOKUP(Tabla2[[#This Row],[Unidad de producción]],Tabla3[Medida],Tabla3[Equivalencia en Kg],"ELVIS",0)</f>
        <v>282.9633378404481</v>
      </c>
      <c r="J2697">
        <v>966.5625</v>
      </c>
      <c r="K2697" t="s">
        <v>18</v>
      </c>
      <c r="L2697">
        <f>J2697/_xlfn.XLOOKUP(Tabla2[[#This Row],[Unidad de precio]],Tabla3[Medida],Tabla3[Equivalencia en Kg],"ELVIS",0)</f>
        <v>21.308697089947088</v>
      </c>
      <c r="M2697">
        <v>1733.52094425</v>
      </c>
      <c r="N2697" s="2">
        <f>(Tabla2[[#This Row],[Productividad (kg/TAS)]]*Tabla2[[#This Row],[Precio por kg]]-Tabla2[[#This Row],[Costos (En RD$/Tarea)]])</f>
        <v>4296.0591093524718</v>
      </c>
      <c r="O2697" s="6">
        <f>IF(Tabla2[[#This Row],[Costos (En RD$/Tarea)]]=0,0,Tabla2[[#This Row],[Beneficio Neto  (En RD$/Tarea)]]/Tabla2[[#This Row],[Costos (En RD$/Tarea)]])</f>
        <v>2.4782274039447167</v>
      </c>
      <c r="P2697" s="4">
        <f>Tabla2[[#This Row],[Rentabilidad (%)]]/12</f>
        <v>0.20651895032872639</v>
      </c>
    </row>
    <row r="2698" spans="1:16" x14ac:dyDescent="0.35">
      <c r="A2698" s="1">
        <v>43344</v>
      </c>
      <c r="B2698" t="s">
        <v>27</v>
      </c>
      <c r="C2698" s="2">
        <v>4659</v>
      </c>
      <c r="D2698" s="5" t="s">
        <v>17</v>
      </c>
      <c r="E2698" s="2">
        <f>IF(Tabla2[[#This Row],[Frecuencia]]="Annual", Tabla2[[#This Row],[Cosecha/Tarea]]/12,Tabla2[[#This Row],[Cosecha/Tarea]])</f>
        <v>4659</v>
      </c>
      <c r="F2698" s="2">
        <v>43211</v>
      </c>
      <c r="G2698" t="s">
        <v>18</v>
      </c>
      <c r="H2698">
        <f>F2698/Tabla2[[#This Row],[Cosecha Mensual]]</f>
        <v>9.274737068040352</v>
      </c>
      <c r="I2698">
        <f>H2698*_xlfn.XLOOKUP(Tabla2[[#This Row],[Unidad de producción]],Tabla3[Medida],Tabla3[Equivalencia en Kg],"ELVIS",0)</f>
        <v>420.70207340631038</v>
      </c>
      <c r="J2698">
        <v>772.23125000000005</v>
      </c>
      <c r="K2698" t="s">
        <v>18</v>
      </c>
      <c r="L2698">
        <f>J2698/_xlfn.XLOOKUP(Tabla2[[#This Row],[Unidad de precio]],Tabla3[Medida],Tabla3[Equivalencia en Kg],"ELVIS",0)</f>
        <v>17.024498456790123</v>
      </c>
      <c r="M2698">
        <v>9289.5754777799993</v>
      </c>
      <c r="N2698" s="2">
        <f>(Tabla2[[#This Row],[Productividad (kg/TAS)]]*Tabla2[[#This Row],[Precio por kg]]-Tabla2[[#This Row],[Costos (En RD$/Tarea)]])</f>
        <v>-2127.333678305863</v>
      </c>
      <c r="O2698" s="6">
        <f>IF(Tabla2[[#This Row],[Costos (En RD$/Tarea)]]=0,0,Tabla2[[#This Row],[Beneficio Neto  (En RD$/Tarea)]]/Tabla2[[#This Row],[Costos (En RD$/Tarea)]])</f>
        <v>-0.22900224917643364</v>
      </c>
      <c r="P2698" s="4">
        <f>Tabla2[[#This Row],[Rentabilidad (%)]]/12</f>
        <v>-1.9083520764702804E-2</v>
      </c>
    </row>
    <row r="2699" spans="1:16" x14ac:dyDescent="0.35">
      <c r="A2699" s="1">
        <v>43344</v>
      </c>
      <c r="B2699" t="s">
        <v>28</v>
      </c>
      <c r="C2699" s="2">
        <v>73214</v>
      </c>
      <c r="D2699" s="5" t="s">
        <v>17</v>
      </c>
      <c r="E2699" s="2">
        <f>IF(Tabla2[[#This Row],[Frecuencia]]="Annual", Tabla2[[#This Row],[Cosecha/Tarea]]/12,Tabla2[[#This Row],[Cosecha/Tarea]])</f>
        <v>73214</v>
      </c>
      <c r="F2699" s="2">
        <v>1651068</v>
      </c>
      <c r="G2699" t="s">
        <v>18</v>
      </c>
      <c r="H2699">
        <f>F2699/Tabla2[[#This Row],[Cosecha Mensual]]</f>
        <v>22.551260687846586</v>
      </c>
      <c r="I2699">
        <f>H2699*_xlfn.XLOOKUP(Tabla2[[#This Row],[Unidad de producción]],Tabla3[Medida],Tabla3[Equivalencia en Kg],"ELVIS",0)</f>
        <v>1022.9251848007211</v>
      </c>
      <c r="J2699">
        <v>5543.2559523809496</v>
      </c>
      <c r="K2699" t="s">
        <v>29</v>
      </c>
      <c r="L2699">
        <f>J2699/_xlfn.XLOOKUP(Tabla2[[#This Row],[Unidad de precio]],Tabla3[Medida],Tabla3[Equivalencia en Kg],"ELVIS",0)</f>
        <v>9.8574811544278358</v>
      </c>
      <c r="M2699">
        <v>7167.6799321206599</v>
      </c>
      <c r="N2699" s="2">
        <f>(Tabla2[[#This Row],[Productividad (kg/TAS)]]*Tabla2[[#This Row],[Precio por kg]]-Tabla2[[#This Row],[Costos (En RD$/Tarea)]])</f>
        <v>2915.7857994420592</v>
      </c>
      <c r="O2699" s="6">
        <f>IF(Tabla2[[#This Row],[Costos (En RD$/Tarea)]]=0,0,Tabla2[[#This Row],[Beneficio Neto  (En RD$/Tarea)]]/Tabla2[[#This Row],[Costos (En RD$/Tarea)]])</f>
        <v>0.40679631722609333</v>
      </c>
      <c r="P2699" s="4">
        <f>Tabla2[[#This Row],[Rentabilidad (%)]]/12</f>
        <v>3.3899693102174444E-2</v>
      </c>
    </row>
    <row r="2700" spans="1:16" x14ac:dyDescent="0.35">
      <c r="A2700" s="1">
        <v>43344</v>
      </c>
      <c r="B2700" t="s">
        <v>30</v>
      </c>
      <c r="C2700" s="2">
        <v>425178</v>
      </c>
      <c r="D2700" s="2" t="s">
        <v>31</v>
      </c>
      <c r="E2700" s="2">
        <f>IF(Tabla2[[#This Row],[Frecuencia]]="Annual", Tabla2[[#This Row],[Cosecha/Tarea]]/12,Tabla2[[#This Row],[Cosecha/Tarea]])</f>
        <v>35431.5</v>
      </c>
      <c r="F2700" s="2">
        <v>2112984.6</v>
      </c>
      <c r="G2700" t="s">
        <v>18</v>
      </c>
      <c r="H2700">
        <f>F2700/Tabla2[[#This Row],[Cosecha Mensual]]</f>
        <v>59.635764785572164</v>
      </c>
      <c r="I2700">
        <f>H2700*_xlfn.XLOOKUP(Tabla2[[#This Row],[Unidad de producción]],Tabla3[Medida],Tabla3[Equivalencia en Kg],"ELVIS",0)</f>
        <v>2705.0782906735535</v>
      </c>
      <c r="J2700">
        <v>137.854166666667</v>
      </c>
      <c r="K2700" t="s">
        <v>32</v>
      </c>
      <c r="L2700">
        <f>J2700/_xlfn.XLOOKUP(Tabla2[[#This Row],[Unidad de precio]],Tabla3[Medida],Tabla3[Equivalencia en Kg],"ELVIS",0)</f>
        <v>5.0663052799216093</v>
      </c>
      <c r="M2700" s="2">
        <v>34069.662396</v>
      </c>
      <c r="N2700" s="2">
        <f>(Tabla2[[#This Row],[Productividad (kg/TAS)]]*Tabla2[[#This Row],[Precio por kg]]-Tabla2[[#This Row],[Costos (En RD$/Tarea)]])</f>
        <v>-20364.909969359254</v>
      </c>
      <c r="O2700" s="6">
        <f>IF(Tabla2[[#This Row],[Costos (En RD$/Tarea)]]=0,0,Tabla2[[#This Row],[Beneficio Neto  (En RD$/Tarea)]]/Tabla2[[#This Row],[Costos (En RD$/Tarea)]])</f>
        <v>-0.59774322776236921</v>
      </c>
      <c r="P2700" s="4">
        <f>Tabla2[[#This Row],[Rentabilidad (%)]]/12</f>
        <v>-4.9811935646864099E-2</v>
      </c>
    </row>
    <row r="2701" spans="1:16" x14ac:dyDescent="0.35">
      <c r="A2701" s="1">
        <v>43344</v>
      </c>
      <c r="B2701" t="s">
        <v>33</v>
      </c>
      <c r="C2701" s="2">
        <v>749854</v>
      </c>
      <c r="D2701" s="2" t="s">
        <v>31</v>
      </c>
      <c r="E2701" s="2">
        <f>IF(Tabla2[[#This Row],[Frecuencia]]="Annual", Tabla2[[#This Row],[Cosecha/Tarea]]/12,Tabla2[[#This Row],[Cosecha/Tarea]])</f>
        <v>62487.833333333336</v>
      </c>
      <c r="F2701" s="2">
        <v>1841301</v>
      </c>
      <c r="G2701" t="s">
        <v>18</v>
      </c>
      <c r="H2701">
        <f>F2701/Tabla2[[#This Row],[Cosecha Mensual]]</f>
        <v>29.466552155486266</v>
      </c>
      <c r="I2701">
        <f>H2701*_xlfn.XLOOKUP(Tabla2[[#This Row],[Unidad de producción]],Tabla3[Medida],Tabla3[Equivalencia en Kg],"ELVIS",0)</f>
        <v>1336.602805772857</v>
      </c>
      <c r="J2701">
        <v>5565.4973958333303</v>
      </c>
      <c r="K2701" t="s">
        <v>34</v>
      </c>
      <c r="L2701">
        <f>J2701/_xlfn.XLOOKUP(Tabla2[[#This Row],[Unidad de precio]],Tabla3[Medida],Tabla3[Equivalencia en Kg],"ELVIS",0)</f>
        <v>13.635911786924735</v>
      </c>
      <c r="M2701" s="2">
        <v>22932.1463359308</v>
      </c>
      <c r="N2701" s="2">
        <f>(Tabla2[[#This Row],[Productividad (kg/TAS)]]*Tabla2[[#This Row],[Precio por kg]]-Tabla2[[#This Row],[Costos (En RD$/Tarea)]])</f>
        <v>-4706.3483822560265</v>
      </c>
      <c r="O2701" s="6">
        <f>IF(Tabla2[[#This Row],[Costos (En RD$/Tarea)]]=0,0,Tabla2[[#This Row],[Beneficio Neto  (En RD$/Tarea)]]/Tabla2[[#This Row],[Costos (En RD$/Tarea)]])</f>
        <v>-0.2052293018417545</v>
      </c>
      <c r="P2701" s="4">
        <f>Tabla2[[#This Row],[Rentabilidad (%)]]/12</f>
        <v>-1.7102441820146207E-2</v>
      </c>
    </row>
    <row r="2702" spans="1:16" x14ac:dyDescent="0.35">
      <c r="A2702" s="1">
        <v>43374</v>
      </c>
      <c r="B2702" t="s">
        <v>16</v>
      </c>
      <c r="C2702" s="2">
        <v>471240</v>
      </c>
      <c r="D2702" s="5" t="s">
        <v>17</v>
      </c>
      <c r="E2702" s="2">
        <f>IF(Tabla2[[#This Row],[Frecuencia]]="Annual", Tabla2[[#This Row],[Cosecha/Tarea]]/12,Tabla2[[#This Row],[Cosecha/Tarea]])</f>
        <v>471240</v>
      </c>
      <c r="F2702" s="2">
        <v>1910210</v>
      </c>
      <c r="G2702" t="s">
        <v>18</v>
      </c>
      <c r="H2702">
        <f>F2702/Tabla2[[#This Row],[Cosecha Mensual]]</f>
        <v>4.0535820388761561</v>
      </c>
      <c r="I2702">
        <f>H2702*_xlfn.XLOOKUP(Tabla2[[#This Row],[Unidad de producción]],Tabla3[Medida],Tabla3[Equivalencia en Kg],"ELVIS",0)</f>
        <v>183.87048128342244</v>
      </c>
      <c r="J2702">
        <v>2116.06732599927</v>
      </c>
      <c r="K2702" t="s">
        <v>19</v>
      </c>
      <c r="L2702">
        <f>J2702/_xlfn.XLOOKUP(Tabla2[[#This Row],[Unidad de precio]],Tabla3[Medida],Tabla3[Equivalencia en Kg],"ELVIS",0)</f>
        <v>19.236975690902455</v>
      </c>
      <c r="M2702">
        <v>6204.1782065486696</v>
      </c>
      <c r="N2702" s="2">
        <f>(Tabla2[[#This Row],[Productividad (kg/TAS)]]*Tabla2[[#This Row],[Precio por kg]]-Tabla2[[#This Row],[Costos (En RD$/Tarea)]])</f>
        <v>-2667.0662278249374</v>
      </c>
      <c r="O2702" s="6">
        <f>IF(Tabla2[[#This Row],[Costos (En RD$/Tarea)]]=0,0,Tabla2[[#This Row],[Beneficio Neto  (En RD$/Tarea)]]/Tabla2[[#This Row],[Costos (En RD$/Tarea)]])</f>
        <v>-0.42988227272546436</v>
      </c>
      <c r="P2702" s="4">
        <f>Tabla2[[#This Row],[Rentabilidad (%)]]/12</f>
        <v>-3.5823522727122033E-2</v>
      </c>
    </row>
    <row r="2703" spans="1:16" x14ac:dyDescent="0.35">
      <c r="A2703" s="1">
        <v>43374</v>
      </c>
      <c r="B2703" t="s">
        <v>20</v>
      </c>
      <c r="C2703" s="2">
        <v>32154</v>
      </c>
      <c r="D2703" s="5" t="s">
        <v>17</v>
      </c>
      <c r="E2703" s="2">
        <f>IF(Tabla2[[#This Row],[Frecuencia]]="Annual", Tabla2[[#This Row],[Cosecha/Tarea]]/12,Tabla2[[#This Row],[Cosecha/Tarea]])</f>
        <v>32154</v>
      </c>
      <c r="F2703" s="2">
        <v>83548</v>
      </c>
      <c r="G2703" t="s">
        <v>18</v>
      </c>
      <c r="H2703">
        <f>F2703/Tabla2[[#This Row],[Cosecha Mensual]]</f>
        <v>2.5983703427256328</v>
      </c>
      <c r="I2703">
        <f>H2703*_xlfn.XLOOKUP(Tabla2[[#This Row],[Unidad de producción]],Tabla3[Medida],Tabla3[Equivalencia en Kg],"ELVIS",0)</f>
        <v>117.8620787460347</v>
      </c>
      <c r="J2703">
        <v>924.71875</v>
      </c>
      <c r="K2703" t="s">
        <v>18</v>
      </c>
      <c r="L2703">
        <f>J2703/_xlfn.XLOOKUP(Tabla2[[#This Row],[Unidad de precio]],Tabla3[Medida],Tabla3[Equivalencia en Kg],"ELVIS",0)</f>
        <v>20.386215828924161</v>
      </c>
      <c r="M2703">
        <v>2494.8799608792001</v>
      </c>
      <c r="N2703" s="2">
        <f>(Tabla2[[#This Row],[Productividad (kg/TAS)]]*Tabla2[[#This Row],[Precio por kg]]-Tabla2[[#This Row],[Costos (En RD$/Tarea)]])</f>
        <v>-92.118185516881567</v>
      </c>
      <c r="O2703" s="6">
        <f>IF(Tabla2[[#This Row],[Costos (En RD$/Tarea)]]=0,0,Tabla2[[#This Row],[Beneficio Neto  (En RD$/Tarea)]]/Tabla2[[#This Row],[Costos (En RD$/Tarea)]])</f>
        <v>-3.6922892869129843E-2</v>
      </c>
      <c r="P2703" s="4">
        <f>Tabla2[[#This Row],[Rentabilidad (%)]]/12</f>
        <v>-3.0769077390941538E-3</v>
      </c>
    </row>
    <row r="2704" spans="1:16" x14ac:dyDescent="0.35">
      <c r="A2704" s="1">
        <v>43374</v>
      </c>
      <c r="B2704" t="s">
        <v>21</v>
      </c>
      <c r="C2704" s="2">
        <v>6301</v>
      </c>
      <c r="D2704" s="5" t="s">
        <v>17</v>
      </c>
      <c r="E2704" s="2">
        <f>IF(Tabla2[[#This Row],[Frecuencia]]="Annual", Tabla2[[#This Row],[Cosecha/Tarea]]/12,Tabla2[[#This Row],[Cosecha/Tarea]])</f>
        <v>6301</v>
      </c>
      <c r="F2704" s="2">
        <v>81021</v>
      </c>
      <c r="G2704" t="s">
        <v>18</v>
      </c>
      <c r="H2704">
        <f>F2704/Tabla2[[#This Row],[Cosecha Mensual]]</f>
        <v>12.85843516902079</v>
      </c>
      <c r="I2704">
        <f>H2704*_xlfn.XLOOKUP(Tabla2[[#This Row],[Unidad de producción]],Tabla3[Medida],Tabla3[Equivalencia en Kg],"ELVIS",0)</f>
        <v>583.25861926678306</v>
      </c>
      <c r="J2704">
        <v>763.93154761904805</v>
      </c>
      <c r="K2704" t="s">
        <v>18</v>
      </c>
      <c r="L2704">
        <f>J2704/_xlfn.XLOOKUP(Tabla2[[#This Row],[Unidad de precio]],Tabla3[Medida],Tabla3[Equivalencia en Kg],"ELVIS",0)</f>
        <v>16.84152441840935</v>
      </c>
      <c r="M2704">
        <v>5415.9215773320002</v>
      </c>
      <c r="N2704" s="2">
        <f>(Tabla2[[#This Row],[Productividad (kg/TAS)]]*Tabla2[[#This Row],[Precio por kg]]-Tabla2[[#This Row],[Costos (En RD$/Tarea)]])</f>
        <v>4407.0427012972477</v>
      </c>
      <c r="O2704" s="6">
        <f>IF(Tabla2[[#This Row],[Costos (En RD$/Tarea)]]=0,0,Tabla2[[#This Row],[Beneficio Neto  (En RD$/Tarea)]]/Tabla2[[#This Row],[Costos (En RD$/Tarea)]])</f>
        <v>0.81371981450814357</v>
      </c>
      <c r="P2704" s="4">
        <f>Tabla2[[#This Row],[Rentabilidad (%)]]/12</f>
        <v>6.7809984542345297E-2</v>
      </c>
    </row>
    <row r="2705" spans="1:16" x14ac:dyDescent="0.35">
      <c r="A2705" s="1">
        <v>43374</v>
      </c>
      <c r="B2705" t="s">
        <v>22</v>
      </c>
      <c r="C2705" s="2">
        <v>3415</v>
      </c>
      <c r="D2705" s="5" t="s">
        <v>17</v>
      </c>
      <c r="E2705" s="2">
        <f>IF(Tabla2[[#This Row],[Frecuencia]]="Annual", Tabla2[[#This Row],[Cosecha/Tarea]]/12,Tabla2[[#This Row],[Cosecha/Tarea]])</f>
        <v>3415</v>
      </c>
      <c r="F2705" s="2">
        <v>35987</v>
      </c>
      <c r="G2705" t="s">
        <v>18</v>
      </c>
      <c r="H2705">
        <f>F2705/Tabla2[[#This Row],[Cosecha Mensual]]</f>
        <v>10.537920937042459</v>
      </c>
      <c r="I2705">
        <f>H2705*_xlfn.XLOOKUP(Tabla2[[#This Row],[Unidad de producción]],Tabla3[Medida],Tabla3[Equivalencia en Kg],"ELVIS",0)</f>
        <v>478.00009370424596</v>
      </c>
      <c r="J2705">
        <v>1992.64460255023</v>
      </c>
      <c r="K2705" t="s">
        <v>18</v>
      </c>
      <c r="L2705">
        <f>J2705/_xlfn.XLOOKUP(Tabla2[[#This Row],[Unidad de precio]],Tabla3[Medida],Tabla3[Equivalencia en Kg],"ELVIS",0)</f>
        <v>43.929554729943341</v>
      </c>
      <c r="M2705">
        <v>10167.2711784</v>
      </c>
      <c r="N2705" s="2">
        <f>(Tabla2[[#This Row],[Productividad (kg/TAS)]]*Tabla2[[#This Row],[Precio por kg]]-Tabla2[[#This Row],[Costos (En RD$/Tarea)]])</f>
        <v>10831.060098898719</v>
      </c>
      <c r="O2705" s="6">
        <f>IF(Tabla2[[#This Row],[Costos (En RD$/Tarea)]]=0,0,Tabla2[[#This Row],[Beneficio Neto  (En RD$/Tarea)]]/Tabla2[[#This Row],[Costos (En RD$/Tarea)]])</f>
        <v>1.0652868315255439</v>
      </c>
      <c r="P2705" s="4">
        <f>Tabla2[[#This Row],[Rentabilidad (%)]]/12</f>
        <v>8.8773902627128656E-2</v>
      </c>
    </row>
    <row r="2706" spans="1:16" x14ac:dyDescent="0.35">
      <c r="A2706" s="1">
        <v>43374</v>
      </c>
      <c r="B2706" t="s">
        <v>23</v>
      </c>
      <c r="C2706" s="2">
        <v>3758</v>
      </c>
      <c r="D2706" s="5" t="s">
        <v>17</v>
      </c>
      <c r="E2706" s="2">
        <f>IF(Tabla2[[#This Row],[Frecuencia]]="Annual", Tabla2[[#This Row],[Cosecha/Tarea]]/12,Tabla2[[#This Row],[Cosecha/Tarea]])</f>
        <v>3758</v>
      </c>
      <c r="F2706" s="2">
        <v>149899</v>
      </c>
      <c r="G2706" t="s">
        <v>18</v>
      </c>
      <c r="H2706">
        <f>F2706/Tabla2[[#This Row],[Cosecha Mensual]]</f>
        <v>39.887972325705164</v>
      </c>
      <c r="I2706">
        <f>H2706*_xlfn.XLOOKUP(Tabla2[[#This Row],[Unidad de producción]],Tabla3[Medida],Tabla3[Equivalencia en Kg],"ELVIS",0)</f>
        <v>1809.3184246939861</v>
      </c>
      <c r="J2706">
        <v>918.28235884485798</v>
      </c>
      <c r="K2706" t="s">
        <v>18</v>
      </c>
      <c r="L2706">
        <f>J2706/_xlfn.XLOOKUP(Tabla2[[#This Row],[Unidad de precio]],Tabla3[Medida],Tabla3[Equivalencia en Kg],"ELVIS",0)</f>
        <v>20.244320080354012</v>
      </c>
      <c r="M2706">
        <v>23803.192305637302</v>
      </c>
      <c r="N2706" s="2">
        <f>(Tabla2[[#This Row],[Productividad (kg/TAS)]]*Tabla2[[#This Row],[Precio por kg]]-Tabla2[[#This Row],[Costos (En RD$/Tarea)]])</f>
        <v>12825.229011149651</v>
      </c>
      <c r="O2706" s="6">
        <f>IF(Tabla2[[#This Row],[Costos (En RD$/Tarea)]]=0,0,Tabla2[[#This Row],[Beneficio Neto  (En RD$/Tarea)]]/Tabla2[[#This Row],[Costos (En RD$/Tarea)]])</f>
        <v>0.53880289863945086</v>
      </c>
      <c r="P2706" s="4">
        <f>Tabla2[[#This Row],[Rentabilidad (%)]]/12</f>
        <v>4.4900241553287569E-2</v>
      </c>
    </row>
    <row r="2707" spans="1:16" x14ac:dyDescent="0.35">
      <c r="A2707" s="1">
        <v>43374</v>
      </c>
      <c r="B2707" t="s">
        <v>24</v>
      </c>
      <c r="C2707" s="2">
        <v>5314</v>
      </c>
      <c r="D2707" s="5" t="s">
        <v>17</v>
      </c>
      <c r="E2707" s="2">
        <f>IF(Tabla2[[#This Row],[Frecuencia]]="Annual", Tabla2[[#This Row],[Cosecha/Tarea]]/12,Tabla2[[#This Row],[Cosecha/Tarea]])</f>
        <v>5314</v>
      </c>
      <c r="F2707" s="2">
        <v>53215</v>
      </c>
      <c r="G2707" t="s">
        <v>18</v>
      </c>
      <c r="H2707">
        <f>F2707/Tabla2[[#This Row],[Cosecha Mensual]]</f>
        <v>10.01411366202484</v>
      </c>
      <c r="I2707">
        <f>H2707*_xlfn.XLOOKUP(Tabla2[[#This Row],[Unidad de producción]],Tabla3[Medida],Tabla3[Equivalencia en Kg],"ELVIS",0)</f>
        <v>454.24019570944677</v>
      </c>
      <c r="J2707">
        <v>2612.3958333333298</v>
      </c>
      <c r="K2707" t="s">
        <v>18</v>
      </c>
      <c r="L2707">
        <f>J2707/_xlfn.XLOOKUP(Tabla2[[#This Row],[Unidad de precio]],Tabla3[Medida],Tabla3[Equivalencia en Kg],"ELVIS",0)</f>
        <v>57.592500734861773</v>
      </c>
      <c r="M2707">
        <v>9413.7321988511994</v>
      </c>
      <c r="N2707" s="2">
        <f>(Tabla2[[#This Row],[Productividad (kg/TAS)]]*Tabla2[[#This Row],[Precio por kg]]-Tabla2[[#This Row],[Costos (En RD$/Tarea)]])</f>
        <v>16747.096606348867</v>
      </c>
      <c r="O2707" s="6">
        <f>IF(Tabla2[[#This Row],[Costos (En RD$/Tarea)]]=0,0,Tabla2[[#This Row],[Beneficio Neto  (En RD$/Tarea)]]/Tabla2[[#This Row],[Costos (En RD$/Tarea)]])</f>
        <v>1.7790071198745798</v>
      </c>
      <c r="P2707" s="4">
        <f>Tabla2[[#This Row],[Rentabilidad (%)]]/12</f>
        <v>0.14825059332288165</v>
      </c>
    </row>
    <row r="2708" spans="1:16" x14ac:dyDescent="0.35">
      <c r="A2708" s="1">
        <v>43374</v>
      </c>
      <c r="B2708" t="s">
        <v>25</v>
      </c>
      <c r="C2708" s="2">
        <v>30562</v>
      </c>
      <c r="D2708" s="5" t="s">
        <v>17</v>
      </c>
      <c r="E2708" s="2">
        <f>IF(Tabla2[[#This Row],[Frecuencia]]="Annual", Tabla2[[#This Row],[Cosecha/Tarea]]/12,Tabla2[[#This Row],[Cosecha/Tarea]])</f>
        <v>30562</v>
      </c>
      <c r="F2708" s="2">
        <v>321012</v>
      </c>
      <c r="G2708" t="s">
        <v>18</v>
      </c>
      <c r="H2708">
        <f>F2708/Tabla2[[#This Row],[Cosecha Mensual]]</f>
        <v>10.50363196125908</v>
      </c>
      <c r="I2708">
        <f>H2708*_xlfn.XLOOKUP(Tabla2[[#This Row],[Unidad de producción]],Tabla3[Medida],Tabla3[Equivalencia en Kg],"ELVIS",0)</f>
        <v>476.44474576271188</v>
      </c>
      <c r="J2708">
        <v>1114.9427083333301</v>
      </c>
      <c r="K2708" t="s">
        <v>18</v>
      </c>
      <c r="L2708">
        <f>J2708/_xlfn.XLOOKUP(Tabla2[[#This Row],[Unidad de precio]],Tabla3[Medida],Tabla3[Equivalencia en Kg],"ELVIS",0)</f>
        <v>24.579865703997577</v>
      </c>
      <c r="M2708">
        <v>4549.7689931721798</v>
      </c>
      <c r="N2708" s="2">
        <f>(Tabla2[[#This Row],[Productividad (kg/TAS)]]*Tabla2[[#This Row],[Precio por kg]]-Tabla2[[#This Row],[Costos (En RD$/Tarea)]])</f>
        <v>7161.1788730505468</v>
      </c>
      <c r="O2708" s="6">
        <f>IF(Tabla2[[#This Row],[Costos (En RD$/Tarea)]]=0,0,Tabla2[[#This Row],[Beneficio Neto  (En RD$/Tarea)]]/Tabla2[[#This Row],[Costos (En RD$/Tarea)]])</f>
        <v>1.5739653779779368</v>
      </c>
      <c r="P2708" s="4">
        <f>Tabla2[[#This Row],[Rentabilidad (%)]]/12</f>
        <v>0.13116378149816141</v>
      </c>
    </row>
    <row r="2709" spans="1:16" x14ac:dyDescent="0.35">
      <c r="A2709" s="1">
        <v>43374</v>
      </c>
      <c r="B2709" t="s">
        <v>26</v>
      </c>
      <c r="C2709" s="2">
        <v>9652</v>
      </c>
      <c r="D2709" s="5" t="s">
        <v>17</v>
      </c>
      <c r="E2709" s="2">
        <f>IF(Tabla2[[#This Row],[Frecuencia]]="Annual", Tabla2[[#This Row],[Cosecha/Tarea]]/12,Tabla2[[#This Row],[Cosecha/Tarea]])</f>
        <v>9652</v>
      </c>
      <c r="F2709" s="2">
        <v>61602</v>
      </c>
      <c r="G2709" t="s">
        <v>18</v>
      </c>
      <c r="H2709">
        <f>F2709/Tabla2[[#This Row],[Cosecha Mensual]]</f>
        <v>6.3823041856610025</v>
      </c>
      <c r="I2709">
        <f>H2709*_xlfn.XLOOKUP(Tabla2[[#This Row],[Unidad de producción]],Tabla3[Medida],Tabla3[Equivalencia en Kg],"ELVIS",0)</f>
        <v>289.50131786158306</v>
      </c>
      <c r="J2709">
        <v>952.18229166666697</v>
      </c>
      <c r="K2709" t="s">
        <v>18</v>
      </c>
      <c r="L2709">
        <f>J2709/_xlfn.XLOOKUP(Tabla2[[#This Row],[Unidad de precio]],Tabla3[Medida],Tabla3[Equivalencia en Kg],"ELVIS",0)</f>
        <v>20.991673096707824</v>
      </c>
      <c r="M2709">
        <v>1733.52094425</v>
      </c>
      <c r="N2709" s="2">
        <f>(Tabla2[[#This Row],[Productividad (kg/TAS)]]*Tabla2[[#This Row],[Precio por kg]]-Tabla2[[#This Row],[Costos (En RD$/Tarea)]])</f>
        <v>4343.5960813664533</v>
      </c>
      <c r="O2709" s="6">
        <f>IF(Tabla2[[#This Row],[Costos (En RD$/Tarea)]]=0,0,Tabla2[[#This Row],[Beneficio Neto  (En RD$/Tarea)]]/Tabla2[[#This Row],[Costos (En RD$/Tarea)]])</f>
        <v>2.5056496120072498</v>
      </c>
      <c r="P2709" s="4">
        <f>Tabla2[[#This Row],[Rentabilidad (%)]]/12</f>
        <v>0.20880413433393749</v>
      </c>
    </row>
    <row r="2710" spans="1:16" x14ac:dyDescent="0.35">
      <c r="A2710" s="1">
        <v>43374</v>
      </c>
      <c r="B2710" t="s">
        <v>27</v>
      </c>
      <c r="C2710" s="2">
        <v>3320</v>
      </c>
      <c r="D2710" s="5" t="s">
        <v>17</v>
      </c>
      <c r="E2710" s="2">
        <f>IF(Tabla2[[#This Row],[Frecuencia]]="Annual", Tabla2[[#This Row],[Cosecha/Tarea]]/12,Tabla2[[#This Row],[Cosecha/Tarea]])</f>
        <v>3320</v>
      </c>
      <c r="F2710" s="2">
        <v>35261</v>
      </c>
      <c r="G2710" t="s">
        <v>18</v>
      </c>
      <c r="H2710">
        <f>F2710/Tabla2[[#This Row],[Cosecha Mensual]]</f>
        <v>10.62078313253012</v>
      </c>
      <c r="I2710">
        <f>H2710*_xlfn.XLOOKUP(Tabla2[[#This Row],[Unidad de producción]],Tabla3[Medida],Tabla3[Equivalencia en Kg],"ELVIS",0)</f>
        <v>481.75872289156621</v>
      </c>
      <c r="J2710">
        <v>755.43124999999998</v>
      </c>
      <c r="K2710" t="s">
        <v>18</v>
      </c>
      <c r="L2710">
        <f>J2710/_xlfn.XLOOKUP(Tabla2[[#This Row],[Unidad de precio]],Tabla3[Medida],Tabla3[Equivalencia en Kg],"ELVIS",0)</f>
        <v>16.654128086419753</v>
      </c>
      <c r="M2710">
        <v>9289.5754777799993</v>
      </c>
      <c r="N2710" s="2">
        <f>(Tabla2[[#This Row],[Productividad (kg/TAS)]]*Tabla2[[#This Row],[Precio por kg]]-Tabla2[[#This Row],[Costos (En RD$/Tarea)]])</f>
        <v>-1266.3039999938555</v>
      </c>
      <c r="O2710" s="6">
        <f>IF(Tabla2[[#This Row],[Costos (En RD$/Tarea)]]=0,0,Tabla2[[#This Row],[Beneficio Neto  (En RD$/Tarea)]]/Tabla2[[#This Row],[Costos (En RD$/Tarea)]])</f>
        <v>-0.13631451760338933</v>
      </c>
      <c r="P2710" s="4">
        <f>Tabla2[[#This Row],[Rentabilidad (%)]]/12</f>
        <v>-1.1359543133615778E-2</v>
      </c>
    </row>
    <row r="2711" spans="1:16" x14ac:dyDescent="0.35">
      <c r="A2711" s="1">
        <v>43374</v>
      </c>
      <c r="B2711" t="s">
        <v>28</v>
      </c>
      <c r="C2711" s="2">
        <v>76989</v>
      </c>
      <c r="D2711" s="5" t="s">
        <v>17</v>
      </c>
      <c r="E2711" s="2">
        <f>IF(Tabla2[[#This Row],[Frecuencia]]="Annual", Tabla2[[#This Row],[Cosecha/Tarea]]/12,Tabla2[[#This Row],[Cosecha/Tarea]])</f>
        <v>76989</v>
      </c>
      <c r="F2711" s="2">
        <v>1801848</v>
      </c>
      <c r="G2711" t="s">
        <v>18</v>
      </c>
      <c r="H2711">
        <f>F2711/Tabla2[[#This Row],[Cosecha Mensual]]</f>
        <v>23.403966800452011</v>
      </c>
      <c r="I2711">
        <f>H2711*_xlfn.XLOOKUP(Tabla2[[#This Row],[Unidad de producción]],Tabla3[Medida],Tabla3[Equivalencia en Kg],"ELVIS",0)</f>
        <v>1061.6039340685031</v>
      </c>
      <c r="J2711">
        <v>5107.5729166666697</v>
      </c>
      <c r="K2711" t="s">
        <v>29</v>
      </c>
      <c r="L2711">
        <f>J2711/_xlfn.XLOOKUP(Tabla2[[#This Row],[Unidad de precio]],Tabla3[Medida],Tabla3[Equivalencia en Kg],"ELVIS",0)</f>
        <v>9.0827131569276052</v>
      </c>
      <c r="M2711">
        <v>7167.6799321206599</v>
      </c>
      <c r="N2711" s="2">
        <f>(Tabla2[[#This Row],[Productividad (kg/TAS)]]*Tabla2[[#This Row],[Precio por kg]]-Tabla2[[#This Row],[Costos (En RD$/Tarea)]])</f>
        <v>2474.5640872894401</v>
      </c>
      <c r="O2711" s="6">
        <f>IF(Tabla2[[#This Row],[Costos (En RD$/Tarea)]]=0,0,Tabla2[[#This Row],[Beneficio Neto  (En RD$/Tarea)]]/Tabla2[[#This Row],[Costos (En RD$/Tarea)]])</f>
        <v>0.34523920023271815</v>
      </c>
      <c r="P2711" s="4">
        <f>Tabla2[[#This Row],[Rentabilidad (%)]]/12</f>
        <v>2.8769933352726512E-2</v>
      </c>
    </row>
    <row r="2712" spans="1:16" x14ac:dyDescent="0.35">
      <c r="A2712" s="1">
        <v>43374</v>
      </c>
      <c r="B2712" t="s">
        <v>30</v>
      </c>
      <c r="C2712" s="2">
        <v>452149</v>
      </c>
      <c r="D2712" s="2" t="s">
        <v>31</v>
      </c>
      <c r="E2712" s="2">
        <f>IF(Tabla2[[#This Row],[Frecuencia]]="Annual", Tabla2[[#This Row],[Cosecha/Tarea]]/12,Tabla2[[#This Row],[Cosecha/Tarea]])</f>
        <v>37679.083333333336</v>
      </c>
      <c r="F2712" s="2">
        <v>2322614.4</v>
      </c>
      <c r="G2712" t="s">
        <v>18</v>
      </c>
      <c r="H2712">
        <f>F2712/Tabla2[[#This Row],[Cosecha Mensual]]</f>
        <v>61.642009160697022</v>
      </c>
      <c r="I2712">
        <f>H2712*_xlfn.XLOOKUP(Tabla2[[#This Row],[Unidad de producción]],Tabla3[Medida],Tabla3[Equivalencia en Kg],"ELVIS",0)</f>
        <v>2796.081535529217</v>
      </c>
      <c r="J2712">
        <v>136.208333333333</v>
      </c>
      <c r="K2712" t="s">
        <v>32</v>
      </c>
      <c r="L2712">
        <f>J2712/_xlfn.XLOOKUP(Tabla2[[#This Row],[Unidad de precio]],Tabla3[Medida],Tabla3[Equivalencia en Kg],"ELVIS",0)</f>
        <v>5.0058189391155086</v>
      </c>
      <c r="M2712" s="2">
        <v>34069.662396</v>
      </c>
      <c r="N2712" s="2">
        <f>(Tabla2[[#This Row],[Productividad (kg/TAS)]]*Tabla2[[#This Row],[Precio por kg]]-Tabla2[[#This Row],[Costos (En RD$/Tarea)]])</f>
        <v>-20072.984490136674</v>
      </c>
      <c r="O2712" s="6">
        <f>IF(Tabla2[[#This Row],[Costos (En RD$/Tarea)]]=0,0,Tabla2[[#This Row],[Beneficio Neto  (En RD$/Tarea)]]/Tabla2[[#This Row],[Costos (En RD$/Tarea)]])</f>
        <v>-0.58917474017862215</v>
      </c>
      <c r="P2712" s="4">
        <f>Tabla2[[#This Row],[Rentabilidad (%)]]/12</f>
        <v>-4.9097895014885179E-2</v>
      </c>
    </row>
    <row r="2713" spans="1:16" x14ac:dyDescent="0.35">
      <c r="A2713" s="1">
        <v>43374</v>
      </c>
      <c r="B2713" t="s">
        <v>33</v>
      </c>
      <c r="C2713" s="2">
        <v>785484</v>
      </c>
      <c r="D2713" s="2" t="s">
        <v>31</v>
      </c>
      <c r="E2713" s="2">
        <f>IF(Tabla2[[#This Row],[Frecuencia]]="Annual", Tabla2[[#This Row],[Cosecha/Tarea]]/12,Tabla2[[#This Row],[Cosecha/Tarea]])</f>
        <v>65457</v>
      </c>
      <c r="F2713" s="2">
        <v>1441926</v>
      </c>
      <c r="G2713" t="s">
        <v>18</v>
      </c>
      <c r="H2713">
        <f>F2713/Tabla2[[#This Row],[Cosecha Mensual]]</f>
        <v>22.028598927540216</v>
      </c>
      <c r="I2713">
        <f>H2713*_xlfn.XLOOKUP(Tabla2[[#This Row],[Unidad de producción]],Tabla3[Medida],Tabla3[Equivalencia en Kg],"ELVIS",0)</f>
        <v>999.21724735322414</v>
      </c>
      <c r="J2713">
        <v>6445.1276041666697</v>
      </c>
      <c r="K2713" t="s">
        <v>34</v>
      </c>
      <c r="L2713">
        <f>J2713/_xlfn.XLOOKUP(Tabla2[[#This Row],[Unidad de precio]],Tabla3[Medida],Tabla3[Equivalencia en Kg],"ELVIS",0)</f>
        <v>15.791075840173148</v>
      </c>
      <c r="M2713" s="2">
        <v>22932.1463359308</v>
      </c>
      <c r="N2713" s="2">
        <f>(Tabla2[[#This Row],[Productividad (kg/TAS)]]*Tabla2[[#This Row],[Precio por kg]]-Tabla2[[#This Row],[Costos (En RD$/Tarea)]])</f>
        <v>-7153.4310021669862</v>
      </c>
      <c r="O2713" s="6">
        <f>IF(Tabla2[[#This Row],[Costos (En RD$/Tarea)]]=0,0,Tabla2[[#This Row],[Beneficio Neto  (En RD$/Tarea)]]/Tabla2[[#This Row],[Costos (En RD$/Tarea)]])</f>
        <v>-0.31193900899536681</v>
      </c>
      <c r="P2713" s="4">
        <f>Tabla2[[#This Row],[Rentabilidad (%)]]/12</f>
        <v>-2.5994917416280568E-2</v>
      </c>
    </row>
    <row r="2714" spans="1:16" x14ac:dyDescent="0.35">
      <c r="A2714" s="1">
        <v>43405</v>
      </c>
      <c r="B2714" t="s">
        <v>16</v>
      </c>
      <c r="C2714" s="2">
        <v>467584</v>
      </c>
      <c r="D2714" s="5" t="s">
        <v>17</v>
      </c>
      <c r="E2714" s="2">
        <f>IF(Tabla2[[#This Row],[Frecuencia]]="Annual", Tabla2[[#This Row],[Cosecha/Tarea]]/12,Tabla2[[#This Row],[Cosecha/Tarea]])</f>
        <v>467584</v>
      </c>
      <c r="F2714" s="2">
        <v>1798595</v>
      </c>
      <c r="G2714" t="s">
        <v>18</v>
      </c>
      <c r="H2714">
        <f>F2714/Tabla2[[#This Row],[Cosecha Mensual]]</f>
        <v>3.846570883520394</v>
      </c>
      <c r="I2714">
        <f>H2714*_xlfn.XLOOKUP(Tabla2[[#This Row],[Unidad de producción]],Tabla3[Medida],Tabla3[Equivalencia en Kg],"ELVIS",0)</f>
        <v>174.48045527648506</v>
      </c>
      <c r="J2714">
        <v>2081.0045049504902</v>
      </c>
      <c r="K2714" t="s">
        <v>19</v>
      </c>
      <c r="L2714">
        <f>J2714/_xlfn.XLOOKUP(Tabla2[[#This Row],[Unidad de precio]],Tabla3[Medida],Tabla3[Equivalencia en Kg],"ELVIS",0)</f>
        <v>18.918222772277183</v>
      </c>
      <c r="M2714">
        <v>6204.1782065486696</v>
      </c>
      <c r="N2714" s="2">
        <f>(Tabla2[[#This Row],[Productividad (kg/TAS)]]*Tabla2[[#This Row],[Precio por kg]]-Tabla2[[#This Row],[Costos (En RD$/Tarea)]])</f>
        <v>-2903.3180842197794</v>
      </c>
      <c r="O2714" s="6">
        <f>IF(Tabla2[[#This Row],[Costos (En RD$/Tarea)]]=0,0,Tabla2[[#This Row],[Beneficio Neto  (En RD$/Tarea)]]/Tabla2[[#This Row],[Costos (En RD$/Tarea)]])</f>
        <v>-0.46796174893159137</v>
      </c>
      <c r="P2714" s="4">
        <f>Tabla2[[#This Row],[Rentabilidad (%)]]/12</f>
        <v>-3.8996812410965948E-2</v>
      </c>
    </row>
    <row r="2715" spans="1:16" x14ac:dyDescent="0.35">
      <c r="A2715" s="1">
        <v>43405</v>
      </c>
      <c r="B2715" t="s">
        <v>20</v>
      </c>
      <c r="C2715" s="2">
        <v>37542</v>
      </c>
      <c r="D2715" s="5" t="s">
        <v>17</v>
      </c>
      <c r="E2715" s="2">
        <f>IF(Tabla2[[#This Row],[Frecuencia]]="Annual", Tabla2[[#This Row],[Cosecha/Tarea]]/12,Tabla2[[#This Row],[Cosecha/Tarea]])</f>
        <v>37542</v>
      </c>
      <c r="F2715" s="2">
        <v>63015</v>
      </c>
      <c r="G2715" t="s">
        <v>18</v>
      </c>
      <c r="H2715">
        <f>F2715/Tabla2[[#This Row],[Cosecha Mensual]]</f>
        <v>1.6785200575355601</v>
      </c>
      <c r="I2715">
        <f>H2715*_xlfn.XLOOKUP(Tabla2[[#This Row],[Unidad de producción]],Tabla3[Medida],Tabla3[Equivalencia en Kg],"ELVIS",0)</f>
        <v>76.137669809813005</v>
      </c>
      <c r="J2715">
        <v>918.610243055556</v>
      </c>
      <c r="K2715" t="s">
        <v>18</v>
      </c>
      <c r="L2715">
        <f>J2715/_xlfn.XLOOKUP(Tabla2[[#This Row],[Unidad de precio]],Tabla3[Medida],Tabla3[Equivalencia en Kg],"ELVIS",0)</f>
        <v>20.251548568244178</v>
      </c>
      <c r="M2715">
        <v>2494.8799608792001</v>
      </c>
      <c r="N2715" s="2">
        <f>(Tabla2[[#This Row],[Productividad (kg/TAS)]]*Tabla2[[#This Row],[Precio por kg]]-Tabla2[[#This Row],[Costos (En RD$/Tarea)]])</f>
        <v>-952.97424285283341</v>
      </c>
      <c r="O2715" s="6">
        <f>IF(Tabla2[[#This Row],[Costos (En RD$/Tarea)]]=0,0,Tabla2[[#This Row],[Beneficio Neto  (En RD$/Tarea)]]/Tabla2[[#This Row],[Costos (En RD$/Tarea)]])</f>
        <v>-0.38197198173695041</v>
      </c>
      <c r="P2715" s="4">
        <f>Tabla2[[#This Row],[Rentabilidad (%)]]/12</f>
        <v>-3.18309984780792E-2</v>
      </c>
    </row>
    <row r="2716" spans="1:16" x14ac:dyDescent="0.35">
      <c r="A2716" s="1">
        <v>43405</v>
      </c>
      <c r="B2716" t="s">
        <v>21</v>
      </c>
      <c r="C2716" s="2">
        <v>13402</v>
      </c>
      <c r="D2716" s="5" t="s">
        <v>17</v>
      </c>
      <c r="E2716" s="2">
        <f>IF(Tabla2[[#This Row],[Frecuencia]]="Annual", Tabla2[[#This Row],[Cosecha/Tarea]]/12,Tabla2[[#This Row],[Cosecha/Tarea]])</f>
        <v>13402</v>
      </c>
      <c r="F2716" s="2">
        <v>100127</v>
      </c>
      <c r="G2716" t="s">
        <v>18</v>
      </c>
      <c r="H2716">
        <f>F2716/Tabla2[[#This Row],[Cosecha Mensual]]</f>
        <v>7.4710490971496792</v>
      </c>
      <c r="I2716">
        <f>H2716*_xlfn.XLOOKUP(Tabla2[[#This Row],[Unidad de producción]],Tabla3[Medida],Tabla3[Equivalencia en Kg],"ELVIS",0)</f>
        <v>338.88678704670946</v>
      </c>
      <c r="J2716">
        <v>755.05952380952397</v>
      </c>
      <c r="K2716" t="s">
        <v>18</v>
      </c>
      <c r="L2716">
        <f>J2716/_xlfn.XLOOKUP(Tabla2[[#This Row],[Unidad de precio]],Tabla3[Medida],Tabla3[Equivalencia en Kg],"ELVIS",0)</f>
        <v>16.645933064583861</v>
      </c>
      <c r="M2716">
        <v>5415.9215773320002</v>
      </c>
      <c r="N2716" s="2">
        <f>(Tabla2[[#This Row],[Productividad (kg/TAS)]]*Tabla2[[#This Row],[Precio por kg]]-Tabla2[[#This Row],[Costos (En RD$/Tarea)]])</f>
        <v>225.16519631941082</v>
      </c>
      <c r="O2716" s="6">
        <f>IF(Tabla2[[#This Row],[Costos (En RD$/Tarea)]]=0,0,Tabla2[[#This Row],[Beneficio Neto  (En RD$/Tarea)]]/Tabla2[[#This Row],[Costos (En RD$/Tarea)]])</f>
        <v>4.1574678123447284E-2</v>
      </c>
      <c r="P2716" s="4">
        <f>Tabla2[[#This Row],[Rentabilidad (%)]]/12</f>
        <v>3.4645565102872735E-3</v>
      </c>
    </row>
    <row r="2717" spans="1:16" x14ac:dyDescent="0.35">
      <c r="A2717" s="1">
        <v>43405</v>
      </c>
      <c r="B2717" t="s">
        <v>22</v>
      </c>
      <c r="C2717" s="2">
        <v>5621</v>
      </c>
      <c r="D2717" s="5" t="s">
        <v>17</v>
      </c>
      <c r="E2717" s="2">
        <f>IF(Tabla2[[#This Row],[Frecuencia]]="Annual", Tabla2[[#This Row],[Cosecha/Tarea]]/12,Tabla2[[#This Row],[Cosecha/Tarea]])</f>
        <v>5621</v>
      </c>
      <c r="F2717" s="2">
        <v>49854</v>
      </c>
      <c r="G2717" t="s">
        <v>18</v>
      </c>
      <c r="H2717">
        <f>F2717/Tabla2[[#This Row],[Cosecha Mensual]]</f>
        <v>8.8692403486924043</v>
      </c>
      <c r="I2717">
        <f>H2717*_xlfn.XLOOKUP(Tabla2[[#This Row],[Unidad de producción]],Tabla3[Medida],Tabla3[Equivalencia en Kg],"ELVIS",0)</f>
        <v>402.30874221668745</v>
      </c>
      <c r="J2717">
        <v>2018.6850732600701</v>
      </c>
      <c r="K2717" t="s">
        <v>18</v>
      </c>
      <c r="L2717">
        <f>J2717/_xlfn.XLOOKUP(Tabla2[[#This Row],[Unidad de precio]],Tabla3[Medida],Tabla3[Equivalencia en Kg],"ELVIS",0)</f>
        <v>44.503639181218475</v>
      </c>
      <c r="M2717">
        <v>10167.2711784</v>
      </c>
      <c r="N2717" s="2">
        <f>(Tabla2[[#This Row],[Productividad (kg/TAS)]]*Tabla2[[#This Row],[Precio por kg]]-Tabla2[[#This Row],[Costos (En RD$/Tarea)]])</f>
        <v>7736.9319246612959</v>
      </c>
      <c r="O2717" s="6">
        <f>IF(Tabla2[[#This Row],[Costos (En RD$/Tarea)]]=0,0,Tabla2[[#This Row],[Beneficio Neto  (En RD$/Tarea)]]/Tabla2[[#This Row],[Costos (En RD$/Tarea)]])</f>
        <v>0.76096445043170757</v>
      </c>
      <c r="P2717" s="4">
        <f>Tabla2[[#This Row],[Rentabilidad (%)]]/12</f>
        <v>6.3413704202642293E-2</v>
      </c>
    </row>
    <row r="2718" spans="1:16" x14ac:dyDescent="0.35">
      <c r="A2718" s="1">
        <v>43405</v>
      </c>
      <c r="B2718" t="s">
        <v>23</v>
      </c>
      <c r="C2718" s="2">
        <v>5321</v>
      </c>
      <c r="D2718" s="5" t="s">
        <v>17</v>
      </c>
      <c r="E2718" s="2">
        <f>IF(Tabla2[[#This Row],[Frecuencia]]="Annual", Tabla2[[#This Row],[Cosecha/Tarea]]/12,Tabla2[[#This Row],[Cosecha/Tarea]])</f>
        <v>5321</v>
      </c>
      <c r="F2718" s="2">
        <v>177455</v>
      </c>
      <c r="G2718" t="s">
        <v>18</v>
      </c>
      <c r="H2718">
        <f>F2718/Tabla2[[#This Row],[Cosecha Mensual]]</f>
        <v>33.349934222890433</v>
      </c>
      <c r="I2718">
        <f>H2718*_xlfn.XLOOKUP(Tabla2[[#This Row],[Unidad de producción]],Tabla3[Medida],Tabla3[Equivalencia en Kg],"ELVIS",0)</f>
        <v>1512.75301635031</v>
      </c>
      <c r="J2718">
        <v>1063.7485754985801</v>
      </c>
      <c r="K2718" t="s">
        <v>18</v>
      </c>
      <c r="L2718">
        <f>J2718/_xlfn.XLOOKUP(Tabla2[[#This Row],[Unidad de precio]],Tabla3[Medida],Tabla3[Equivalencia en Kg],"ELVIS",0)</f>
        <v>23.451247255259702</v>
      </c>
      <c r="M2718">
        <v>23803.192305637302</v>
      </c>
      <c r="N2718" s="2">
        <f>(Tabla2[[#This Row],[Productividad (kg/TAS)]]*Tabla2[[#This Row],[Precio por kg]]-Tabla2[[#This Row],[Costos (En RD$/Tarea)]])</f>
        <v>11672.752716933737</v>
      </c>
      <c r="O2718" s="6">
        <f>IF(Tabla2[[#This Row],[Costos (En RD$/Tarea)]]=0,0,Tabla2[[#This Row],[Beneficio Neto  (En RD$/Tarea)]]/Tabla2[[#This Row],[Costos (En RD$/Tarea)]])</f>
        <v>0.4903860191126248</v>
      </c>
      <c r="P2718" s="4">
        <f>Tabla2[[#This Row],[Rentabilidad (%)]]/12</f>
        <v>4.0865501592718734E-2</v>
      </c>
    </row>
    <row r="2719" spans="1:16" x14ac:dyDescent="0.35">
      <c r="A2719" s="1">
        <v>43405</v>
      </c>
      <c r="B2719" t="s">
        <v>24</v>
      </c>
      <c r="C2719" s="2">
        <v>6566</v>
      </c>
      <c r="D2719" s="5" t="s">
        <v>17</v>
      </c>
      <c r="E2719" s="2">
        <f>IF(Tabla2[[#This Row],[Frecuencia]]="Annual", Tabla2[[#This Row],[Cosecha/Tarea]]/12,Tabla2[[#This Row],[Cosecha/Tarea]])</f>
        <v>6566</v>
      </c>
      <c r="F2719" s="2">
        <v>48744</v>
      </c>
      <c r="G2719" t="s">
        <v>18</v>
      </c>
      <c r="H2719">
        <f>F2719/Tabla2[[#This Row],[Cosecha Mensual]]</f>
        <v>7.4236978373438927</v>
      </c>
      <c r="I2719">
        <f>H2719*_xlfn.XLOOKUP(Tabla2[[#This Row],[Unidad de producción]],Tabla3[Medida],Tabla3[Equivalencia en Kg],"ELVIS",0)</f>
        <v>336.73893390191898</v>
      </c>
      <c r="J2719">
        <v>2535.03125</v>
      </c>
      <c r="K2719" t="s">
        <v>18</v>
      </c>
      <c r="L2719">
        <f>J2719/_xlfn.XLOOKUP(Tabla2[[#This Row],[Unidad de precio]],Tabla3[Medida],Tabla3[Equivalencia en Kg],"ELVIS",0)</f>
        <v>55.886932319223988</v>
      </c>
      <c r="M2719">
        <v>9413.7321988511994</v>
      </c>
      <c r="N2719" s="2">
        <f>(Tabla2[[#This Row],[Productividad (kg/TAS)]]*Tabla2[[#This Row],[Precio por kg]]-Tabla2[[#This Row],[Costos (En RD$/Tarea)]])</f>
        <v>9405.5738093729869</v>
      </c>
      <c r="O2719" s="6">
        <f>IF(Tabla2[[#This Row],[Costos (En RD$/Tarea)]]=0,0,Tabla2[[#This Row],[Beneficio Neto  (En RD$/Tarea)]]/Tabla2[[#This Row],[Costos (En RD$/Tarea)]])</f>
        <v>0.9991333522872885</v>
      </c>
      <c r="P2719" s="4">
        <f>Tabla2[[#This Row],[Rentabilidad (%)]]/12</f>
        <v>8.3261112690607375E-2</v>
      </c>
    </row>
    <row r="2720" spans="1:16" x14ac:dyDescent="0.35">
      <c r="A2720" s="1">
        <v>43405</v>
      </c>
      <c r="B2720" t="s">
        <v>25</v>
      </c>
      <c r="C2720" s="2">
        <v>46012</v>
      </c>
      <c r="D2720" s="5" t="s">
        <v>17</v>
      </c>
      <c r="E2720" s="2">
        <f>IF(Tabla2[[#This Row],[Frecuencia]]="Annual", Tabla2[[#This Row],[Cosecha/Tarea]]/12,Tabla2[[#This Row],[Cosecha/Tarea]])</f>
        <v>46012</v>
      </c>
      <c r="F2720" s="2">
        <v>420124</v>
      </c>
      <c r="G2720" t="s">
        <v>18</v>
      </c>
      <c r="H2720">
        <f>F2720/Tabla2[[#This Row],[Cosecha Mensual]]</f>
        <v>9.1307485003912028</v>
      </c>
      <c r="I2720">
        <f>H2720*_xlfn.XLOOKUP(Tabla2[[#This Row],[Unidad de producción]],Tabla3[Medida],Tabla3[Equivalencia en Kg],"ELVIS",0)</f>
        <v>414.17075197774494</v>
      </c>
      <c r="J2720">
        <v>939.28816666666705</v>
      </c>
      <c r="K2720" t="s">
        <v>18</v>
      </c>
      <c r="L2720">
        <f>J2720/_xlfn.XLOOKUP(Tabla2[[#This Row],[Unidad de precio]],Tabla3[Medida],Tabla3[Equivalencia en Kg],"ELVIS",0)</f>
        <v>20.707411081716646</v>
      </c>
      <c r="M2720">
        <v>4549.7689931721798</v>
      </c>
      <c r="N2720" s="2">
        <f>(Tabla2[[#This Row],[Productividad (kg/TAS)]]*Tabla2[[#This Row],[Precio por kg]]-Tabla2[[#This Row],[Costos (En RD$/Tarea)]])</f>
        <v>4026.6350260546933</v>
      </c>
      <c r="O2720" s="6">
        <f>IF(Tabla2[[#This Row],[Costos (En RD$/Tarea)]]=0,0,Tabla2[[#This Row],[Beneficio Neto  (En RD$/Tarea)]]/Tabla2[[#This Row],[Costos (En RD$/Tarea)]])</f>
        <v>0.88501966409667143</v>
      </c>
      <c r="P2720" s="4">
        <f>Tabla2[[#This Row],[Rentabilidad (%)]]/12</f>
        <v>7.3751638674722619E-2</v>
      </c>
    </row>
    <row r="2721" spans="1:16" x14ac:dyDescent="0.35">
      <c r="A2721" s="1">
        <v>43405</v>
      </c>
      <c r="B2721" t="s">
        <v>26</v>
      </c>
      <c r="C2721" s="2">
        <v>13214</v>
      </c>
      <c r="D2721" s="5" t="s">
        <v>17</v>
      </c>
      <c r="E2721" s="2">
        <f>IF(Tabla2[[#This Row],[Frecuencia]]="Annual", Tabla2[[#This Row],[Cosecha/Tarea]]/12,Tabla2[[#This Row],[Cosecha/Tarea]])</f>
        <v>13214</v>
      </c>
      <c r="F2721" s="2">
        <v>86602</v>
      </c>
      <c r="G2721" t="s">
        <v>18</v>
      </c>
      <c r="H2721">
        <f>F2721/Tabla2[[#This Row],[Cosecha Mensual]]</f>
        <v>6.5538065687906766</v>
      </c>
      <c r="I2721">
        <f>H2721*_xlfn.XLOOKUP(Tabla2[[#This Row],[Unidad de producción]],Tabla3[Medida],Tabla3[Equivalencia en Kg],"ELVIS",0)</f>
        <v>297.28066596034506</v>
      </c>
      <c r="J2721">
        <v>935.38020833333303</v>
      </c>
      <c r="K2721" t="s">
        <v>18</v>
      </c>
      <c r="L2721">
        <f>J2721/_xlfn.XLOOKUP(Tabla2[[#This Row],[Unidad de precio]],Tabla3[Medida],Tabla3[Equivalencia en Kg],"ELVIS",0)</f>
        <v>20.621256797472068</v>
      </c>
      <c r="M2721">
        <v>1733.52094425</v>
      </c>
      <c r="N2721" s="2">
        <f>(Tabla2[[#This Row],[Productividad (kg/TAS)]]*Tabla2[[#This Row],[Precio por kg]]-Tabla2[[#This Row],[Costos (En RD$/Tarea)]])</f>
        <v>4396.7800094417889</v>
      </c>
      <c r="O2721" s="6">
        <f>IF(Tabla2[[#This Row],[Costos (En RD$/Tarea)]]=0,0,Tabla2[[#This Row],[Beneficio Neto  (En RD$/Tarea)]]/Tabla2[[#This Row],[Costos (En RD$/Tarea)]])</f>
        <v>2.5363293267529778</v>
      </c>
      <c r="P2721" s="4">
        <f>Tabla2[[#This Row],[Rentabilidad (%)]]/12</f>
        <v>0.21136077722941482</v>
      </c>
    </row>
    <row r="2722" spans="1:16" x14ac:dyDescent="0.35">
      <c r="A2722" s="1">
        <v>43405</v>
      </c>
      <c r="B2722" t="s">
        <v>27</v>
      </c>
      <c r="C2722" s="2">
        <v>6354</v>
      </c>
      <c r="D2722" s="5" t="s">
        <v>17</v>
      </c>
      <c r="E2722" s="2">
        <f>IF(Tabla2[[#This Row],[Frecuencia]]="Annual", Tabla2[[#This Row],[Cosecha/Tarea]]/12,Tabla2[[#This Row],[Cosecha/Tarea]])</f>
        <v>6354</v>
      </c>
      <c r="F2722" s="2">
        <v>36547</v>
      </c>
      <c r="G2722" t="s">
        <v>18</v>
      </c>
      <c r="H2722">
        <f>F2722/Tabla2[[#This Row],[Cosecha Mensual]]</f>
        <v>5.7518098835379288</v>
      </c>
      <c r="I2722">
        <f>H2722*_xlfn.XLOOKUP(Tabla2[[#This Row],[Unidad de producción]],Tabla3[Medida],Tabla3[Equivalencia en Kg],"ELVIS",0)</f>
        <v>260.90209631728044</v>
      </c>
      <c r="J2722">
        <v>868.19047619047603</v>
      </c>
      <c r="K2722" t="s">
        <v>18</v>
      </c>
      <c r="L2722">
        <f>J2722/_xlfn.XLOOKUP(Tabla2[[#This Row],[Unidad de precio]],Tabla3[Medida],Tabla3[Equivalencia en Kg],"ELVIS",0)</f>
        <v>19.140001679684215</v>
      </c>
      <c r="M2722">
        <v>9289.5754777799993</v>
      </c>
      <c r="N2722" s="2">
        <f>(Tabla2[[#This Row],[Productividad (kg/TAS)]]*Tabla2[[#This Row],[Precio por kg]]-Tabla2[[#This Row],[Costos (En RD$/Tarea)]])</f>
        <v>-4295.9089160341191</v>
      </c>
      <c r="O2722" s="6">
        <f>IF(Tabla2[[#This Row],[Costos (En RD$/Tarea)]]=0,0,Tabla2[[#This Row],[Beneficio Neto  (En RD$/Tarea)]]/Tabla2[[#This Row],[Costos (En RD$/Tarea)]])</f>
        <v>-0.46244405100207497</v>
      </c>
      <c r="P2722" s="4">
        <f>Tabla2[[#This Row],[Rentabilidad (%)]]/12</f>
        <v>-3.8537004250172917E-2</v>
      </c>
    </row>
    <row r="2723" spans="1:16" x14ac:dyDescent="0.35">
      <c r="A2723" s="1">
        <v>43405</v>
      </c>
      <c r="B2723" t="s">
        <v>28</v>
      </c>
      <c r="C2723" s="2">
        <v>65389</v>
      </c>
      <c r="D2723" s="5" t="s">
        <v>17</v>
      </c>
      <c r="E2723" s="2">
        <f>IF(Tabla2[[#This Row],[Frecuencia]]="Annual", Tabla2[[#This Row],[Cosecha/Tarea]]/12,Tabla2[[#This Row],[Cosecha/Tarea]])</f>
        <v>65389</v>
      </c>
      <c r="F2723" s="2">
        <v>985740</v>
      </c>
      <c r="G2723" t="s">
        <v>18</v>
      </c>
      <c r="H2723">
        <f>F2723/Tabla2[[#This Row],[Cosecha Mensual]]</f>
        <v>15.075012616800992</v>
      </c>
      <c r="I2723">
        <f>H2723*_xlfn.XLOOKUP(Tabla2[[#This Row],[Unidad de producción]],Tabla3[Medida],Tabla3[Equivalencia en Kg],"ELVIS",0)</f>
        <v>683.80257229809297</v>
      </c>
      <c r="J2723">
        <v>5573.7827380952403</v>
      </c>
      <c r="K2723" t="s">
        <v>29</v>
      </c>
      <c r="L2723">
        <f>J2723/_xlfn.XLOOKUP(Tabla2[[#This Row],[Unidad de precio]],Tabla3[Medida],Tabla3[Equivalencia en Kg],"ELVIS",0)</f>
        <v>9.9117664368446849</v>
      </c>
      <c r="M2723">
        <v>7167.6799321206599</v>
      </c>
      <c r="N2723" s="2">
        <f>(Tabla2[[#This Row],[Productividad (kg/TAS)]]*Tabla2[[#This Row],[Precio por kg]]-Tabla2[[#This Row],[Costos (En RD$/Tarea)]])</f>
        <v>-389.9885465883608</v>
      </c>
      <c r="O2723" s="6">
        <f>IF(Tabla2[[#This Row],[Costos (En RD$/Tarea)]]=0,0,Tabla2[[#This Row],[Beneficio Neto  (En RD$/Tarea)]]/Tabla2[[#This Row],[Costos (En RD$/Tarea)]])</f>
        <v>-5.4409313792137641E-2</v>
      </c>
      <c r="P2723" s="4">
        <f>Tabla2[[#This Row],[Rentabilidad (%)]]/12</f>
        <v>-4.5341094826781368E-3</v>
      </c>
    </row>
    <row r="2724" spans="1:16" x14ac:dyDescent="0.35">
      <c r="A2724" s="1">
        <v>43405</v>
      </c>
      <c r="B2724" t="s">
        <v>30</v>
      </c>
      <c r="C2724" s="2">
        <v>400100</v>
      </c>
      <c r="D2724" s="2" t="s">
        <v>31</v>
      </c>
      <c r="E2724" s="2">
        <f>IF(Tabla2[[#This Row],[Frecuencia]]="Annual", Tabla2[[#This Row],[Cosecha/Tarea]]/12,Tabla2[[#This Row],[Cosecha/Tarea]])</f>
        <v>33341.666666666664</v>
      </c>
      <c r="F2724" s="2">
        <v>1652909.4</v>
      </c>
      <c r="G2724" t="s">
        <v>18</v>
      </c>
      <c r="H2724">
        <f>F2724/Tabla2[[#This Row],[Cosecha Mensual]]</f>
        <v>49.574888277930519</v>
      </c>
      <c r="I2724">
        <f>H2724*_xlfn.XLOOKUP(Tabla2[[#This Row],[Unidad de producción]],Tabla3[Medida],Tabla3[Equivalencia en Kg],"ELVIS",0)</f>
        <v>2248.7169322869281</v>
      </c>
      <c r="J2724">
        <v>131.40625</v>
      </c>
      <c r="K2724" t="s">
        <v>32</v>
      </c>
      <c r="L2724">
        <f>J2724/_xlfn.XLOOKUP(Tabla2[[#This Row],[Unidad de precio]],Tabla3[Medida],Tabla3[Equivalencia en Kg],"ELVIS",0)</f>
        <v>4.8293366409408307</v>
      </c>
      <c r="M2724" s="2">
        <v>34069.662396</v>
      </c>
      <c r="N2724" s="2">
        <f>(Tabla2[[#This Row],[Productividad (kg/TAS)]]*Tabla2[[#This Row],[Precio por kg]]-Tabla2[[#This Row],[Costos (En RD$/Tarea)]])</f>
        <v>-23209.851319802678</v>
      </c>
      <c r="O2724" s="6">
        <f>IF(Tabla2[[#This Row],[Costos (En RD$/Tarea)]]=0,0,Tabla2[[#This Row],[Beneficio Neto  (En RD$/Tarea)]]/Tabla2[[#This Row],[Costos (En RD$/Tarea)]])</f>
        <v>-0.68124688322499094</v>
      </c>
      <c r="P2724" s="4">
        <f>Tabla2[[#This Row],[Rentabilidad (%)]]/12</f>
        <v>-5.6770573602082576E-2</v>
      </c>
    </row>
    <row r="2725" spans="1:16" x14ac:dyDescent="0.35">
      <c r="A2725" s="1">
        <v>43405</v>
      </c>
      <c r="B2725" t="s">
        <v>33</v>
      </c>
      <c r="C2725" s="2">
        <v>755421</v>
      </c>
      <c r="D2725" s="2" t="s">
        <v>31</v>
      </c>
      <c r="E2725" s="2">
        <f>IF(Tabla2[[#This Row],[Frecuencia]]="Annual", Tabla2[[#This Row],[Cosecha/Tarea]]/12,Tabla2[[#This Row],[Cosecha/Tarea]])</f>
        <v>62951.75</v>
      </c>
      <c r="F2725" s="2">
        <v>1269189</v>
      </c>
      <c r="G2725" t="s">
        <v>18</v>
      </c>
      <c r="H2725">
        <f>F2725/Tabla2[[#This Row],[Cosecha Mensual]]</f>
        <v>20.161298137065291</v>
      </c>
      <c r="I2725">
        <f>H2725*_xlfn.XLOOKUP(Tabla2[[#This Row],[Unidad de producción]],Tabla3[Medida],Tabla3[Equivalencia en Kg],"ELVIS",0)</f>
        <v>914.51648349728157</v>
      </c>
      <c r="J2725">
        <v>6619.9348958333303</v>
      </c>
      <c r="K2725" t="s">
        <v>34</v>
      </c>
      <c r="L2725">
        <f>J2725/_xlfn.XLOOKUP(Tabla2[[#This Row],[Unidad de precio]],Tabla3[Medida],Tabla3[Equivalencia en Kg],"ELVIS",0)</f>
        <v>16.21936762423945</v>
      </c>
      <c r="M2725" s="2">
        <v>22932.1463359308</v>
      </c>
      <c r="N2725" s="2">
        <f>(Tabla2[[#This Row],[Productividad (kg/TAS)]]*Tabla2[[#This Row],[Precio por kg]]-Tabla2[[#This Row],[Costos (En RD$/Tarea)]])</f>
        <v>-8099.2672916616812</v>
      </c>
      <c r="O2725" s="6">
        <f>IF(Tabla2[[#This Row],[Costos (En RD$/Tarea)]]=0,0,Tabla2[[#This Row],[Beneficio Neto  (En RD$/Tarea)]]/Tabla2[[#This Row],[Costos (En RD$/Tarea)]])</f>
        <v>-0.35318400523947019</v>
      </c>
      <c r="P2725" s="4">
        <f>Tabla2[[#This Row],[Rentabilidad (%)]]/12</f>
        <v>-2.9432000436622516E-2</v>
      </c>
    </row>
    <row r="2726" spans="1:16" x14ac:dyDescent="0.35">
      <c r="A2726" s="1">
        <v>43435</v>
      </c>
      <c r="B2726" t="s">
        <v>16</v>
      </c>
      <c r="C2726" s="2">
        <v>104598</v>
      </c>
      <c r="D2726" s="5" t="s">
        <v>17</v>
      </c>
      <c r="E2726" s="2">
        <f>IF(Tabla2[[#This Row],[Frecuencia]]="Annual", Tabla2[[#This Row],[Cosecha/Tarea]]/12,Tabla2[[#This Row],[Cosecha/Tarea]])</f>
        <v>104598</v>
      </c>
      <c r="F2726" s="2">
        <v>407654</v>
      </c>
      <c r="G2726" t="s">
        <v>18</v>
      </c>
      <c r="H2726">
        <f>F2726/Tabla2[[#This Row],[Cosecha Mensual]]</f>
        <v>3.8973402933134476</v>
      </c>
      <c r="I2726">
        <f>H2726*_xlfn.XLOOKUP(Tabla2[[#This Row],[Unidad de producción]],Tabla3[Medida],Tabla3[Equivalencia en Kg],"ELVIS",0)</f>
        <v>176.78335570469798</v>
      </c>
      <c r="J2726">
        <v>2145.7372203887098</v>
      </c>
      <c r="K2726" t="s">
        <v>19</v>
      </c>
      <c r="L2726">
        <f>J2726/_xlfn.XLOOKUP(Tabla2[[#This Row],[Unidad de precio]],Tabla3[Medida],Tabla3[Equivalencia en Kg],"ELVIS",0)</f>
        <v>19.506702003533725</v>
      </c>
      <c r="M2726">
        <v>6204.1782065486696</v>
      </c>
      <c r="N2726" s="2">
        <f>(Tabla2[[#This Row],[Productividad (kg/TAS)]]*Tabla2[[#This Row],[Precio por kg]]-Tabla2[[#This Row],[Costos (En RD$/Tarea)]])</f>
        <v>-2755.7179676324222</v>
      </c>
      <c r="O2726" s="6">
        <f>IF(Tabla2[[#This Row],[Costos (En RD$/Tarea)]]=0,0,Tabla2[[#This Row],[Beneficio Neto  (En RD$/Tarea)]]/Tabla2[[#This Row],[Costos (En RD$/Tarea)]])</f>
        <v>-0.44417131099227469</v>
      </c>
      <c r="P2726" s="4">
        <f>Tabla2[[#This Row],[Rentabilidad (%)]]/12</f>
        <v>-3.7014275916022889E-2</v>
      </c>
    </row>
    <row r="2727" spans="1:16" x14ac:dyDescent="0.35">
      <c r="A2727" s="1">
        <v>43435</v>
      </c>
      <c r="B2727" t="s">
        <v>20</v>
      </c>
      <c r="C2727" s="2">
        <v>52354</v>
      </c>
      <c r="D2727" s="5" t="s">
        <v>17</v>
      </c>
      <c r="E2727" s="2">
        <f>IF(Tabla2[[#This Row],[Frecuencia]]="Annual", Tabla2[[#This Row],[Cosecha/Tarea]]/12,Tabla2[[#This Row],[Cosecha/Tarea]])</f>
        <v>52354</v>
      </c>
      <c r="F2727" s="2">
        <v>99598</v>
      </c>
      <c r="G2727" t="s">
        <v>18</v>
      </c>
      <c r="H2727">
        <f>F2727/Tabla2[[#This Row],[Cosecha Mensual]]</f>
        <v>1.9023952324559728</v>
      </c>
      <c r="I2727">
        <f>H2727*_xlfn.XLOOKUP(Tabla2[[#This Row],[Unidad de producción]],Tabla3[Medida],Tabla3[Equivalencia en Kg],"ELVIS",0)</f>
        <v>86.292647744202924</v>
      </c>
      <c r="J2727">
        <v>904.92261904761904</v>
      </c>
      <c r="K2727" t="s">
        <v>18</v>
      </c>
      <c r="L2727">
        <f>J2727/_xlfn.XLOOKUP(Tabla2[[#This Row],[Unidad de precio]],Tabla3[Medida],Tabla3[Equivalencia en Kg],"ELVIS",0)</f>
        <v>19.949793188880491</v>
      </c>
      <c r="M2727">
        <v>2494.8799608792001</v>
      </c>
      <c r="N2727" s="2">
        <f>(Tabla2[[#This Row],[Productividad (kg/TAS)]]*Tabla2[[#This Row],[Precio por kg]]-Tabla2[[#This Row],[Costos (En RD$/Tarea)]])</f>
        <v>-773.35948466143714</v>
      </c>
      <c r="O2727" s="6">
        <f>IF(Tabla2[[#This Row],[Costos (En RD$/Tarea)]]=0,0,Tabla2[[#This Row],[Beneficio Neto  (En RD$/Tarea)]]/Tabla2[[#This Row],[Costos (En RD$/Tarea)]])</f>
        <v>-0.30997863495961703</v>
      </c>
      <c r="P2727" s="4">
        <f>Tabla2[[#This Row],[Rentabilidad (%)]]/12</f>
        <v>-2.5831552913301418E-2</v>
      </c>
    </row>
    <row r="2728" spans="1:16" x14ac:dyDescent="0.35">
      <c r="A2728" s="1">
        <v>43435</v>
      </c>
      <c r="B2728" t="s">
        <v>21</v>
      </c>
      <c r="C2728" s="2">
        <v>8945</v>
      </c>
      <c r="D2728" s="5" t="s">
        <v>17</v>
      </c>
      <c r="E2728" s="2">
        <f>IF(Tabla2[[#This Row],[Frecuencia]]="Annual", Tabla2[[#This Row],[Cosecha/Tarea]]/12,Tabla2[[#This Row],[Cosecha/Tarea]])</f>
        <v>8945</v>
      </c>
      <c r="F2728" s="2">
        <v>94814</v>
      </c>
      <c r="G2728" t="s">
        <v>18</v>
      </c>
      <c r="H2728">
        <f>F2728/Tabla2[[#This Row],[Cosecha Mensual]]</f>
        <v>10.599664617104528</v>
      </c>
      <c r="I2728">
        <f>H2728*_xlfn.XLOOKUP(Tabla2[[#This Row],[Unidad de producción]],Tabla3[Medida],Tabla3[Equivalencia en Kg],"ELVIS",0)</f>
        <v>480.80078703186138</v>
      </c>
      <c r="J2728">
        <v>681.88035788888897</v>
      </c>
      <c r="K2728" t="s">
        <v>18</v>
      </c>
      <c r="L2728">
        <f>J2728/_xlfn.XLOOKUP(Tabla2[[#This Row],[Unidad de precio]],Tabla3[Medida],Tabla3[Equivalencia en Kg],"ELVIS",0)</f>
        <v>15.032635755927888</v>
      </c>
      <c r="M2728">
        <v>5415.9215773320002</v>
      </c>
      <c r="N2728" s="2">
        <f>(Tabla2[[#This Row],[Productividad (kg/TAS)]]*Tabla2[[#This Row],[Precio por kg]]-Tabla2[[#This Row],[Costos (En RD$/Tarea)]])</f>
        <v>1811.7815252814289</v>
      </c>
      <c r="O2728" s="6">
        <f>IF(Tabla2[[#This Row],[Costos (En RD$/Tarea)]]=0,0,Tabla2[[#This Row],[Beneficio Neto  (En RD$/Tarea)]]/Tabla2[[#This Row],[Costos (En RD$/Tarea)]])</f>
        <v>0.33452875921699582</v>
      </c>
      <c r="P2728" s="4">
        <f>Tabla2[[#This Row],[Rentabilidad (%)]]/12</f>
        <v>2.7877396601416318E-2</v>
      </c>
    </row>
    <row r="2729" spans="1:16" x14ac:dyDescent="0.35">
      <c r="A2729" s="1">
        <v>43435</v>
      </c>
      <c r="B2729" t="s">
        <v>22</v>
      </c>
      <c r="C2729" s="2">
        <v>7004</v>
      </c>
      <c r="D2729" s="5" t="s">
        <v>17</v>
      </c>
      <c r="E2729" s="2">
        <f>IF(Tabla2[[#This Row],[Frecuencia]]="Annual", Tabla2[[#This Row],[Cosecha/Tarea]]/12,Tabla2[[#This Row],[Cosecha/Tarea]])</f>
        <v>7004</v>
      </c>
      <c r="F2729" s="2">
        <v>59844</v>
      </c>
      <c r="G2729" t="s">
        <v>18</v>
      </c>
      <c r="H2729">
        <f>F2729/Tabla2[[#This Row],[Cosecha Mensual]]</f>
        <v>8.5442604226156487</v>
      </c>
      <c r="I2729">
        <f>H2729*_xlfn.XLOOKUP(Tabla2[[#This Row],[Unidad de producción]],Tabla3[Medida],Tabla3[Equivalencia en Kg],"ELVIS",0)</f>
        <v>387.56765276984584</v>
      </c>
      <c r="J2729">
        <v>1942.4855439699199</v>
      </c>
      <c r="K2729" t="s">
        <v>18</v>
      </c>
      <c r="L2729">
        <f>J2729/_xlfn.XLOOKUP(Tabla2[[#This Row],[Unidad de precio]],Tabla3[Medida],Tabla3[Equivalencia en Kg],"ELVIS",0)</f>
        <v>42.823755378525576</v>
      </c>
      <c r="M2729">
        <v>10167.2711784</v>
      </c>
      <c r="N2729" s="2">
        <f>(Tabla2[[#This Row],[Productividad (kg/TAS)]]*Tabla2[[#This Row],[Precio por kg]]-Tabla2[[#This Row],[Costos (En RD$/Tarea)]])</f>
        <v>6429.8311764452174</v>
      </c>
      <c r="O2729" s="6">
        <f>IF(Tabla2[[#This Row],[Costos (En RD$/Tarea)]]=0,0,Tabla2[[#This Row],[Beneficio Neto  (En RD$/Tarea)]]/Tabla2[[#This Row],[Costos (En RD$/Tarea)]])</f>
        <v>0.6324048079001926</v>
      </c>
      <c r="P2729" s="4">
        <f>Tabla2[[#This Row],[Rentabilidad (%)]]/12</f>
        <v>5.2700400658349383E-2</v>
      </c>
    </row>
    <row r="2730" spans="1:16" x14ac:dyDescent="0.35">
      <c r="A2730" s="1">
        <v>43435</v>
      </c>
      <c r="B2730" t="s">
        <v>23</v>
      </c>
      <c r="C2730" s="2">
        <v>4775</v>
      </c>
      <c r="D2730" s="5" t="s">
        <v>17</v>
      </c>
      <c r="E2730" s="2">
        <f>IF(Tabla2[[#This Row],[Frecuencia]]="Annual", Tabla2[[#This Row],[Cosecha/Tarea]]/12,Tabla2[[#This Row],[Cosecha/Tarea]])</f>
        <v>4775</v>
      </c>
      <c r="F2730" s="2">
        <v>170898</v>
      </c>
      <c r="G2730" t="s">
        <v>18</v>
      </c>
      <c r="H2730">
        <f>F2730/Tabla2[[#This Row],[Cosecha Mensual]]</f>
        <v>35.790157068062825</v>
      </c>
      <c r="I2730">
        <f>H2730*_xlfn.XLOOKUP(Tabla2[[#This Row],[Unidad de producción]],Tabla3[Medida],Tabla3[Equivalencia en Kg],"ELVIS",0)</f>
        <v>1623.4415246073297</v>
      </c>
      <c r="J2730">
        <v>1145.40857290858</v>
      </c>
      <c r="K2730" t="s">
        <v>18</v>
      </c>
      <c r="L2730">
        <f>J2730/_xlfn.XLOOKUP(Tabla2[[#This Row],[Unidad de precio]],Tabla3[Medida],Tabla3[Equivalencia en Kg],"ELVIS",0)</f>
        <v>25.251511748425486</v>
      </c>
      <c r="M2730">
        <v>23803.192305637302</v>
      </c>
      <c r="N2730" s="2">
        <f>(Tabla2[[#This Row],[Productividad (kg/TAS)]]*Tabla2[[#This Row],[Precio por kg]]-Tabla2[[#This Row],[Costos (En RD$/Tarea)]])</f>
        <v>17191.16042586647</v>
      </c>
      <c r="O2730" s="6">
        <f>IF(Tabla2[[#This Row],[Costos (En RD$/Tarea)]]=0,0,Tabla2[[#This Row],[Beneficio Neto  (En RD$/Tarea)]]/Tabla2[[#This Row],[Costos (En RD$/Tarea)]])</f>
        <v>0.72222079312425225</v>
      </c>
      <c r="P2730" s="4">
        <f>Tabla2[[#This Row],[Rentabilidad (%)]]/12</f>
        <v>6.0185066093687685E-2</v>
      </c>
    </row>
    <row r="2731" spans="1:16" x14ac:dyDescent="0.35">
      <c r="A2731" s="1">
        <v>43435</v>
      </c>
      <c r="B2731" t="s">
        <v>24</v>
      </c>
      <c r="C2731" s="2">
        <v>8245</v>
      </c>
      <c r="D2731" s="5" t="s">
        <v>17</v>
      </c>
      <c r="E2731" s="2">
        <f>IF(Tabla2[[#This Row],[Frecuencia]]="Annual", Tabla2[[#This Row],[Cosecha/Tarea]]/12,Tabla2[[#This Row],[Cosecha/Tarea]])</f>
        <v>8245</v>
      </c>
      <c r="F2731" s="2">
        <v>82457</v>
      </c>
      <c r="G2731" t="s">
        <v>18</v>
      </c>
      <c r="H2731">
        <f>F2731/Tabla2[[#This Row],[Cosecha Mensual]]</f>
        <v>10.000848999393572</v>
      </c>
      <c r="I2731">
        <f>H2731*_xlfn.XLOOKUP(Tabla2[[#This Row],[Unidad de producción]],Tabla3[Medida],Tabla3[Equivalencia en Kg],"ELVIS",0)</f>
        <v>453.63851061249244</v>
      </c>
      <c r="J2731">
        <v>2678.8984126984101</v>
      </c>
      <c r="K2731" t="s">
        <v>18</v>
      </c>
      <c r="L2731">
        <f>J2731/_xlfn.XLOOKUP(Tabla2[[#This Row],[Unidad de precio]],Tabla3[Medida],Tabla3[Equivalencia en Kg],"ELVIS",0)</f>
        <v>59.058606981887351</v>
      </c>
      <c r="M2731">
        <v>9413.7321988511994</v>
      </c>
      <c r="N2731" s="2">
        <f>(Tabla2[[#This Row],[Productividad (kg/TAS)]]*Tabla2[[#This Row],[Precio por kg]]-Tabla2[[#This Row],[Costos (En RD$/Tarea)]])</f>
        <v>17377.526311260728</v>
      </c>
      <c r="O2731" s="6">
        <f>IF(Tabla2[[#This Row],[Costos (En RD$/Tarea)]]=0,0,Tabla2[[#This Row],[Beneficio Neto  (En RD$/Tarea)]]/Tabla2[[#This Row],[Costos (En RD$/Tarea)]])</f>
        <v>1.8459762763786065</v>
      </c>
      <c r="P2731" s="4">
        <f>Tabla2[[#This Row],[Rentabilidad (%)]]/12</f>
        <v>0.15383135636488388</v>
      </c>
    </row>
    <row r="2732" spans="1:16" x14ac:dyDescent="0.35">
      <c r="A2732" s="1">
        <v>43435</v>
      </c>
      <c r="B2732" t="s">
        <v>25</v>
      </c>
      <c r="C2732" s="2">
        <v>28599</v>
      </c>
      <c r="D2732" s="5" t="s">
        <v>17</v>
      </c>
      <c r="E2732" s="2">
        <f>IF(Tabla2[[#This Row],[Frecuencia]]="Annual", Tabla2[[#This Row],[Cosecha/Tarea]]/12,Tabla2[[#This Row],[Cosecha/Tarea]])</f>
        <v>28599</v>
      </c>
      <c r="F2732" s="2">
        <v>333569</v>
      </c>
      <c r="G2732" t="s">
        <v>18</v>
      </c>
      <c r="H2732">
        <f>F2732/Tabla2[[#This Row],[Cosecha Mensual]]</f>
        <v>11.663659568516382</v>
      </c>
      <c r="I2732">
        <f>H2732*_xlfn.XLOOKUP(Tabla2[[#This Row],[Unidad de producción]],Tabla3[Medida],Tabla3[Equivalencia en Kg],"ELVIS",0)</f>
        <v>529.06359802790303</v>
      </c>
      <c r="J2732">
        <v>866.28490476190495</v>
      </c>
      <c r="K2732" t="s">
        <v>18</v>
      </c>
      <c r="L2732">
        <f>J2732/_xlfn.XLOOKUP(Tabla2[[#This Row],[Unidad de precio]],Tabla3[Medida],Tabla3[Equivalencia en Kg],"ELVIS",0)</f>
        <v>19.097991727555225</v>
      </c>
      <c r="M2732">
        <v>4549.7689931721798</v>
      </c>
      <c r="N2732" s="2">
        <f>(Tabla2[[#This Row],[Productividad (kg/TAS)]]*Tabla2[[#This Row],[Precio por kg]]-Tabla2[[#This Row],[Costos (En RD$/Tarea)]])</f>
        <v>5554.2832253153156</v>
      </c>
      <c r="O2732" s="6">
        <f>IF(Tabla2[[#This Row],[Costos (En RD$/Tarea)]]=0,0,Tabla2[[#This Row],[Beneficio Neto  (En RD$/Tarea)]]/Tabla2[[#This Row],[Costos (En RD$/Tarea)]])</f>
        <v>1.220783568056006</v>
      </c>
      <c r="P2732" s="4">
        <f>Tabla2[[#This Row],[Rentabilidad (%)]]/12</f>
        <v>0.10173196400466716</v>
      </c>
    </row>
    <row r="2733" spans="1:16" x14ac:dyDescent="0.35">
      <c r="A2733" s="1">
        <v>43435</v>
      </c>
      <c r="B2733" t="s">
        <v>26</v>
      </c>
      <c r="C2733" s="2">
        <v>14201</v>
      </c>
      <c r="D2733" s="5" t="s">
        <v>17</v>
      </c>
      <c r="E2733" s="2">
        <f>IF(Tabla2[[#This Row],[Frecuencia]]="Annual", Tabla2[[#This Row],[Cosecha/Tarea]]/12,Tabla2[[#This Row],[Cosecha/Tarea]])</f>
        <v>14201</v>
      </c>
      <c r="F2733" s="2">
        <v>98998</v>
      </c>
      <c r="G2733" t="s">
        <v>18</v>
      </c>
      <c r="H2733">
        <f>F2733/Tabla2[[#This Row],[Cosecha Mensual]]</f>
        <v>6.971199211323146</v>
      </c>
      <c r="I2733">
        <f>H2733*_xlfn.XLOOKUP(Tabla2[[#This Row],[Unidad de producción]],Tabla3[Medida],Tabla3[Equivalencia en Kg],"ELVIS",0)</f>
        <v>316.21359622561789</v>
      </c>
      <c r="J2733">
        <v>942.52380952380895</v>
      </c>
      <c r="K2733" t="s">
        <v>18</v>
      </c>
      <c r="L2733">
        <f>J2733/_xlfn.XLOOKUP(Tabla2[[#This Row],[Unidad de precio]],Tabla3[Medida],Tabla3[Equivalencia en Kg],"ELVIS",0)</f>
        <v>20.778743596203903</v>
      </c>
      <c r="M2733">
        <v>1733.52094425</v>
      </c>
      <c r="N2733" s="2">
        <f>(Tabla2[[#This Row],[Productividad (kg/TAS)]]*Tabla2[[#This Row],[Precio por kg]]-Tabla2[[#This Row],[Costos (En RD$/Tarea)]])</f>
        <v>4837.0002933556643</v>
      </c>
      <c r="O2733" s="6">
        <f>IF(Tabla2[[#This Row],[Costos (En RD$/Tarea)]]=0,0,Tabla2[[#This Row],[Beneficio Neto  (En RD$/Tarea)]]/Tabla2[[#This Row],[Costos (En RD$/Tarea)]])</f>
        <v>2.7902750811288124</v>
      </c>
      <c r="P2733" s="4">
        <f>Tabla2[[#This Row],[Rentabilidad (%)]]/12</f>
        <v>0.23252292342740102</v>
      </c>
    </row>
    <row r="2734" spans="1:16" x14ac:dyDescent="0.35">
      <c r="A2734" s="1">
        <v>43435</v>
      </c>
      <c r="B2734" t="s">
        <v>27</v>
      </c>
      <c r="C2734" s="2">
        <v>7674</v>
      </c>
      <c r="D2734" s="5" t="s">
        <v>17</v>
      </c>
      <c r="E2734" s="2">
        <f>IF(Tabla2[[#This Row],[Frecuencia]]="Annual", Tabla2[[#This Row],[Cosecha/Tarea]]/12,Tabla2[[#This Row],[Cosecha/Tarea]])</f>
        <v>7674</v>
      </c>
      <c r="F2734" s="2">
        <v>47087</v>
      </c>
      <c r="G2734" t="s">
        <v>18</v>
      </c>
      <c r="H2734">
        <f>F2734/Tabla2[[#This Row],[Cosecha Mensual]]</f>
        <v>6.1359134740682828</v>
      </c>
      <c r="I2734">
        <f>H2734*_xlfn.XLOOKUP(Tabla2[[#This Row],[Unidad de producción]],Tabla3[Medida],Tabla3[Equivalencia en Kg],"ELVIS",0)</f>
        <v>278.32503518373733</v>
      </c>
      <c r="J2734">
        <v>788.83333333333303</v>
      </c>
      <c r="K2734" t="s">
        <v>18</v>
      </c>
      <c r="L2734">
        <f>J2734/_xlfn.XLOOKUP(Tabla2[[#This Row],[Unidad de precio]],Tabla3[Medida],Tabla3[Equivalencia en Kg],"ELVIS",0)</f>
        <v>17.390505584950024</v>
      </c>
      <c r="M2734">
        <v>9289.5754777799993</v>
      </c>
      <c r="N2734" s="2">
        <f>(Tabla2[[#This Row],[Productividad (kg/TAS)]]*Tabla2[[#This Row],[Precio por kg]]-Tabla2[[#This Row],[Costos (En RD$/Tarea)]])</f>
        <v>-4449.3623989858033</v>
      </c>
      <c r="O2734" s="6">
        <f>IF(Tabla2[[#This Row],[Costos (En RD$/Tarea)]]=0,0,Tabla2[[#This Row],[Beneficio Neto  (En RD$/Tarea)]]/Tabla2[[#This Row],[Costos (En RD$/Tarea)]])</f>
        <v>-0.47896294180809018</v>
      </c>
      <c r="P2734" s="4">
        <f>Tabla2[[#This Row],[Rentabilidad (%)]]/12</f>
        <v>-3.9913578484007513E-2</v>
      </c>
    </row>
    <row r="2735" spans="1:16" x14ac:dyDescent="0.35">
      <c r="A2735" s="1">
        <v>43435</v>
      </c>
      <c r="B2735" t="s">
        <v>28</v>
      </c>
      <c r="C2735" s="2">
        <v>67845</v>
      </c>
      <c r="D2735" s="5" t="s">
        <v>17</v>
      </c>
      <c r="E2735" s="2">
        <f>IF(Tabla2[[#This Row],[Frecuencia]]="Annual", Tabla2[[#This Row],[Cosecha/Tarea]]/12,Tabla2[[#This Row],[Cosecha/Tarea]])</f>
        <v>67845</v>
      </c>
      <c r="F2735" s="2">
        <v>1382892</v>
      </c>
      <c r="G2735" t="s">
        <v>18</v>
      </c>
      <c r="H2735">
        <f>F2735/Tabla2[[#This Row],[Cosecha Mensual]]</f>
        <v>20.383108556267963</v>
      </c>
      <c r="I2735">
        <f>H2735*_xlfn.XLOOKUP(Tabla2[[#This Row],[Unidad de producción]],Tabla3[Medida],Tabla3[Equivalencia en Kg],"ELVIS",0)</f>
        <v>924.57780411231477</v>
      </c>
      <c r="J2735">
        <v>6563.38666666667</v>
      </c>
      <c r="K2735" t="s">
        <v>29</v>
      </c>
      <c r="L2735">
        <f>J2735/_xlfn.XLOOKUP(Tabla2[[#This Row],[Unidad de precio]],Tabla3[Medida],Tabla3[Equivalencia en Kg],"ELVIS",0)</f>
        <v>11.671562874180513</v>
      </c>
      <c r="M2735">
        <v>7167.6799321206599</v>
      </c>
      <c r="N2735" s="2">
        <f>(Tabla2[[#This Row],[Productividad (kg/TAS)]]*Tabla2[[#This Row],[Precio por kg]]-Tabla2[[#This Row],[Costos (En RD$/Tarea)]])</f>
        <v>3623.5880406479755</v>
      </c>
      <c r="O2735" s="6">
        <f>IF(Tabla2[[#This Row],[Costos (En RD$/Tarea)]]=0,0,Tabla2[[#This Row],[Beneficio Neto  (En RD$/Tarea)]]/Tabla2[[#This Row],[Costos (En RD$/Tarea)]])</f>
        <v>0.50554545891614411</v>
      </c>
      <c r="P2735" s="4">
        <f>Tabla2[[#This Row],[Rentabilidad (%)]]/12</f>
        <v>4.2128788243012007E-2</v>
      </c>
    </row>
    <row r="2736" spans="1:16" x14ac:dyDescent="0.35">
      <c r="A2736" s="1">
        <v>43435</v>
      </c>
      <c r="B2736" t="s">
        <v>30</v>
      </c>
      <c r="C2736" s="2">
        <v>398021</v>
      </c>
      <c r="D2736" s="2" t="s">
        <v>31</v>
      </c>
      <c r="E2736" s="2">
        <f>IF(Tabla2[[#This Row],[Frecuencia]]="Annual", Tabla2[[#This Row],[Cosecha/Tarea]]/12,Tabla2[[#This Row],[Cosecha/Tarea]])</f>
        <v>33168.416666666664</v>
      </c>
      <c r="F2736" s="2">
        <v>2081164.8</v>
      </c>
      <c r="G2736" t="s">
        <v>18</v>
      </c>
      <c r="H2736">
        <f>F2736/Tabla2[[#This Row],[Cosecha Mensual]]</f>
        <v>62.745376751477941</v>
      </c>
      <c r="I2736">
        <f>H2736*_xlfn.XLOOKUP(Tabla2[[#This Row],[Unidad de producción]],Tabla3[Medida],Tabla3[Equivalencia en Kg],"ELVIS",0)</f>
        <v>2846.1302894470396</v>
      </c>
      <c r="J2736">
        <v>141.56547619047601</v>
      </c>
      <c r="K2736" t="s">
        <v>32</v>
      </c>
      <c r="L2736">
        <f>J2736/_xlfn.XLOOKUP(Tabla2[[#This Row],[Unidad de precio]],Tabla3[Medida],Tabla3[Equivalencia en Kg],"ELVIS",0)</f>
        <v>5.2027003377609704</v>
      </c>
      <c r="M2736" s="2">
        <v>34069.662396</v>
      </c>
      <c r="N2736" s="2">
        <f>(Tabla2[[#This Row],[Productividad (kg/TAS)]]*Tabla2[[#This Row],[Precio por kg]]-Tabla2[[#This Row],[Costos (En RD$/Tarea)]])</f>
        <v>-19262.099377782157</v>
      </c>
      <c r="O2736" s="6">
        <f>IF(Tabla2[[#This Row],[Costos (En RD$/Tarea)]]=0,0,Tabla2[[#This Row],[Beneficio Neto  (En RD$/Tarea)]]/Tabla2[[#This Row],[Costos (En RD$/Tarea)]])</f>
        <v>-0.5653739433603443</v>
      </c>
      <c r="P2736" s="4">
        <f>Tabla2[[#This Row],[Rentabilidad (%)]]/12</f>
        <v>-4.7114495280028694E-2</v>
      </c>
    </row>
    <row r="2737" spans="1:16" x14ac:dyDescent="0.35">
      <c r="A2737" s="1">
        <v>43435</v>
      </c>
      <c r="B2737" t="s">
        <v>33</v>
      </c>
      <c r="C2737" s="2">
        <v>789541</v>
      </c>
      <c r="D2737" s="2" t="s">
        <v>31</v>
      </c>
      <c r="E2737" s="2">
        <f>IF(Tabla2[[#This Row],[Frecuencia]]="Annual", Tabla2[[#This Row],[Cosecha/Tarea]]/12,Tabla2[[#This Row],[Cosecha/Tarea]])</f>
        <v>65795.083333333328</v>
      </c>
      <c r="F2737" s="2">
        <v>1387943.8965952401</v>
      </c>
      <c r="G2737" t="s">
        <v>18</v>
      </c>
      <c r="H2737">
        <f>F2737/Tabla2[[#This Row],[Cosecha Mensual]]</f>
        <v>21.094948532302798</v>
      </c>
      <c r="I2737">
        <f>H2737*_xlfn.XLOOKUP(Tabla2[[#This Row],[Unidad de producción]],Tabla3[Medida],Tabla3[Equivalencia en Kg],"ELVIS",0)</f>
        <v>956.8668654252549</v>
      </c>
      <c r="J2737">
        <v>6962.1785714285697</v>
      </c>
      <c r="K2737" t="s">
        <v>34</v>
      </c>
      <c r="L2737">
        <f>J2737/_xlfn.XLOOKUP(Tabla2[[#This Row],[Unidad de precio]],Tabla3[Medida],Tabla3[Equivalencia en Kg],"ELVIS",0)</f>
        <v>17.057891881486146</v>
      </c>
      <c r="M2737" s="2">
        <v>22932.1463359308</v>
      </c>
      <c r="N2737" s="2">
        <f>(Tabla2[[#This Row],[Productividad (kg/TAS)]]*Tabla2[[#This Row],[Precio por kg]]-Tabla2[[#This Row],[Costos (En RD$/Tarea)]])</f>
        <v>-6610.0148005302472</v>
      </c>
      <c r="O2737" s="6">
        <f>IF(Tabla2[[#This Row],[Costos (En RD$/Tarea)]]=0,0,Tabla2[[#This Row],[Beneficio Neto  (En RD$/Tarea)]]/Tabla2[[#This Row],[Costos (En RD$/Tarea)]])</f>
        <v>-0.2882423085785682</v>
      </c>
      <c r="P2737" s="4">
        <f>Tabla2[[#This Row],[Rentabilidad (%)]]/12</f>
        <v>-2.4020192381547349E-2</v>
      </c>
    </row>
    <row r="2738" spans="1:16" x14ac:dyDescent="0.35">
      <c r="A2738" s="1">
        <v>43466</v>
      </c>
      <c r="B2738" t="s">
        <v>16</v>
      </c>
      <c r="C2738" s="2">
        <v>21379</v>
      </c>
      <c r="D2738" s="5" t="s">
        <v>17</v>
      </c>
      <c r="E2738" s="2">
        <f>IF(Tabla2[[#This Row],[Frecuencia]]="Annual", Tabla2[[#This Row],[Cosecha/Tarea]]/12,Tabla2[[#This Row],[Cosecha/Tarea]])</f>
        <v>21379</v>
      </c>
      <c r="F2738" s="2">
        <v>75147</v>
      </c>
      <c r="G2738" t="s">
        <v>18</v>
      </c>
      <c r="H2738">
        <f>F2738/Tabla2[[#This Row],[Cosecha Mensual]]</f>
        <v>3.5149913466485803</v>
      </c>
      <c r="I2738">
        <f>H2738*_xlfn.XLOOKUP(Tabla2[[#This Row],[Unidad de producción]],Tabla3[Medida],Tabla3[Equivalencia en Kg],"ELVIS",0)</f>
        <v>159.4400074839796</v>
      </c>
      <c r="J2738">
        <v>2202.1838864442002</v>
      </c>
      <c r="K2738" t="s">
        <v>19</v>
      </c>
      <c r="L2738">
        <f>J2738/_xlfn.XLOOKUP(Tabla2[[#This Row],[Unidad de precio]],Tabla3[Medida],Tabla3[Equivalencia en Kg],"ELVIS",0)</f>
        <v>20.019853513129092</v>
      </c>
      <c r="M2738">
        <v>6284.7907932016997</v>
      </c>
      <c r="N2738" s="2">
        <f>(Tabla2[[#This Row],[Productividad (kg/TAS)]]*Tabla2[[#This Row],[Precio por kg]]-Tabla2[[#This Row],[Costos (En RD$/Tarea)]])</f>
        <v>-3092.825199240222</v>
      </c>
      <c r="O2738" s="6">
        <f>IF(Tabla2[[#This Row],[Costos (En RD$/Tarea)]]=0,0,Tabla2[[#This Row],[Beneficio Neto  (En RD$/Tarea)]]/Tabla2[[#This Row],[Costos (En RD$/Tarea)]])</f>
        <v>-0.49211267343787352</v>
      </c>
      <c r="P2738" s="4">
        <f>Tabla2[[#This Row],[Rentabilidad (%)]]/12</f>
        <v>-4.1009389453156124E-2</v>
      </c>
    </row>
    <row r="2739" spans="1:16" x14ac:dyDescent="0.35">
      <c r="A2739" s="1">
        <v>43466</v>
      </c>
      <c r="B2739" t="s">
        <v>20</v>
      </c>
      <c r="C2739" s="2">
        <v>54602</v>
      </c>
      <c r="D2739" s="5" t="s">
        <v>17</v>
      </c>
      <c r="E2739" s="2">
        <f>IF(Tabla2[[#This Row],[Frecuencia]]="Annual", Tabla2[[#This Row],[Cosecha/Tarea]]/12,Tabla2[[#This Row],[Cosecha/Tarea]])</f>
        <v>54602</v>
      </c>
      <c r="F2739" s="2">
        <v>101201</v>
      </c>
      <c r="G2739" t="s">
        <v>18</v>
      </c>
      <c r="H2739">
        <f>F2739/Tabla2[[#This Row],[Cosecha Mensual]]</f>
        <v>1.8534302772792206</v>
      </c>
      <c r="I2739">
        <f>H2739*_xlfn.XLOOKUP(Tabla2[[#This Row],[Unidad de producción]],Tabla3[Medida],Tabla3[Equivalencia en Kg],"ELVIS",0)</f>
        <v>84.071597377385444</v>
      </c>
      <c r="J2739">
        <v>941.22018229166702</v>
      </c>
      <c r="K2739" t="s">
        <v>18</v>
      </c>
      <c r="L2739">
        <f>J2739/_xlfn.XLOOKUP(Tabla2[[#This Row],[Unidad de precio]],Tabla3[Medida],Tabla3[Equivalencia en Kg],"ELVIS",0)</f>
        <v>20.750004018775726</v>
      </c>
      <c r="M2739">
        <v>2409.2436004449601</v>
      </c>
      <c r="N2739" s="2">
        <f>(Tabla2[[#This Row],[Productividad (kg/TAS)]]*Tabla2[[#This Row],[Precio por kg]]-Tabla2[[#This Row],[Costos (En RD$/Tarea)]])</f>
        <v>-664.75761699931718</v>
      </c>
      <c r="O2739" s="6">
        <f>IF(Tabla2[[#This Row],[Costos (En RD$/Tarea)]]=0,0,Tabla2[[#This Row],[Beneficio Neto  (En RD$/Tarea)]]/Tabla2[[#This Row],[Costos (En RD$/Tarea)]])</f>
        <v>-0.27591963588760554</v>
      </c>
      <c r="P2739" s="4">
        <f>Tabla2[[#This Row],[Rentabilidad (%)]]/12</f>
        <v>-2.2993302990633794E-2</v>
      </c>
    </row>
    <row r="2740" spans="1:16" x14ac:dyDescent="0.35">
      <c r="A2740" s="1">
        <v>43466</v>
      </c>
      <c r="B2740" t="s">
        <v>21</v>
      </c>
      <c r="C2740" s="2">
        <v>6098</v>
      </c>
      <c r="D2740" s="5" t="s">
        <v>17</v>
      </c>
      <c r="E2740" s="2">
        <f>IF(Tabla2[[#This Row],[Frecuencia]]="Annual", Tabla2[[#This Row],[Cosecha/Tarea]]/12,Tabla2[[#This Row],[Cosecha/Tarea]])</f>
        <v>6098</v>
      </c>
      <c r="F2740" s="2">
        <v>82847</v>
      </c>
      <c r="G2740" t="s">
        <v>18</v>
      </c>
      <c r="H2740">
        <f>F2740/Tabla2[[#This Row],[Cosecha Mensual]]</f>
        <v>13.585929813053459</v>
      </c>
      <c r="I2740">
        <f>H2740*_xlfn.XLOOKUP(Tabla2[[#This Row],[Unidad de producción]],Tabla3[Medida],Tabla3[Equivalencia en Kg],"ELVIS",0)</f>
        <v>616.25777632010488</v>
      </c>
      <c r="J2740">
        <v>600.77678571428601</v>
      </c>
      <c r="K2740" t="s">
        <v>18</v>
      </c>
      <c r="L2740">
        <f>J2740/_xlfn.XLOOKUP(Tabla2[[#This Row],[Unidad de precio]],Tabla3[Medida],Tabla3[Equivalencia en Kg],"ELVIS",0)</f>
        <v>13.244638133030996</v>
      </c>
      <c r="M2740">
        <v>5846.9700795819999</v>
      </c>
      <c r="N2740" s="2">
        <f>(Tabla2[[#This Row],[Productividad (kg/TAS)]]*Tabla2[[#This Row],[Precio por kg]]-Tabla2[[#This Row],[Costos (En RD$/Tarea)]])</f>
        <v>2315.1411644441469</v>
      </c>
      <c r="O2740" s="6">
        <f>IF(Tabla2[[#This Row],[Costos (En RD$/Tarea)]]=0,0,Tabla2[[#This Row],[Beneficio Neto  (En RD$/Tarea)]]/Tabla2[[#This Row],[Costos (En RD$/Tarea)]])</f>
        <v>0.39595570576438738</v>
      </c>
      <c r="P2740" s="4">
        <f>Tabla2[[#This Row],[Rentabilidad (%)]]/12</f>
        <v>3.299630881369895E-2</v>
      </c>
    </row>
    <row r="2741" spans="1:16" x14ac:dyDescent="0.35">
      <c r="A2741" s="1">
        <v>43466</v>
      </c>
      <c r="B2741" t="s">
        <v>22</v>
      </c>
      <c r="C2741" s="2">
        <v>10214</v>
      </c>
      <c r="D2741" s="5" t="s">
        <v>17</v>
      </c>
      <c r="E2741" s="2">
        <f>IF(Tabla2[[#This Row],[Frecuencia]]="Annual", Tabla2[[#This Row],[Cosecha/Tarea]]/12,Tabla2[[#This Row],[Cosecha/Tarea]])</f>
        <v>10214</v>
      </c>
      <c r="F2741" s="2">
        <v>85412</v>
      </c>
      <c r="G2741" t="s">
        <v>18</v>
      </c>
      <c r="H2741">
        <f>F2741/Tabla2[[#This Row],[Cosecha Mensual]]</f>
        <v>8.362247895046016</v>
      </c>
      <c r="I2741">
        <f>H2741*_xlfn.XLOOKUP(Tabla2[[#This Row],[Unidad de producción]],Tabla3[Medida],Tabla3[Equivalencia en Kg],"ELVIS",0)</f>
        <v>379.31156451928729</v>
      </c>
      <c r="J2741">
        <v>1255.2265625</v>
      </c>
      <c r="K2741" t="s">
        <v>18</v>
      </c>
      <c r="L2741">
        <f>J2741/_xlfn.XLOOKUP(Tabla2[[#This Row],[Unidad de precio]],Tabla3[Medida],Tabla3[Equivalencia en Kg],"ELVIS",0)</f>
        <v>27.672543264991184</v>
      </c>
      <c r="M2741">
        <v>10137.37206528</v>
      </c>
      <c r="N2741" s="2">
        <f>(Tabla2[[#This Row],[Productividad (kg/TAS)]]*Tabla2[[#This Row],[Precio por kg]]-Tabla2[[#This Row],[Costos (En RD$/Tarea)]])</f>
        <v>359.14361479147192</v>
      </c>
      <c r="O2741" s="6">
        <f>IF(Tabla2[[#This Row],[Costos (En RD$/Tarea)]]=0,0,Tabla2[[#This Row],[Beneficio Neto  (En RD$/Tarea)]]/Tabla2[[#This Row],[Costos (En RD$/Tarea)]])</f>
        <v>3.5427684066319423E-2</v>
      </c>
      <c r="P2741" s="4">
        <f>Tabla2[[#This Row],[Rentabilidad (%)]]/12</f>
        <v>2.9523070055266186E-3</v>
      </c>
    </row>
    <row r="2742" spans="1:16" x14ac:dyDescent="0.35">
      <c r="A2742" s="1">
        <v>43466</v>
      </c>
      <c r="B2742" t="s">
        <v>23</v>
      </c>
      <c r="C2742" s="2">
        <v>5001</v>
      </c>
      <c r="D2742" s="5" t="s">
        <v>17</v>
      </c>
      <c r="E2742" s="2">
        <f>IF(Tabla2[[#This Row],[Frecuencia]]="Annual", Tabla2[[#This Row],[Cosecha/Tarea]]/12,Tabla2[[#This Row],[Cosecha/Tarea]])</f>
        <v>5001</v>
      </c>
      <c r="F2742" s="2">
        <v>142578</v>
      </c>
      <c r="G2742" t="s">
        <v>18</v>
      </c>
      <c r="H2742">
        <f>F2742/Tabla2[[#This Row],[Cosecha Mensual]]</f>
        <v>28.509898020395919</v>
      </c>
      <c r="I2742">
        <f>H2742*_xlfn.XLOOKUP(Tabla2[[#This Row],[Unidad de producción]],Tabla3[Medida],Tabla3[Equivalencia en Kg],"ELVIS",0)</f>
        <v>1293.2089742051589</v>
      </c>
      <c r="J2742">
        <v>925.16666666666697</v>
      </c>
      <c r="K2742" t="s">
        <v>18</v>
      </c>
      <c r="L2742">
        <f>J2742/_xlfn.XLOOKUP(Tabla2[[#This Row],[Unidad de precio]],Tabla3[Medida],Tabla3[Equivalencia en Kg],"ELVIS",0)</f>
        <v>20.396090534979432</v>
      </c>
      <c r="M2742">
        <v>26088.260008087302</v>
      </c>
      <c r="N2742" s="2">
        <f>(Tabla2[[#This Row],[Productividad (kg/TAS)]]*Tabla2[[#This Row],[Precio por kg]]-Tabla2[[#This Row],[Costos (En RD$/Tarea)]])</f>
        <v>288.14731044899963</v>
      </c>
      <c r="O2742" s="6">
        <f>IF(Tabla2[[#This Row],[Costos (En RD$/Tarea)]]=0,0,Tabla2[[#This Row],[Beneficio Neto  (En RD$/Tarea)]]/Tabla2[[#This Row],[Costos (En RD$/Tarea)]])</f>
        <v>1.1045095010540167E-2</v>
      </c>
      <c r="P2742" s="4">
        <f>Tabla2[[#This Row],[Rentabilidad (%)]]/12</f>
        <v>9.2042458421168064E-4</v>
      </c>
    </row>
    <row r="2743" spans="1:16" x14ac:dyDescent="0.35">
      <c r="A2743" s="1">
        <v>43466</v>
      </c>
      <c r="B2743" t="s">
        <v>24</v>
      </c>
      <c r="C2743" s="2">
        <v>5421</v>
      </c>
      <c r="D2743" s="5" t="s">
        <v>17</v>
      </c>
      <c r="E2743" s="2">
        <f>IF(Tabla2[[#This Row],[Frecuencia]]="Annual", Tabla2[[#This Row],[Cosecha/Tarea]]/12,Tabla2[[#This Row],[Cosecha/Tarea]])</f>
        <v>5421</v>
      </c>
      <c r="F2743" s="2">
        <v>65214</v>
      </c>
      <c r="G2743" t="s">
        <v>18</v>
      </c>
      <c r="H2743">
        <f>F2743/Tabla2[[#This Row],[Cosecha Mensual]]</f>
        <v>12.029883785279468</v>
      </c>
      <c r="I2743">
        <f>H2743*_xlfn.XLOOKUP(Tabla2[[#This Row],[Unidad de producción]],Tabla3[Medida],Tabla3[Equivalencia en Kg],"ELVIS",0)</f>
        <v>545.67552850027664</v>
      </c>
      <c r="J2743">
        <v>2439.6942708333299</v>
      </c>
      <c r="K2743" t="s">
        <v>18</v>
      </c>
      <c r="L2743">
        <f>J2743/_xlfn.XLOOKUP(Tabla2[[#This Row],[Unidad de precio]],Tabla3[Medida],Tabla3[Equivalencia en Kg],"ELVIS",0)</f>
        <v>53.785147064226848</v>
      </c>
      <c r="M2743">
        <v>8388.8026628831994</v>
      </c>
      <c r="N2743" s="2">
        <f>(Tabla2[[#This Row],[Productividad (kg/TAS)]]*Tabla2[[#This Row],[Precio por kg]]-Tabla2[[#This Row],[Costos (En RD$/Tarea)]])</f>
        <v>20960.435886853891</v>
      </c>
      <c r="O2743" s="6">
        <f>IF(Tabla2[[#This Row],[Costos (En RD$/Tarea)]]=0,0,Tabla2[[#This Row],[Beneficio Neto  (En RD$/Tarea)]]/Tabla2[[#This Row],[Costos (En RD$/Tarea)]])</f>
        <v>2.4986206886943112</v>
      </c>
      <c r="P2743" s="4">
        <f>Tabla2[[#This Row],[Rentabilidad (%)]]/12</f>
        <v>0.20821839072452594</v>
      </c>
    </row>
    <row r="2744" spans="1:16" x14ac:dyDescent="0.35">
      <c r="A2744" s="1">
        <v>43466</v>
      </c>
      <c r="B2744" t="s">
        <v>25</v>
      </c>
      <c r="C2744" s="2">
        <v>25641</v>
      </c>
      <c r="D2744" s="5" t="s">
        <v>17</v>
      </c>
      <c r="E2744" s="2">
        <f>IF(Tabla2[[#This Row],[Frecuencia]]="Annual", Tabla2[[#This Row],[Cosecha/Tarea]]/12,Tabla2[[#This Row],[Cosecha/Tarea]])</f>
        <v>25641</v>
      </c>
      <c r="F2744" s="2">
        <v>271548</v>
      </c>
      <c r="G2744" t="s">
        <v>18</v>
      </c>
      <c r="H2744">
        <f>F2744/Tabla2[[#This Row],[Cosecha Mensual]]</f>
        <v>10.590382590382591</v>
      </c>
      <c r="I2744">
        <f>H2744*_xlfn.XLOOKUP(Tabla2[[#This Row],[Unidad de producción]],Tabla3[Medida],Tabla3[Equivalencia en Kg],"ELVIS",0)</f>
        <v>480.37975429975432</v>
      </c>
      <c r="J2744">
        <v>835.75739583333302</v>
      </c>
      <c r="K2744" t="s">
        <v>18</v>
      </c>
      <c r="L2744">
        <f>J2744/_xlfn.XLOOKUP(Tabla2[[#This Row],[Unidad de precio]],Tabla3[Medida],Tabla3[Equivalencia en Kg],"ELVIS",0)</f>
        <v>18.424986680629036</v>
      </c>
      <c r="M2744">
        <v>4718.2914901260801</v>
      </c>
      <c r="N2744" s="2">
        <f>(Tabla2[[#This Row],[Productividad (kg/TAS)]]*Tabla2[[#This Row],[Precio por kg]]-Tabla2[[#This Row],[Costos (En RD$/Tarea)]])</f>
        <v>4132.6990844907423</v>
      </c>
      <c r="O2744" s="6">
        <f>IF(Tabla2[[#This Row],[Costos (En RD$/Tarea)]]=0,0,Tabla2[[#This Row],[Beneficio Neto  (En RD$/Tarea)]]/Tabla2[[#This Row],[Costos (En RD$/Tarea)]])</f>
        <v>0.87588888756432259</v>
      </c>
      <c r="P2744" s="4">
        <f>Tabla2[[#This Row],[Rentabilidad (%)]]/12</f>
        <v>7.2990740630360221E-2</v>
      </c>
    </row>
    <row r="2745" spans="1:16" x14ac:dyDescent="0.35">
      <c r="A2745" s="1">
        <v>43466</v>
      </c>
      <c r="B2745" t="s">
        <v>26</v>
      </c>
      <c r="C2745" s="2">
        <v>13542</v>
      </c>
      <c r="D2745" s="5" t="s">
        <v>17</v>
      </c>
      <c r="E2745" s="2">
        <f>IF(Tabla2[[#This Row],[Frecuencia]]="Annual", Tabla2[[#This Row],[Cosecha/Tarea]]/12,Tabla2[[#This Row],[Cosecha/Tarea]])</f>
        <v>13542</v>
      </c>
      <c r="F2745" s="2">
        <v>87524</v>
      </c>
      <c r="G2745" t="s">
        <v>18</v>
      </c>
      <c r="H2745">
        <f>F2745/Tabla2[[#This Row],[Cosecha Mensual]]</f>
        <v>6.4631516762664303</v>
      </c>
      <c r="I2745">
        <f>H2745*_xlfn.XLOOKUP(Tabla2[[#This Row],[Unidad de producción]],Tabla3[Medida],Tabla3[Equivalencia en Kg],"ELVIS",0)</f>
        <v>293.1685600354453</v>
      </c>
      <c r="J2745">
        <v>908.92669583333304</v>
      </c>
      <c r="K2745" t="s">
        <v>18</v>
      </c>
      <c r="L2745">
        <f>J2745/_xlfn.XLOOKUP(Tabla2[[#This Row],[Unidad de precio]],Tabla3[Medida],Tabla3[Equivalencia en Kg],"ELVIS",0)</f>
        <v>20.038066486625507</v>
      </c>
      <c r="M2745">
        <v>1668.6966112895</v>
      </c>
      <c r="N2745" s="2">
        <f>(Tabla2[[#This Row],[Productividad (kg/TAS)]]*Tabla2[[#This Row],[Precio por kg]]-Tabla2[[#This Row],[Costos (En RD$/Tarea)]])</f>
        <v>4205.8344864890141</v>
      </c>
      <c r="O2745" s="6">
        <f>IF(Tabla2[[#This Row],[Costos (En RD$/Tarea)]]=0,0,Tabla2[[#This Row],[Beneficio Neto  (En RD$/Tarea)]]/Tabla2[[#This Row],[Costos (En RD$/Tarea)]])</f>
        <v>2.5204308908129911</v>
      </c>
      <c r="P2745" s="4">
        <f>Tabla2[[#This Row],[Rentabilidad (%)]]/12</f>
        <v>0.21003590756774926</v>
      </c>
    </row>
    <row r="2746" spans="1:16" x14ac:dyDescent="0.35">
      <c r="A2746" s="1">
        <v>43466</v>
      </c>
      <c r="B2746" t="s">
        <v>27</v>
      </c>
      <c r="C2746" s="2">
        <v>7120</v>
      </c>
      <c r="D2746" s="5" t="s">
        <v>17</v>
      </c>
      <c r="E2746" s="2">
        <f>IF(Tabla2[[#This Row],[Frecuencia]]="Annual", Tabla2[[#This Row],[Cosecha/Tarea]]/12,Tabla2[[#This Row],[Cosecha/Tarea]])</f>
        <v>7120</v>
      </c>
      <c r="F2746" s="2">
        <v>61424</v>
      </c>
      <c r="G2746" t="s">
        <v>18</v>
      </c>
      <c r="H2746">
        <f>F2746/Tabla2[[#This Row],[Cosecha Mensual]]</f>
        <v>8.6269662921348313</v>
      </c>
      <c r="I2746">
        <f>H2746*_xlfn.XLOOKUP(Tabla2[[#This Row],[Unidad de producción]],Tabla3[Medida],Tabla3[Equivalencia en Kg],"ELVIS",0)</f>
        <v>391.31919101123594</v>
      </c>
      <c r="J2746">
        <v>707.91510416666699</v>
      </c>
      <c r="K2746" t="s">
        <v>18</v>
      </c>
      <c r="L2746">
        <f>J2746/_xlfn.XLOOKUP(Tabla2[[#This Row],[Unidad de precio]],Tabla3[Medida],Tabla3[Equivalencia en Kg],"ELVIS",0)</f>
        <v>15.606594007201654</v>
      </c>
      <c r="M2746">
        <v>9222.1943510245001</v>
      </c>
      <c r="N2746" s="2">
        <f>(Tabla2[[#This Row],[Productividad (kg/TAS)]]*Tabla2[[#This Row],[Precio por kg]]-Tabla2[[#This Row],[Costos (En RD$/Tarea)]])</f>
        <v>-3115.0346096855455</v>
      </c>
      <c r="O2746" s="6">
        <f>IF(Tabla2[[#This Row],[Costos (En RD$/Tarea)]]=0,0,Tabla2[[#This Row],[Beneficio Neto  (En RD$/Tarea)]]/Tabla2[[#This Row],[Costos (En RD$/Tarea)]])</f>
        <v>-0.3377758580136076</v>
      </c>
      <c r="P2746" s="4">
        <f>Tabla2[[#This Row],[Rentabilidad (%)]]/12</f>
        <v>-2.8147988167800633E-2</v>
      </c>
    </row>
    <row r="2747" spans="1:16" x14ac:dyDescent="0.35">
      <c r="A2747" s="1">
        <v>43466</v>
      </c>
      <c r="B2747" t="s">
        <v>28</v>
      </c>
      <c r="C2747" s="2">
        <v>68878</v>
      </c>
      <c r="D2747" s="5" t="s">
        <v>17</v>
      </c>
      <c r="E2747" s="2">
        <f>IF(Tabla2[[#This Row],[Frecuencia]]="Annual", Tabla2[[#This Row],[Cosecha/Tarea]]/12,Tabla2[[#This Row],[Cosecha/Tarea]])</f>
        <v>68878</v>
      </c>
      <c r="F2747" s="2">
        <v>1229448</v>
      </c>
      <c r="G2747" t="s">
        <v>18</v>
      </c>
      <c r="H2747">
        <f>F2747/Tabla2[[#This Row],[Cosecha Mensual]]</f>
        <v>17.849647202299717</v>
      </c>
      <c r="I2747">
        <f>H2747*_xlfn.XLOOKUP(Tabla2[[#This Row],[Unidad de producción]],Tabla3[Medida],Tabla3[Equivalencia en Kg],"ELVIS",0)</f>
        <v>809.65999709631512</v>
      </c>
      <c r="J2747">
        <v>7223.75</v>
      </c>
      <c r="K2747" t="s">
        <v>29</v>
      </c>
      <c r="L2747">
        <f>J2747/_xlfn.XLOOKUP(Tabla2[[#This Row],[Unidad de precio]],Tabla3[Medida],Tabla3[Equivalencia en Kg],"ELVIS",0)</f>
        <v>12.845876160330048</v>
      </c>
      <c r="M2747">
        <v>7149.9398177165003</v>
      </c>
      <c r="N2747" s="2">
        <f>(Tabla2[[#This Row],[Productividad (kg/TAS)]]*Tabla2[[#This Row],[Precio por kg]]-Tabla2[[#This Row],[Costos (En RD$/Tarea)]])</f>
        <v>3250.8522369559505</v>
      </c>
      <c r="O2747" s="6">
        <f>IF(Tabla2[[#This Row],[Costos (En RD$/Tarea)]]=0,0,Tabla2[[#This Row],[Beneficio Neto  (En RD$/Tarea)]]/Tabla2[[#This Row],[Costos (En RD$/Tarea)]])</f>
        <v>0.45466847551650941</v>
      </c>
      <c r="P2747" s="4">
        <f>Tabla2[[#This Row],[Rentabilidad (%)]]/12</f>
        <v>3.7889039626375784E-2</v>
      </c>
    </row>
    <row r="2748" spans="1:16" x14ac:dyDescent="0.35">
      <c r="A2748" s="1">
        <v>43466</v>
      </c>
      <c r="B2748" t="s">
        <v>30</v>
      </c>
      <c r="C2748" s="2">
        <v>410214</v>
      </c>
      <c r="D2748" s="2" t="s">
        <v>31</v>
      </c>
      <c r="E2748" s="2">
        <f>IF(Tabla2[[#This Row],[Frecuencia]]="Annual", Tabla2[[#This Row],[Cosecha/Tarea]]/12,Tabla2[[#This Row],[Cosecha/Tarea]])</f>
        <v>34184.5</v>
      </c>
      <c r="F2748" s="2">
        <v>1872272.4</v>
      </c>
      <c r="G2748" t="s">
        <v>18</v>
      </c>
      <c r="H2748">
        <f>F2748/Tabla2[[#This Row],[Cosecha Mensual]]</f>
        <v>54.769629510450642</v>
      </c>
      <c r="I2748">
        <f>H2748*_xlfn.XLOOKUP(Tabla2[[#This Row],[Unidad de producción]],Tabla3[Medida],Tabla3[Equivalencia en Kg],"ELVIS",0)</f>
        <v>2484.3503945940411</v>
      </c>
      <c r="J2748">
        <v>164.67291666666699</v>
      </c>
      <c r="K2748" t="s">
        <v>32</v>
      </c>
      <c r="L2748">
        <f>J2748/_xlfn.XLOOKUP(Tabla2[[#This Row],[Unidad de precio]],Tabla3[Medida],Tabla3[Equivalencia en Kg],"ELVIS",0)</f>
        <v>6.051926375107203</v>
      </c>
      <c r="M2748" s="2">
        <v>35445.717948420002</v>
      </c>
      <c r="N2748" s="2">
        <f>(Tabla2[[#This Row],[Productividad (kg/TAS)]]*Tabla2[[#This Row],[Precio por kg]]-Tabla2[[#This Row],[Costos (En RD$/Tarea)]])</f>
        <v>-20410.612270368336</v>
      </c>
      <c r="O2748" s="6">
        <f>IF(Tabla2[[#This Row],[Costos (En RD$/Tarea)]]=0,0,Tabla2[[#This Row],[Beneficio Neto  (En RD$/Tarea)]]/Tabla2[[#This Row],[Costos (En RD$/Tarea)]])</f>
        <v>-0.57582730585594311</v>
      </c>
      <c r="P2748" s="4">
        <f>Tabla2[[#This Row],[Rentabilidad (%)]]/12</f>
        <v>-4.7985608821328594E-2</v>
      </c>
    </row>
    <row r="2749" spans="1:16" x14ac:dyDescent="0.35">
      <c r="A2749" s="1">
        <v>43466</v>
      </c>
      <c r="B2749" t="s">
        <v>33</v>
      </c>
      <c r="C2749" s="2">
        <v>721458</v>
      </c>
      <c r="D2749" s="2" t="s">
        <v>31</v>
      </c>
      <c r="E2749" s="2">
        <f>IF(Tabla2[[#This Row],[Frecuencia]]="Annual", Tabla2[[#This Row],[Cosecha/Tarea]]/12,Tabla2[[#This Row],[Cosecha/Tarea]])</f>
        <v>60121.5</v>
      </c>
      <c r="F2749" s="2">
        <v>1343916</v>
      </c>
      <c r="G2749" t="s">
        <v>18</v>
      </c>
      <c r="H2749">
        <f>F2749/Tabla2[[#This Row],[Cosecha Mensual]]</f>
        <v>22.353334497642276</v>
      </c>
      <c r="I2749">
        <f>H2749*_xlfn.XLOOKUP(Tabla2[[#This Row],[Unidad de producción]],Tabla3[Medida],Tabla3[Equivalencia en Kg],"ELVIS",0)</f>
        <v>1013.9472528130536</v>
      </c>
      <c r="J2749">
        <v>6789.609375</v>
      </c>
      <c r="K2749" t="s">
        <v>34</v>
      </c>
      <c r="L2749">
        <f>J2749/_xlfn.XLOOKUP(Tabla2[[#This Row],[Unidad de precio]],Tabla3[Medida],Tabla3[Equivalencia en Kg],"ELVIS",0)</f>
        <v>16.635083608967292</v>
      </c>
      <c r="M2749" s="2">
        <v>22691.3984505224</v>
      </c>
      <c r="N2749" s="2">
        <f>(Tabla2[[#This Row],[Productividad (kg/TAS)]]*Tabla2[[#This Row],[Precio por kg]]-Tabla2[[#This Row],[Costos (En RD$/Tarea)]])</f>
        <v>-5824.301124894555</v>
      </c>
      <c r="O2749" s="6">
        <f>IF(Tabla2[[#This Row],[Costos (En RD$/Tarea)]]=0,0,Tabla2[[#This Row],[Beneficio Neto  (En RD$/Tarea)]]/Tabla2[[#This Row],[Costos (En RD$/Tarea)]])</f>
        <v>-0.25667440187056734</v>
      </c>
      <c r="P2749" s="4">
        <f>Tabla2[[#This Row],[Rentabilidad (%)]]/12</f>
        <v>-2.1389533489213946E-2</v>
      </c>
    </row>
    <row r="2750" spans="1:16" x14ac:dyDescent="0.35">
      <c r="A2750" s="1">
        <v>43497</v>
      </c>
      <c r="B2750" t="s">
        <v>16</v>
      </c>
      <c r="C2750" s="2">
        <v>3361</v>
      </c>
      <c r="D2750" s="5" t="s">
        <v>17</v>
      </c>
      <c r="E2750" s="2">
        <f>IF(Tabla2[[#This Row],[Frecuencia]]="Annual", Tabla2[[#This Row],[Cosecha/Tarea]]/12,Tabla2[[#This Row],[Cosecha/Tarea]])</f>
        <v>3361</v>
      </c>
      <c r="F2750" s="2">
        <v>11505</v>
      </c>
      <c r="G2750" t="s">
        <v>18</v>
      </c>
      <c r="H2750">
        <f>F2750/Tabla2[[#This Row],[Cosecha Mensual]]</f>
        <v>3.4230883665575722</v>
      </c>
      <c r="I2750">
        <f>H2750*_xlfn.XLOOKUP(Tabla2[[#This Row],[Unidad de producción]],Tabla3[Medida],Tabla3[Equivalencia en Kg],"ELVIS",0)</f>
        <v>155.27128830705146</v>
      </c>
      <c r="J2750">
        <v>2153.6777579146801</v>
      </c>
      <c r="K2750" t="s">
        <v>19</v>
      </c>
      <c r="L2750">
        <f>J2750/_xlfn.XLOOKUP(Tabla2[[#This Row],[Unidad de precio]],Tabla3[Medida],Tabla3[Equivalencia en Kg],"ELVIS",0)</f>
        <v>19.578888708315272</v>
      </c>
      <c r="M2750">
        <v>6284.7907932016997</v>
      </c>
      <c r="N2750" s="2">
        <f>(Tabla2[[#This Row],[Productividad (kg/TAS)]]*Tabla2[[#This Row],[Precio por kg]]-Tabla2[[#This Row],[Costos (En RD$/Tarea)]])</f>
        <v>-3244.7515198412048</v>
      </c>
      <c r="O2750" s="6">
        <f>IF(Tabla2[[#This Row],[Costos (En RD$/Tarea)]]=0,0,Tabla2[[#This Row],[Beneficio Neto  (En RD$/Tarea)]]/Tabla2[[#This Row],[Costos (En RD$/Tarea)]])</f>
        <v>-0.51628632147168274</v>
      </c>
      <c r="P2750" s="4">
        <f>Tabla2[[#This Row],[Rentabilidad (%)]]/12</f>
        <v>-4.3023860122640228E-2</v>
      </c>
    </row>
    <row r="2751" spans="1:16" x14ac:dyDescent="0.35">
      <c r="A2751" s="1">
        <v>43497</v>
      </c>
      <c r="B2751" t="s">
        <v>20</v>
      </c>
      <c r="C2751" s="2">
        <v>32003</v>
      </c>
      <c r="D2751" s="5" t="s">
        <v>17</v>
      </c>
      <c r="E2751" s="2">
        <f>IF(Tabla2[[#This Row],[Frecuencia]]="Annual", Tabla2[[#This Row],[Cosecha/Tarea]]/12,Tabla2[[#This Row],[Cosecha/Tarea]])</f>
        <v>32003</v>
      </c>
      <c r="F2751" s="2">
        <v>79566</v>
      </c>
      <c r="G2751" t="s">
        <v>18</v>
      </c>
      <c r="H2751">
        <f>F2751/Tabla2[[#This Row],[Cosecha Mensual]]</f>
        <v>2.486204418335781</v>
      </c>
      <c r="I2751">
        <f>H2751*_xlfn.XLOOKUP(Tabla2[[#This Row],[Unidad de producción]],Tabla3[Medida],Tabla3[Equivalencia en Kg],"ELVIS",0)</f>
        <v>112.77423241571103</v>
      </c>
      <c r="J2751">
        <v>981.84114583333303</v>
      </c>
      <c r="K2751" t="s">
        <v>18</v>
      </c>
      <c r="L2751">
        <f>J2751/_xlfn.XLOOKUP(Tabla2[[#This Row],[Unidad de precio]],Tabla3[Medida],Tabla3[Equivalencia en Kg],"ELVIS",0)</f>
        <v>21.645527906378593</v>
      </c>
      <c r="M2751">
        <v>2409.2436004449601</v>
      </c>
      <c r="N2751" s="2">
        <f>(Tabla2[[#This Row],[Productividad (kg/TAS)]]*Tabla2[[#This Row],[Precio por kg]]-Tabla2[[#This Row],[Costos (En RD$/Tarea)]])</f>
        <v>31.814194429738109</v>
      </c>
      <c r="O2751" s="6">
        <f>IF(Tabla2[[#This Row],[Costos (En RD$/Tarea)]]=0,0,Tabla2[[#This Row],[Beneficio Neto  (En RD$/Tarea)]]/Tabla2[[#This Row],[Costos (En RD$/Tarea)]])</f>
        <v>1.3205055073659794E-2</v>
      </c>
      <c r="P2751" s="4">
        <f>Tabla2[[#This Row],[Rentabilidad (%)]]/12</f>
        <v>1.1004212561383162E-3</v>
      </c>
    </row>
    <row r="2752" spans="1:16" x14ac:dyDescent="0.35">
      <c r="A2752" s="1">
        <v>43497</v>
      </c>
      <c r="B2752" t="s">
        <v>21</v>
      </c>
      <c r="C2752" s="2">
        <v>11204</v>
      </c>
      <c r="D2752" s="5" t="s">
        <v>17</v>
      </c>
      <c r="E2752" s="2">
        <f>IF(Tabla2[[#This Row],[Frecuencia]]="Annual", Tabla2[[#This Row],[Cosecha/Tarea]]/12,Tabla2[[#This Row],[Cosecha/Tarea]])</f>
        <v>11204</v>
      </c>
      <c r="F2752" s="2">
        <v>108978</v>
      </c>
      <c r="G2752" t="s">
        <v>18</v>
      </c>
      <c r="H2752">
        <f>F2752/Tabla2[[#This Row],[Cosecha Mensual]]</f>
        <v>9.7267047483041775</v>
      </c>
      <c r="I2752">
        <f>H2752*_xlfn.XLOOKUP(Tabla2[[#This Row],[Unidad de producción]],Tabla3[Medida],Tabla3[Equivalencia en Kg],"ELVIS",0)</f>
        <v>441.20332738307746</v>
      </c>
      <c r="J2752">
        <v>540.93452380952397</v>
      </c>
      <c r="K2752" t="s">
        <v>18</v>
      </c>
      <c r="L2752">
        <f>J2752/_xlfn.XLOOKUP(Tabla2[[#This Row],[Unidad de precio]],Tabla3[Medida],Tabla3[Equivalencia en Kg],"ELVIS",0)</f>
        <v>11.925364281515078</v>
      </c>
      <c r="M2752">
        <v>5846.9700795819999</v>
      </c>
      <c r="N2752" s="2">
        <f>(Tabla2[[#This Row],[Productividad (kg/TAS)]]*Tabla2[[#This Row],[Precio por kg]]-Tabla2[[#This Row],[Costos (En RD$/Tarea)]])</f>
        <v>-585.45967832224505</v>
      </c>
      <c r="O2752" s="6">
        <f>IF(Tabla2[[#This Row],[Costos (En RD$/Tarea)]]=0,0,Tabla2[[#This Row],[Beneficio Neto  (En RD$/Tarea)]]/Tabla2[[#This Row],[Costos (En RD$/Tarea)]])</f>
        <v>-0.10013043856111191</v>
      </c>
      <c r="P2752" s="4">
        <f>Tabla2[[#This Row],[Rentabilidad (%)]]/12</f>
        <v>-8.3442032134259918E-3</v>
      </c>
    </row>
    <row r="2753" spans="1:16" x14ac:dyDescent="0.35">
      <c r="A2753" s="1">
        <v>43497</v>
      </c>
      <c r="B2753" t="s">
        <v>22</v>
      </c>
      <c r="C2753" s="2">
        <v>10241</v>
      </c>
      <c r="D2753" s="5" t="s">
        <v>17</v>
      </c>
      <c r="E2753" s="2">
        <f>IF(Tabla2[[#This Row],[Frecuencia]]="Annual", Tabla2[[#This Row],[Cosecha/Tarea]]/12,Tabla2[[#This Row],[Cosecha/Tarea]])</f>
        <v>10241</v>
      </c>
      <c r="F2753" s="2">
        <v>91242</v>
      </c>
      <c r="G2753" t="s">
        <v>18</v>
      </c>
      <c r="H2753">
        <f>F2753/Tabla2[[#This Row],[Cosecha Mensual]]</f>
        <v>8.9094814959476611</v>
      </c>
      <c r="I2753">
        <f>H2753*_xlfn.XLOOKUP(Tabla2[[#This Row],[Unidad de producción]],Tabla3[Medida],Tabla3[Equivalencia en Kg],"ELVIS",0)</f>
        <v>404.13408065618592</v>
      </c>
      <c r="J2753">
        <v>1341.8203125</v>
      </c>
      <c r="K2753" t="s">
        <v>18</v>
      </c>
      <c r="L2753">
        <f>J2753/_xlfn.XLOOKUP(Tabla2[[#This Row],[Unidad de precio]],Tabla3[Medida],Tabla3[Equivalencia en Kg],"ELVIS",0)</f>
        <v>29.581576554232804</v>
      </c>
      <c r="M2753">
        <v>10137.37206528</v>
      </c>
      <c r="N2753" s="2">
        <f>(Tabla2[[#This Row],[Productividad (kg/TAS)]]*Tabla2[[#This Row],[Precio por kg]]-Tabla2[[#This Row],[Costos (En RD$/Tarea)]])</f>
        <v>1817.5511798254574</v>
      </c>
      <c r="O2753" s="6">
        <f>IF(Tabla2[[#This Row],[Costos (En RD$/Tarea)]]=0,0,Tabla2[[#This Row],[Beneficio Neto  (En RD$/Tarea)]]/Tabla2[[#This Row],[Costos (En RD$/Tarea)]])</f>
        <v>0.17929214476111424</v>
      </c>
      <c r="P2753" s="4">
        <f>Tabla2[[#This Row],[Rentabilidad (%)]]/12</f>
        <v>1.4941012063426186E-2</v>
      </c>
    </row>
    <row r="2754" spans="1:16" x14ac:dyDescent="0.35">
      <c r="A2754" s="1">
        <v>43497</v>
      </c>
      <c r="B2754" t="s">
        <v>23</v>
      </c>
      <c r="C2754" s="2">
        <v>5512</v>
      </c>
      <c r="D2754" s="5" t="s">
        <v>17</v>
      </c>
      <c r="E2754" s="2">
        <f>IF(Tabla2[[#This Row],[Frecuencia]]="Annual", Tabla2[[#This Row],[Cosecha/Tarea]]/12,Tabla2[[#This Row],[Cosecha/Tarea]])</f>
        <v>5512</v>
      </c>
      <c r="F2754" s="2">
        <v>189875</v>
      </c>
      <c r="G2754" t="s">
        <v>18</v>
      </c>
      <c r="H2754">
        <f>F2754/Tabla2[[#This Row],[Cosecha Mensual]]</f>
        <v>34.447568940493468</v>
      </c>
      <c r="I2754">
        <f>H2754*_xlfn.XLOOKUP(Tabla2[[#This Row],[Unidad de producción]],Tabla3[Medida],Tabla3[Equivalencia en Kg],"ELVIS",0)</f>
        <v>1562.5417271407837</v>
      </c>
      <c r="J2754">
        <v>1039.1666666666699</v>
      </c>
      <c r="K2754" t="s">
        <v>18</v>
      </c>
      <c r="L2754">
        <f>J2754/_xlfn.XLOOKUP(Tabla2[[#This Row],[Unidad de precio]],Tabla3[Medida],Tabla3[Equivalencia en Kg],"ELVIS",0)</f>
        <v>22.909318048207009</v>
      </c>
      <c r="M2754">
        <v>26088.260008087302</v>
      </c>
      <c r="N2754" s="2">
        <f>(Tabla2[[#This Row],[Productividad (kg/TAS)]]*Tabla2[[#This Row],[Precio por kg]]-Tabla2[[#This Row],[Costos (En RD$/Tarea)]])</f>
        <v>9708.505382575604</v>
      </c>
      <c r="O2754" s="6">
        <f>IF(Tabla2[[#This Row],[Costos (En RD$/Tarea)]]=0,0,Tabla2[[#This Row],[Beneficio Neto  (En RD$/Tarea)]]/Tabla2[[#This Row],[Costos (En RD$/Tarea)]])</f>
        <v>0.3721407782491431</v>
      </c>
      <c r="P2754" s="4">
        <f>Tabla2[[#This Row],[Rentabilidad (%)]]/12</f>
        <v>3.1011731520761924E-2</v>
      </c>
    </row>
    <row r="2755" spans="1:16" x14ac:dyDescent="0.35">
      <c r="A2755" s="1">
        <v>43497</v>
      </c>
      <c r="B2755" t="s">
        <v>24</v>
      </c>
      <c r="C2755" s="2">
        <v>7308</v>
      </c>
      <c r="D2755" s="5" t="s">
        <v>17</v>
      </c>
      <c r="E2755" s="2">
        <f>IF(Tabla2[[#This Row],[Frecuencia]]="Annual", Tabla2[[#This Row],[Cosecha/Tarea]]/12,Tabla2[[#This Row],[Cosecha/Tarea]])</f>
        <v>7308</v>
      </c>
      <c r="F2755" s="2">
        <v>69215</v>
      </c>
      <c r="G2755" t="s">
        <v>18</v>
      </c>
      <c r="H2755">
        <f>F2755/Tabla2[[#This Row],[Cosecha Mensual]]</f>
        <v>9.4711275314723586</v>
      </c>
      <c r="I2755">
        <f>H2755*_xlfn.XLOOKUP(Tabla2[[#This Row],[Unidad de producción]],Tabla3[Medida],Tabla3[Equivalencia en Kg],"ELVIS",0)</f>
        <v>429.61034482758618</v>
      </c>
      <c r="J2755">
        <v>2509.4906249999999</v>
      </c>
      <c r="K2755" t="s">
        <v>18</v>
      </c>
      <c r="L2755">
        <f>J2755/_xlfn.XLOOKUP(Tabla2[[#This Row],[Unidad de precio]],Tabla3[Medida],Tabla3[Equivalencia en Kg],"ELVIS",0)</f>
        <v>55.323867394179892</v>
      </c>
      <c r="M2755">
        <v>8388.8026628831994</v>
      </c>
      <c r="N2755" s="2">
        <f>(Tabla2[[#This Row],[Productividad (kg/TAS)]]*Tabla2[[#This Row],[Precio por kg]]-Tabla2[[#This Row],[Costos (En RD$/Tarea)]])</f>
        <v>15378.903085526077</v>
      </c>
      <c r="O2755" s="6">
        <f>IF(Tabla2[[#This Row],[Costos (En RD$/Tarea)]]=0,0,Tabla2[[#This Row],[Beneficio Neto  (En RD$/Tarea)]]/Tabla2[[#This Row],[Costos (En RD$/Tarea)]])</f>
        <v>1.8332655688243842</v>
      </c>
      <c r="P2755" s="4">
        <f>Tabla2[[#This Row],[Rentabilidad (%)]]/12</f>
        <v>0.15277213073536536</v>
      </c>
    </row>
    <row r="2756" spans="1:16" x14ac:dyDescent="0.35">
      <c r="A2756" s="1">
        <v>43497</v>
      </c>
      <c r="B2756" t="s">
        <v>25</v>
      </c>
      <c r="C2756" s="2">
        <v>35542</v>
      </c>
      <c r="D2756" s="5" t="s">
        <v>17</v>
      </c>
      <c r="E2756" s="2">
        <f>IF(Tabla2[[#This Row],[Frecuencia]]="Annual", Tabla2[[#This Row],[Cosecha/Tarea]]/12,Tabla2[[#This Row],[Cosecha/Tarea]])</f>
        <v>35542</v>
      </c>
      <c r="F2756" s="2">
        <v>397548</v>
      </c>
      <c r="G2756" t="s">
        <v>18</v>
      </c>
      <c r="H2756">
        <f>F2756/Tabla2[[#This Row],[Cosecha Mensual]]</f>
        <v>11.185301896347983</v>
      </c>
      <c r="I2756">
        <f>H2756*_xlfn.XLOOKUP(Tabla2[[#This Row],[Unidad de producción]],Tabla3[Medida],Tabla3[Equivalencia en Kg],"ELVIS",0)</f>
        <v>507.36529401834451</v>
      </c>
      <c r="J2756">
        <v>807.10390416666701</v>
      </c>
      <c r="K2756" t="s">
        <v>18</v>
      </c>
      <c r="L2756">
        <f>J2756/_xlfn.XLOOKUP(Tabla2[[#This Row],[Unidad de precio]],Tabla3[Medida],Tabla3[Equivalencia en Kg],"ELVIS",0)</f>
        <v>17.793295947236928</v>
      </c>
      <c r="M2756">
        <v>4718.2914901260801</v>
      </c>
      <c r="N2756" s="2">
        <f>(Tabla2[[#This Row],[Productividad (kg/TAS)]]*Tabla2[[#This Row],[Precio por kg]]-Tabla2[[#This Row],[Costos (En RD$/Tarea)]])</f>
        <v>4309.4093396992021</v>
      </c>
      <c r="O2756" s="6">
        <f>IF(Tabla2[[#This Row],[Costos (En RD$/Tarea)]]=0,0,Tabla2[[#This Row],[Beneficio Neto  (En RD$/Tarea)]]/Tabla2[[#This Row],[Costos (En RD$/Tarea)]])</f>
        <v>0.91334105760897955</v>
      </c>
      <c r="P2756" s="4">
        <f>Tabla2[[#This Row],[Rentabilidad (%)]]/12</f>
        <v>7.6111754800748291E-2</v>
      </c>
    </row>
    <row r="2757" spans="1:16" x14ac:dyDescent="0.35">
      <c r="A2757" s="1">
        <v>43497</v>
      </c>
      <c r="B2757" t="s">
        <v>26</v>
      </c>
      <c r="C2757" s="2">
        <v>11454</v>
      </c>
      <c r="D2757" s="5" t="s">
        <v>17</v>
      </c>
      <c r="E2757" s="2">
        <f>IF(Tabla2[[#This Row],[Frecuencia]]="Annual", Tabla2[[#This Row],[Cosecha/Tarea]]/12,Tabla2[[#This Row],[Cosecha/Tarea]])</f>
        <v>11454</v>
      </c>
      <c r="F2757" s="2">
        <v>74864</v>
      </c>
      <c r="G2757" t="s">
        <v>18</v>
      </c>
      <c r="H2757">
        <f>F2757/Tabla2[[#This Row],[Cosecha Mensual]]</f>
        <v>6.5360572725685353</v>
      </c>
      <c r="I2757">
        <f>H2757*_xlfn.XLOOKUP(Tabla2[[#This Row],[Unidad de producción]],Tabla3[Medida],Tabla3[Equivalencia en Kg],"ELVIS",0)</f>
        <v>296.47555788370875</v>
      </c>
      <c r="J2757">
        <v>940.38541666666697</v>
      </c>
      <c r="K2757" t="s">
        <v>18</v>
      </c>
      <c r="L2757">
        <f>J2757/_xlfn.XLOOKUP(Tabla2[[#This Row],[Unidad de precio]],Tabla3[Medida],Tabla3[Equivalencia en Kg],"ELVIS",0)</f>
        <v>20.731600896531457</v>
      </c>
      <c r="M2757">
        <v>1668.6966112895</v>
      </c>
      <c r="N2757" s="2">
        <f>(Tabla2[[#This Row],[Productividad (kg/TAS)]]*Tabla2[[#This Row],[Precio por kg]]-Tabla2[[#This Row],[Costos (En RD$/Tarea)]])</f>
        <v>4477.7163303320604</v>
      </c>
      <c r="O2757" s="6">
        <f>IF(Tabla2[[#This Row],[Costos (En RD$/Tarea)]]=0,0,Tabla2[[#This Row],[Beneficio Neto  (En RD$/Tarea)]]/Tabla2[[#This Row],[Costos (En RD$/Tarea)]])</f>
        <v>2.6833615529858754</v>
      </c>
      <c r="P2757" s="4">
        <f>Tabla2[[#This Row],[Rentabilidad (%)]]/12</f>
        <v>0.22361346274882296</v>
      </c>
    </row>
    <row r="2758" spans="1:16" x14ac:dyDescent="0.35">
      <c r="A2758" s="1">
        <v>43497</v>
      </c>
      <c r="B2758" t="s">
        <v>27</v>
      </c>
      <c r="C2758" s="2">
        <v>6925</v>
      </c>
      <c r="D2758" s="5" t="s">
        <v>17</v>
      </c>
      <c r="E2758" s="2">
        <f>IF(Tabla2[[#This Row],[Frecuencia]]="Annual", Tabla2[[#This Row],[Cosecha/Tarea]]/12,Tabla2[[#This Row],[Cosecha/Tarea]])</f>
        <v>6925</v>
      </c>
      <c r="F2758" s="2">
        <v>61983</v>
      </c>
      <c r="G2758" t="s">
        <v>18</v>
      </c>
      <c r="H2758">
        <f>F2758/Tabla2[[#This Row],[Cosecha Mensual]]</f>
        <v>8.9506137184115531</v>
      </c>
      <c r="I2758">
        <f>H2758*_xlfn.XLOOKUP(Tabla2[[#This Row],[Unidad de producción]],Tabla3[Medida],Tabla3[Equivalencia en Kg],"ELVIS",0)</f>
        <v>405.99983826714805</v>
      </c>
      <c r="J2758">
        <v>726.92780000000005</v>
      </c>
      <c r="K2758" t="s">
        <v>18</v>
      </c>
      <c r="L2758">
        <f>J2758/_xlfn.XLOOKUP(Tabla2[[#This Row],[Unidad de precio]],Tabla3[Medida],Tabla3[Equivalencia en Kg],"ELVIS",0)</f>
        <v>16.025745149911817</v>
      </c>
      <c r="M2758">
        <v>9222.1943510245001</v>
      </c>
      <c r="N2758" s="2">
        <f>(Tabla2[[#This Row],[Productividad (kg/TAS)]]*Tabla2[[#This Row],[Precio por kg]]-Tabla2[[#This Row],[Costos (En RD$/Tarea)]])</f>
        <v>-2715.7444120497703</v>
      </c>
      <c r="O2758" s="6">
        <f>IF(Tabla2[[#This Row],[Costos (En RD$/Tarea)]]=0,0,Tabla2[[#This Row],[Beneficio Neto  (En RD$/Tarea)]]/Tabla2[[#This Row],[Costos (En RD$/Tarea)]])</f>
        <v>-0.29447919970891484</v>
      </c>
      <c r="P2758" s="4">
        <f>Tabla2[[#This Row],[Rentabilidad (%)]]/12</f>
        <v>-2.4539933309076237E-2</v>
      </c>
    </row>
    <row r="2759" spans="1:16" x14ac:dyDescent="0.35">
      <c r="A2759" s="1">
        <v>43497</v>
      </c>
      <c r="B2759" t="s">
        <v>28</v>
      </c>
      <c r="C2759" s="2">
        <v>92301</v>
      </c>
      <c r="D2759" s="5" t="s">
        <v>17</v>
      </c>
      <c r="E2759" s="2">
        <f>IF(Tabla2[[#This Row],[Frecuencia]]="Annual", Tabla2[[#This Row],[Cosecha/Tarea]]/12,Tabla2[[#This Row],[Cosecha/Tarea]])</f>
        <v>92301</v>
      </c>
      <c r="F2759" s="2">
        <v>1875384</v>
      </c>
      <c r="G2759" t="s">
        <v>18</v>
      </c>
      <c r="H2759">
        <f>F2759/Tabla2[[#This Row],[Cosecha Mensual]]</f>
        <v>20.318133064647188</v>
      </c>
      <c r="I2759">
        <f>H2759*_xlfn.XLOOKUP(Tabla2[[#This Row],[Unidad de producción]],Tabla3[Medida],Tabla3[Equivalencia en Kg],"ELVIS",0)</f>
        <v>921.63051581239642</v>
      </c>
      <c r="J2759">
        <v>4250</v>
      </c>
      <c r="K2759" t="s">
        <v>29</v>
      </c>
      <c r="L2759">
        <f>J2759/_xlfn.XLOOKUP(Tabla2[[#This Row],[Unidad de precio]],Tabla3[Medida],Tabla3[Equivalencia en Kg],"ELVIS",0)</f>
        <v>7.5577053028416969</v>
      </c>
      <c r="M2759">
        <v>7149.9398177165003</v>
      </c>
      <c r="N2759" s="2">
        <f>(Tabla2[[#This Row],[Productividad (kg/TAS)]]*Tabla2[[#This Row],[Precio por kg]]-Tabla2[[#This Row],[Costos (En RD$/Tarea)]])</f>
        <v>-184.52798110042386</v>
      </c>
      <c r="O2759" s="6">
        <f>IF(Tabla2[[#This Row],[Costos (En RD$/Tarea)]]=0,0,Tabla2[[#This Row],[Beneficio Neto  (En RD$/Tarea)]]/Tabla2[[#This Row],[Costos (En RD$/Tarea)]])</f>
        <v>-2.5808326476146084E-2</v>
      </c>
      <c r="P2759" s="4">
        <f>Tabla2[[#This Row],[Rentabilidad (%)]]/12</f>
        <v>-2.1506938730121738E-3</v>
      </c>
    </row>
    <row r="2760" spans="1:16" x14ac:dyDescent="0.35">
      <c r="A2760" s="1">
        <v>43497</v>
      </c>
      <c r="B2760" t="s">
        <v>30</v>
      </c>
      <c r="C2760" s="2">
        <v>472690</v>
      </c>
      <c r="D2760" s="2" t="s">
        <v>31</v>
      </c>
      <c r="E2760" s="2">
        <f>IF(Tabla2[[#This Row],[Frecuencia]]="Annual", Tabla2[[#This Row],[Cosecha/Tarea]]/12,Tabla2[[#This Row],[Cosecha/Tarea]])</f>
        <v>39390.833333333336</v>
      </c>
      <c r="F2760" s="2">
        <v>2125844.4</v>
      </c>
      <c r="G2760" t="s">
        <v>18</v>
      </c>
      <c r="H2760">
        <f>F2760/Tabla2[[#This Row],[Cosecha Mensual]]</f>
        <v>53.967997630582403</v>
      </c>
      <c r="I2760">
        <f>H2760*_xlfn.XLOOKUP(Tabla2[[#This Row],[Unidad de producción]],Tabla3[Medida],Tabla3[Equivalencia en Kg],"ELVIS",0)</f>
        <v>2447.9883725232175</v>
      </c>
      <c r="J2760">
        <v>134.613020833333</v>
      </c>
      <c r="K2760" t="s">
        <v>32</v>
      </c>
      <c r="L2760">
        <f>J2760/_xlfn.XLOOKUP(Tabla2[[#This Row],[Unidad de precio]],Tabla3[Medida],Tabla3[Equivalencia en Kg],"ELVIS",0)</f>
        <v>4.9471892992772144</v>
      </c>
      <c r="M2760" s="2">
        <v>35445.717948420002</v>
      </c>
      <c r="N2760" s="2">
        <f>(Tabla2[[#This Row],[Productividad (kg/TAS)]]*Tabla2[[#This Row],[Precio por kg]]-Tabla2[[#This Row],[Costos (En RD$/Tarea)]])</f>
        <v>-23335.056067118097</v>
      </c>
      <c r="O2760" s="6">
        <f>IF(Tabla2[[#This Row],[Costos (En RD$/Tarea)]]=0,0,Tabla2[[#This Row],[Beneficio Neto  (En RD$/Tarea)]]/Tabla2[[#This Row],[Costos (En RD$/Tarea)]])</f>
        <v>-0.6583321602083182</v>
      </c>
      <c r="P2760" s="4">
        <f>Tabla2[[#This Row],[Rentabilidad (%)]]/12</f>
        <v>-5.4861013350693183E-2</v>
      </c>
    </row>
    <row r="2761" spans="1:16" x14ac:dyDescent="0.35">
      <c r="A2761" s="1">
        <v>43497</v>
      </c>
      <c r="B2761" t="s">
        <v>33</v>
      </c>
      <c r="C2761" s="2">
        <v>777976</v>
      </c>
      <c r="D2761" s="2" t="s">
        <v>31</v>
      </c>
      <c r="E2761" s="2">
        <f>IF(Tabla2[[#This Row],[Frecuencia]]="Annual", Tabla2[[#This Row],[Cosecha/Tarea]]/12,Tabla2[[#This Row],[Cosecha/Tarea]])</f>
        <v>64831.333333333336</v>
      </c>
      <c r="F2761" s="2">
        <v>1460088</v>
      </c>
      <c r="G2761" t="s">
        <v>18</v>
      </c>
      <c r="H2761">
        <f>F2761/Tabla2[[#This Row],[Cosecha Mensual]]</f>
        <v>22.521332277602394</v>
      </c>
      <c r="I2761">
        <f>H2761*_xlfn.XLOOKUP(Tabla2[[#This Row],[Unidad de producción]],Tabla3[Medida],Tabla3[Equivalencia en Kg],"ELVIS",0)</f>
        <v>1021.5676321120445</v>
      </c>
      <c r="J2761">
        <v>7095.1614583333303</v>
      </c>
      <c r="K2761" t="s">
        <v>34</v>
      </c>
      <c r="L2761">
        <f>J2761/_xlfn.XLOOKUP(Tabla2[[#This Row],[Unidad de precio]],Tabla3[Medida],Tabla3[Equivalencia en Kg],"ELVIS",0)</f>
        <v>17.383710543509324</v>
      </c>
      <c r="M2761" s="2">
        <v>22691.3984505224</v>
      </c>
      <c r="N2761" s="2">
        <f>(Tabla2[[#This Row],[Productividad (kg/TAS)]]*Tabla2[[#This Row],[Precio por kg]]-Tabla2[[#This Row],[Costos (En RD$/Tarea)]])</f>
        <v>-4932.762433268399</v>
      </c>
      <c r="O2761" s="6">
        <f>IF(Tabla2[[#This Row],[Costos (En RD$/Tarea)]]=0,0,Tabla2[[#This Row],[Beneficio Neto  (En RD$/Tarea)]]/Tabla2[[#This Row],[Costos (En RD$/Tarea)]])</f>
        <v>-0.21738468186630591</v>
      </c>
      <c r="P2761" s="4">
        <f>Tabla2[[#This Row],[Rentabilidad (%)]]/12</f>
        <v>-1.8115390155525494E-2</v>
      </c>
    </row>
    <row r="2762" spans="1:16" x14ac:dyDescent="0.35">
      <c r="A2762" s="1">
        <v>43525</v>
      </c>
      <c r="B2762" t="s">
        <v>16</v>
      </c>
      <c r="C2762" s="2">
        <v>110572</v>
      </c>
      <c r="D2762" s="5" t="s">
        <v>17</v>
      </c>
      <c r="E2762" s="2">
        <f>IF(Tabla2[[#This Row],[Frecuencia]]="Annual", Tabla2[[#This Row],[Cosecha/Tarea]]/12,Tabla2[[#This Row],[Cosecha/Tarea]])</f>
        <v>110572</v>
      </c>
      <c r="F2762" s="2">
        <v>528128</v>
      </c>
      <c r="G2762" t="s">
        <v>18</v>
      </c>
      <c r="H2762">
        <f>F2762/Tabla2[[#This Row],[Cosecha Mensual]]</f>
        <v>4.7763267373295228</v>
      </c>
      <c r="I2762">
        <f>H2762*_xlfn.XLOOKUP(Tabla2[[#This Row],[Unidad de producción]],Tabla3[Medida],Tabla3[Equivalencia en Kg],"ELVIS",0)</f>
        <v>216.65418080526715</v>
      </c>
      <c r="J2762">
        <v>2278.2299411441099</v>
      </c>
      <c r="K2762" t="s">
        <v>19</v>
      </c>
      <c r="L2762">
        <f>J2762/_xlfn.XLOOKUP(Tabla2[[#This Row],[Unidad de precio]],Tabla3[Medida],Tabla3[Equivalencia en Kg],"ELVIS",0)</f>
        <v>20.711181283128273</v>
      </c>
      <c r="M2762">
        <v>6284.7907932016997</v>
      </c>
      <c r="N2762" s="2">
        <f>(Tabla2[[#This Row],[Productividad (kg/TAS)]]*Tabla2[[#This Row],[Precio por kg]]-Tabla2[[#This Row],[Costos (En RD$/Tarea)]])</f>
        <v>-1797.6267787961624</v>
      </c>
      <c r="O2762" s="6">
        <f>IF(Tabla2[[#This Row],[Costos (En RD$/Tarea)]]=0,0,Tabla2[[#This Row],[Beneficio Neto  (En RD$/Tarea)]]/Tabla2[[#This Row],[Costos (En RD$/Tarea)]])</f>
        <v>-0.28602810148281582</v>
      </c>
      <c r="P2762" s="4">
        <f>Tabla2[[#This Row],[Rentabilidad (%)]]/12</f>
        <v>-2.3835675123567986E-2</v>
      </c>
    </row>
    <row r="2763" spans="1:16" x14ac:dyDescent="0.35">
      <c r="A2763" s="1">
        <v>43525</v>
      </c>
      <c r="B2763" t="s">
        <v>20</v>
      </c>
      <c r="C2763" s="2">
        <v>29899</v>
      </c>
      <c r="D2763" s="5" t="s">
        <v>17</v>
      </c>
      <c r="E2763" s="2">
        <f>IF(Tabla2[[#This Row],[Frecuencia]]="Annual", Tabla2[[#This Row],[Cosecha/Tarea]]/12,Tabla2[[#This Row],[Cosecha/Tarea]])</f>
        <v>29899</v>
      </c>
      <c r="F2763" s="2">
        <v>73011.999999999898</v>
      </c>
      <c r="G2763" t="s">
        <v>18</v>
      </c>
      <c r="H2763">
        <f>F2763/Tabla2[[#This Row],[Cosecha Mensual]]</f>
        <v>2.4419545804207465</v>
      </c>
      <c r="I2763">
        <f>H2763*_xlfn.XLOOKUP(Tabla2[[#This Row],[Unidad de producción]],Tabla3[Medida],Tabla3[Equivalencia en Kg],"ELVIS",0)</f>
        <v>110.76705976788506</v>
      </c>
      <c r="J2763">
        <v>1089.4609375</v>
      </c>
      <c r="K2763" t="s">
        <v>18</v>
      </c>
      <c r="L2763">
        <f>J2763/_xlfn.XLOOKUP(Tabla2[[#This Row],[Unidad de precio]],Tabla3[Medida],Tabla3[Equivalencia en Kg],"ELVIS",0)</f>
        <v>24.018098269400355</v>
      </c>
      <c r="M2763">
        <v>2409.2436004449601</v>
      </c>
      <c r="N2763" s="2">
        <f>(Tabla2[[#This Row],[Productividad (kg/TAS)]]*Tabla2[[#This Row],[Precio por kg]]-Tabla2[[#This Row],[Costos (En RD$/Tarea)]])</f>
        <v>251.17052607264577</v>
      </c>
      <c r="O2763" s="6">
        <f>IF(Tabla2[[#This Row],[Costos (En RD$/Tarea)]]=0,0,Tabla2[[#This Row],[Beneficio Neto  (En RD$/Tarea)]]/Tabla2[[#This Row],[Costos (En RD$/Tarea)]])</f>
        <v>0.10425285596950737</v>
      </c>
      <c r="P2763" s="4">
        <f>Tabla2[[#This Row],[Rentabilidad (%)]]/12</f>
        <v>8.687737997458948E-3</v>
      </c>
    </row>
    <row r="2764" spans="1:16" x14ac:dyDescent="0.35">
      <c r="A2764" s="1">
        <v>43525</v>
      </c>
      <c r="B2764" t="s">
        <v>21</v>
      </c>
      <c r="C2764" s="2">
        <v>10214</v>
      </c>
      <c r="D2764" s="5" t="s">
        <v>17</v>
      </c>
      <c r="E2764" s="2">
        <f>IF(Tabla2[[#This Row],[Frecuencia]]="Annual", Tabla2[[#This Row],[Cosecha/Tarea]]/12,Tabla2[[#This Row],[Cosecha/Tarea]])</f>
        <v>10214</v>
      </c>
      <c r="F2764" s="2">
        <v>122145</v>
      </c>
      <c r="G2764" t="s">
        <v>18</v>
      </c>
      <c r="H2764">
        <f>F2764/Tabla2[[#This Row],[Cosecha Mensual]]</f>
        <v>11.958586254160956</v>
      </c>
      <c r="I2764">
        <f>H2764*_xlfn.XLOOKUP(Tabla2[[#This Row],[Unidad de producción]],Tabla3[Medida],Tabla3[Equivalencia en Kg],"ELVIS",0)</f>
        <v>542.44147248874094</v>
      </c>
      <c r="J2764">
        <v>551.28571428571399</v>
      </c>
      <c r="K2764" t="s">
        <v>18</v>
      </c>
      <c r="L2764">
        <f>J2764/_xlfn.XLOOKUP(Tabla2[[#This Row],[Unidad de precio]],Tabla3[Medida],Tabla3[Equivalencia en Kg],"ELVIS",0)</f>
        <v>12.1535651297556</v>
      </c>
      <c r="M2764">
        <v>5846.9700795819999</v>
      </c>
      <c r="N2764" s="2">
        <f>(Tabla2[[#This Row],[Productividad (kg/TAS)]]*Tabla2[[#This Row],[Precio por kg]]-Tabla2[[#This Row],[Costos (En RD$/Tarea)]])</f>
        <v>745.62768539044373</v>
      </c>
      <c r="O2764" s="6">
        <f>IF(Tabla2[[#This Row],[Costos (En RD$/Tarea)]]=0,0,Tabla2[[#This Row],[Beneficio Neto  (En RD$/Tarea)]]/Tabla2[[#This Row],[Costos (En RD$/Tarea)]])</f>
        <v>0.12752377303831675</v>
      </c>
      <c r="P2764" s="4">
        <f>Tabla2[[#This Row],[Rentabilidad (%)]]/12</f>
        <v>1.0626981086526396E-2</v>
      </c>
    </row>
    <row r="2765" spans="1:16" x14ac:dyDescent="0.35">
      <c r="A2765" s="1">
        <v>43525</v>
      </c>
      <c r="B2765" t="s">
        <v>22</v>
      </c>
      <c r="C2765" s="2">
        <v>7452</v>
      </c>
      <c r="D2765" s="5" t="s">
        <v>17</v>
      </c>
      <c r="E2765" s="2">
        <f>IF(Tabla2[[#This Row],[Frecuencia]]="Annual", Tabla2[[#This Row],[Cosecha/Tarea]]/12,Tabla2[[#This Row],[Cosecha/Tarea]])</f>
        <v>7452</v>
      </c>
      <c r="F2765" s="2">
        <v>75421</v>
      </c>
      <c r="G2765" t="s">
        <v>18</v>
      </c>
      <c r="H2765">
        <f>F2765/Tabla2[[#This Row],[Cosecha Mensual]]</f>
        <v>10.120907139023082</v>
      </c>
      <c r="I2765">
        <f>H2765*_xlfn.XLOOKUP(Tabla2[[#This Row],[Unidad de producción]],Tabla3[Medida],Tabla3[Equivalencia en Kg],"ELVIS",0)</f>
        <v>459.08434782608697</v>
      </c>
      <c r="J2765">
        <v>1360.296875</v>
      </c>
      <c r="K2765" t="s">
        <v>18</v>
      </c>
      <c r="L2765">
        <f>J2765/_xlfn.XLOOKUP(Tabla2[[#This Row],[Unidad de precio]],Tabla3[Medida],Tabla3[Equivalencia en Kg],"ELVIS",0)</f>
        <v>29.988908179012345</v>
      </c>
      <c r="M2765">
        <v>10137.37206528</v>
      </c>
      <c r="N2765" s="2">
        <f>(Tabla2[[#This Row],[Productividad (kg/TAS)]]*Tabla2[[#This Row],[Precio por kg]]-Tabla2[[#This Row],[Costos (En RD$/Tarea)]])</f>
        <v>3630.0662880982873</v>
      </c>
      <c r="O2765" s="6">
        <f>IF(Tabla2[[#This Row],[Costos (En RD$/Tarea)]]=0,0,Tabla2[[#This Row],[Beneficio Neto  (En RD$/Tarea)]]/Tabla2[[#This Row],[Costos (En RD$/Tarea)]])</f>
        <v>0.35808750677417528</v>
      </c>
      <c r="P2765" s="4">
        <f>Tabla2[[#This Row],[Rentabilidad (%)]]/12</f>
        <v>2.9840625564514608E-2</v>
      </c>
    </row>
    <row r="2766" spans="1:16" x14ac:dyDescent="0.35">
      <c r="A2766" s="1">
        <v>43525</v>
      </c>
      <c r="B2766" t="s">
        <v>23</v>
      </c>
      <c r="C2766" s="2">
        <v>4683.47</v>
      </c>
      <c r="D2766" s="5" t="s">
        <v>17</v>
      </c>
      <c r="E2766" s="2">
        <f>IF(Tabla2[[#This Row],[Frecuencia]]="Annual", Tabla2[[#This Row],[Cosecha/Tarea]]/12,Tabla2[[#This Row],[Cosecha/Tarea]])</f>
        <v>4683.47</v>
      </c>
      <c r="F2766" s="2">
        <v>210250</v>
      </c>
      <c r="G2766" t="s">
        <v>18</v>
      </c>
      <c r="H2766">
        <f>F2766/Tabla2[[#This Row],[Cosecha Mensual]]</f>
        <v>44.891928420594127</v>
      </c>
      <c r="I2766">
        <f>H2766*_xlfn.XLOOKUP(Tabla2[[#This Row],[Unidad de producción]],Tabla3[Medida],Tabla3[Equivalencia en Kg],"ELVIS",0)</f>
        <v>2036.2978731581495</v>
      </c>
      <c r="J2766">
        <v>908.33333333333303</v>
      </c>
      <c r="K2766" t="s">
        <v>18</v>
      </c>
      <c r="L2766">
        <f>J2766/_xlfn.XLOOKUP(Tabla2[[#This Row],[Unidad de precio]],Tabla3[Medida],Tabla3[Equivalencia en Kg],"ELVIS",0)</f>
        <v>20.024985302763074</v>
      </c>
      <c r="M2766">
        <v>26088.260008087302</v>
      </c>
      <c r="N2766" s="2">
        <f>(Tabla2[[#This Row],[Productividad (kg/TAS)]]*Tabla2[[#This Row],[Precio por kg]]-Tabla2[[#This Row],[Costos (En RD$/Tarea)]])</f>
        <v>14688.574973952353</v>
      </c>
      <c r="O2766" s="6">
        <f>IF(Tabla2[[#This Row],[Costos (En RD$/Tarea)]]=0,0,Tabla2[[#This Row],[Beneficio Neto  (En RD$/Tarea)]]/Tabla2[[#This Row],[Costos (En RD$/Tarea)]])</f>
        <v>0.56303390756604421</v>
      </c>
      <c r="P2766" s="4">
        <f>Tabla2[[#This Row],[Rentabilidad (%)]]/12</f>
        <v>4.6919492297170351E-2</v>
      </c>
    </row>
    <row r="2767" spans="1:16" x14ac:dyDescent="0.35">
      <c r="A2767" s="1">
        <v>43525</v>
      </c>
      <c r="B2767" t="s">
        <v>24</v>
      </c>
      <c r="C2767" s="2">
        <v>6214</v>
      </c>
      <c r="D2767" s="5" t="s">
        <v>17</v>
      </c>
      <c r="E2767" s="2">
        <f>IF(Tabla2[[#This Row],[Frecuencia]]="Annual", Tabla2[[#This Row],[Cosecha/Tarea]]/12,Tabla2[[#This Row],[Cosecha/Tarea]])</f>
        <v>6214</v>
      </c>
      <c r="F2767" s="2">
        <v>52141</v>
      </c>
      <c r="G2767" t="s">
        <v>18</v>
      </c>
      <c r="H2767">
        <f>F2767/Tabla2[[#This Row],[Cosecha Mensual]]</f>
        <v>8.390891535243</v>
      </c>
      <c r="I2767">
        <f>H2767*_xlfn.XLOOKUP(Tabla2[[#This Row],[Unidad de producción]],Tabla3[Medida],Tabla3[Equivalencia en Kg],"ELVIS",0)</f>
        <v>380.61084003862248</v>
      </c>
      <c r="J2767">
        <v>2680.296875</v>
      </c>
      <c r="K2767" t="s">
        <v>18</v>
      </c>
      <c r="L2767">
        <f>J2767/_xlfn.XLOOKUP(Tabla2[[#This Row],[Unidad de precio]],Tabla3[Medida],Tabla3[Equivalencia en Kg],"ELVIS",0)</f>
        <v>59.08943727954145</v>
      </c>
      <c r="M2767">
        <v>8388.8026628831994</v>
      </c>
      <c r="N2767" s="2">
        <f>(Tabla2[[#This Row],[Productividad (kg/TAS)]]*Tabla2[[#This Row],[Precio por kg]]-Tabla2[[#This Row],[Costos (En RD$/Tarea)]])</f>
        <v>14101.277697492567</v>
      </c>
      <c r="O2767" s="6">
        <f>IF(Tabla2[[#This Row],[Costos (En RD$/Tarea)]]=0,0,Tabla2[[#This Row],[Beneficio Neto  (En RD$/Tarea)]]/Tabla2[[#This Row],[Costos (En RD$/Tarea)]])</f>
        <v>1.6809642882511211</v>
      </c>
      <c r="P2767" s="4">
        <f>Tabla2[[#This Row],[Rentabilidad (%)]]/12</f>
        <v>0.14008035735426008</v>
      </c>
    </row>
    <row r="2768" spans="1:16" x14ac:dyDescent="0.35">
      <c r="A2768" s="1">
        <v>43525</v>
      </c>
      <c r="B2768" t="s">
        <v>25</v>
      </c>
      <c r="C2768" s="2">
        <v>28145</v>
      </c>
      <c r="D2768" s="5" t="s">
        <v>17</v>
      </c>
      <c r="E2768" s="2">
        <f>IF(Tabla2[[#This Row],[Frecuencia]]="Annual", Tabla2[[#This Row],[Cosecha/Tarea]]/12,Tabla2[[#This Row],[Cosecha/Tarea]])</f>
        <v>28145</v>
      </c>
      <c r="F2768" s="2">
        <v>269841</v>
      </c>
      <c r="G2768" t="s">
        <v>18</v>
      </c>
      <c r="H2768">
        <f>F2768/Tabla2[[#This Row],[Cosecha Mensual]]</f>
        <v>9.5875288683602768</v>
      </c>
      <c r="I2768">
        <f>H2768*_xlfn.XLOOKUP(Tabla2[[#This Row],[Unidad de producción]],Tabla3[Medida],Tabla3[Equivalencia en Kg],"ELVIS",0)</f>
        <v>434.89030946882212</v>
      </c>
      <c r="J2768">
        <v>805.39171666666698</v>
      </c>
      <c r="K2768" t="s">
        <v>18</v>
      </c>
      <c r="L2768">
        <f>J2768/_xlfn.XLOOKUP(Tabla2[[#This Row],[Unidad de precio]],Tabla3[Medida],Tabla3[Equivalencia en Kg],"ELVIS",0)</f>
        <v>17.75554930922987</v>
      </c>
      <c r="M2768">
        <v>4718.2914901260801</v>
      </c>
      <c r="N2768" s="2">
        <f>(Tabla2[[#This Row],[Productividad (kg/TAS)]]*Tabla2[[#This Row],[Precio por kg]]-Tabla2[[#This Row],[Costos (En RD$/Tarea)]])</f>
        <v>3003.424843753829</v>
      </c>
      <c r="O2768" s="6">
        <f>IF(Tabla2[[#This Row],[Costos (En RD$/Tarea)]]=0,0,Tabla2[[#This Row],[Beneficio Neto  (En RD$/Tarea)]]/Tabla2[[#This Row],[Costos (En RD$/Tarea)]])</f>
        <v>0.63654923610359071</v>
      </c>
      <c r="P2768" s="4">
        <f>Tabla2[[#This Row],[Rentabilidad (%)]]/12</f>
        <v>5.3045769675299226E-2</v>
      </c>
    </row>
    <row r="2769" spans="1:16" x14ac:dyDescent="0.35">
      <c r="A2769" s="1">
        <v>43525</v>
      </c>
      <c r="B2769" t="s">
        <v>26</v>
      </c>
      <c r="C2769" s="2">
        <v>14202</v>
      </c>
      <c r="D2769" s="5" t="s">
        <v>17</v>
      </c>
      <c r="E2769" s="2">
        <f>IF(Tabla2[[#This Row],[Frecuencia]]="Annual", Tabla2[[#This Row],[Cosecha/Tarea]]/12,Tabla2[[#This Row],[Cosecha/Tarea]])</f>
        <v>14202</v>
      </c>
      <c r="F2769" s="2">
        <v>79542</v>
      </c>
      <c r="G2769" t="s">
        <v>18</v>
      </c>
      <c r="H2769">
        <f>F2769/Tabla2[[#This Row],[Cosecha Mensual]]</f>
        <v>5.6007604562737638</v>
      </c>
      <c r="I2769">
        <f>H2769*_xlfn.XLOOKUP(Tabla2[[#This Row],[Unidad de producción]],Tabla3[Medida],Tabla3[Equivalencia en Kg],"ELVIS",0)</f>
        <v>254.05049429657794</v>
      </c>
      <c r="J2769">
        <v>1018.65364583333</v>
      </c>
      <c r="K2769" t="s">
        <v>18</v>
      </c>
      <c r="L2769">
        <f>J2769/_xlfn.XLOOKUP(Tabla2[[#This Row],[Unidad de precio]],Tabla3[Medida],Tabla3[Equivalencia en Kg],"ELVIS",0)</f>
        <v>22.457090957524912</v>
      </c>
      <c r="M2769">
        <v>1668.6966112895</v>
      </c>
      <c r="N2769" s="2">
        <f>(Tabla2[[#This Row],[Productividad (kg/TAS)]]*Tabla2[[#This Row],[Precio por kg]]-Tabla2[[#This Row],[Costos (En RD$/Tarea)]])</f>
        <v>4036.5384469329147</v>
      </c>
      <c r="O2769" s="6">
        <f>IF(Tabla2[[#This Row],[Costos (En RD$/Tarea)]]=0,0,Tabla2[[#This Row],[Beneficio Neto  (En RD$/Tarea)]]/Tabla2[[#This Row],[Costos (En RD$/Tarea)]])</f>
        <v>2.4189768347486749</v>
      </c>
      <c r="P2769" s="4">
        <f>Tabla2[[#This Row],[Rentabilidad (%)]]/12</f>
        <v>0.20158140289572291</v>
      </c>
    </row>
    <row r="2770" spans="1:16" x14ac:dyDescent="0.35">
      <c r="A2770" s="1">
        <v>43525</v>
      </c>
      <c r="B2770" t="s">
        <v>27</v>
      </c>
      <c r="C2770" s="2">
        <v>5985</v>
      </c>
      <c r="D2770" s="5" t="s">
        <v>17</v>
      </c>
      <c r="E2770" s="2">
        <f>IF(Tabla2[[#This Row],[Frecuencia]]="Annual", Tabla2[[#This Row],[Cosecha/Tarea]]/12,Tabla2[[#This Row],[Cosecha/Tarea]])</f>
        <v>5985</v>
      </c>
      <c r="F2770" s="2">
        <v>56254</v>
      </c>
      <c r="G2770" t="s">
        <v>18</v>
      </c>
      <c r="H2770">
        <f>F2770/Tabla2[[#This Row],[Cosecha Mensual]]</f>
        <v>9.3991645781119466</v>
      </c>
      <c r="I2770">
        <f>H2770*_xlfn.XLOOKUP(Tabla2[[#This Row],[Unidad de producción]],Tabla3[Medida],Tabla3[Equivalencia en Kg],"ELVIS",0)</f>
        <v>426.34610526315788</v>
      </c>
      <c r="J2770">
        <v>801.38888888888903</v>
      </c>
      <c r="K2770" t="s">
        <v>18</v>
      </c>
      <c r="L2770">
        <f>J2770/_xlfn.XLOOKUP(Tabla2[[#This Row],[Unidad de precio]],Tabla3[Medida],Tabla3[Equivalencia en Kg],"ELVIS",0)</f>
        <v>17.66730354693318</v>
      </c>
      <c r="M2770">
        <v>9222.1943510245001</v>
      </c>
      <c r="N2770" s="2">
        <f>(Tabla2[[#This Row],[Productividad (kg/TAS)]]*Tabla2[[#This Row],[Precio por kg]]-Tabla2[[#This Row],[Costos (En RD$/Tarea)]])</f>
        <v>-1689.8082932875641</v>
      </c>
      <c r="O2770" s="6">
        <f>IF(Tabla2[[#This Row],[Costos (En RD$/Tarea)]]=0,0,Tabla2[[#This Row],[Beneficio Neto  (En RD$/Tarea)]]/Tabla2[[#This Row],[Costos (En RD$/Tarea)]])</f>
        <v>-0.18323277833543403</v>
      </c>
      <c r="P2770" s="4">
        <f>Tabla2[[#This Row],[Rentabilidad (%)]]/12</f>
        <v>-1.5269398194619503E-2</v>
      </c>
    </row>
    <row r="2771" spans="1:16" x14ac:dyDescent="0.35">
      <c r="A2771" s="1">
        <v>43525</v>
      </c>
      <c r="B2771" t="s">
        <v>28</v>
      </c>
      <c r="C2771" s="2">
        <v>73328.182000000001</v>
      </c>
      <c r="D2771" s="5" t="s">
        <v>17</v>
      </c>
      <c r="E2771" s="2">
        <f>IF(Tabla2[[#This Row],[Frecuencia]]="Annual", Tabla2[[#This Row],[Cosecha/Tarea]]/12,Tabla2[[#This Row],[Cosecha/Tarea]])</f>
        <v>73328.182000000001</v>
      </c>
      <c r="F2771" s="2">
        <v>1182238.368</v>
      </c>
      <c r="G2771" t="s">
        <v>18</v>
      </c>
      <c r="H2771">
        <f>F2771/Tabla2[[#This Row],[Cosecha Mensual]]</f>
        <v>16.12256482780386</v>
      </c>
      <c r="I2771">
        <f>H2771*_xlfn.XLOOKUP(Tabla2[[#This Row],[Unidad de producción]],Tabla3[Medida],Tabla3[Equivalencia en Kg],"ELVIS",0)</f>
        <v>731.31954058918302</v>
      </c>
      <c r="J2771">
        <v>23177.083333333299</v>
      </c>
      <c r="K2771" t="s">
        <v>29</v>
      </c>
      <c r="L2771">
        <f>J2771/_xlfn.XLOOKUP(Tabla2[[#This Row],[Unidad de precio]],Tabla3[Medida],Tabla3[Equivalencia en Kg],"ELVIS",0)</f>
        <v>41.215427202996935</v>
      </c>
      <c r="M2771">
        <v>7149.9398177165003</v>
      </c>
      <c r="N2771" s="2">
        <f>(Tabla2[[#This Row],[Productividad (kg/TAS)]]*Tabla2[[#This Row],[Precio por kg]]-Tabla2[[#This Row],[Costos (En RD$/Tarea)]])</f>
        <v>22991.707469566136</v>
      </c>
      <c r="O2771" s="6">
        <f>IF(Tabla2[[#This Row],[Costos (En RD$/Tarea)]]=0,0,Tabla2[[#This Row],[Beneficio Neto  (En RD$/Tarea)]]/Tabla2[[#This Row],[Costos (En RD$/Tarea)]])</f>
        <v>3.2156504887769914</v>
      </c>
      <c r="P2771" s="4">
        <f>Tabla2[[#This Row],[Rentabilidad (%)]]/12</f>
        <v>0.26797087406474929</v>
      </c>
    </row>
    <row r="2772" spans="1:16" x14ac:dyDescent="0.35">
      <c r="A2772" s="1">
        <v>43525</v>
      </c>
      <c r="B2772" t="s">
        <v>30</v>
      </c>
      <c r="C2772" s="2">
        <v>479985</v>
      </c>
      <c r="D2772" s="2" t="s">
        <v>31</v>
      </c>
      <c r="E2772" s="2">
        <f>IF(Tabla2[[#This Row],[Frecuencia]]="Annual", Tabla2[[#This Row],[Cosecha/Tarea]]/12,Tabla2[[#This Row],[Cosecha/Tarea]])</f>
        <v>39998.75</v>
      </c>
      <c r="F2772" s="2">
        <v>2173903.1020800001</v>
      </c>
      <c r="G2772" t="s">
        <v>18</v>
      </c>
      <c r="H2772">
        <f>F2772/Tabla2[[#This Row],[Cosecha Mensual]]</f>
        <v>54.349275966873968</v>
      </c>
      <c r="I2772">
        <f>H2772*_xlfn.XLOOKUP(Tabla2[[#This Row],[Unidad de producción]],Tabla3[Medida],Tabla3[Equivalencia en Kg],"ELVIS",0)</f>
        <v>2465.2831578574032</v>
      </c>
      <c r="J2772">
        <v>140.86770833333301</v>
      </c>
      <c r="K2772" t="s">
        <v>32</v>
      </c>
      <c r="L2772">
        <f>J2772/_xlfn.XLOOKUP(Tabla2[[#This Row],[Unidad de precio]],Tabla3[Medida],Tabla3[Equivalencia en Kg],"ELVIS",0)</f>
        <v>5.1770565355873943</v>
      </c>
      <c r="M2772" s="2">
        <v>35445.717948420002</v>
      </c>
      <c r="N2772" s="2">
        <f>(Tabla2[[#This Row],[Productividad (kg/TAS)]]*Tabla2[[#This Row],[Precio por kg]]-Tabla2[[#This Row],[Costos (En RD$/Tarea)]])</f>
        <v>-22682.807663960804</v>
      </c>
      <c r="O2772" s="6">
        <f>IF(Tabla2[[#This Row],[Costos (En RD$/Tarea)]]=0,0,Tabla2[[#This Row],[Beneficio Neto  (En RD$/Tarea)]]/Tabla2[[#This Row],[Costos (En RD$/Tarea)]])</f>
        <v>-0.6399308287948472</v>
      </c>
      <c r="P2772" s="4">
        <f>Tabla2[[#This Row],[Rentabilidad (%)]]/12</f>
        <v>-5.3327569066237264E-2</v>
      </c>
    </row>
    <row r="2773" spans="1:16" x14ac:dyDescent="0.35">
      <c r="A2773" s="1">
        <v>43525</v>
      </c>
      <c r="B2773" t="s">
        <v>33</v>
      </c>
      <c r="C2773" s="2">
        <v>745210</v>
      </c>
      <c r="D2773" s="2" t="s">
        <v>31</v>
      </c>
      <c r="E2773" s="2">
        <f>IF(Tabla2[[#This Row],[Frecuencia]]="Annual", Tabla2[[#This Row],[Cosecha/Tarea]]/12,Tabla2[[#This Row],[Cosecha/Tarea]])</f>
        <v>62100.833333333336</v>
      </c>
      <c r="F2773" s="2">
        <v>1649894.94</v>
      </c>
      <c r="G2773" t="s">
        <v>18</v>
      </c>
      <c r="H2773">
        <f>F2773/Tabla2[[#This Row],[Cosecha Mensual]]</f>
        <v>26.567999999999998</v>
      </c>
      <c r="I2773">
        <f>H2773*_xlfn.XLOOKUP(Tabla2[[#This Row],[Unidad de producción]],Tabla3[Medida],Tabla3[Equivalencia en Kg],"ELVIS",0)</f>
        <v>1205.1244799999999</v>
      </c>
      <c r="J2773">
        <v>7108.4791666666697</v>
      </c>
      <c r="K2773" t="s">
        <v>34</v>
      </c>
      <c r="L2773">
        <f>J2773/_xlfn.XLOOKUP(Tabla2[[#This Row],[Unidad de precio]],Tabla3[Medida],Tabla3[Equivalencia en Kg],"ELVIS",0)</f>
        <v>17.416339989382998</v>
      </c>
      <c r="M2773" s="2">
        <v>22691.3984505224</v>
      </c>
      <c r="N2773" s="2">
        <f>(Tabla2[[#This Row],[Productividad (kg/TAS)]]*Tabla2[[#This Row],[Precio por kg]]-Tabla2[[#This Row],[Costos (En RD$/Tarea)]])</f>
        <v>-1702.5407773140105</v>
      </c>
      <c r="O2773" s="6">
        <f>IF(Tabla2[[#This Row],[Costos (En RD$/Tarea)]]=0,0,Tabla2[[#This Row],[Beneficio Neto  (En RD$/Tarea)]]/Tabla2[[#This Row],[Costos (En RD$/Tarea)]])</f>
        <v>-7.5030227027493526E-2</v>
      </c>
      <c r="P2773" s="4">
        <f>Tabla2[[#This Row],[Rentabilidad (%)]]/12</f>
        <v>-6.2525189189577939E-3</v>
      </c>
    </row>
    <row r="2774" spans="1:16" x14ac:dyDescent="0.35">
      <c r="A2774" s="1">
        <v>43556</v>
      </c>
      <c r="B2774" t="s">
        <v>16</v>
      </c>
      <c r="C2774" s="2">
        <v>506059</v>
      </c>
      <c r="D2774" s="5" t="s">
        <v>17</v>
      </c>
      <c r="E2774" s="2">
        <f>IF(Tabla2[[#This Row],[Frecuencia]]="Annual", Tabla2[[#This Row],[Cosecha/Tarea]]/12,Tabla2[[#This Row],[Cosecha/Tarea]])</f>
        <v>506059</v>
      </c>
      <c r="F2774" s="2">
        <v>2655472</v>
      </c>
      <c r="G2774" t="s">
        <v>18</v>
      </c>
      <c r="H2774">
        <f>F2774/Tabla2[[#This Row],[Cosecha Mensual]]</f>
        <v>5.2473565335267232</v>
      </c>
      <c r="I2774">
        <f>H2774*_xlfn.XLOOKUP(Tabla2[[#This Row],[Unidad de producción]],Tabla3[Medida],Tabla3[Equivalencia en Kg],"ELVIS",0)</f>
        <v>238.02009236077217</v>
      </c>
      <c r="J2774">
        <v>2226.5812247891499</v>
      </c>
      <c r="K2774" t="s">
        <v>19</v>
      </c>
      <c r="L2774">
        <f>J2774/_xlfn.XLOOKUP(Tabla2[[#This Row],[Unidad de precio]],Tabla3[Medida],Tabla3[Equivalencia en Kg],"ELVIS",0)</f>
        <v>20.241647498083182</v>
      </c>
      <c r="M2774">
        <v>6284.7907932016997</v>
      </c>
      <c r="N2774" s="2">
        <f>(Tabla2[[#This Row],[Productividad (kg/TAS)]]*Tabla2[[#This Row],[Precio por kg]]-Tabla2[[#This Row],[Costos (En RD$/Tarea)]])</f>
        <v>-1466.8719861737482</v>
      </c>
      <c r="O2774" s="6">
        <f>IF(Tabla2[[#This Row],[Costos (En RD$/Tarea)]]=0,0,Tabla2[[#This Row],[Beneficio Neto  (En RD$/Tarea)]]/Tabla2[[#This Row],[Costos (En RD$/Tarea)]])</f>
        <v>-0.23340028879886876</v>
      </c>
      <c r="P2774" s="4">
        <f>Tabla2[[#This Row],[Rentabilidad (%)]]/12</f>
        <v>-1.9450024066572397E-2</v>
      </c>
    </row>
    <row r="2775" spans="1:16" x14ac:dyDescent="0.35">
      <c r="A2775" s="1">
        <v>43556</v>
      </c>
      <c r="B2775" t="s">
        <v>20</v>
      </c>
      <c r="C2775" s="2">
        <v>28147</v>
      </c>
      <c r="D2775" s="5" t="s">
        <v>17</v>
      </c>
      <c r="E2775" s="2">
        <f>IF(Tabla2[[#This Row],[Frecuencia]]="Annual", Tabla2[[#This Row],[Cosecha/Tarea]]/12,Tabla2[[#This Row],[Cosecha/Tarea]])</f>
        <v>28147</v>
      </c>
      <c r="F2775" s="2">
        <v>68745</v>
      </c>
      <c r="G2775" t="s">
        <v>18</v>
      </c>
      <c r="H2775">
        <f>F2775/Tabla2[[#This Row],[Cosecha Mensual]]</f>
        <v>2.4423562013713718</v>
      </c>
      <c r="I2775">
        <f>H2775*_xlfn.XLOOKUP(Tabla2[[#This Row],[Unidad de producción]],Tabla3[Medida],Tabla3[Equivalencia en Kg],"ELVIS",0)</f>
        <v>110.78527729420543</v>
      </c>
      <c r="J2775">
        <v>1063.8660416666701</v>
      </c>
      <c r="K2775" t="s">
        <v>18</v>
      </c>
      <c r="L2775">
        <f>J2775/_xlfn.XLOOKUP(Tabla2[[#This Row],[Unidad de precio]],Tabla3[Medida],Tabla3[Equivalencia en Kg],"ELVIS",0)</f>
        <v>23.45383689741336</v>
      </c>
      <c r="M2775">
        <v>2409.2436004449601</v>
      </c>
      <c r="N2775" s="2">
        <f>(Tabla2[[#This Row],[Productividad (kg/TAS)]]*Tabla2[[#This Row],[Precio por kg]]-Tabla2[[#This Row],[Costos (En RD$/Tarea)]])</f>
        <v>189.09622384804561</v>
      </c>
      <c r="O2775" s="6">
        <f>IF(Tabla2[[#This Row],[Costos (En RD$/Tarea)]]=0,0,Tabla2[[#This Row],[Beneficio Neto  (En RD$/Tarea)]]/Tabla2[[#This Row],[Costos (En RD$/Tarea)]])</f>
        <v>7.8487797503383083E-2</v>
      </c>
      <c r="P2775" s="4">
        <f>Tabla2[[#This Row],[Rentabilidad (%)]]/12</f>
        <v>6.54064979194859E-3</v>
      </c>
    </row>
    <row r="2776" spans="1:16" x14ac:dyDescent="0.35">
      <c r="A2776" s="1">
        <v>43556</v>
      </c>
      <c r="B2776" t="s">
        <v>21</v>
      </c>
      <c r="C2776" s="2">
        <v>11984</v>
      </c>
      <c r="D2776" s="5" t="s">
        <v>17</v>
      </c>
      <c r="E2776" s="2">
        <f>IF(Tabla2[[#This Row],[Frecuencia]]="Annual", Tabla2[[#This Row],[Cosecha/Tarea]]/12,Tabla2[[#This Row],[Cosecha/Tarea]])</f>
        <v>11984</v>
      </c>
      <c r="F2776" s="2">
        <v>139587</v>
      </c>
      <c r="G2776" t="s">
        <v>18</v>
      </c>
      <c r="H2776">
        <f>F2776/Tabla2[[#This Row],[Cosecha Mensual]]</f>
        <v>11.647780373831775</v>
      </c>
      <c r="I2776">
        <f>H2776*_xlfn.XLOOKUP(Tabla2[[#This Row],[Unidad de producción]],Tabla3[Medida],Tabla3[Equivalencia en Kg],"ELVIS",0)</f>
        <v>528.34331775700934</v>
      </c>
      <c r="J2776">
        <v>665.1640625</v>
      </c>
      <c r="K2776" t="s">
        <v>18</v>
      </c>
      <c r="L2776">
        <f>J2776/_xlfn.XLOOKUP(Tabla2[[#This Row],[Unidad de precio]],Tabla3[Medida],Tabla3[Equivalencia en Kg],"ELVIS",0)</f>
        <v>14.664110725308642</v>
      </c>
      <c r="M2776">
        <v>5846.9700795819999</v>
      </c>
      <c r="N2776" s="2">
        <f>(Tabla2[[#This Row],[Productividad (kg/TAS)]]*Tabla2[[#This Row],[Precio por kg]]-Tabla2[[#This Row],[Costos (En RD$/Tarea)]])</f>
        <v>1900.7148329837128</v>
      </c>
      <c r="O2776" s="6">
        <f>IF(Tabla2[[#This Row],[Costos (En RD$/Tarea)]]=0,0,Tabla2[[#This Row],[Beneficio Neto  (En RD$/Tarea)]]/Tabla2[[#This Row],[Costos (En RD$/Tarea)]])</f>
        <v>0.32507688719344274</v>
      </c>
      <c r="P2776" s="4">
        <f>Tabla2[[#This Row],[Rentabilidad (%)]]/12</f>
        <v>2.7089740599453561E-2</v>
      </c>
    </row>
    <row r="2777" spans="1:16" x14ac:dyDescent="0.35">
      <c r="A2777" s="1">
        <v>43556</v>
      </c>
      <c r="B2777" t="s">
        <v>22</v>
      </c>
      <c r="C2777" s="2">
        <v>9248.0000000000091</v>
      </c>
      <c r="D2777" s="5" t="s">
        <v>17</v>
      </c>
      <c r="E2777" s="2">
        <f>IF(Tabla2[[#This Row],[Frecuencia]]="Annual", Tabla2[[#This Row],[Cosecha/Tarea]]/12,Tabla2[[#This Row],[Cosecha/Tarea]])</f>
        <v>9248.0000000000091</v>
      </c>
      <c r="F2777" s="2">
        <v>90561.2</v>
      </c>
      <c r="G2777" t="s">
        <v>18</v>
      </c>
      <c r="H2777">
        <f>F2777/Tabla2[[#This Row],[Cosecha Mensual]]</f>
        <v>9.7925173010380515</v>
      </c>
      <c r="I2777">
        <f>H2777*_xlfn.XLOOKUP(Tabla2[[#This Row],[Unidad de producción]],Tabla3[Medida],Tabla3[Equivalencia en Kg],"ELVIS",0)</f>
        <v>444.18858477508599</v>
      </c>
      <c r="J2777">
        <v>1456.2135416666699</v>
      </c>
      <c r="K2777" t="s">
        <v>18</v>
      </c>
      <c r="L2777">
        <f>J2777/_xlfn.XLOOKUP(Tabla2[[#This Row],[Unidad de precio]],Tabla3[Medida],Tabla3[Equivalencia en Kg],"ELVIS",0)</f>
        <v>32.103473140799601</v>
      </c>
      <c r="M2777">
        <v>10137.37206528</v>
      </c>
      <c r="N2777" s="2">
        <f>(Tabla2[[#This Row],[Productividad (kg/TAS)]]*Tabla2[[#This Row],[Precio por kg]]-Tabla2[[#This Row],[Costos (En RD$/Tarea)]])</f>
        <v>4122.6242354967599</v>
      </c>
      <c r="O2777" s="6">
        <f>IF(Tabla2[[#This Row],[Costos (En RD$/Tarea)]]=0,0,Tabla2[[#This Row],[Beneficio Neto  (En RD$/Tarea)]]/Tabla2[[#This Row],[Costos (En RD$/Tarea)]])</f>
        <v>0.40667583363311138</v>
      </c>
      <c r="P2777" s="4">
        <f>Tabla2[[#This Row],[Rentabilidad (%)]]/12</f>
        <v>3.3889652802759282E-2</v>
      </c>
    </row>
    <row r="2778" spans="1:16" x14ac:dyDescent="0.35">
      <c r="A2778" s="1">
        <v>43556</v>
      </c>
      <c r="B2778" t="s">
        <v>23</v>
      </c>
      <c r="C2778" s="2">
        <v>4345</v>
      </c>
      <c r="D2778" s="5" t="s">
        <v>17</v>
      </c>
      <c r="E2778" s="2">
        <f>IF(Tabla2[[#This Row],[Frecuencia]]="Annual", Tabla2[[#This Row],[Cosecha/Tarea]]/12,Tabla2[[#This Row],[Cosecha/Tarea]])</f>
        <v>4345</v>
      </c>
      <c r="F2778" s="2">
        <v>165471</v>
      </c>
      <c r="G2778" t="s">
        <v>18</v>
      </c>
      <c r="H2778">
        <f>F2778/Tabla2[[#This Row],[Cosecha Mensual]]</f>
        <v>38.083084004602995</v>
      </c>
      <c r="I2778">
        <f>H2778*_xlfn.XLOOKUP(Tabla2[[#This Row],[Unidad de producción]],Tabla3[Medida],Tabla3[Equivalencia en Kg],"ELVIS",0)</f>
        <v>1727.4486904487919</v>
      </c>
      <c r="J2778">
        <v>969.33333333333303</v>
      </c>
      <c r="K2778" t="s">
        <v>18</v>
      </c>
      <c r="L2778">
        <f>J2778/_xlfn.XLOOKUP(Tabla2[[#This Row],[Unidad de precio]],Tabla3[Medida],Tabla3[Equivalencia en Kg],"ELVIS",0)</f>
        <v>21.369782480893587</v>
      </c>
      <c r="M2778">
        <v>26088.260008087302</v>
      </c>
      <c r="N2778" s="2">
        <f>(Tabla2[[#This Row],[Productividad (kg/TAS)]]*Tabla2[[#This Row],[Precio por kg]]-Tabla2[[#This Row],[Costos (En RD$/Tarea)]])</f>
        <v>10826.942753707859</v>
      </c>
      <c r="O2778" s="6">
        <f>IF(Tabla2[[#This Row],[Costos (En RD$/Tarea)]]=0,0,Tabla2[[#This Row],[Beneficio Neto  (En RD$/Tarea)]]/Tabla2[[#This Row],[Costos (En RD$/Tarea)]])</f>
        <v>0.41501206866044466</v>
      </c>
      <c r="P2778" s="4">
        <f>Tabla2[[#This Row],[Rentabilidad (%)]]/12</f>
        <v>3.4584339055037057E-2</v>
      </c>
    </row>
    <row r="2779" spans="1:16" x14ac:dyDescent="0.35">
      <c r="A2779" s="1">
        <v>43556</v>
      </c>
      <c r="B2779" t="s">
        <v>24</v>
      </c>
      <c r="C2779" s="2">
        <v>6587</v>
      </c>
      <c r="D2779" s="5" t="s">
        <v>17</v>
      </c>
      <c r="E2779" s="2">
        <f>IF(Tabla2[[#This Row],[Frecuencia]]="Annual", Tabla2[[#This Row],[Cosecha/Tarea]]/12,Tabla2[[#This Row],[Cosecha/Tarea]])</f>
        <v>6587</v>
      </c>
      <c r="F2779" s="2">
        <v>62627.4</v>
      </c>
      <c r="G2779" t="s">
        <v>18</v>
      </c>
      <c r="H2779">
        <f>F2779/Tabla2[[#This Row],[Cosecha Mensual]]</f>
        <v>9.5077273417337178</v>
      </c>
      <c r="I2779">
        <f>H2779*_xlfn.XLOOKUP(Tabla2[[#This Row],[Unidad de producción]],Tabla3[Medida],Tabla3[Equivalencia en Kg],"ELVIS",0)</f>
        <v>431.27051222104143</v>
      </c>
      <c r="J2779">
        <v>2575.234375</v>
      </c>
      <c r="K2779" t="s">
        <v>18</v>
      </c>
      <c r="L2779">
        <f>J2779/_xlfn.XLOOKUP(Tabla2[[#This Row],[Unidad de precio]],Tabla3[Medida],Tabla3[Equivalencia en Kg],"ELVIS",0)</f>
        <v>56.77324459876543</v>
      </c>
      <c r="M2779">
        <v>8388.8026628831994</v>
      </c>
      <c r="N2779" s="2">
        <f>(Tabla2[[#This Row],[Productividad (kg/TAS)]]*Tabla2[[#This Row],[Precio por kg]]-Tabla2[[#This Row],[Costos (En RD$/Tarea)]])</f>
        <v>16095.823615676842</v>
      </c>
      <c r="O2779" s="6">
        <f>IF(Tabla2[[#This Row],[Costos (En RD$/Tarea)]]=0,0,Tabla2[[#This Row],[Beneficio Neto  (En RD$/Tarea)]]/Tabla2[[#This Row],[Costos (En RD$/Tarea)]])</f>
        <v>1.9187271726981796</v>
      </c>
      <c r="P2779" s="4">
        <f>Tabla2[[#This Row],[Rentabilidad (%)]]/12</f>
        <v>0.15989393105818164</v>
      </c>
    </row>
    <row r="2780" spans="1:16" x14ac:dyDescent="0.35">
      <c r="A2780" s="1">
        <v>43556</v>
      </c>
      <c r="B2780" t="s">
        <v>25</v>
      </c>
      <c r="C2780" s="2">
        <v>29456.799999999999</v>
      </c>
      <c r="D2780" s="5" t="s">
        <v>17</v>
      </c>
      <c r="E2780" s="2">
        <f>IF(Tabla2[[#This Row],[Frecuencia]]="Annual", Tabla2[[#This Row],[Cosecha/Tarea]]/12,Tabla2[[#This Row],[Cosecha/Tarea]])</f>
        <v>29456.799999999999</v>
      </c>
      <c r="F2780" s="2">
        <v>282955</v>
      </c>
      <c r="G2780" t="s">
        <v>18</v>
      </c>
      <c r="H2780">
        <f>F2780/Tabla2[[#This Row],[Cosecha Mensual]]</f>
        <v>9.6057616577496532</v>
      </c>
      <c r="I2780">
        <f>H2780*_xlfn.XLOOKUP(Tabla2[[#This Row],[Unidad de producción]],Tabla3[Medida],Tabla3[Equivalencia en Kg],"ELVIS",0)</f>
        <v>435.71734879552429</v>
      </c>
      <c r="J2780">
        <v>867.57302083333298</v>
      </c>
      <c r="K2780" t="s">
        <v>18</v>
      </c>
      <c r="L2780">
        <f>J2780/_xlfn.XLOOKUP(Tabla2[[#This Row],[Unidad de precio]],Tabla3[Medida],Tabla3[Equivalencia en Kg],"ELVIS",0)</f>
        <v>19.126389348177536</v>
      </c>
      <c r="M2780">
        <v>4718.2914901260801</v>
      </c>
      <c r="N2780" s="2">
        <f>(Tabla2[[#This Row],[Productividad (kg/TAS)]]*Tabla2[[#This Row],[Precio por kg]]-Tabla2[[#This Row],[Costos (En RD$/Tarea)]])</f>
        <v>3615.4081686927921</v>
      </c>
      <c r="O2780" s="6">
        <f>IF(Tabla2[[#This Row],[Costos (En RD$/Tarea)]]=0,0,Tabla2[[#This Row],[Beneficio Neto  (En RD$/Tarea)]]/Tabla2[[#This Row],[Costos (En RD$/Tarea)]])</f>
        <v>0.76625366962993269</v>
      </c>
      <c r="P2780" s="4">
        <f>Tabla2[[#This Row],[Rentabilidad (%)]]/12</f>
        <v>6.3854472469161053E-2</v>
      </c>
    </row>
    <row r="2781" spans="1:16" x14ac:dyDescent="0.35">
      <c r="A2781" s="1">
        <v>43556</v>
      </c>
      <c r="B2781" t="s">
        <v>26</v>
      </c>
      <c r="C2781" s="2">
        <v>8251.7999999999902</v>
      </c>
      <c r="D2781" s="5" t="s">
        <v>17</v>
      </c>
      <c r="E2781" s="2">
        <f>IF(Tabla2[[#This Row],[Frecuencia]]="Annual", Tabla2[[#This Row],[Cosecha/Tarea]]/12,Tabla2[[#This Row],[Cosecha/Tarea]])</f>
        <v>8251.7999999999902</v>
      </c>
      <c r="F2781" s="2">
        <v>60741.599999999999</v>
      </c>
      <c r="G2781" t="s">
        <v>18</v>
      </c>
      <c r="H2781">
        <f>F2781/Tabla2[[#This Row],[Cosecha Mensual]]</f>
        <v>7.3610121428052144</v>
      </c>
      <c r="I2781">
        <f>H2781*_xlfn.XLOOKUP(Tabla2[[#This Row],[Unidad de producción]],Tabla3[Medida],Tabla3[Equivalencia en Kg],"ELVIS",0)</f>
        <v>333.89551079764453</v>
      </c>
      <c r="J2781">
        <v>1167.4375</v>
      </c>
      <c r="K2781" t="s">
        <v>18</v>
      </c>
      <c r="L2781">
        <f>J2781/_xlfn.XLOOKUP(Tabla2[[#This Row],[Unidad de precio]],Tabla3[Medida],Tabla3[Equivalencia en Kg],"ELVIS",0)</f>
        <v>25.737158289241624</v>
      </c>
      <c r="M2781">
        <v>1668.6966112895</v>
      </c>
      <c r="N2781" s="2">
        <f>(Tabla2[[#This Row],[Productividad (kg/TAS)]]*Tabla2[[#This Row],[Precio por kg]]-Tabla2[[#This Row],[Costos (En RD$/Tarea)]])</f>
        <v>6924.8250021766626</v>
      </c>
      <c r="O2781" s="6">
        <f>IF(Tabla2[[#This Row],[Costos (En RD$/Tarea)]]=0,0,Tabla2[[#This Row],[Beneficio Neto  (En RD$/Tarea)]]/Tabla2[[#This Row],[Costos (En RD$/Tarea)]])</f>
        <v>4.1498406332984903</v>
      </c>
      <c r="P2781" s="4">
        <f>Tabla2[[#This Row],[Rentabilidad (%)]]/12</f>
        <v>0.34582005277487421</v>
      </c>
    </row>
    <row r="2782" spans="1:16" x14ac:dyDescent="0.35">
      <c r="A2782" s="1">
        <v>43556</v>
      </c>
      <c r="B2782" t="s">
        <v>27</v>
      </c>
      <c r="C2782" s="2">
        <v>2076.1999999999998</v>
      </c>
      <c r="D2782" s="5" t="s">
        <v>17</v>
      </c>
      <c r="E2782" s="2">
        <f>IF(Tabla2[[#This Row],[Frecuencia]]="Annual", Tabla2[[#This Row],[Cosecha/Tarea]]/12,Tabla2[[#This Row],[Cosecha/Tarea]])</f>
        <v>2076.1999999999998</v>
      </c>
      <c r="F2782" s="2">
        <v>52032</v>
      </c>
      <c r="G2782" t="s">
        <v>18</v>
      </c>
      <c r="H2782">
        <f>F2782/Tabla2[[#This Row],[Cosecha Mensual]]</f>
        <v>25.061169444176866</v>
      </c>
      <c r="I2782">
        <f>H2782*_xlfn.XLOOKUP(Tabla2[[#This Row],[Unidad de producción]],Tabla3[Medida],Tabla3[Equivalencia en Kg],"ELVIS",0)</f>
        <v>1136.7746459878626</v>
      </c>
      <c r="J2782">
        <v>786.64236111111097</v>
      </c>
      <c r="K2782" t="s">
        <v>18</v>
      </c>
      <c r="L2782">
        <f>J2782/_xlfn.XLOOKUP(Tabla2[[#This Row],[Unidad de precio]],Tabla3[Medida],Tabla3[Equivalencia en Kg],"ELVIS",0)</f>
        <v>17.342203728199095</v>
      </c>
      <c r="M2782">
        <v>9222.1943510245001</v>
      </c>
      <c r="N2782" s="2">
        <f>(Tabla2[[#This Row],[Productividad (kg/TAS)]]*Tabla2[[#This Row],[Precio por kg]]-Tabla2[[#This Row],[Costos (En RD$/Tarea)]])</f>
        <v>10491.983152748417</v>
      </c>
      <c r="O2782" s="6">
        <f>IF(Tabla2[[#This Row],[Costos (En RD$/Tarea)]]=0,0,Tabla2[[#This Row],[Beneficio Neto  (En RD$/Tarea)]]/Tabla2[[#This Row],[Costos (En RD$/Tarea)]])</f>
        <v>1.1376883584743425</v>
      </c>
      <c r="P2782" s="4">
        <f>Tabla2[[#This Row],[Rentabilidad (%)]]/12</f>
        <v>9.4807363206195205E-2</v>
      </c>
    </row>
    <row r="2783" spans="1:16" x14ac:dyDescent="0.35">
      <c r="A2783" s="1">
        <v>43556</v>
      </c>
      <c r="B2783" t="s">
        <v>28</v>
      </c>
      <c r="C2783" s="2">
        <v>12245</v>
      </c>
      <c r="D2783" s="5" t="s">
        <v>17</v>
      </c>
      <c r="E2783" s="2">
        <f>IF(Tabla2[[#This Row],[Frecuencia]]="Annual", Tabla2[[#This Row],[Cosecha/Tarea]]/12,Tabla2[[#This Row],[Cosecha/Tarea]])</f>
        <v>12245</v>
      </c>
      <c r="F2783" s="2">
        <v>162492</v>
      </c>
      <c r="G2783" t="s">
        <v>18</v>
      </c>
      <c r="H2783">
        <f>F2783/Tabla2[[#This Row],[Cosecha Mensual]]</f>
        <v>13.2700694160882</v>
      </c>
      <c r="I2783">
        <f>H2783*_xlfn.XLOOKUP(Tabla2[[#This Row],[Unidad de producción]],Tabla3[Medida],Tabla3[Equivalencia en Kg],"ELVIS",0)</f>
        <v>601.93034871376074</v>
      </c>
      <c r="J2783">
        <v>5666.6666666666697</v>
      </c>
      <c r="K2783" t="s">
        <v>29</v>
      </c>
      <c r="L2783">
        <f>J2783/_xlfn.XLOOKUP(Tabla2[[#This Row],[Unidad de precio]],Tabla3[Medida],Tabla3[Equivalencia en Kg],"ELVIS",0)</f>
        <v>10.076940403788935</v>
      </c>
      <c r="M2783">
        <v>7149.9398177165003</v>
      </c>
      <c r="N2783" s="2">
        <f>(Tabla2[[#This Row],[Productividad (kg/TAS)]]*Tabla2[[#This Row],[Precio por kg]]-Tabla2[[#This Row],[Costos (En RD$/Tarea)]])</f>
        <v>-1084.3235664960421</v>
      </c>
      <c r="O2783" s="6">
        <f>IF(Tabla2[[#This Row],[Costos (En RD$/Tarea)]]=0,0,Tabla2[[#This Row],[Beneficio Neto  (En RD$/Tarea)]]/Tabla2[[#This Row],[Costos (En RD$/Tarea)]])</f>
        <v>-0.15165492215881979</v>
      </c>
      <c r="P2783" s="4">
        <f>Tabla2[[#This Row],[Rentabilidad (%)]]/12</f>
        <v>-1.263791017990165E-2</v>
      </c>
    </row>
    <row r="2784" spans="1:16" x14ac:dyDescent="0.35">
      <c r="A2784" s="1">
        <v>43556</v>
      </c>
      <c r="B2784" t="s">
        <v>30</v>
      </c>
      <c r="C2784" s="2">
        <v>468545</v>
      </c>
      <c r="D2784" s="2" t="s">
        <v>31</v>
      </c>
      <c r="E2784" s="2">
        <f>IF(Tabla2[[#This Row],[Frecuencia]]="Annual", Tabla2[[#This Row],[Cosecha/Tarea]]/12,Tabla2[[#This Row],[Cosecha/Tarea]])</f>
        <v>39045.416666666664</v>
      </c>
      <c r="F2784" s="2">
        <v>2294706.6</v>
      </c>
      <c r="G2784" t="s">
        <v>18</v>
      </c>
      <c r="H2784">
        <f>F2784/Tabla2[[#This Row],[Cosecha Mensual]]</f>
        <v>58.770191123584723</v>
      </c>
      <c r="I2784">
        <f>H2784*_xlfn.XLOOKUP(Tabla2[[#This Row],[Unidad de producción]],Tabla3[Medida],Tabla3[Equivalencia en Kg],"ELVIS",0)</f>
        <v>2665.8158693658029</v>
      </c>
      <c r="J2784">
        <v>195.674479166667</v>
      </c>
      <c r="K2784" t="s">
        <v>32</v>
      </c>
      <c r="L2784">
        <f>J2784/_xlfn.XLOOKUP(Tabla2[[#This Row],[Unidad de precio]],Tabla3[Medida],Tabla3[Equivalencia en Kg],"ELVIS",0)</f>
        <v>7.1912708256768463</v>
      </c>
      <c r="M2784" s="2">
        <v>35445.717948420002</v>
      </c>
      <c r="N2784" s="2">
        <f>(Tabla2[[#This Row],[Productividad (kg/TAS)]]*Tabla2[[#This Row],[Precio por kg]]-Tabla2[[#This Row],[Costos (En RD$/Tarea)]])</f>
        <v>-16275.114060423344</v>
      </c>
      <c r="O2784" s="6">
        <f>IF(Tabla2[[#This Row],[Costos (En RD$/Tarea)]]=0,0,Tabla2[[#This Row],[Beneficio Neto  (En RD$/Tarea)]]/Tabla2[[#This Row],[Costos (En RD$/Tarea)]])</f>
        <v>-0.45915599972066046</v>
      </c>
      <c r="P2784" s="4">
        <f>Tabla2[[#This Row],[Rentabilidad (%)]]/12</f>
        <v>-3.8262999976721702E-2</v>
      </c>
    </row>
    <row r="2785" spans="1:16" x14ac:dyDescent="0.35">
      <c r="A2785" s="1">
        <v>43556</v>
      </c>
      <c r="B2785" t="s">
        <v>33</v>
      </c>
      <c r="C2785" s="2">
        <v>788541.99999999895</v>
      </c>
      <c r="D2785" s="2" t="s">
        <v>31</v>
      </c>
      <c r="E2785" s="8">
        <f>IF(Tabla2[[#This Row],[Frecuencia]]="Annual", Tabla2[[#This Row],[Cosecha/Tarea]]/12,Tabla2[[#This Row],[Cosecha/Tarea]])</f>
        <v>65711.833333333241</v>
      </c>
      <c r="F2785" s="2">
        <v>3202623</v>
      </c>
      <c r="G2785" t="s">
        <v>18</v>
      </c>
      <c r="H2785">
        <f>F2785/Tabla2[[#This Row],[Cosecha Mensual]]</f>
        <v>48.737386214050808</v>
      </c>
      <c r="I2785">
        <f>H2785*_xlfn.XLOOKUP(Tabla2[[#This Row],[Unidad de producción]],Tabla3[Medida],Tabla3[Equivalencia en Kg],"ELVIS",0)</f>
        <v>2210.7278386693447</v>
      </c>
      <c r="J2785">
        <v>7333.7369791666697</v>
      </c>
      <c r="K2785" t="s">
        <v>34</v>
      </c>
      <c r="L2785">
        <f>J2785/_xlfn.XLOOKUP(Tabla2[[#This Row],[Unidad de precio]],Tabla3[Medida],Tabla3[Equivalencia en Kg],"ELVIS",0)</f>
        <v>17.968239566744263</v>
      </c>
      <c r="M2785" s="2">
        <v>22691.3984505224</v>
      </c>
      <c r="N2785" s="2">
        <f>(Tabla2[[#This Row],[Productividad (kg/TAS)]]*Tabla2[[#This Row],[Precio por kg]]-Tabla2[[#This Row],[Costos (En RD$/Tarea)]])</f>
        <v>17031.488971559149</v>
      </c>
      <c r="O2785" s="6">
        <f>IF(Tabla2[[#This Row],[Costos (En RD$/Tarea)]]=0,0,Tabla2[[#This Row],[Beneficio Neto  (En RD$/Tarea)]]/Tabla2[[#This Row],[Costos (En RD$/Tarea)]])</f>
        <v>0.75057026602814125</v>
      </c>
      <c r="P2785" s="4">
        <f>Tabla2[[#This Row],[Rentabilidad (%)]]/12</f>
        <v>6.2547522169011771E-2</v>
      </c>
    </row>
    <row r="2786" spans="1:16" x14ac:dyDescent="0.35">
      <c r="A2786" s="1">
        <v>43586</v>
      </c>
      <c r="B2786" t="s">
        <v>16</v>
      </c>
      <c r="C2786" s="2">
        <v>485214</v>
      </c>
      <c r="D2786" s="5" t="s">
        <v>17</v>
      </c>
      <c r="E2786" s="2">
        <f>IF(Tabla2[[#This Row],[Frecuencia]]="Annual", Tabla2[[#This Row],[Cosecha/Tarea]]/12,Tabla2[[#This Row],[Cosecha/Tarea]])</f>
        <v>485214</v>
      </c>
      <c r="F2786" s="2">
        <v>2546311</v>
      </c>
      <c r="G2786" t="s">
        <v>18</v>
      </c>
      <c r="H2786">
        <f>F2786/Tabla2[[#This Row],[Cosecha Mensual]]</f>
        <v>5.2478102445518884</v>
      </c>
      <c r="I2786">
        <f>H2786*_xlfn.XLOOKUP(Tabla2[[#This Row],[Unidad de producción]],Tabla3[Medida],Tabla3[Equivalencia en Kg],"ELVIS",0)</f>
        <v>238.04067269287364</v>
      </c>
      <c r="J2786">
        <v>2371.0579681579302</v>
      </c>
      <c r="K2786" t="s">
        <v>19</v>
      </c>
      <c r="L2786">
        <f>J2786/_xlfn.XLOOKUP(Tabla2[[#This Row],[Unidad de precio]],Tabla3[Medida],Tabla3[Equivalencia en Kg],"ELVIS",0)</f>
        <v>21.555072437799364</v>
      </c>
      <c r="M2786">
        <v>6284.7907932016997</v>
      </c>
      <c r="N2786" s="2">
        <f>(Tabla2[[#This Row],[Productividad (kg/TAS)]]*Tabla2[[#This Row],[Precio por kg]]-Tabla2[[#This Row],[Costos (En RD$/Tarea)]])</f>
        <v>-1153.8068501643193</v>
      </c>
      <c r="O2786" s="6">
        <f>IF(Tabla2[[#This Row],[Costos (En RD$/Tarea)]]=0,0,Tabla2[[#This Row],[Beneficio Neto  (En RD$/Tarea)]]/Tabla2[[#This Row],[Costos (En RD$/Tarea)]])</f>
        <v>-0.18358715319727109</v>
      </c>
      <c r="P2786" s="4">
        <f>Tabla2[[#This Row],[Rentabilidad (%)]]/12</f>
        <v>-1.5298929433105924E-2</v>
      </c>
    </row>
    <row r="2787" spans="1:16" x14ac:dyDescent="0.35">
      <c r="A2787" s="1">
        <v>43586</v>
      </c>
      <c r="B2787" t="s">
        <v>20</v>
      </c>
      <c r="C2787" s="2">
        <v>22140</v>
      </c>
      <c r="D2787" s="5" t="s">
        <v>17</v>
      </c>
      <c r="E2787" s="2">
        <f>IF(Tabla2[[#This Row],[Frecuencia]]="Annual", Tabla2[[#This Row],[Cosecha/Tarea]]/12,Tabla2[[#This Row],[Cosecha/Tarea]])</f>
        <v>22140</v>
      </c>
      <c r="F2787" s="2">
        <v>78998</v>
      </c>
      <c r="G2787" t="s">
        <v>18</v>
      </c>
      <c r="H2787">
        <f>F2787/Tabla2[[#This Row],[Cosecha Mensual]]</f>
        <v>3.5681120144534777</v>
      </c>
      <c r="I2787">
        <f>H2787*_xlfn.XLOOKUP(Tabla2[[#This Row],[Unidad de producción]],Tabla3[Medida],Tabla3[Equivalencia en Kg],"ELVIS",0)</f>
        <v>161.84956097560973</v>
      </c>
      <c r="J2787">
        <v>1118.20729166667</v>
      </c>
      <c r="K2787" t="s">
        <v>18</v>
      </c>
      <c r="L2787">
        <f>J2787/_xlfn.XLOOKUP(Tabla2[[#This Row],[Unidad de precio]],Tabla3[Medida],Tabla3[Equivalencia en Kg],"ELVIS",0)</f>
        <v>24.651836236037699</v>
      </c>
      <c r="M2787">
        <v>2409.2436004449601</v>
      </c>
      <c r="N2787" s="2">
        <f>(Tabla2[[#This Row],[Productividad (kg/TAS)]]*Tabla2[[#This Row],[Precio por kg]]-Tabla2[[#This Row],[Costos (En RD$/Tarea)]])</f>
        <v>1580.6452716003691</v>
      </c>
      <c r="O2787" s="6">
        <f>IF(Tabla2[[#This Row],[Costos (En RD$/Tarea)]]=0,0,Tabla2[[#This Row],[Beneficio Neto  (En RD$/Tarea)]]/Tabla2[[#This Row],[Costos (En RD$/Tarea)]])</f>
        <v>0.65607532227477616</v>
      </c>
      <c r="P2787" s="4">
        <f>Tabla2[[#This Row],[Rentabilidad (%)]]/12</f>
        <v>5.4672943522898011E-2</v>
      </c>
    </row>
    <row r="2788" spans="1:16" x14ac:dyDescent="0.35">
      <c r="A2788" s="1">
        <v>43586</v>
      </c>
      <c r="B2788" t="s">
        <v>21</v>
      </c>
      <c r="C2788" s="2">
        <v>9541</v>
      </c>
      <c r="D2788" s="5" t="s">
        <v>17</v>
      </c>
      <c r="E2788" s="2">
        <f>IF(Tabla2[[#This Row],[Frecuencia]]="Annual", Tabla2[[#This Row],[Cosecha/Tarea]]/12,Tabla2[[#This Row],[Cosecha/Tarea]])</f>
        <v>9541</v>
      </c>
      <c r="F2788" s="2">
        <v>109989</v>
      </c>
      <c r="G2788" t="s">
        <v>18</v>
      </c>
      <c r="H2788">
        <f>F2788/Tabla2[[#This Row],[Cosecha Mensual]]</f>
        <v>11.5280368934074</v>
      </c>
      <c r="I2788">
        <f>H2788*_xlfn.XLOOKUP(Tabla2[[#This Row],[Unidad de producción]],Tabla3[Medida],Tabla3[Equivalencia en Kg],"ELVIS",0)</f>
        <v>522.9117534849596</v>
      </c>
      <c r="J2788">
        <v>743.97395833333303</v>
      </c>
      <c r="K2788" t="s">
        <v>18</v>
      </c>
      <c r="L2788">
        <f>J2788/_xlfn.XLOOKUP(Tabla2[[#This Row],[Unidad de precio]],Tabla3[Medida],Tabla3[Equivalencia en Kg],"ELVIS",0)</f>
        <v>16.401542291299229</v>
      </c>
      <c r="M2788">
        <v>5846.9700795819999</v>
      </c>
      <c r="N2788" s="2">
        <f>(Tabla2[[#This Row],[Productividad (kg/TAS)]]*Tabla2[[#This Row],[Precio por kg]]-Tabla2[[#This Row],[Costos (En RD$/Tarea)]])</f>
        <v>2729.5891598190019</v>
      </c>
      <c r="O2788" s="6">
        <f>IF(Tabla2[[#This Row],[Costos (En RD$/Tarea)]]=0,0,Tabla2[[#This Row],[Beneficio Neto  (En RD$/Tarea)]]/Tabla2[[#This Row],[Costos (En RD$/Tarea)]])</f>
        <v>0.46683822948759479</v>
      </c>
      <c r="P2788" s="4">
        <f>Tabla2[[#This Row],[Rentabilidad (%)]]/12</f>
        <v>3.8903185790632899E-2</v>
      </c>
    </row>
    <row r="2789" spans="1:16" x14ac:dyDescent="0.35">
      <c r="A2789" s="1">
        <v>43586</v>
      </c>
      <c r="B2789" t="s">
        <v>22</v>
      </c>
      <c r="C2789" s="2">
        <v>5654</v>
      </c>
      <c r="D2789" s="5" t="s">
        <v>17</v>
      </c>
      <c r="E2789" s="2">
        <f>IF(Tabla2[[#This Row],[Frecuencia]]="Annual", Tabla2[[#This Row],[Cosecha/Tarea]]/12,Tabla2[[#This Row],[Cosecha/Tarea]])</f>
        <v>5654</v>
      </c>
      <c r="F2789" s="2">
        <v>58411</v>
      </c>
      <c r="G2789" t="s">
        <v>18</v>
      </c>
      <c r="H2789">
        <f>F2789/Tabla2[[#This Row],[Cosecha Mensual]]</f>
        <v>10.330916165546515</v>
      </c>
      <c r="I2789">
        <f>H2789*_xlfn.XLOOKUP(Tabla2[[#This Row],[Unidad de producción]],Tabla3[Medida],Tabla3[Equivalencia en Kg],"ELVIS",0)</f>
        <v>468.61035726918993</v>
      </c>
      <c r="J2789">
        <v>1446.8904761904801</v>
      </c>
      <c r="K2789" t="s">
        <v>18</v>
      </c>
      <c r="L2789">
        <f>J2789/_xlfn.XLOOKUP(Tabla2[[#This Row],[Unidad de precio]],Tabla3[Medida],Tabla3[Equivalencia en Kg],"ELVIS",0)</f>
        <v>31.897938187620813</v>
      </c>
      <c r="M2789">
        <v>10137.37206528</v>
      </c>
      <c r="N2789" s="2">
        <f>(Tabla2[[#This Row],[Productividad (kg/TAS)]]*Tabla2[[#This Row],[Precio por kg]]-Tabla2[[#This Row],[Costos (En RD$/Tarea)]])</f>
        <v>4810.3321449715258</v>
      </c>
      <c r="O2789" s="6">
        <f>IF(Tabla2[[#This Row],[Costos (En RD$/Tarea)]]=0,0,Tabla2[[#This Row],[Beneficio Neto  (En RD$/Tarea)]]/Tabla2[[#This Row],[Costos (En RD$/Tarea)]])</f>
        <v>0.47451470795342282</v>
      </c>
      <c r="P2789" s="4">
        <f>Tabla2[[#This Row],[Rentabilidad (%)]]/12</f>
        <v>3.9542892329451899E-2</v>
      </c>
    </row>
    <row r="2790" spans="1:16" x14ac:dyDescent="0.35">
      <c r="A2790" s="1">
        <v>43586</v>
      </c>
      <c r="B2790" t="s">
        <v>23</v>
      </c>
      <c r="C2790" s="2">
        <v>5235</v>
      </c>
      <c r="D2790" s="5" t="s">
        <v>17</v>
      </c>
      <c r="E2790" s="2">
        <f>IF(Tabla2[[#This Row],[Frecuencia]]="Annual", Tabla2[[#This Row],[Cosecha/Tarea]]/12,Tabla2[[#This Row],[Cosecha/Tarea]])</f>
        <v>5235</v>
      </c>
      <c r="F2790" s="2">
        <v>206544</v>
      </c>
      <c r="G2790" t="s">
        <v>18</v>
      </c>
      <c r="H2790">
        <f>F2790/Tabla2[[#This Row],[Cosecha Mensual]]</f>
        <v>39.454441260744986</v>
      </c>
      <c r="I2790">
        <f>H2790*_xlfn.XLOOKUP(Tabla2[[#This Row],[Unidad de producción]],Tabla3[Medida],Tabla3[Equivalencia en Kg],"ELVIS",0)</f>
        <v>1789.6534555873925</v>
      </c>
      <c r="J2790">
        <v>972.375</v>
      </c>
      <c r="K2790" t="s">
        <v>18</v>
      </c>
      <c r="L2790">
        <f>J2790/_xlfn.XLOOKUP(Tabla2[[#This Row],[Unidad de precio]],Tabla3[Medida],Tabla3[Equivalencia en Kg],"ELVIS",0)</f>
        <v>21.436838624338623</v>
      </c>
      <c r="M2790">
        <v>26088.260008087302</v>
      </c>
      <c r="N2790" s="2">
        <f>(Tabla2[[#This Row],[Productividad (kg/TAS)]]*Tabla2[[#This Row],[Precio por kg]]-Tabla2[[#This Row],[Costos (En RD$/Tarea)]])</f>
        <v>12276.252312829602</v>
      </c>
      <c r="O2790" s="6">
        <f>IF(Tabla2[[#This Row],[Costos (En RD$/Tarea)]]=0,0,Tabla2[[#This Row],[Beneficio Neto  (En RD$/Tarea)]]/Tabla2[[#This Row],[Costos (En RD$/Tarea)]])</f>
        <v>0.47056615922349715</v>
      </c>
      <c r="P2790" s="4">
        <f>Tabla2[[#This Row],[Rentabilidad (%)]]/12</f>
        <v>3.9213846601958098E-2</v>
      </c>
    </row>
    <row r="2791" spans="1:16" x14ac:dyDescent="0.35">
      <c r="A2791" s="1">
        <v>43586</v>
      </c>
      <c r="B2791" t="s">
        <v>24</v>
      </c>
      <c r="C2791" s="2">
        <v>5745</v>
      </c>
      <c r="D2791" s="5" t="s">
        <v>17</v>
      </c>
      <c r="E2791" s="2">
        <f>IF(Tabla2[[#This Row],[Frecuencia]]="Annual", Tabla2[[#This Row],[Cosecha/Tarea]]/12,Tabla2[[#This Row],[Cosecha/Tarea]])</f>
        <v>5745</v>
      </c>
      <c r="F2791" s="2">
        <v>36214</v>
      </c>
      <c r="G2791" t="s">
        <v>18</v>
      </c>
      <c r="H2791">
        <f>F2791/Tabla2[[#This Row],[Cosecha Mensual]]</f>
        <v>6.3035683202785027</v>
      </c>
      <c r="I2791">
        <f>H2791*_xlfn.XLOOKUP(Tabla2[[#This Row],[Unidad de producción]],Tabla3[Medida],Tabla3[Equivalencia en Kg],"ELVIS",0)</f>
        <v>285.92985900783287</v>
      </c>
      <c r="J2791">
        <v>2740.6453124999998</v>
      </c>
      <c r="K2791" t="s">
        <v>18</v>
      </c>
      <c r="L2791">
        <f>J2791/_xlfn.XLOOKUP(Tabla2[[#This Row],[Unidad de precio]],Tabla3[Medida],Tabla3[Equivalencia en Kg],"ELVIS",0)</f>
        <v>60.419870205026449</v>
      </c>
      <c r="M2791">
        <v>8388.8026628831994</v>
      </c>
      <c r="N2791" s="2">
        <f>(Tabla2[[#This Row],[Productividad (kg/TAS)]]*Tabla2[[#This Row],[Precio por kg]]-Tabla2[[#This Row],[Costos (En RD$/Tarea)]])</f>
        <v>8887.0423061115744</v>
      </c>
      <c r="O2791" s="6">
        <f>IF(Tabla2[[#This Row],[Costos (En RD$/Tarea)]]=0,0,Tabla2[[#This Row],[Beneficio Neto  (En RD$/Tarea)]]/Tabla2[[#This Row],[Costos (En RD$/Tarea)]])</f>
        <v>1.0593934156340175</v>
      </c>
      <c r="P2791" s="4">
        <f>Tabla2[[#This Row],[Rentabilidad (%)]]/12</f>
        <v>8.8282784636168121E-2</v>
      </c>
    </row>
    <row r="2792" spans="1:16" x14ac:dyDescent="0.35">
      <c r="A2792" s="1">
        <v>43586</v>
      </c>
      <c r="B2792" t="s">
        <v>25</v>
      </c>
      <c r="C2792" s="2">
        <v>25644</v>
      </c>
      <c r="D2792" s="5" t="s">
        <v>17</v>
      </c>
      <c r="E2792" s="2">
        <f>IF(Tabla2[[#This Row],[Frecuencia]]="Annual", Tabla2[[#This Row],[Cosecha/Tarea]]/12,Tabla2[[#This Row],[Cosecha/Tarea]])</f>
        <v>25644</v>
      </c>
      <c r="F2792" s="2">
        <v>262487</v>
      </c>
      <c r="G2792" t="s">
        <v>18</v>
      </c>
      <c r="H2792">
        <f>F2792/Tabla2[[#This Row],[Cosecha Mensual]]</f>
        <v>10.235805646545002</v>
      </c>
      <c r="I2792">
        <f>H2792*_xlfn.XLOOKUP(Tabla2[[#This Row],[Unidad de producción]],Tabla3[Medida],Tabla3[Equivalencia en Kg],"ELVIS",0)</f>
        <v>464.29614412728125</v>
      </c>
      <c r="J2792">
        <v>933.28878472222198</v>
      </c>
      <c r="K2792" t="s">
        <v>18</v>
      </c>
      <c r="L2792">
        <f>J2792/_xlfn.XLOOKUP(Tabla2[[#This Row],[Unidad de precio]],Tabla3[Medida],Tabla3[Equivalencia en Kg],"ELVIS",0)</f>
        <v>20.575149575004893</v>
      </c>
      <c r="M2792">
        <v>4718.2914901260801</v>
      </c>
      <c r="N2792" s="2">
        <f>(Tabla2[[#This Row],[Productividad (kg/TAS)]]*Tabla2[[#This Row],[Precio por kg]]-Tabla2[[#This Row],[Costos (En RD$/Tarea)]])</f>
        <v>4834.6711223907614</v>
      </c>
      <c r="O2792" s="6">
        <f>IF(Tabla2[[#This Row],[Costos (En RD$/Tarea)]]=0,0,Tabla2[[#This Row],[Beneficio Neto  (En RD$/Tarea)]]/Tabla2[[#This Row],[Costos (En RD$/Tarea)]])</f>
        <v>1.0246656300290535</v>
      </c>
      <c r="P2792" s="4">
        <f>Tabla2[[#This Row],[Rentabilidad (%)]]/12</f>
        <v>8.5388802502421132E-2</v>
      </c>
    </row>
    <row r="2793" spans="1:16" x14ac:dyDescent="0.35">
      <c r="A2793" s="1">
        <v>43586</v>
      </c>
      <c r="B2793" t="s">
        <v>26</v>
      </c>
      <c r="C2793" s="2">
        <v>9879</v>
      </c>
      <c r="D2793" s="5" t="s">
        <v>17</v>
      </c>
      <c r="E2793" s="2">
        <f>IF(Tabla2[[#This Row],[Frecuencia]]="Annual", Tabla2[[#This Row],[Cosecha/Tarea]]/12,Tabla2[[#This Row],[Cosecha/Tarea]])</f>
        <v>9879</v>
      </c>
      <c r="F2793" s="2">
        <v>68985</v>
      </c>
      <c r="G2793" t="s">
        <v>18</v>
      </c>
      <c r="H2793">
        <f>F2793/Tabla2[[#This Row],[Cosecha Mensual]]</f>
        <v>6.9829942301852412</v>
      </c>
      <c r="I2793">
        <f>H2793*_xlfn.XLOOKUP(Tabla2[[#This Row],[Unidad de producción]],Tabla3[Medida],Tabla3[Equivalencia en Kg],"ELVIS",0)</f>
        <v>316.74861828120254</v>
      </c>
      <c r="J2793">
        <v>1183.1583333333299</v>
      </c>
      <c r="K2793" t="s">
        <v>18</v>
      </c>
      <c r="L2793">
        <f>J2793/_xlfn.XLOOKUP(Tabla2[[#This Row],[Unidad de precio]],Tabla3[Medida],Tabla3[Equivalencia en Kg],"ELVIS",0)</f>
        <v>26.083737507348545</v>
      </c>
      <c r="M2793">
        <v>1668.6966112895</v>
      </c>
      <c r="N2793" s="2">
        <f>(Tabla2[[#This Row],[Productividad (kg/TAS)]]*Tabla2[[#This Row],[Precio por kg]]-Tabla2[[#This Row],[Costos (En RD$/Tarea)]])</f>
        <v>6593.2912037727301</v>
      </c>
      <c r="O2793" s="6">
        <f>IF(Tabla2[[#This Row],[Costos (En RD$/Tarea)]]=0,0,Tabla2[[#This Row],[Beneficio Neto  (En RD$/Tarea)]]/Tabla2[[#This Row],[Costos (En RD$/Tarea)]])</f>
        <v>3.9511623378186802</v>
      </c>
      <c r="P2793" s="4">
        <f>Tabla2[[#This Row],[Rentabilidad (%)]]/12</f>
        <v>0.32926352815155668</v>
      </c>
    </row>
    <row r="2794" spans="1:16" x14ac:dyDescent="0.35">
      <c r="A2794" s="1">
        <v>43586</v>
      </c>
      <c r="B2794" t="s">
        <v>27</v>
      </c>
      <c r="C2794" s="2">
        <v>4821</v>
      </c>
      <c r="D2794" s="5" t="s">
        <v>17</v>
      </c>
      <c r="E2794" s="2">
        <f>IF(Tabla2[[#This Row],[Frecuencia]]="Annual", Tabla2[[#This Row],[Cosecha/Tarea]]/12,Tabla2[[#This Row],[Cosecha/Tarea]])</f>
        <v>4821</v>
      </c>
      <c r="F2794" s="2">
        <v>53214</v>
      </c>
      <c r="G2794" t="s">
        <v>18</v>
      </c>
      <c r="H2794">
        <f>F2794/Tabla2[[#This Row],[Cosecha Mensual]]</f>
        <v>11.037958929682638</v>
      </c>
      <c r="I2794">
        <f>H2794*_xlfn.XLOOKUP(Tabla2[[#This Row],[Unidad de producción]],Tabla3[Medida],Tabla3[Equivalencia en Kg],"ELVIS",0)</f>
        <v>500.68181705040445</v>
      </c>
      <c r="J2794">
        <v>693.734904761905</v>
      </c>
      <c r="K2794" t="s">
        <v>18</v>
      </c>
      <c r="L2794">
        <f>J2794/_xlfn.XLOOKUP(Tabla2[[#This Row],[Unidad de precio]],Tabla3[Medida],Tabla3[Equivalencia en Kg],"ELVIS",0)</f>
        <v>15.293979381876213</v>
      </c>
      <c r="M2794">
        <v>9222.1943510245001</v>
      </c>
      <c r="N2794" s="2">
        <f>(Tabla2[[#This Row],[Productividad (kg/TAS)]]*Tabla2[[#This Row],[Precio por kg]]-Tabla2[[#This Row],[Costos (En RD$/Tarea)]])</f>
        <v>-1564.7769641752966</v>
      </c>
      <c r="O2794" s="6">
        <f>IF(Tabla2[[#This Row],[Costos (En RD$/Tarea)]]=0,0,Tabla2[[#This Row],[Beneficio Neto  (En RD$/Tarea)]]/Tabla2[[#This Row],[Costos (En RD$/Tarea)]])</f>
        <v>-0.16967512336166116</v>
      </c>
      <c r="P2794" s="4">
        <f>Tabla2[[#This Row],[Rentabilidad (%)]]/12</f>
        <v>-1.4139593613471764E-2</v>
      </c>
    </row>
    <row r="2795" spans="1:16" x14ac:dyDescent="0.35">
      <c r="A2795" s="1">
        <v>43586</v>
      </c>
      <c r="B2795" t="s">
        <v>28</v>
      </c>
      <c r="C2795" s="2">
        <v>11452</v>
      </c>
      <c r="D2795" s="5" t="s">
        <v>17</v>
      </c>
      <c r="E2795" s="2">
        <f>IF(Tabla2[[#This Row],[Frecuencia]]="Annual", Tabla2[[#This Row],[Cosecha/Tarea]]/12,Tabla2[[#This Row],[Cosecha/Tarea]])</f>
        <v>11452</v>
      </c>
      <c r="F2795" s="2">
        <v>331008</v>
      </c>
      <c r="G2795" t="s">
        <v>18</v>
      </c>
      <c r="H2795">
        <f>F2795/Tabla2[[#This Row],[Cosecha Mensual]]</f>
        <v>28.903946908836886</v>
      </c>
      <c r="I2795">
        <f>H2795*_xlfn.XLOOKUP(Tabla2[[#This Row],[Unidad de producción]],Tabla3[Medida],Tabla3[Equivalencia en Kg],"ELVIS",0)</f>
        <v>1311.0830317848411</v>
      </c>
      <c r="J2795">
        <v>12567.2</v>
      </c>
      <c r="K2795" t="s">
        <v>29</v>
      </c>
      <c r="L2795">
        <f>J2795/_xlfn.XLOOKUP(Tabla2[[#This Row],[Unidad de precio]],Tabla3[Medida],Tabla3[Equivalencia en Kg],"ELVIS",0)</f>
        <v>22.348045666322864</v>
      </c>
      <c r="M2795">
        <v>7149.9398177165003</v>
      </c>
      <c r="N2795" s="2">
        <f>(Tabla2[[#This Row],[Productividad (kg/TAS)]]*Tabla2[[#This Row],[Precio por kg]]-Tabla2[[#This Row],[Costos (En RD$/Tarea)]])</f>
        <v>22150.203648952156</v>
      </c>
      <c r="O2795" s="6">
        <f>IF(Tabla2[[#This Row],[Costos (En RD$/Tarea)]]=0,0,Tabla2[[#This Row],[Beneficio Neto  (En RD$/Tarea)]]/Tabla2[[#This Row],[Costos (En RD$/Tarea)]])</f>
        <v>3.0979566560920144</v>
      </c>
      <c r="P2795" s="4">
        <f>Tabla2[[#This Row],[Rentabilidad (%)]]/12</f>
        <v>0.25816305467433454</v>
      </c>
    </row>
    <row r="2796" spans="1:16" x14ac:dyDescent="0.35">
      <c r="A2796" s="1">
        <v>43586</v>
      </c>
      <c r="B2796" t="s">
        <v>30</v>
      </c>
      <c r="C2796" s="2">
        <v>501210</v>
      </c>
      <c r="D2796" s="2" t="s">
        <v>31</v>
      </c>
      <c r="E2796" s="2">
        <f>IF(Tabla2[[#This Row],[Frecuencia]]="Annual", Tabla2[[#This Row],[Cosecha/Tarea]]/12,Tabla2[[#This Row],[Cosecha/Tarea]])</f>
        <v>41767.5</v>
      </c>
      <c r="F2796" s="2">
        <v>2314447.2000000002</v>
      </c>
      <c r="G2796" t="s">
        <v>18</v>
      </c>
      <c r="H2796">
        <f>F2796/Tabla2[[#This Row],[Cosecha Mensual]]</f>
        <v>55.412634225175083</v>
      </c>
      <c r="I2796">
        <f>H2796*_xlfn.XLOOKUP(Tabla2[[#This Row],[Unidad de producción]],Tabla3[Medida],Tabla3[Equivalencia en Kg],"ELVIS",0)</f>
        <v>2513.5170884539416</v>
      </c>
      <c r="J2796">
        <v>165.0546875</v>
      </c>
      <c r="K2796" t="s">
        <v>32</v>
      </c>
      <c r="L2796">
        <f>J2796/_xlfn.XLOOKUP(Tabla2[[#This Row],[Unidad de precio]],Tabla3[Medida],Tabla3[Equivalencia en Kg],"ELVIS",0)</f>
        <v>6.0659569092245498</v>
      </c>
      <c r="M2796" s="2">
        <v>35445.717948420002</v>
      </c>
      <c r="N2796" s="2">
        <f>(Tabla2[[#This Row],[Productividad (kg/TAS)]]*Tabla2[[#This Row],[Precio por kg]]-Tabla2[[#This Row],[Costos (En RD$/Tarea)]])</f>
        <v>-20198.83159925884</v>
      </c>
      <c r="O2796" s="6">
        <f>IF(Tabla2[[#This Row],[Costos (En RD$/Tarea)]]=0,0,Tabla2[[#This Row],[Beneficio Neto  (En RD$/Tarea)]]/Tabla2[[#This Row],[Costos (En RD$/Tarea)]])</f>
        <v>-0.56985251726744057</v>
      </c>
      <c r="P2796" s="4">
        <f>Tabla2[[#This Row],[Rentabilidad (%)]]/12</f>
        <v>-4.7487709772286717E-2</v>
      </c>
    </row>
    <row r="2797" spans="1:16" x14ac:dyDescent="0.35">
      <c r="A2797" s="1">
        <v>43586</v>
      </c>
      <c r="B2797" t="s">
        <v>33</v>
      </c>
      <c r="C2797" s="2">
        <v>821400</v>
      </c>
      <c r="D2797" s="2" t="s">
        <v>31</v>
      </c>
      <c r="E2797" s="8">
        <f>IF(Tabla2[[#This Row],[Frecuencia]]="Annual", Tabla2[[#This Row],[Cosecha/Tarea]]/12,Tabla2[[#This Row],[Cosecha/Tarea]])</f>
        <v>68450</v>
      </c>
      <c r="F2797" s="2">
        <v>2839176</v>
      </c>
      <c r="G2797" t="s">
        <v>18</v>
      </c>
      <c r="H2797">
        <f>F2797/Tabla2[[#This Row],[Cosecha Mensual]]</f>
        <v>41.478100803506209</v>
      </c>
      <c r="I2797">
        <f>H2797*_xlfn.XLOOKUP(Tabla2[[#This Row],[Unidad de producción]],Tabla3[Medida],Tabla3[Equivalencia en Kg],"ELVIS",0)</f>
        <v>1881.4466524470415</v>
      </c>
      <c r="J2797">
        <v>7405.1369791666702</v>
      </c>
      <c r="K2797" t="s">
        <v>34</v>
      </c>
      <c r="L2797">
        <f>J2797/_xlfn.XLOOKUP(Tabla2[[#This Row],[Unidad de precio]],Tabla3[Medida],Tabla3[Equivalencia en Kg],"ELVIS",0)</f>
        <v>18.143175252154037</v>
      </c>
      <c r="M2797" s="2">
        <v>22691.3984505224</v>
      </c>
      <c r="N2797" s="2">
        <f>(Tabla2[[#This Row],[Productividad (kg/TAS)]]*Tabla2[[#This Row],[Precio por kg]]-Tabla2[[#This Row],[Costos (En RD$/Tarea)]])</f>
        <v>11444.017892402822</v>
      </c>
      <c r="O2797" s="6">
        <f>IF(Tabla2[[#This Row],[Costos (En RD$/Tarea)]]=0,0,Tabla2[[#This Row],[Beneficio Neto  (En RD$/Tarea)]]/Tabla2[[#This Row],[Costos (En RD$/Tarea)]])</f>
        <v>0.50433286063686211</v>
      </c>
      <c r="P2797" s="4">
        <f>Tabla2[[#This Row],[Rentabilidad (%)]]/12</f>
        <v>4.2027738386405174E-2</v>
      </c>
    </row>
    <row r="2798" spans="1:16" x14ac:dyDescent="0.35">
      <c r="A2798" s="1">
        <v>43617</v>
      </c>
      <c r="B2798" t="s">
        <v>16</v>
      </c>
      <c r="C2798" s="2">
        <v>206245</v>
      </c>
      <c r="D2798" s="5" t="s">
        <v>17</v>
      </c>
      <c r="E2798" s="2">
        <f>IF(Tabla2[[#This Row],[Frecuencia]]="Annual", Tabla2[[#This Row],[Cosecha/Tarea]]/12,Tabla2[[#This Row],[Cosecha/Tarea]])</f>
        <v>206245</v>
      </c>
      <c r="F2798" s="2">
        <v>1032459</v>
      </c>
      <c r="G2798" t="s">
        <v>18</v>
      </c>
      <c r="H2798">
        <f>F2798/Tabla2[[#This Row],[Cosecha Mensual]]</f>
        <v>5.005983175349705</v>
      </c>
      <c r="I2798">
        <f>H2798*_xlfn.XLOOKUP(Tabla2[[#This Row],[Unidad de producción]],Tabla3[Medida],Tabla3[Equivalencia en Kg],"ELVIS",0)</f>
        <v>227.07139683386262</v>
      </c>
      <c r="J2798">
        <v>2364.5872853257601</v>
      </c>
      <c r="K2798" t="s">
        <v>19</v>
      </c>
      <c r="L2798">
        <f>J2798/_xlfn.XLOOKUP(Tabla2[[#This Row],[Unidad de precio]],Tabla3[Medida],Tabla3[Equivalencia en Kg],"ELVIS",0)</f>
        <v>21.496248048416</v>
      </c>
      <c r="M2798">
        <v>6284.7907932016997</v>
      </c>
      <c r="N2798" s="2">
        <f>(Tabla2[[#This Row],[Productividad (kg/TAS)]]*Tabla2[[#This Row],[Precio por kg]]-Tabla2[[#This Row],[Costos (En RD$/Tarea)]])</f>
        <v>-1403.6077221606856</v>
      </c>
      <c r="O2798" s="6">
        <f>IF(Tabla2[[#This Row],[Costos (En RD$/Tarea)]]=0,0,Tabla2[[#This Row],[Beneficio Neto  (En RD$/Tarea)]]/Tabla2[[#This Row],[Costos (En RD$/Tarea)]])</f>
        <v>-0.22333404059829287</v>
      </c>
      <c r="P2798" s="4">
        <f>Tabla2[[#This Row],[Rentabilidad (%)]]/12</f>
        <v>-1.8611170049857739E-2</v>
      </c>
    </row>
    <row r="2799" spans="1:16" x14ac:dyDescent="0.35">
      <c r="A2799" s="1">
        <v>43617</v>
      </c>
      <c r="B2799" t="s">
        <v>20</v>
      </c>
      <c r="C2799" s="2">
        <v>39879</v>
      </c>
      <c r="D2799" s="5" t="s">
        <v>17</v>
      </c>
      <c r="E2799" s="2">
        <f>IF(Tabla2[[#This Row],[Frecuencia]]="Annual", Tabla2[[#This Row],[Cosecha/Tarea]]/12,Tabla2[[#This Row],[Cosecha/Tarea]])</f>
        <v>39879</v>
      </c>
      <c r="F2799" s="2">
        <v>101289</v>
      </c>
      <c r="G2799" t="s">
        <v>18</v>
      </c>
      <c r="H2799">
        <f>F2799/Tabla2[[#This Row],[Cosecha Mensual]]</f>
        <v>2.5399082223726772</v>
      </c>
      <c r="I2799">
        <f>H2799*_xlfn.XLOOKUP(Tabla2[[#This Row],[Unidad de producción]],Tabla3[Medida],Tabla3[Equivalencia en Kg],"ELVIS",0)</f>
        <v>115.21023696682464</v>
      </c>
      <c r="J2799">
        <v>1097.5182291666699</v>
      </c>
      <c r="K2799" t="s">
        <v>18</v>
      </c>
      <c r="L2799">
        <f>J2799/_xlfn.XLOOKUP(Tabla2[[#This Row],[Unidad de precio]],Tabla3[Medida],Tabla3[Equivalencia en Kg],"ELVIS",0)</f>
        <v>24.195728156231702</v>
      </c>
      <c r="M2799">
        <v>2409.2436004449601</v>
      </c>
      <c r="N2799" s="2">
        <f>(Tabla2[[#This Row],[Productividad (kg/TAS)]]*Tabla2[[#This Row],[Precio por kg]]-Tabla2[[#This Row],[Costos (En RD$/Tarea)]])</f>
        <v>378.35197401936512</v>
      </c>
      <c r="O2799" s="6">
        <f>IF(Tabla2[[#This Row],[Costos (En RD$/Tarea)]]=0,0,Tabla2[[#This Row],[Beneficio Neto  (En RD$/Tarea)]]/Tabla2[[#This Row],[Costos (En RD$/Tarea)]])</f>
        <v>0.15704180928382991</v>
      </c>
      <c r="P2799" s="4">
        <f>Tabla2[[#This Row],[Rentabilidad (%)]]/12</f>
        <v>1.3086817440319158E-2</v>
      </c>
    </row>
    <row r="2800" spans="1:16" x14ac:dyDescent="0.35">
      <c r="A2800" s="1">
        <v>43617</v>
      </c>
      <c r="B2800" t="s">
        <v>21</v>
      </c>
      <c r="C2800" s="2">
        <v>8345</v>
      </c>
      <c r="D2800" s="5" t="s">
        <v>17</v>
      </c>
      <c r="E2800" s="2">
        <f>IF(Tabla2[[#This Row],[Frecuencia]]="Annual", Tabla2[[#This Row],[Cosecha/Tarea]]/12,Tabla2[[#This Row],[Cosecha/Tarea]])</f>
        <v>8345</v>
      </c>
      <c r="F2800" s="2">
        <v>96898</v>
      </c>
      <c r="G2800" t="s">
        <v>18</v>
      </c>
      <c r="H2800">
        <f>F2800/Tabla2[[#This Row],[Cosecha Mensual]]</f>
        <v>11.611503894547633</v>
      </c>
      <c r="I2800">
        <f>H2800*_xlfn.XLOOKUP(Tabla2[[#This Row],[Unidad de producción]],Tabla3[Medida],Tabla3[Equivalencia en Kg],"ELVIS",0)</f>
        <v>526.69781665668063</v>
      </c>
      <c r="J2800">
        <v>844.01302083333405</v>
      </c>
      <c r="K2800" t="s">
        <v>18</v>
      </c>
      <c r="L2800">
        <f>J2800/_xlfn.XLOOKUP(Tabla2[[#This Row],[Unidad de precio]],Tabla3[Medida],Tabla3[Equivalencia en Kg],"ELVIS",0)</f>
        <v>18.606988995443874</v>
      </c>
      <c r="M2800">
        <v>5846.9700795819999</v>
      </c>
      <c r="N2800" s="2">
        <f>(Tabla2[[#This Row],[Productividad (kg/TAS)]]*Tabla2[[#This Row],[Precio por kg]]-Tabla2[[#This Row],[Costos (En RD$/Tarea)]])</f>
        <v>3953.2903988731714</v>
      </c>
      <c r="O2800" s="6">
        <f>IF(Tabla2[[#This Row],[Costos (En RD$/Tarea)]]=0,0,Tabla2[[#This Row],[Beneficio Neto  (En RD$/Tarea)]]/Tabla2[[#This Row],[Costos (En RD$/Tarea)]])</f>
        <v>0.67612632612544377</v>
      </c>
      <c r="P2800" s="4">
        <f>Tabla2[[#This Row],[Rentabilidad (%)]]/12</f>
        <v>5.6343860510453647E-2</v>
      </c>
    </row>
    <row r="2801" spans="1:16" x14ac:dyDescent="0.35">
      <c r="A2801" s="1">
        <v>43617</v>
      </c>
      <c r="B2801" t="s">
        <v>22</v>
      </c>
      <c r="C2801" s="2">
        <v>6621</v>
      </c>
      <c r="D2801" s="5" t="s">
        <v>17</v>
      </c>
      <c r="E2801" s="2">
        <f>IF(Tabla2[[#This Row],[Frecuencia]]="Annual", Tabla2[[#This Row],[Cosecha/Tarea]]/12,Tabla2[[#This Row],[Cosecha/Tarea]])</f>
        <v>6621</v>
      </c>
      <c r="F2801" s="2">
        <v>48214</v>
      </c>
      <c r="G2801" t="s">
        <v>18</v>
      </c>
      <c r="H2801">
        <f>F2801/Tabla2[[#This Row],[Cosecha Mensual]]</f>
        <v>7.2819815737803957</v>
      </c>
      <c r="I2801">
        <f>H2801*_xlfn.XLOOKUP(Tabla2[[#This Row],[Unidad de producción]],Tabla3[Medida],Tabla3[Equivalencia en Kg],"ELVIS",0)</f>
        <v>330.31068418667877</v>
      </c>
      <c r="J2801">
        <v>1388.6607142857099</v>
      </c>
      <c r="K2801" t="s">
        <v>18</v>
      </c>
      <c r="L2801">
        <f>J2801/_xlfn.XLOOKUP(Tabla2[[#This Row],[Unidad de precio]],Tabla3[Medida],Tabla3[Equivalencia en Kg],"ELVIS",0)</f>
        <v>30.614213277903659</v>
      </c>
      <c r="M2801">
        <v>10137.37206528</v>
      </c>
      <c r="N2801" s="2">
        <f>(Tabla2[[#This Row],[Productividad (kg/TAS)]]*Tabla2[[#This Row],[Precio por kg]]-Tabla2[[#This Row],[Costos (En RD$/Tarea)]])</f>
        <v>-25.170331618737691</v>
      </c>
      <c r="O2801" s="6">
        <f>IF(Tabla2[[#This Row],[Costos (En RD$/Tarea)]]=0,0,Tabla2[[#This Row],[Beneficio Neto  (En RD$/Tarea)]]/Tabla2[[#This Row],[Costos (En RD$/Tarea)]])</f>
        <v>-2.4829247123073282E-3</v>
      </c>
      <c r="P2801" s="4">
        <f>Tabla2[[#This Row],[Rentabilidad (%)]]/12</f>
        <v>-2.0691039269227736E-4</v>
      </c>
    </row>
    <row r="2802" spans="1:16" x14ac:dyDescent="0.35">
      <c r="A2802" s="1">
        <v>43617</v>
      </c>
      <c r="B2802" t="s">
        <v>23</v>
      </c>
      <c r="C2802" s="2">
        <v>4165</v>
      </c>
      <c r="D2802" s="5" t="s">
        <v>17</v>
      </c>
      <c r="E2802" s="2">
        <f>IF(Tabla2[[#This Row],[Frecuencia]]="Annual", Tabla2[[#This Row],[Cosecha/Tarea]]/12,Tabla2[[#This Row],[Cosecha/Tarea]])</f>
        <v>4165</v>
      </c>
      <c r="F2802" s="2">
        <v>159668</v>
      </c>
      <c r="G2802" t="s">
        <v>18</v>
      </c>
      <c r="H2802">
        <f>F2802/Tabla2[[#This Row],[Cosecha Mensual]]</f>
        <v>38.335654261704683</v>
      </c>
      <c r="I2802">
        <f>H2802*_xlfn.XLOOKUP(Tabla2[[#This Row],[Unidad de producción]],Tabla3[Medida],Tabla3[Equivalencia en Kg],"ELVIS",0)</f>
        <v>1738.9052773109245</v>
      </c>
      <c r="J2802">
        <v>1070.5</v>
      </c>
      <c r="K2802" t="s">
        <v>18</v>
      </c>
      <c r="L2802">
        <f>J2802/_xlfn.XLOOKUP(Tabla2[[#This Row],[Unidad de precio]],Tabla3[Medida],Tabla3[Equivalencia en Kg],"ELVIS",0)</f>
        <v>23.600088183421516</v>
      </c>
      <c r="M2802">
        <v>26088.260008087302</v>
      </c>
      <c r="N2802" s="2">
        <f>(Tabla2[[#This Row],[Productividad (kg/TAS)]]*Tabla2[[#This Row],[Precio por kg]]-Tabla2[[#This Row],[Costos (En RD$/Tarea)]])</f>
        <v>14950.057879067564</v>
      </c>
      <c r="O2802" s="6">
        <f>IF(Tabla2[[#This Row],[Costos (En RD$/Tarea)]]=0,0,Tabla2[[#This Row],[Beneficio Neto  (En RD$/Tarea)]]/Tabla2[[#This Row],[Costos (En RD$/Tarea)]])</f>
        <v>0.57305691810925985</v>
      </c>
      <c r="P2802" s="4">
        <f>Tabla2[[#This Row],[Rentabilidad (%)]]/12</f>
        <v>4.7754743175771656E-2</v>
      </c>
    </row>
    <row r="2803" spans="1:16" x14ac:dyDescent="0.35">
      <c r="A2803" s="1">
        <v>43617</v>
      </c>
      <c r="B2803" t="s">
        <v>24</v>
      </c>
      <c r="C2803" s="2">
        <v>6012</v>
      </c>
      <c r="D2803" s="5" t="s">
        <v>17</v>
      </c>
      <c r="E2803" s="2">
        <f>IF(Tabla2[[#This Row],[Frecuencia]]="Annual", Tabla2[[#This Row],[Cosecha/Tarea]]/12,Tabla2[[#This Row],[Cosecha/Tarea]])</f>
        <v>6012</v>
      </c>
      <c r="F2803" s="2">
        <v>57899</v>
      </c>
      <c r="G2803" t="s">
        <v>18</v>
      </c>
      <c r="H2803">
        <f>F2803/Tabla2[[#This Row],[Cosecha Mensual]]</f>
        <v>9.6305721889554228</v>
      </c>
      <c r="I2803">
        <f>H2803*_xlfn.XLOOKUP(Tabla2[[#This Row],[Unidad de producción]],Tabla3[Medida],Tabla3[Equivalencia en Kg],"ELVIS",0)</f>
        <v>436.84275449101796</v>
      </c>
      <c r="J2803">
        <v>2824.4348958333298</v>
      </c>
      <c r="K2803" t="s">
        <v>18</v>
      </c>
      <c r="L2803">
        <f>J2803/_xlfn.XLOOKUP(Tabla2[[#This Row],[Unidad de precio]],Tabla3[Medida],Tabla3[Equivalencia en Kg],"ELVIS",0)</f>
        <v>62.267083241475525</v>
      </c>
      <c r="M2803">
        <v>8388.8026628831994</v>
      </c>
      <c r="N2803" s="2">
        <f>(Tabla2[[#This Row],[Productividad (kg/TAS)]]*Tabla2[[#This Row],[Precio por kg]]-Tabla2[[#This Row],[Costos (En RD$/Tarea)]])</f>
        <v>18812.121494444473</v>
      </c>
      <c r="O2803" s="6">
        <f>IF(Tabla2[[#This Row],[Costos (En RD$/Tarea)]]=0,0,Tabla2[[#This Row],[Beneficio Neto  (En RD$/Tarea)]]/Tabla2[[#This Row],[Costos (En RD$/Tarea)]])</f>
        <v>2.2425275990434157</v>
      </c>
      <c r="P2803" s="4">
        <f>Tabla2[[#This Row],[Rentabilidad (%)]]/12</f>
        <v>0.18687729992028465</v>
      </c>
    </row>
    <row r="2804" spans="1:16" x14ac:dyDescent="0.35">
      <c r="A2804" s="1">
        <v>43617</v>
      </c>
      <c r="B2804" t="s">
        <v>25</v>
      </c>
      <c r="C2804" s="2">
        <v>30854</v>
      </c>
      <c r="D2804" s="5" t="s">
        <v>17</v>
      </c>
      <c r="E2804" s="2">
        <f>IF(Tabla2[[#This Row],[Frecuencia]]="Annual", Tabla2[[#This Row],[Cosecha/Tarea]]/12,Tabla2[[#This Row],[Cosecha/Tarea]])</f>
        <v>30854</v>
      </c>
      <c r="F2804" s="2">
        <v>295487</v>
      </c>
      <c r="G2804" t="s">
        <v>18</v>
      </c>
      <c r="H2804">
        <f>F2804/Tabla2[[#This Row],[Cosecha Mensual]]</f>
        <v>9.5769430219744596</v>
      </c>
      <c r="I2804">
        <f>H2804*_xlfn.XLOOKUP(Tabla2[[#This Row],[Unidad de producción]],Tabla3[Medida],Tabla3[Equivalencia en Kg],"ELVIS",0)</f>
        <v>434.41013547676147</v>
      </c>
      <c r="J2804">
        <v>927.71416666666698</v>
      </c>
      <c r="K2804" t="s">
        <v>18</v>
      </c>
      <c r="L2804">
        <f>J2804/_xlfn.XLOOKUP(Tabla2[[#This Row],[Unidad de precio]],Tabla3[Medida],Tabla3[Equivalencia en Kg],"ELVIS",0)</f>
        <v>20.452252351557913</v>
      </c>
      <c r="M2804">
        <v>4718.2914901260801</v>
      </c>
      <c r="N2804" s="2">
        <f>(Tabla2[[#This Row],[Productividad (kg/TAS)]]*Tabla2[[#This Row],[Precio por kg]]-Tabla2[[#This Row],[Costos (En RD$/Tarea)]])</f>
        <v>4166.3742247191067</v>
      </c>
      <c r="O2804" s="6">
        <f>IF(Tabla2[[#This Row],[Costos (En RD$/Tarea)]]=0,0,Tabla2[[#This Row],[Beneficio Neto  (En RD$/Tarea)]]/Tabla2[[#This Row],[Costos (En RD$/Tarea)]])</f>
        <v>0.8830260346224974</v>
      </c>
      <c r="P2804" s="4">
        <f>Tabla2[[#This Row],[Rentabilidad (%)]]/12</f>
        <v>7.3585502885208112E-2</v>
      </c>
    </row>
    <row r="2805" spans="1:16" x14ac:dyDescent="0.35">
      <c r="A2805" s="1">
        <v>43617</v>
      </c>
      <c r="B2805" t="s">
        <v>26</v>
      </c>
      <c r="C2805" s="2">
        <v>11321</v>
      </c>
      <c r="D2805" s="5" t="s">
        <v>17</v>
      </c>
      <c r="E2805" s="2">
        <f>IF(Tabla2[[#This Row],[Frecuencia]]="Annual", Tabla2[[#This Row],[Cosecha/Tarea]]/12,Tabla2[[#This Row],[Cosecha/Tarea]])</f>
        <v>11321</v>
      </c>
      <c r="F2805" s="2">
        <v>68954</v>
      </c>
      <c r="G2805" t="s">
        <v>18</v>
      </c>
      <c r="H2805">
        <f>F2805/Tabla2[[#This Row],[Cosecha Mensual]]</f>
        <v>6.0908046992315166</v>
      </c>
      <c r="I2805">
        <f>H2805*_xlfn.XLOOKUP(Tabla2[[#This Row],[Unidad de producción]],Tabla3[Medida],Tabla3[Equivalencia en Kg],"ELVIS",0)</f>
        <v>276.2789011571416</v>
      </c>
      <c r="J2805">
        <v>1152.22145833333</v>
      </c>
      <c r="K2805" t="s">
        <v>18</v>
      </c>
      <c r="L2805">
        <f>J2805/_xlfn.XLOOKUP(Tabla2[[#This Row],[Unidad de precio]],Tabla3[Medida],Tabla3[Equivalencia en Kg],"ELVIS",0)</f>
        <v>25.401707635214507</v>
      </c>
      <c r="M2805">
        <v>1668.6966112895</v>
      </c>
      <c r="N2805" s="2">
        <f>(Tabla2[[#This Row],[Productividad (kg/TAS)]]*Tabla2[[#This Row],[Precio por kg]]-Tabla2[[#This Row],[Costos (En RD$/Tarea)]])</f>
        <v>5349.2592616825377</v>
      </c>
      <c r="O2805" s="6">
        <f>IF(Tabla2[[#This Row],[Costos (En RD$/Tarea)]]=0,0,Tabla2[[#This Row],[Beneficio Neto  (En RD$/Tarea)]]/Tabla2[[#This Row],[Costos (En RD$/Tarea)]])</f>
        <v>3.2056511803837431</v>
      </c>
      <c r="P2805" s="4">
        <f>Tabla2[[#This Row],[Rentabilidad (%)]]/12</f>
        <v>0.26713759836531192</v>
      </c>
    </row>
    <row r="2806" spans="1:16" x14ac:dyDescent="0.35">
      <c r="A2806" s="1">
        <v>43617</v>
      </c>
      <c r="B2806" t="s">
        <v>27</v>
      </c>
      <c r="C2806" s="2">
        <v>8452</v>
      </c>
      <c r="D2806" s="5" t="s">
        <v>17</v>
      </c>
      <c r="E2806" s="2">
        <f>IF(Tabla2[[#This Row],[Frecuencia]]="Annual", Tabla2[[#This Row],[Cosecha/Tarea]]/12,Tabla2[[#This Row],[Cosecha/Tarea]])</f>
        <v>8452</v>
      </c>
      <c r="F2806" s="2">
        <v>58954</v>
      </c>
      <c r="G2806" t="s">
        <v>18</v>
      </c>
      <c r="H2806">
        <f>F2806/Tabla2[[#This Row],[Cosecha Mensual]]</f>
        <v>6.9751538097491714</v>
      </c>
      <c r="I2806">
        <f>H2806*_xlfn.XLOOKUP(Tabla2[[#This Row],[Unidad de producción]],Tabla3[Medida],Tabla3[Equivalencia en Kg],"ELVIS",0)</f>
        <v>316.39297681022242</v>
      </c>
      <c r="J2806">
        <v>719.63238095238103</v>
      </c>
      <c r="K2806" t="s">
        <v>18</v>
      </c>
      <c r="L2806">
        <f>J2806/_xlfn.XLOOKUP(Tabla2[[#This Row],[Unidad de precio]],Tabla3[Medida],Tabla3[Equivalencia en Kg],"ELVIS",0)</f>
        <v>15.86491139665743</v>
      </c>
      <c r="M2806">
        <v>9222.1943510245001</v>
      </c>
      <c r="N2806" s="2">
        <f>(Tabla2[[#This Row],[Productividad (kg/TAS)]]*Tabla2[[#This Row],[Precio por kg]]-Tabla2[[#This Row],[Costos (En RD$/Tarea)]])</f>
        <v>-4202.6478074056322</v>
      </c>
      <c r="O2806" s="6">
        <f>IF(Tabla2[[#This Row],[Costos (En RD$/Tarea)]]=0,0,Tabla2[[#This Row],[Beneficio Neto  (En RD$/Tarea)]]/Tabla2[[#This Row],[Costos (En RD$/Tarea)]])</f>
        <v>-0.45571017563067917</v>
      </c>
      <c r="P2806" s="4">
        <f>Tabla2[[#This Row],[Rentabilidad (%)]]/12</f>
        <v>-3.7975847969223264E-2</v>
      </c>
    </row>
    <row r="2807" spans="1:16" x14ac:dyDescent="0.35">
      <c r="A2807" s="1">
        <v>43617</v>
      </c>
      <c r="B2807" t="s">
        <v>28</v>
      </c>
      <c r="C2807" s="2">
        <v>44899</v>
      </c>
      <c r="D2807" s="5" t="s">
        <v>17</v>
      </c>
      <c r="E2807" s="2">
        <f>IF(Tabla2[[#This Row],[Frecuencia]]="Annual", Tabla2[[#This Row],[Cosecha/Tarea]]/12,Tabla2[[#This Row],[Cosecha/Tarea]])</f>
        <v>44899</v>
      </c>
      <c r="F2807" s="2">
        <v>1255176</v>
      </c>
      <c r="G2807" t="s">
        <v>18</v>
      </c>
      <c r="H2807">
        <f>F2807/Tabla2[[#This Row],[Cosecha Mensual]]</f>
        <v>27.955544666919085</v>
      </c>
      <c r="I2807">
        <f>H2807*_xlfn.XLOOKUP(Tabla2[[#This Row],[Unidad de producción]],Tabla3[Medida],Tabla3[Equivalencia en Kg],"ELVIS",0)</f>
        <v>1268.0635060914497</v>
      </c>
      <c r="J2807">
        <v>9167.9166666666697</v>
      </c>
      <c r="K2807" t="s">
        <v>29</v>
      </c>
      <c r="L2807">
        <f>J2807/_xlfn.XLOOKUP(Tabla2[[#This Row],[Unidad de precio]],Tabla3[Medida],Tabla3[Equivalencia en Kg],"ELVIS",0)</f>
        <v>16.303155860629992</v>
      </c>
      <c r="M2807">
        <v>7149.9398177165003</v>
      </c>
      <c r="N2807" s="2">
        <f>(Tabla2[[#This Row],[Productividad (kg/TAS)]]*Tabla2[[#This Row],[Precio por kg]]-Tabla2[[#This Row],[Costos (En RD$/Tarea)]])</f>
        <v>13523.497163269332</v>
      </c>
      <c r="O2807" s="6">
        <f>IF(Tabla2[[#This Row],[Costos (En RD$/Tarea)]]=0,0,Tabla2[[#This Row],[Beneficio Neto  (En RD$/Tarea)]]/Tabla2[[#This Row],[Costos (En RD$/Tarea)]])</f>
        <v>1.8914141248797778</v>
      </c>
      <c r="P2807" s="4">
        <f>Tabla2[[#This Row],[Rentabilidad (%)]]/12</f>
        <v>0.15761784373998147</v>
      </c>
    </row>
    <row r="2808" spans="1:16" x14ac:dyDescent="0.35">
      <c r="A2808" s="1">
        <v>43617</v>
      </c>
      <c r="B2808" t="s">
        <v>30</v>
      </c>
      <c r="C2808" s="2">
        <v>482144</v>
      </c>
      <c r="D2808" s="2" t="s">
        <v>31</v>
      </c>
      <c r="E2808" s="2">
        <f>IF(Tabla2[[#This Row],[Frecuencia]]="Annual", Tabla2[[#This Row],[Cosecha/Tarea]]/12,Tabla2[[#This Row],[Cosecha/Tarea]])</f>
        <v>40178.666666666664</v>
      </c>
      <c r="F2808" s="2">
        <v>2391299.4</v>
      </c>
      <c r="G2808" t="s">
        <v>18</v>
      </c>
      <c r="H2808">
        <f>F2808/Tabla2[[#This Row],[Cosecha Mensual]]</f>
        <v>59.516643990177208</v>
      </c>
      <c r="I2808">
        <f>H2808*_xlfn.XLOOKUP(Tabla2[[#This Row],[Unidad de producción]],Tabla3[Medida],Tabla3[Equivalencia en Kg],"ELVIS",0)</f>
        <v>2699.6749713944382</v>
      </c>
      <c r="J2808">
        <v>168.05781250000001</v>
      </c>
      <c r="K2808" t="s">
        <v>32</v>
      </c>
      <c r="L2808">
        <f>J2808/_xlfn.XLOOKUP(Tabla2[[#This Row],[Unidad de precio]],Tabla3[Medida],Tabla3[Equivalencia en Kg],"ELVIS",0)</f>
        <v>6.1763253399485487</v>
      </c>
      <c r="M2808" s="2">
        <v>35445.717948420002</v>
      </c>
      <c r="N2808" s="2">
        <f>(Tabla2[[#This Row],[Productividad (kg/TAS)]]*Tabla2[[#This Row],[Precio por kg]]-Tabla2[[#This Row],[Costos (En RD$/Tarea)]])</f>
        <v>-18771.647012971662</v>
      </c>
      <c r="O2808" s="6">
        <f>IF(Tabla2[[#This Row],[Costos (En RD$/Tarea)]]=0,0,Tabla2[[#This Row],[Beneficio Neto  (En RD$/Tarea)]]/Tabla2[[#This Row],[Costos (En RD$/Tarea)]])</f>
        <v>-0.52958856808283128</v>
      </c>
      <c r="P2808" s="4">
        <f>Tabla2[[#This Row],[Rentabilidad (%)]]/12</f>
        <v>-4.4132380673569276E-2</v>
      </c>
    </row>
    <row r="2809" spans="1:16" x14ac:dyDescent="0.35">
      <c r="A2809" s="1">
        <v>43617</v>
      </c>
      <c r="B2809" t="s">
        <v>33</v>
      </c>
      <c r="C2809" s="2">
        <v>822198</v>
      </c>
      <c r="D2809" s="2" t="s">
        <v>31</v>
      </c>
      <c r="E2809" s="8">
        <f>IF(Tabla2[[#This Row],[Frecuencia]]="Annual", Tabla2[[#This Row],[Cosecha/Tarea]]/12,Tabla2[[#This Row],[Cosecha/Tarea]])</f>
        <v>68516.5</v>
      </c>
      <c r="F2809" s="2">
        <v>1855305</v>
      </c>
      <c r="G2809" t="s">
        <v>18</v>
      </c>
      <c r="H2809">
        <f>F2809/Tabla2[[#This Row],[Cosecha Mensual]]</f>
        <v>27.078222034108574</v>
      </c>
      <c r="I2809">
        <f>H2809*_xlfn.XLOOKUP(Tabla2[[#This Row],[Unidad de producción]],Tabla3[Medida],Tabla3[Equivalencia en Kg],"ELVIS",0)</f>
        <v>1228.2681514671649</v>
      </c>
      <c r="J2809">
        <v>8261.1875</v>
      </c>
      <c r="K2809" t="s">
        <v>34</v>
      </c>
      <c r="L2809">
        <f>J2809/_xlfn.XLOOKUP(Tabla2[[#This Row],[Unidad de precio]],Tabla3[Medida],Tabla3[Equivalencia en Kg],"ELVIS",0)</f>
        <v>20.240567193433787</v>
      </c>
      <c r="M2809" s="2">
        <v>22691.3984505224</v>
      </c>
      <c r="N2809" s="2">
        <f>(Tabla2[[#This Row],[Productividad (kg/TAS)]]*Tabla2[[#This Row],[Precio por kg]]-Tabla2[[#This Row],[Costos (En RD$/Tarea)]])</f>
        <v>2169.4456008034576</v>
      </c>
      <c r="O2809" s="6">
        <f>IF(Tabla2[[#This Row],[Costos (En RD$/Tarea)]]=0,0,Tabla2[[#This Row],[Beneficio Neto  (En RD$/Tarea)]]/Tabla2[[#This Row],[Costos (En RD$/Tarea)]])</f>
        <v>9.5606518281975375E-2</v>
      </c>
      <c r="P2809" s="4">
        <f>Tabla2[[#This Row],[Rentabilidad (%)]]/12</f>
        <v>7.9672098568312807E-3</v>
      </c>
    </row>
    <row r="2810" spans="1:16" x14ac:dyDescent="0.35">
      <c r="A2810" s="1">
        <v>43647</v>
      </c>
      <c r="B2810" t="s">
        <v>16</v>
      </c>
      <c r="C2810" s="2">
        <v>145245</v>
      </c>
      <c r="D2810" s="5" t="s">
        <v>17</v>
      </c>
      <c r="E2810" s="2">
        <f>IF(Tabla2[[#This Row],[Frecuencia]]="Annual", Tabla2[[#This Row],[Cosecha/Tarea]]/12,Tabla2[[#This Row],[Cosecha/Tarea]])</f>
        <v>145245</v>
      </c>
      <c r="F2810" s="2">
        <v>517667</v>
      </c>
      <c r="G2810" t="s">
        <v>18</v>
      </c>
      <c r="H2810">
        <f>F2810/Tabla2[[#This Row],[Cosecha Mensual]]</f>
        <v>3.5640951495748561</v>
      </c>
      <c r="I2810">
        <f>H2810*_xlfn.XLOOKUP(Tabla2[[#This Row],[Unidad de producción]],Tabla3[Medida],Tabla3[Equivalencia en Kg],"ELVIS",0)</f>
        <v>161.66735598471547</v>
      </c>
      <c r="J2810">
        <v>2321.7988181884898</v>
      </c>
      <c r="K2810" t="s">
        <v>19</v>
      </c>
      <c r="L2810">
        <f>J2810/_xlfn.XLOOKUP(Tabla2[[#This Row],[Unidad de precio]],Tabla3[Medida],Tabla3[Equivalencia en Kg],"ELVIS",0)</f>
        <v>21.107261983531725</v>
      </c>
      <c r="M2810">
        <v>6284.7907932016997</v>
      </c>
      <c r="N2810" s="2">
        <f>(Tabla2[[#This Row],[Productividad (kg/TAS)]]*Tabla2[[#This Row],[Precio por kg]]-Tabla2[[#This Row],[Costos (En RD$/Tarea)]])</f>
        <v>-2872.4355562474248</v>
      </c>
      <c r="O2810" s="6">
        <f>IF(Tabla2[[#This Row],[Costos (En RD$/Tarea)]]=0,0,Tabla2[[#This Row],[Beneficio Neto  (En RD$/Tarea)]]/Tabla2[[#This Row],[Costos (En RD$/Tarea)]])</f>
        <v>-0.45704553274144899</v>
      </c>
      <c r="P2810" s="4">
        <f>Tabla2[[#This Row],[Rentabilidad (%)]]/12</f>
        <v>-3.808712772845408E-2</v>
      </c>
    </row>
    <row r="2811" spans="1:16" x14ac:dyDescent="0.35">
      <c r="A2811" s="1">
        <v>43647</v>
      </c>
      <c r="B2811" t="s">
        <v>20</v>
      </c>
      <c r="C2811" s="2">
        <v>38749</v>
      </c>
      <c r="D2811" s="5" t="s">
        <v>17</v>
      </c>
      <c r="E2811" s="2">
        <f>IF(Tabla2[[#This Row],[Frecuencia]]="Annual", Tabla2[[#This Row],[Cosecha/Tarea]]/12,Tabla2[[#This Row],[Cosecha/Tarea]])</f>
        <v>38749</v>
      </c>
      <c r="F2811" s="2">
        <v>123713</v>
      </c>
      <c r="G2811" t="s">
        <v>18</v>
      </c>
      <c r="H2811">
        <f>F2811/Tabla2[[#This Row],[Cosecha Mensual]]</f>
        <v>3.1926759400242588</v>
      </c>
      <c r="I2811">
        <f>H2811*_xlfn.XLOOKUP(Tabla2[[#This Row],[Unidad de producción]],Tabla3[Medida],Tabla3[Equivalencia en Kg],"ELVIS",0)</f>
        <v>144.81978063950038</v>
      </c>
      <c r="J2811">
        <v>1088.82261904762</v>
      </c>
      <c r="K2811" t="s">
        <v>18</v>
      </c>
      <c r="L2811">
        <f>J2811/_xlfn.XLOOKUP(Tabla2[[#This Row],[Unidad de precio]],Tabla3[Medida],Tabla3[Equivalencia en Kg],"ELVIS",0)</f>
        <v>24.004025993113316</v>
      </c>
      <c r="M2811">
        <v>2409.2436004449601</v>
      </c>
      <c r="N2811" s="2">
        <f>(Tabla2[[#This Row],[Productividad (kg/TAS)]]*Tabla2[[#This Row],[Precio por kg]]-Tabla2[[#This Row],[Costos (En RD$/Tarea)]])</f>
        <v>1067.0141783425756</v>
      </c>
      <c r="O2811" s="6">
        <f>IF(Tabla2[[#This Row],[Costos (En RD$/Tarea)]]=0,0,Tabla2[[#This Row],[Beneficio Neto  (En RD$/Tarea)]]/Tabla2[[#This Row],[Costos (En RD$/Tarea)]])</f>
        <v>0.44288347518927107</v>
      </c>
      <c r="P2811" s="4">
        <f>Tabla2[[#This Row],[Rentabilidad (%)]]/12</f>
        <v>3.6906956265772589E-2</v>
      </c>
    </row>
    <row r="2812" spans="1:16" x14ac:dyDescent="0.35">
      <c r="A2812" s="1">
        <v>43647</v>
      </c>
      <c r="B2812" t="s">
        <v>21</v>
      </c>
      <c r="C2812" s="2">
        <v>7999</v>
      </c>
      <c r="D2812" s="5" t="s">
        <v>17</v>
      </c>
      <c r="E2812" s="2">
        <f>IF(Tabla2[[#This Row],[Frecuencia]]="Annual", Tabla2[[#This Row],[Cosecha/Tarea]]/12,Tabla2[[#This Row],[Cosecha/Tarea]])</f>
        <v>7999</v>
      </c>
      <c r="F2812" s="2">
        <v>95987</v>
      </c>
      <c r="G2812" t="s">
        <v>18</v>
      </c>
      <c r="H2812">
        <f>F2812/Tabla2[[#This Row],[Cosecha Mensual]]</f>
        <v>11.999874984373047</v>
      </c>
      <c r="I2812">
        <f>H2812*_xlfn.XLOOKUP(Tabla2[[#This Row],[Unidad de producción]],Tabla3[Medida],Tabla3[Equivalencia en Kg],"ELVIS",0)</f>
        <v>544.31432929116147</v>
      </c>
      <c r="J2812">
        <v>882.54861111111097</v>
      </c>
      <c r="K2812" t="s">
        <v>18</v>
      </c>
      <c r="L2812">
        <f>J2812/_xlfn.XLOOKUP(Tabla2[[#This Row],[Unidad de precio]],Tabla3[Medida],Tabla3[Equivalencia en Kg],"ELVIS",0)</f>
        <v>19.456539045659412</v>
      </c>
      <c r="M2812">
        <v>5846.9700795819999</v>
      </c>
      <c r="N2812" s="2">
        <f>(Tabla2[[#This Row],[Productividad (kg/TAS)]]*Tabla2[[#This Row],[Precio por kg]]-Tabla2[[#This Row],[Costos (En RD$/Tarea)]])</f>
        <v>4743.5029213833977</v>
      </c>
      <c r="O2812" s="6">
        <f>IF(Tabla2[[#This Row],[Costos (En RD$/Tarea)]]=0,0,Tabla2[[#This Row],[Beneficio Neto  (En RD$/Tarea)]]/Tabla2[[#This Row],[Costos (En RD$/Tarea)]])</f>
        <v>0.81127538824732803</v>
      </c>
      <c r="P2812" s="4">
        <f>Tabla2[[#This Row],[Rentabilidad (%)]]/12</f>
        <v>6.7606282353944003E-2</v>
      </c>
    </row>
    <row r="2813" spans="1:16" x14ac:dyDescent="0.35">
      <c r="A2813" s="1">
        <v>43647</v>
      </c>
      <c r="B2813" t="s">
        <v>22</v>
      </c>
      <c r="C2813" s="2">
        <v>4320</v>
      </c>
      <c r="D2813" s="5" t="s">
        <v>17</v>
      </c>
      <c r="E2813" s="2">
        <f>IF(Tabla2[[#This Row],[Frecuencia]]="Annual", Tabla2[[#This Row],[Cosecha/Tarea]]/12,Tabla2[[#This Row],[Cosecha/Tarea]])</f>
        <v>4320</v>
      </c>
      <c r="F2813" s="2">
        <v>41899</v>
      </c>
      <c r="G2813" t="s">
        <v>18</v>
      </c>
      <c r="H2813">
        <f>F2813/Tabla2[[#This Row],[Cosecha Mensual]]</f>
        <v>9.6988425925925927</v>
      </c>
      <c r="I2813">
        <f>H2813*_xlfn.XLOOKUP(Tabla2[[#This Row],[Unidad de producción]],Tabla3[Medida],Tabla3[Equivalencia en Kg],"ELVIS",0)</f>
        <v>439.93950000000001</v>
      </c>
      <c r="J2813">
        <v>1870.1213333333301</v>
      </c>
      <c r="K2813" t="s">
        <v>18</v>
      </c>
      <c r="L2813">
        <f>J2813/_xlfn.XLOOKUP(Tabla2[[#This Row],[Unidad de precio]],Tabla3[Medida],Tabla3[Equivalencia en Kg],"ELVIS",0)</f>
        <v>41.228424456202163</v>
      </c>
      <c r="M2813">
        <v>10137.37206528</v>
      </c>
      <c r="N2813" s="2">
        <f>(Tabla2[[#This Row],[Productividad (kg/TAS)]]*Tabla2[[#This Row],[Precio por kg]]-Tabla2[[#This Row],[Costos (En RD$/Tarea)]])</f>
        <v>8000.6403757693515</v>
      </c>
      <c r="O2813" s="6">
        <f>IF(Tabla2[[#This Row],[Costos (En RD$/Tarea)]]=0,0,Tabla2[[#This Row],[Beneficio Neto  (En RD$/Tarea)]]/Tabla2[[#This Row],[Costos (En RD$/Tarea)]])</f>
        <v>0.78922232746799836</v>
      </c>
      <c r="P2813" s="4">
        <f>Tabla2[[#This Row],[Rentabilidad (%)]]/12</f>
        <v>6.5768527288999859E-2</v>
      </c>
    </row>
    <row r="2814" spans="1:16" x14ac:dyDescent="0.35">
      <c r="A2814" s="1">
        <v>43647</v>
      </c>
      <c r="B2814" t="s">
        <v>23</v>
      </c>
      <c r="C2814" s="2">
        <v>3547</v>
      </c>
      <c r="D2814" s="5" t="s">
        <v>17</v>
      </c>
      <c r="E2814" s="2">
        <f>IF(Tabla2[[#This Row],[Frecuencia]]="Annual", Tabla2[[#This Row],[Cosecha/Tarea]]/12,Tabla2[[#This Row],[Cosecha/Tarea]])</f>
        <v>3547</v>
      </c>
      <c r="F2814" s="2">
        <v>125987</v>
      </c>
      <c r="G2814" t="s">
        <v>18</v>
      </c>
      <c r="H2814">
        <f>F2814/Tabla2[[#This Row],[Cosecha Mensual]]</f>
        <v>35.519312094727937</v>
      </c>
      <c r="I2814">
        <f>H2814*_xlfn.XLOOKUP(Tabla2[[#This Row],[Unidad de producción]],Tabla3[Medida],Tabla3[Equivalencia en Kg],"ELVIS",0)</f>
        <v>1611.1559966168593</v>
      </c>
      <c r="J2814">
        <v>1145</v>
      </c>
      <c r="K2814" t="s">
        <v>18</v>
      </c>
      <c r="L2814">
        <f>J2814/_xlfn.XLOOKUP(Tabla2[[#This Row],[Unidad de precio]],Tabla3[Medida],Tabla3[Equivalencia en Kg],"ELVIS",0)</f>
        <v>25.242504409171076</v>
      </c>
      <c r="M2814">
        <v>26088.260008087302</v>
      </c>
      <c r="N2814" s="2">
        <f>(Tabla2[[#This Row],[Productividad (kg/TAS)]]*Tabla2[[#This Row],[Precio por kg]]-Tabla2[[#This Row],[Costos (En RD$/Tarea)]])</f>
        <v>14581.352340376186</v>
      </c>
      <c r="O2814" s="6">
        <f>IF(Tabla2[[#This Row],[Costos (En RD$/Tarea)]]=0,0,Tabla2[[#This Row],[Beneficio Neto  (En RD$/Tarea)]]/Tabla2[[#This Row],[Costos (En RD$/Tarea)]])</f>
        <v>0.55892391197634494</v>
      </c>
      <c r="P2814" s="4">
        <f>Tabla2[[#This Row],[Rentabilidad (%)]]/12</f>
        <v>4.6576992664695414E-2</v>
      </c>
    </row>
    <row r="2815" spans="1:16" x14ac:dyDescent="0.35">
      <c r="A2815" s="1">
        <v>43647</v>
      </c>
      <c r="B2815" t="s">
        <v>24</v>
      </c>
      <c r="C2815" s="2">
        <v>4699</v>
      </c>
      <c r="D2815" s="5" t="s">
        <v>17</v>
      </c>
      <c r="E2815" s="2">
        <f>IF(Tabla2[[#This Row],[Frecuencia]]="Annual", Tabla2[[#This Row],[Cosecha/Tarea]]/12,Tabla2[[#This Row],[Cosecha/Tarea]])</f>
        <v>4699</v>
      </c>
      <c r="F2815" s="2">
        <v>44010</v>
      </c>
      <c r="G2815" t="s">
        <v>18</v>
      </c>
      <c r="H2815">
        <f>F2815/Tabla2[[#This Row],[Cosecha Mensual]]</f>
        <v>9.3658225154288139</v>
      </c>
      <c r="I2815">
        <f>H2815*_xlfn.XLOOKUP(Tabla2[[#This Row],[Unidad de producción]],Tabla3[Medida],Tabla3[Equivalencia en Kg],"ELVIS",0)</f>
        <v>424.83370929985102</v>
      </c>
      <c r="J2815">
        <v>2984.1447619047599</v>
      </c>
      <c r="K2815" t="s">
        <v>18</v>
      </c>
      <c r="L2815">
        <f>J2815/_xlfn.XLOOKUP(Tabla2[[#This Row],[Unidad de precio]],Tabla3[Medida],Tabla3[Equivalencia en Kg],"ELVIS",0)</f>
        <v>65.788023851515874</v>
      </c>
      <c r="M2815">
        <v>8388.8026628831994</v>
      </c>
      <c r="N2815" s="2">
        <f>(Tabla2[[#This Row],[Productividad (kg/TAS)]]*Tabla2[[#This Row],[Precio por kg]]-Tabla2[[#This Row],[Costos (En RD$/Tarea)]])</f>
        <v>19560.167537463363</v>
      </c>
      <c r="O2815" s="6">
        <f>IF(Tabla2[[#This Row],[Costos (En RD$/Tarea)]]=0,0,Tabla2[[#This Row],[Beneficio Neto  (En RD$/Tarea)]]/Tabla2[[#This Row],[Costos (En RD$/Tarea)]])</f>
        <v>2.3316995670918081</v>
      </c>
      <c r="P2815" s="4">
        <f>Tabla2[[#This Row],[Rentabilidad (%)]]/12</f>
        <v>0.19430829725765067</v>
      </c>
    </row>
    <row r="2816" spans="1:16" x14ac:dyDescent="0.35">
      <c r="A2816" s="1">
        <v>43647</v>
      </c>
      <c r="B2816" t="s">
        <v>25</v>
      </c>
      <c r="C2816" s="2">
        <v>22144</v>
      </c>
      <c r="D2816" s="5" t="s">
        <v>17</v>
      </c>
      <c r="E2816" s="2">
        <f>IF(Tabla2[[#This Row],[Frecuencia]]="Annual", Tabla2[[#This Row],[Cosecha/Tarea]]/12,Tabla2[[#This Row],[Cosecha/Tarea]])</f>
        <v>22144</v>
      </c>
      <c r="F2816" s="2">
        <v>221998</v>
      </c>
      <c r="G2816" t="s">
        <v>18</v>
      </c>
      <c r="H2816">
        <f>F2816/Tabla2[[#This Row],[Cosecha Mensual]]</f>
        <v>10.025198699421965</v>
      </c>
      <c r="I2816">
        <f>H2816*_xlfn.XLOOKUP(Tabla2[[#This Row],[Unidad de producción]],Tabla3[Medida],Tabla3[Equivalencia en Kg],"ELVIS",0)</f>
        <v>454.74301300578031</v>
      </c>
      <c r="J2816">
        <v>984.29165476190497</v>
      </c>
      <c r="K2816" t="s">
        <v>18</v>
      </c>
      <c r="L2816">
        <f>J2816/_xlfn.XLOOKUP(Tabla2[[#This Row],[Unidad de precio]],Tabla3[Medida],Tabla3[Equivalencia en Kg],"ELVIS",0)</f>
        <v>21.699551471823302</v>
      </c>
      <c r="M2816">
        <v>4718.2914901260801</v>
      </c>
      <c r="N2816" s="2">
        <f>(Tabla2[[#This Row],[Productividad (kg/TAS)]]*Tabla2[[#This Row],[Precio por kg]]-Tabla2[[#This Row],[Costos (En RD$/Tarea)]])</f>
        <v>5149.4279270448633</v>
      </c>
      <c r="O2816" s="6">
        <f>IF(Tabla2[[#This Row],[Costos (En RD$/Tarea)]]=0,0,Tabla2[[#This Row],[Beneficio Neto  (En RD$/Tarea)]]/Tabla2[[#This Row],[Costos (En RD$/Tarea)]])</f>
        <v>1.0913755408755517</v>
      </c>
      <c r="P2816" s="4">
        <f>Tabla2[[#This Row],[Rentabilidad (%)]]/12</f>
        <v>9.094796173962931E-2</v>
      </c>
    </row>
    <row r="2817" spans="1:16" x14ac:dyDescent="0.35">
      <c r="A2817" s="1">
        <v>43647</v>
      </c>
      <c r="B2817" t="s">
        <v>26</v>
      </c>
      <c r="C2817" s="2">
        <v>11874</v>
      </c>
      <c r="D2817" s="5" t="s">
        <v>17</v>
      </c>
      <c r="E2817" s="2">
        <f>IF(Tabla2[[#This Row],[Frecuencia]]="Annual", Tabla2[[#This Row],[Cosecha/Tarea]]/12,Tabla2[[#This Row],[Cosecha/Tarea]])</f>
        <v>11874</v>
      </c>
      <c r="F2817" s="2">
        <v>62705</v>
      </c>
      <c r="G2817" t="s">
        <v>18</v>
      </c>
      <c r="H2817">
        <f>F2817/Tabla2[[#This Row],[Cosecha Mensual]]</f>
        <v>5.2808657571163886</v>
      </c>
      <c r="I2817">
        <f>H2817*_xlfn.XLOOKUP(Tabla2[[#This Row],[Unidad de producción]],Tabla3[Medida],Tabla3[Equivalencia en Kg],"ELVIS",0)</f>
        <v>239.54007074279937</v>
      </c>
      <c r="J2817">
        <v>940.38571428571402</v>
      </c>
      <c r="K2817" t="s">
        <v>18</v>
      </c>
      <c r="L2817">
        <f>J2817/_xlfn.XLOOKUP(Tabla2[[#This Row],[Unidad de precio]],Tabla3[Medida],Tabla3[Equivalencia en Kg],"ELVIS",0)</f>
        <v>20.731607457797928</v>
      </c>
      <c r="M2817">
        <v>1668.6966112895</v>
      </c>
      <c r="N2817" s="2">
        <f>(Tabla2[[#This Row],[Productividad (kg/TAS)]]*Tabla2[[#This Row],[Precio por kg]]-Tabla2[[#This Row],[Costos (En RD$/Tarea)]])</f>
        <v>3297.3541057633629</v>
      </c>
      <c r="O2817" s="6">
        <f>IF(Tabla2[[#This Row],[Costos (En RD$/Tarea)]]=0,0,Tabla2[[#This Row],[Beneficio Neto  (En RD$/Tarea)]]/Tabla2[[#This Row],[Costos (En RD$/Tarea)]])</f>
        <v>1.9760057541048781</v>
      </c>
      <c r="P2817" s="4">
        <f>Tabla2[[#This Row],[Rentabilidad (%)]]/12</f>
        <v>0.16466714617540651</v>
      </c>
    </row>
    <row r="2818" spans="1:16" x14ac:dyDescent="0.35">
      <c r="A2818" s="1">
        <v>43647</v>
      </c>
      <c r="B2818" t="s">
        <v>27</v>
      </c>
      <c r="C2818" s="2">
        <v>5201</v>
      </c>
      <c r="D2818" s="5" t="s">
        <v>17</v>
      </c>
      <c r="E2818" s="2">
        <f>IF(Tabla2[[#This Row],[Frecuencia]]="Annual", Tabla2[[#This Row],[Cosecha/Tarea]]/12,Tabla2[[#This Row],[Cosecha/Tarea]])</f>
        <v>5201</v>
      </c>
      <c r="F2818" s="2">
        <v>52142</v>
      </c>
      <c r="G2818" t="s">
        <v>18</v>
      </c>
      <c r="H2818">
        <f>F2818/Tabla2[[#This Row],[Cosecha Mensual]]</f>
        <v>10.02537973466641</v>
      </c>
      <c r="I2818">
        <f>H2818*_xlfn.XLOOKUP(Tabla2[[#This Row],[Unidad de producción]],Tabla3[Medida],Tabla3[Equivalencia en Kg],"ELVIS",0)</f>
        <v>454.75122476446836</v>
      </c>
      <c r="J2818">
        <v>753.03044444444504</v>
      </c>
      <c r="K2818" t="s">
        <v>18</v>
      </c>
      <c r="L2818">
        <f>J2818/_xlfn.XLOOKUP(Tabla2[[#This Row],[Unidad de precio]],Tabla3[Medida],Tabla3[Equivalencia en Kg],"ELVIS",0)</f>
        <v>16.601200274348436</v>
      </c>
      <c r="M2818">
        <v>9222.1943510245001</v>
      </c>
      <c r="N2818" s="2">
        <f>(Tabla2[[#This Row],[Productividad (kg/TAS)]]*Tabla2[[#This Row],[Precio por kg]]-Tabla2[[#This Row],[Costos (En RD$/Tarea)]])</f>
        <v>-1672.778193704321</v>
      </c>
      <c r="O2818" s="6">
        <f>IF(Tabla2[[#This Row],[Costos (En RD$/Tarea)]]=0,0,Tabla2[[#This Row],[Beneficio Neto  (En RD$/Tarea)]]/Tabla2[[#This Row],[Costos (En RD$/Tarea)]])</f>
        <v>-0.18138613545034332</v>
      </c>
      <c r="P2818" s="4">
        <f>Tabla2[[#This Row],[Rentabilidad (%)]]/12</f>
        <v>-1.511551128752861E-2</v>
      </c>
    </row>
    <row r="2819" spans="1:16" x14ac:dyDescent="0.35">
      <c r="A2819" s="1">
        <v>43647</v>
      </c>
      <c r="B2819" t="s">
        <v>28</v>
      </c>
      <c r="C2819" s="2">
        <v>33021</v>
      </c>
      <c r="D2819" s="5" t="s">
        <v>17</v>
      </c>
      <c r="E2819" s="2">
        <f>IF(Tabla2[[#This Row],[Frecuencia]]="Annual", Tabla2[[#This Row],[Cosecha/Tarea]]/12,Tabla2[[#This Row],[Cosecha/Tarea]])</f>
        <v>33021</v>
      </c>
      <c r="F2819" s="2">
        <v>1182480</v>
      </c>
      <c r="G2819" t="s">
        <v>18</v>
      </c>
      <c r="H2819">
        <f>F2819/Tabla2[[#This Row],[Cosecha Mensual]]</f>
        <v>35.809939129644775</v>
      </c>
      <c r="I2819">
        <f>H2819*_xlfn.XLOOKUP(Tabla2[[#This Row],[Unidad de producción]],Tabla3[Medida],Tabla3[Equivalencia en Kg],"ELVIS",0)</f>
        <v>1624.3388389206871</v>
      </c>
      <c r="J2819">
        <v>6710</v>
      </c>
      <c r="K2819" t="s">
        <v>29</v>
      </c>
      <c r="L2819">
        <f>J2819/_xlfn.XLOOKUP(Tabla2[[#This Row],[Unidad de precio]],Tabla3[Medida],Tabla3[Equivalencia en Kg],"ELVIS",0)</f>
        <v>11.932282960486537</v>
      </c>
      <c r="M2819">
        <v>7149.9398177165003</v>
      </c>
      <c r="N2819" s="2">
        <f>(Tabla2[[#This Row],[Productividad (kg/TAS)]]*Tabla2[[#This Row],[Precio por kg]]-Tabla2[[#This Row],[Costos (En RD$/Tarea)]])</f>
        <v>12232.1308319933</v>
      </c>
      <c r="O2819" s="6">
        <f>IF(Tabla2[[#This Row],[Costos (En RD$/Tarea)]]=0,0,Tabla2[[#This Row],[Beneficio Neto  (En RD$/Tarea)]]/Tabla2[[#This Row],[Costos (En RD$/Tarea)]])</f>
        <v>1.7108019289454544</v>
      </c>
      <c r="P2819" s="4">
        <f>Tabla2[[#This Row],[Rentabilidad (%)]]/12</f>
        <v>0.14256682741212121</v>
      </c>
    </row>
    <row r="2820" spans="1:16" x14ac:dyDescent="0.35">
      <c r="A2820" s="1">
        <v>43647</v>
      </c>
      <c r="B2820" t="s">
        <v>30</v>
      </c>
      <c r="C2820" s="2">
        <v>462154</v>
      </c>
      <c r="D2820" s="2" t="s">
        <v>31</v>
      </c>
      <c r="E2820" s="2">
        <f>IF(Tabla2[[#This Row],[Frecuencia]]="Annual", Tabla2[[#This Row],[Cosecha/Tarea]]/12,Tabla2[[#This Row],[Cosecha/Tarea]])</f>
        <v>38512.833333333336</v>
      </c>
      <c r="F2820" s="2">
        <v>2472012.6</v>
      </c>
      <c r="G2820" t="s">
        <v>18</v>
      </c>
      <c r="H2820">
        <f>F2820/Tabla2[[#This Row],[Cosecha Mensual]]</f>
        <v>64.186723905884179</v>
      </c>
      <c r="I2820">
        <f>H2820*_xlfn.XLOOKUP(Tabla2[[#This Row],[Unidad de producción]],Tabla3[Medida],Tabla3[Equivalencia en Kg],"ELVIS",0)</f>
        <v>2911.5097963709063</v>
      </c>
      <c r="J2820">
        <v>186.355952380952</v>
      </c>
      <c r="K2820" t="s">
        <v>32</v>
      </c>
      <c r="L2820">
        <f>J2820/_xlfn.XLOOKUP(Tabla2[[#This Row],[Unidad de precio]],Tabla3[Medida],Tabla3[Equivalencia en Kg],"ELVIS",0)</f>
        <v>6.8488038361246604</v>
      </c>
      <c r="M2820" s="2">
        <v>35445.717948420002</v>
      </c>
      <c r="N2820" s="2">
        <f>(Tabla2[[#This Row],[Productividad (kg/TAS)]]*Tabla2[[#This Row],[Precio por kg]]-Tabla2[[#This Row],[Costos (En RD$/Tarea)]])</f>
        <v>-15505.358486120411</v>
      </c>
      <c r="O2820" s="6">
        <f>IF(Tabla2[[#This Row],[Costos (En RD$/Tarea)]]=0,0,Tabla2[[#This Row],[Beneficio Neto  (En RD$/Tarea)]]/Tabla2[[#This Row],[Costos (En RD$/Tarea)]])</f>
        <v>-0.43743953807575686</v>
      </c>
      <c r="P2820" s="4">
        <f>Tabla2[[#This Row],[Rentabilidad (%)]]/12</f>
        <v>-3.6453294839646405E-2</v>
      </c>
    </row>
    <row r="2821" spans="1:16" x14ac:dyDescent="0.35">
      <c r="A2821" s="1">
        <v>43647</v>
      </c>
      <c r="B2821" t="s">
        <v>33</v>
      </c>
      <c r="C2821" s="2">
        <v>799854</v>
      </c>
      <c r="D2821" s="2" t="s">
        <v>31</v>
      </c>
      <c r="E2821" s="8">
        <f>IF(Tabla2[[#This Row],[Frecuencia]]="Annual", Tabla2[[#This Row],[Cosecha/Tarea]]/12,Tabla2[[#This Row],[Cosecha/Tarea]])</f>
        <v>66654.5</v>
      </c>
      <c r="F2821" s="2">
        <v>2083122</v>
      </c>
      <c r="G2821" t="s">
        <v>18</v>
      </c>
      <c r="H2821">
        <f>F2821/Tabla2[[#This Row],[Cosecha Mensual]]</f>
        <v>31.252533587379698</v>
      </c>
      <c r="I2821">
        <f>H2821*_xlfn.XLOOKUP(Tabla2[[#This Row],[Unidad de producción]],Tabla3[Medida],Tabla3[Equivalencia en Kg],"ELVIS",0)</f>
        <v>1417.6149235235432</v>
      </c>
      <c r="J2821">
        <v>9252.4583333333303</v>
      </c>
      <c r="K2821" t="s">
        <v>34</v>
      </c>
      <c r="L2821">
        <f>J2821/_xlfn.XLOOKUP(Tabla2[[#This Row],[Unidad de precio]],Tabla3[Medida],Tabla3[Equivalencia en Kg],"ELVIS",0)</f>
        <v>22.669259667605857</v>
      </c>
      <c r="M2821" s="2">
        <v>22691.3984505224</v>
      </c>
      <c r="N2821" s="2">
        <f>(Tabla2[[#This Row],[Productividad (kg/TAS)]]*Tabla2[[#This Row],[Precio por kg]]-Tabla2[[#This Row],[Costos (En RD$/Tarea)]])</f>
        <v>9444.8823595060203</v>
      </c>
      <c r="O2821" s="6">
        <f>IF(Tabla2[[#This Row],[Costos (En RD$/Tarea)]]=0,0,Tabla2[[#This Row],[Beneficio Neto  (En RD$/Tarea)]]/Tabla2[[#This Row],[Costos (En RD$/Tarea)]])</f>
        <v>0.41623183252015833</v>
      </c>
      <c r="P2821" s="4">
        <f>Tabla2[[#This Row],[Rentabilidad (%)]]/12</f>
        <v>3.468598604334653E-2</v>
      </c>
    </row>
    <row r="2822" spans="1:16" x14ac:dyDescent="0.35">
      <c r="A2822" s="1">
        <v>43678</v>
      </c>
      <c r="B2822" t="s">
        <v>16</v>
      </c>
      <c r="C2822" s="2">
        <v>285791</v>
      </c>
      <c r="D2822" s="5" t="s">
        <v>17</v>
      </c>
      <c r="E2822" s="2">
        <f>IF(Tabla2[[#This Row],[Frecuencia]]="Annual", Tabla2[[#This Row],[Cosecha/Tarea]]/12,Tabla2[[#This Row],[Cosecha/Tarea]])</f>
        <v>285791</v>
      </c>
      <c r="F2822" s="2">
        <v>1184973</v>
      </c>
      <c r="G2822" t="s">
        <v>18</v>
      </c>
      <c r="H2822">
        <f>F2822/Tabla2[[#This Row],[Cosecha Mensual]]</f>
        <v>4.1462922205387853</v>
      </c>
      <c r="I2822">
        <f>H2822*_xlfn.XLOOKUP(Tabla2[[#This Row],[Unidad de producción]],Tabla3[Medida],Tabla3[Equivalencia en Kg],"ELVIS",0)</f>
        <v>188.0758151236393</v>
      </c>
      <c r="J2822">
        <v>2221.8814421372699</v>
      </c>
      <c r="K2822" t="s">
        <v>19</v>
      </c>
      <c r="L2822">
        <f>J2822/_xlfn.XLOOKUP(Tabla2[[#This Row],[Unidad de precio]],Tabla3[Medida],Tabla3[Equivalencia en Kg],"ELVIS",0)</f>
        <v>20.198922201247907</v>
      </c>
      <c r="M2822">
        <v>6284.7907932016997</v>
      </c>
      <c r="N2822" s="2">
        <f>(Tabla2[[#This Row],[Productividad (kg/TAS)]]*Tabla2[[#This Row],[Precio por kg]]-Tabla2[[#This Row],[Costos (En RD$/Tarea)]])</f>
        <v>-2485.8620355830249</v>
      </c>
      <c r="O2822" s="6">
        <f>IF(Tabla2[[#This Row],[Costos (En RD$/Tarea)]]=0,0,Tabla2[[#This Row],[Beneficio Neto  (En RD$/Tarea)]]/Tabla2[[#This Row],[Costos (En RD$/Tarea)]])</f>
        <v>-0.39553616299718336</v>
      </c>
      <c r="P2822" s="4">
        <f>Tabla2[[#This Row],[Rentabilidad (%)]]/12</f>
        <v>-3.2961346916431947E-2</v>
      </c>
    </row>
    <row r="2823" spans="1:16" x14ac:dyDescent="0.35">
      <c r="A2823" s="1">
        <v>43678</v>
      </c>
      <c r="B2823" t="s">
        <v>20</v>
      </c>
      <c r="C2823" s="2">
        <v>40214</v>
      </c>
      <c r="D2823" s="5" t="s">
        <v>17</v>
      </c>
      <c r="E2823" s="2">
        <f>IF(Tabla2[[#This Row],[Frecuencia]]="Annual", Tabla2[[#This Row],[Cosecha/Tarea]]/12,Tabla2[[#This Row],[Cosecha/Tarea]])</f>
        <v>40214</v>
      </c>
      <c r="F2823" s="2">
        <v>84598</v>
      </c>
      <c r="G2823" t="s">
        <v>18</v>
      </c>
      <c r="H2823">
        <f>F2823/Tabla2[[#This Row],[Cosecha Mensual]]</f>
        <v>2.1036952305167356</v>
      </c>
      <c r="I2823">
        <f>H2823*_xlfn.XLOOKUP(Tabla2[[#This Row],[Unidad de producción]],Tabla3[Medida],Tabla3[Equivalencia en Kg],"ELVIS",0)</f>
        <v>95.423615656239122</v>
      </c>
      <c r="J2823">
        <v>1039.3631250000001</v>
      </c>
      <c r="K2823" t="s">
        <v>18</v>
      </c>
      <c r="L2823">
        <f>J2823/_xlfn.XLOOKUP(Tabla2[[#This Row],[Unidad de precio]],Tabla3[Medida],Tabla3[Equivalencia en Kg],"ELVIS",0)</f>
        <v>22.913649140211643</v>
      </c>
      <c r="M2823">
        <v>2409.2436004449601</v>
      </c>
      <c r="N2823" s="2">
        <f>(Tabla2[[#This Row],[Productividad (kg/TAS)]]*Tabla2[[#This Row],[Precio por kg]]-Tabla2[[#This Row],[Costos (En RD$/Tarea)]])</f>
        <v>-222.74035160749008</v>
      </c>
      <c r="O2823" s="6">
        <f>IF(Tabla2[[#This Row],[Costos (En RD$/Tarea)]]=0,0,Tabla2[[#This Row],[Beneficio Neto  (En RD$/Tarea)]]/Tabla2[[#This Row],[Costos (En RD$/Tarea)]])</f>
        <v>-9.2452399403012822E-2</v>
      </c>
      <c r="P2823" s="4">
        <f>Tabla2[[#This Row],[Rentabilidad (%)]]/12</f>
        <v>-7.7043666169177355E-3</v>
      </c>
    </row>
    <row r="2824" spans="1:16" x14ac:dyDescent="0.35">
      <c r="A2824" s="1">
        <v>43678</v>
      </c>
      <c r="B2824" t="s">
        <v>21</v>
      </c>
      <c r="C2824" s="2">
        <v>7214</v>
      </c>
      <c r="D2824" s="5" t="s">
        <v>17</v>
      </c>
      <c r="E2824" s="2">
        <f>IF(Tabla2[[#This Row],[Frecuencia]]="Annual", Tabla2[[#This Row],[Cosecha/Tarea]]/12,Tabla2[[#This Row],[Cosecha/Tarea]])</f>
        <v>7214</v>
      </c>
      <c r="F2824" s="2">
        <v>86214</v>
      </c>
      <c r="G2824" t="s">
        <v>18</v>
      </c>
      <c r="H2824">
        <f>F2824/Tabla2[[#This Row],[Cosecha Mensual]]</f>
        <v>11.950928749653452</v>
      </c>
      <c r="I2824">
        <f>H2824*_xlfn.XLOOKUP(Tabla2[[#This Row],[Unidad de producción]],Tabla3[Medida],Tabla3[Equivalencia en Kg],"ELVIS",0)</f>
        <v>542.09412808428056</v>
      </c>
      <c r="J2824">
        <v>1084.6129761904799</v>
      </c>
      <c r="K2824" t="s">
        <v>18</v>
      </c>
      <c r="L2824">
        <f>J2824/_xlfn.XLOOKUP(Tabla2[[#This Row],[Unidad de precio]],Tabla3[Medida],Tabla3[Equivalencia en Kg],"ELVIS",0)</f>
        <v>23.911220815486772</v>
      </c>
      <c r="M2824">
        <v>5846.9700795819999</v>
      </c>
      <c r="N2824" s="2">
        <f>(Tabla2[[#This Row],[Productividad (kg/TAS)]]*Tabla2[[#This Row],[Precio por kg]]-Tabla2[[#This Row],[Costos (En RD$/Tarea)]])</f>
        <v>7115.1623198200023</v>
      </c>
      <c r="O2824" s="6">
        <f>IF(Tabla2[[#This Row],[Costos (En RD$/Tarea)]]=0,0,Tabla2[[#This Row],[Beneficio Neto  (En RD$/Tarea)]]/Tabla2[[#This Row],[Costos (En RD$/Tarea)]])</f>
        <v>1.2168973370783291</v>
      </c>
      <c r="P2824" s="4">
        <f>Tabla2[[#This Row],[Rentabilidad (%)]]/12</f>
        <v>0.1014081114231941</v>
      </c>
    </row>
    <row r="2825" spans="1:16" x14ac:dyDescent="0.35">
      <c r="A2825" s="1">
        <v>43678</v>
      </c>
      <c r="B2825" t="s">
        <v>22</v>
      </c>
      <c r="C2825" s="2">
        <v>3865</v>
      </c>
      <c r="D2825" s="5" t="s">
        <v>17</v>
      </c>
      <c r="E2825" s="2">
        <f>IF(Tabla2[[#This Row],[Frecuencia]]="Annual", Tabla2[[#This Row],[Cosecha/Tarea]]/12,Tabla2[[#This Row],[Cosecha/Tarea]])</f>
        <v>3865</v>
      </c>
      <c r="F2825" s="2">
        <v>31950</v>
      </c>
      <c r="G2825" t="s">
        <v>18</v>
      </c>
      <c r="H2825">
        <f>F2825/Tabla2[[#This Row],[Cosecha Mensual]]</f>
        <v>8.2664941785252264</v>
      </c>
      <c r="I2825">
        <f>H2825*_xlfn.XLOOKUP(Tabla2[[#This Row],[Unidad de producción]],Tabla3[Medida],Tabla3[Equivalencia en Kg],"ELVIS",0)</f>
        <v>374.96817593790428</v>
      </c>
      <c r="J2825">
        <v>1780.30416666667</v>
      </c>
      <c r="K2825" t="s">
        <v>18</v>
      </c>
      <c r="L2825">
        <f>J2825/_xlfn.XLOOKUP(Tabla2[[#This Row],[Unidad de precio]],Tabla3[Medida],Tabla3[Equivalencia en Kg],"ELVIS",0)</f>
        <v>39.248328189300487</v>
      </c>
      <c r="M2825">
        <v>10137.37206528</v>
      </c>
      <c r="N2825" s="2">
        <f>(Tabla2[[#This Row],[Productividad (kg/TAS)]]*Tabla2[[#This Row],[Precio por kg]]-Tabla2[[#This Row],[Costos (En RD$/Tarea)]])</f>
        <v>4579.5019644742333</v>
      </c>
      <c r="O2825" s="6">
        <f>IF(Tabla2[[#This Row],[Costos (En RD$/Tarea)]]=0,0,Tabla2[[#This Row],[Beneficio Neto  (En RD$/Tarea)]]/Tabla2[[#This Row],[Costos (En RD$/Tarea)]])</f>
        <v>0.45174448910273324</v>
      </c>
      <c r="P2825" s="4">
        <f>Tabla2[[#This Row],[Rentabilidad (%)]]/12</f>
        <v>3.7645374091894439E-2</v>
      </c>
    </row>
    <row r="2826" spans="1:16" x14ac:dyDescent="0.35">
      <c r="A2826" s="1">
        <v>43678</v>
      </c>
      <c r="B2826" t="s">
        <v>23</v>
      </c>
      <c r="C2826" s="2">
        <v>4215</v>
      </c>
      <c r="D2826" s="5" t="s">
        <v>17</v>
      </c>
      <c r="E2826" s="2">
        <f>IF(Tabla2[[#This Row],[Frecuencia]]="Annual", Tabla2[[#This Row],[Cosecha/Tarea]]/12,Tabla2[[#This Row],[Cosecha/Tarea]])</f>
        <v>4215</v>
      </c>
      <c r="F2826" s="2">
        <v>159680</v>
      </c>
      <c r="G2826" t="s">
        <v>18</v>
      </c>
      <c r="H2826">
        <f>F2826/Tabla2[[#This Row],[Cosecha Mensual]]</f>
        <v>37.883748517200473</v>
      </c>
      <c r="I2826">
        <f>H2826*_xlfn.XLOOKUP(Tabla2[[#This Row],[Unidad de producción]],Tabla3[Medida],Tabla3[Equivalencia en Kg],"ELVIS",0)</f>
        <v>1718.4068327402135</v>
      </c>
      <c r="J2826">
        <v>1173.3888888888901</v>
      </c>
      <c r="K2826" t="s">
        <v>18</v>
      </c>
      <c r="L2826">
        <f>J2826/_xlfn.XLOOKUP(Tabla2[[#This Row],[Unidad de precio]],Tabla3[Medida],Tabla3[Equivalencia en Kg],"ELVIS",0)</f>
        <v>25.868361747991404</v>
      </c>
      <c r="M2826">
        <v>26088.260008087302</v>
      </c>
      <c r="N2826" s="2">
        <f>(Tabla2[[#This Row],[Productividad (kg/TAS)]]*Tabla2[[#This Row],[Precio por kg]]-Tabla2[[#This Row],[Costos (En RD$/Tarea)]])</f>
        <v>18364.109571456698</v>
      </c>
      <c r="O2826" s="6">
        <f>IF(Tabla2[[#This Row],[Costos (En RD$/Tarea)]]=0,0,Tabla2[[#This Row],[Beneficio Neto  (En RD$/Tarea)]]/Tabla2[[#This Row],[Costos (En RD$/Tarea)]])</f>
        <v>0.70392236070032521</v>
      </c>
      <c r="P2826" s="4">
        <f>Tabla2[[#This Row],[Rentabilidad (%)]]/12</f>
        <v>5.8660196725027099E-2</v>
      </c>
    </row>
    <row r="2827" spans="1:16" x14ac:dyDescent="0.35">
      <c r="A2827" s="1">
        <v>43678</v>
      </c>
      <c r="B2827" t="s">
        <v>24</v>
      </c>
      <c r="C2827" s="2">
        <v>4601</v>
      </c>
      <c r="D2827" s="5" t="s">
        <v>17</v>
      </c>
      <c r="E2827" s="2">
        <f>IF(Tabla2[[#This Row],[Frecuencia]]="Annual", Tabla2[[#This Row],[Cosecha/Tarea]]/12,Tabla2[[#This Row],[Cosecha/Tarea]])</f>
        <v>4601</v>
      </c>
      <c r="F2827" s="2">
        <v>47521</v>
      </c>
      <c r="G2827" t="s">
        <v>18</v>
      </c>
      <c r="H2827">
        <f>F2827/Tabla2[[#This Row],[Cosecha Mensual]]</f>
        <v>10.328406868072157</v>
      </c>
      <c r="I2827">
        <f>H2827*_xlfn.XLOOKUP(Tabla2[[#This Row],[Unidad de producción]],Tabla3[Medida],Tabla3[Equivalencia en Kg],"ELVIS",0)</f>
        <v>468.49653553575308</v>
      </c>
      <c r="J2827">
        <v>3158.4244791666702</v>
      </c>
      <c r="K2827" t="s">
        <v>18</v>
      </c>
      <c r="L2827">
        <f>J2827/_xlfn.XLOOKUP(Tabla2[[#This Row],[Unidad de precio]],Tabla3[Medida],Tabla3[Equivalencia en Kg],"ELVIS",0)</f>
        <v>69.630169293797849</v>
      </c>
      <c r="M2827">
        <v>8388.8026628831994</v>
      </c>
      <c r="N2827" s="2">
        <f>(Tabla2[[#This Row],[Productividad (kg/TAS)]]*Tabla2[[#This Row],[Precio por kg]]-Tabla2[[#This Row],[Costos (En RD$/Tarea)]])</f>
        <v>24232.690420029066</v>
      </c>
      <c r="O2827" s="6">
        <f>IF(Tabla2[[#This Row],[Costos (En RD$/Tarea)]]=0,0,Tabla2[[#This Row],[Beneficio Neto  (En RD$/Tarea)]]/Tabla2[[#This Row],[Costos (En RD$/Tarea)]])</f>
        <v>2.8886947749108671</v>
      </c>
      <c r="P2827" s="4">
        <f>Tabla2[[#This Row],[Rentabilidad (%)]]/12</f>
        <v>0.2407245645759056</v>
      </c>
    </row>
    <row r="2828" spans="1:16" x14ac:dyDescent="0.35">
      <c r="A2828" s="1">
        <v>43678</v>
      </c>
      <c r="B2828" t="s">
        <v>25</v>
      </c>
      <c r="C2828" s="2">
        <v>30124</v>
      </c>
      <c r="D2828" s="5" t="s">
        <v>17</v>
      </c>
      <c r="E2828" s="2">
        <f>IF(Tabla2[[#This Row],[Frecuencia]]="Annual", Tabla2[[#This Row],[Cosecha/Tarea]]/12,Tabla2[[#This Row],[Cosecha/Tarea]])</f>
        <v>30124</v>
      </c>
      <c r="F2828" s="2">
        <v>320124</v>
      </c>
      <c r="G2828" t="s">
        <v>18</v>
      </c>
      <c r="H2828">
        <f>F2828/Tabla2[[#This Row],[Cosecha Mensual]]</f>
        <v>10.626875580932147</v>
      </c>
      <c r="I2828">
        <f>H2828*_xlfn.XLOOKUP(Tabla2[[#This Row],[Unidad de producción]],Tabla3[Medida],Tabla3[Equivalencia en Kg],"ELVIS",0)</f>
        <v>482.03507635108218</v>
      </c>
      <c r="J2828">
        <v>1000.10083333333</v>
      </c>
      <c r="K2828" t="s">
        <v>18</v>
      </c>
      <c r="L2828">
        <f>J2828/_xlfn.XLOOKUP(Tabla2[[#This Row],[Unidad de precio]],Tabla3[Medida],Tabla3[Equivalencia en Kg],"ELVIS",0)</f>
        <v>22.048078336272706</v>
      </c>
      <c r="M2828">
        <v>4718.2914901260801</v>
      </c>
      <c r="N2828" s="2">
        <f>(Tabla2[[#This Row],[Productividad (kg/TAS)]]*Tabla2[[#This Row],[Precio por kg]]-Tabla2[[#This Row],[Costos (En RD$/Tarea)]])</f>
        <v>5909.6556340937741</v>
      </c>
      <c r="O2828" s="6">
        <f>IF(Tabla2[[#This Row],[Costos (En RD$/Tarea)]]=0,0,Tabla2[[#This Row],[Beneficio Neto  (En RD$/Tarea)]]/Tabla2[[#This Row],[Costos (En RD$/Tarea)]])</f>
        <v>1.2524990553171311</v>
      </c>
      <c r="P2828" s="4">
        <f>Tabla2[[#This Row],[Rentabilidad (%)]]/12</f>
        <v>0.1043749212764276</v>
      </c>
    </row>
    <row r="2829" spans="1:16" x14ac:dyDescent="0.35">
      <c r="A2829" s="1">
        <v>43678</v>
      </c>
      <c r="B2829" t="s">
        <v>26</v>
      </c>
      <c r="C2829" s="2">
        <v>9654</v>
      </c>
      <c r="D2829" s="5" t="s">
        <v>17</v>
      </c>
      <c r="E2829" s="2">
        <f>IF(Tabla2[[#This Row],[Frecuencia]]="Annual", Tabla2[[#This Row],[Cosecha/Tarea]]/12,Tabla2[[#This Row],[Cosecha/Tarea]])</f>
        <v>9654</v>
      </c>
      <c r="F2829" s="2">
        <v>85241</v>
      </c>
      <c r="G2829" t="s">
        <v>18</v>
      </c>
      <c r="H2829">
        <f>F2829/Tabla2[[#This Row],[Cosecha Mensual]]</f>
        <v>8.829604309094675</v>
      </c>
      <c r="I2829">
        <f>H2829*_xlfn.XLOOKUP(Tabla2[[#This Row],[Unidad de producción]],Tabla3[Medida],Tabla3[Equivalencia en Kg],"ELVIS",0)</f>
        <v>400.51085146053447</v>
      </c>
      <c r="J2829">
        <v>843.05770833333304</v>
      </c>
      <c r="K2829" t="s">
        <v>18</v>
      </c>
      <c r="L2829">
        <f>J2829/_xlfn.XLOOKUP(Tabla2[[#This Row],[Unidad de precio]],Tabla3[Medida],Tabla3[Equivalencia en Kg],"ELVIS",0)</f>
        <v>18.585928314226919</v>
      </c>
      <c r="M2829">
        <v>1668.6966112895</v>
      </c>
      <c r="N2829" s="2">
        <f>(Tabla2[[#This Row],[Productividad (kg/TAS)]]*Tabla2[[#This Row],[Precio por kg]]-Tabla2[[#This Row],[Costos (En RD$/Tarea)]])</f>
        <v>5775.1693630259797</v>
      </c>
      <c r="O2829" s="6">
        <f>IF(Tabla2[[#This Row],[Costos (En RD$/Tarea)]]=0,0,Tabla2[[#This Row],[Beneficio Neto  (En RD$/Tarea)]]/Tabla2[[#This Row],[Costos (En RD$/Tarea)]])</f>
        <v>3.4608863732054727</v>
      </c>
      <c r="P2829" s="4">
        <f>Tabla2[[#This Row],[Rentabilidad (%)]]/12</f>
        <v>0.2884071977671227</v>
      </c>
    </row>
    <row r="2830" spans="1:16" x14ac:dyDescent="0.35">
      <c r="A2830" s="1">
        <v>43678</v>
      </c>
      <c r="B2830" t="s">
        <v>27</v>
      </c>
      <c r="C2830" s="2">
        <v>4874</v>
      </c>
      <c r="D2830" s="5" t="s">
        <v>17</v>
      </c>
      <c r="E2830" s="2">
        <f>IF(Tabla2[[#This Row],[Frecuencia]]="Annual", Tabla2[[#This Row],[Cosecha/Tarea]]/12,Tabla2[[#This Row],[Cosecha/Tarea]])</f>
        <v>4874</v>
      </c>
      <c r="F2830" s="2">
        <v>48959</v>
      </c>
      <c r="G2830" t="s">
        <v>18</v>
      </c>
      <c r="H2830">
        <f>F2830/Tabla2[[#This Row],[Cosecha Mensual]]</f>
        <v>10.044932293803857</v>
      </c>
      <c r="I2830">
        <f>H2830*_xlfn.XLOOKUP(Tabla2[[#This Row],[Unidad de producción]],Tabla3[Medida],Tabla3[Equivalencia en Kg],"ELVIS",0)</f>
        <v>455.63812884694295</v>
      </c>
      <c r="J2830">
        <v>927.267857142857</v>
      </c>
      <c r="K2830" t="s">
        <v>18</v>
      </c>
      <c r="L2830">
        <f>J2830/_xlfn.XLOOKUP(Tabla2[[#This Row],[Unidad de precio]],Tabla3[Medida],Tabla3[Equivalencia en Kg],"ELVIS",0)</f>
        <v>20.442413076341644</v>
      </c>
      <c r="M2830">
        <v>9222.1943510245001</v>
      </c>
      <c r="N2830" s="2">
        <f>(Tabla2[[#This Row],[Productividad (kg/TAS)]]*Tabla2[[#This Row],[Precio por kg]]-Tabla2[[#This Row],[Costos (En RD$/Tarea)]])</f>
        <v>92.148492196085499</v>
      </c>
      <c r="O2830" s="6">
        <f>IF(Tabla2[[#This Row],[Costos (En RD$/Tarea)]]=0,0,Tabla2[[#This Row],[Beneficio Neto  (En RD$/Tarea)]]/Tabla2[[#This Row],[Costos (En RD$/Tarea)]])</f>
        <v>9.9920353755989389E-3</v>
      </c>
      <c r="P2830" s="4">
        <f>Tabla2[[#This Row],[Rentabilidad (%)]]/12</f>
        <v>8.3266961463324487E-4</v>
      </c>
    </row>
    <row r="2831" spans="1:16" x14ac:dyDescent="0.35">
      <c r="A2831" s="1">
        <v>43678</v>
      </c>
      <c r="B2831" t="s">
        <v>28</v>
      </c>
      <c r="C2831" s="2">
        <v>54212</v>
      </c>
      <c r="D2831" s="5" t="s">
        <v>17</v>
      </c>
      <c r="E2831" s="2">
        <f>IF(Tabla2[[#This Row],[Frecuencia]]="Annual", Tabla2[[#This Row],[Cosecha/Tarea]]/12,Tabla2[[#This Row],[Cosecha/Tarea]])</f>
        <v>54212</v>
      </c>
      <c r="F2831" s="2">
        <v>1427988</v>
      </c>
      <c r="G2831" t="s">
        <v>18</v>
      </c>
      <c r="H2831">
        <f>F2831/Tabla2[[#This Row],[Cosecha Mensual]]</f>
        <v>26.340810152733713</v>
      </c>
      <c r="I2831">
        <f>H2831*_xlfn.XLOOKUP(Tabla2[[#This Row],[Unidad de producción]],Tabla3[Medida],Tabla3[Equivalencia en Kg],"ELVIS",0)</f>
        <v>1194.8191485280013</v>
      </c>
      <c r="J2831">
        <v>6074.5659722222199</v>
      </c>
      <c r="K2831" t="s">
        <v>29</v>
      </c>
      <c r="L2831">
        <f>J2831/_xlfn.XLOOKUP(Tabla2[[#This Row],[Unidad de precio]],Tabla3[Medida],Tabla3[Equivalencia en Kg],"ELVIS",0)</f>
        <v>10.802301049582494</v>
      </c>
      <c r="M2831">
        <v>7149.9398177165003</v>
      </c>
      <c r="N2831" s="2">
        <f>(Tabla2[[#This Row],[Productividad (kg/TAS)]]*Tabla2[[#This Row],[Precio por kg]]-Tabla2[[#This Row],[Costos (En RD$/Tarea)]])</f>
        <v>5756.8563244887901</v>
      </c>
      <c r="O2831" s="6">
        <f>IF(Tabla2[[#This Row],[Costos (En RD$/Tarea)]]=0,0,Tabla2[[#This Row],[Beneficio Neto  (En RD$/Tarea)]]/Tabla2[[#This Row],[Costos (En RD$/Tarea)]])</f>
        <v>0.80516150782474361</v>
      </c>
      <c r="P2831" s="4">
        <f>Tabla2[[#This Row],[Rentabilidad (%)]]/12</f>
        <v>6.7096792318728629E-2</v>
      </c>
    </row>
    <row r="2832" spans="1:16" x14ac:dyDescent="0.35">
      <c r="A2832" s="1">
        <v>43678</v>
      </c>
      <c r="B2832" t="s">
        <v>30</v>
      </c>
      <c r="C2832" s="2">
        <v>472351</v>
      </c>
      <c r="D2832" s="2" t="s">
        <v>31</v>
      </c>
      <c r="E2832" s="2">
        <f>IF(Tabla2[[#This Row],[Frecuencia]]="Annual", Tabla2[[#This Row],[Cosecha/Tarea]]/12,Tabla2[[#This Row],[Cosecha/Tarea]])</f>
        <v>39362.583333333336</v>
      </c>
      <c r="F2832" s="2">
        <v>2475506.4</v>
      </c>
      <c r="G2832" t="s">
        <v>18</v>
      </c>
      <c r="H2832">
        <f>F2832/Tabla2[[#This Row],[Cosecha Mensual]]</f>
        <v>62.889835736560308</v>
      </c>
      <c r="I2832">
        <f>H2832*_xlfn.XLOOKUP(Tabla2[[#This Row],[Unidad de producción]],Tabla3[Medida],Tabla3[Equivalencia en Kg],"ELVIS",0)</f>
        <v>2852.6829490103755</v>
      </c>
      <c r="J2832">
        <v>175.730952380952</v>
      </c>
      <c r="K2832" t="s">
        <v>32</v>
      </c>
      <c r="L2832">
        <f>J2832/_xlfn.XLOOKUP(Tabla2[[#This Row],[Unidad de precio]],Tabla3[Medida],Tabla3[Equivalencia en Kg],"ELVIS",0)</f>
        <v>6.4583223954778388</v>
      </c>
      <c r="M2832" s="2">
        <v>35445.717948420002</v>
      </c>
      <c r="N2832" s="2">
        <f>(Tabla2[[#This Row],[Productividad (kg/TAS)]]*Tabla2[[#This Row],[Precio por kg]]-Tabla2[[#This Row],[Costos (En RD$/Tarea)]])</f>
        <v>-17022.171771628527</v>
      </c>
      <c r="O2832" s="6">
        <f>IF(Tabla2[[#This Row],[Costos (En RD$/Tarea)]]=0,0,Tabla2[[#This Row],[Beneficio Neto  (En RD$/Tarea)]]/Tabla2[[#This Row],[Costos (En RD$/Tarea)]])</f>
        <v>-0.48023210579057529</v>
      </c>
      <c r="P2832" s="4">
        <f>Tabla2[[#This Row],[Rentabilidad (%)]]/12</f>
        <v>-4.0019342149214605E-2</v>
      </c>
    </row>
    <row r="2833" spans="1:16" x14ac:dyDescent="0.35">
      <c r="A2833" s="1">
        <v>43678</v>
      </c>
      <c r="B2833" t="s">
        <v>33</v>
      </c>
      <c r="C2833" s="2">
        <v>793542</v>
      </c>
      <c r="D2833" s="2" t="s">
        <v>31</v>
      </c>
      <c r="E2833" s="8">
        <f>IF(Tabla2[[#This Row],[Frecuencia]]="Annual", Tabla2[[#This Row],[Cosecha/Tarea]]/12,Tabla2[[#This Row],[Cosecha/Tarea]])</f>
        <v>66128.5</v>
      </c>
      <c r="F2833" s="2">
        <v>2381265</v>
      </c>
      <c r="G2833" t="s">
        <v>18</v>
      </c>
      <c r="H2833">
        <f>F2833/Tabla2[[#This Row],[Cosecha Mensual]]</f>
        <v>36.009663004604668</v>
      </c>
      <c r="I2833">
        <f>H2833*_xlfn.XLOOKUP(Tabla2[[#This Row],[Unidad de producción]],Tabla3[Medida],Tabla3[Equivalencia en Kg],"ELVIS",0)</f>
        <v>1633.3983138888677</v>
      </c>
      <c r="J2833">
        <v>9261.4635416666697</v>
      </c>
      <c r="K2833" t="s">
        <v>34</v>
      </c>
      <c r="L2833">
        <f>J2833/_xlfn.XLOOKUP(Tabla2[[#This Row],[Unidad de precio]],Tabla3[Medida],Tabla3[Equivalencia en Kg],"ELVIS",0)</f>
        <v>22.691323145085558</v>
      </c>
      <c r="M2833" s="2">
        <v>22691.3984505224</v>
      </c>
      <c r="N2833" s="2">
        <f>(Tabla2[[#This Row],[Productividad (kg/TAS)]]*Tabla2[[#This Row],[Precio por kg]]-Tabla2[[#This Row],[Costos (En RD$/Tarea)]])</f>
        <v>14372.570514567793</v>
      </c>
      <c r="O2833" s="6">
        <f>IF(Tabla2[[#This Row],[Costos (En RD$/Tarea)]]=0,0,Tabla2[[#This Row],[Beneficio Neto  (En RD$/Tarea)]]/Tabla2[[#This Row],[Costos (En RD$/Tarea)]])</f>
        <v>0.63339289316639313</v>
      </c>
      <c r="P2833" s="4">
        <f>Tabla2[[#This Row],[Rentabilidad (%)]]/12</f>
        <v>5.278274109719943E-2</v>
      </c>
    </row>
    <row r="2834" spans="1:16" x14ac:dyDescent="0.35">
      <c r="A2834" s="1">
        <v>43709</v>
      </c>
      <c r="B2834" t="s">
        <v>16</v>
      </c>
      <c r="C2834" s="2">
        <v>337898</v>
      </c>
      <c r="D2834" s="5" t="s">
        <v>17</v>
      </c>
      <c r="E2834" s="2">
        <f>IF(Tabla2[[#This Row],[Frecuencia]]="Annual", Tabla2[[#This Row],[Cosecha/Tarea]]/12,Tabla2[[#This Row],[Cosecha/Tarea]])</f>
        <v>337898</v>
      </c>
      <c r="F2834" s="2">
        <v>1650188</v>
      </c>
      <c r="G2834" t="s">
        <v>18</v>
      </c>
      <c r="H2834">
        <f>F2834/Tabla2[[#This Row],[Cosecha Mensual]]</f>
        <v>4.8836867930558929</v>
      </c>
      <c r="I2834">
        <f>H2834*_xlfn.XLOOKUP(Tabla2[[#This Row],[Unidad de producción]],Tabla3[Medida],Tabla3[Equivalencia en Kg],"ELVIS",0)</f>
        <v>221.52403293301529</v>
      </c>
      <c r="J2834">
        <v>2243.74637949212</v>
      </c>
      <c r="K2834" t="s">
        <v>19</v>
      </c>
      <c r="L2834">
        <f>J2834/_xlfn.XLOOKUP(Tabla2[[#This Row],[Unidad de precio]],Tabla3[Medida],Tabla3[Equivalencia en Kg],"ELVIS",0)</f>
        <v>20.397694359019273</v>
      </c>
      <c r="M2834">
        <v>6284.7907932016997</v>
      </c>
      <c r="N2834" s="2">
        <f>(Tabla2[[#This Row],[Productividad (kg/TAS)]]*Tabla2[[#This Row],[Precio por kg]]-Tabla2[[#This Row],[Costos (En RD$/Tarea)]])</f>
        <v>-1766.211276256734</v>
      </c>
      <c r="O2834" s="6">
        <f>IF(Tabla2[[#This Row],[Costos (En RD$/Tarea)]]=0,0,Tabla2[[#This Row],[Beneficio Neto  (En RD$/Tarea)]]/Tabla2[[#This Row],[Costos (En RD$/Tarea)]])</f>
        <v>-0.28102944622552217</v>
      </c>
      <c r="P2834" s="4">
        <f>Tabla2[[#This Row],[Rentabilidad (%)]]/12</f>
        <v>-2.3419120518793513E-2</v>
      </c>
    </row>
    <row r="2835" spans="1:16" x14ac:dyDescent="0.35">
      <c r="A2835" s="1">
        <v>43709</v>
      </c>
      <c r="B2835" t="s">
        <v>20</v>
      </c>
      <c r="C2835" s="2">
        <v>49954</v>
      </c>
      <c r="D2835" s="5" t="s">
        <v>17</v>
      </c>
      <c r="E2835" s="2">
        <f>IF(Tabla2[[#This Row],[Frecuencia]]="Annual", Tabla2[[#This Row],[Cosecha/Tarea]]/12,Tabla2[[#This Row],[Cosecha/Tarea]])</f>
        <v>49954</v>
      </c>
      <c r="F2835" s="2">
        <v>125498</v>
      </c>
      <c r="G2835" t="s">
        <v>18</v>
      </c>
      <c r="H2835">
        <f>F2835/Tabla2[[#This Row],[Cosecha Mensual]]</f>
        <v>2.5122712895864194</v>
      </c>
      <c r="I2835">
        <f>H2835*_xlfn.XLOOKUP(Tabla2[[#This Row],[Unidad de producción]],Tabla3[Medida],Tabla3[Equivalencia en Kg],"ELVIS",0)</f>
        <v>113.95662569563999</v>
      </c>
      <c r="J2835">
        <v>988.97916666666697</v>
      </c>
      <c r="K2835" t="s">
        <v>18</v>
      </c>
      <c r="L2835">
        <f>J2835/_xlfn.XLOOKUP(Tabla2[[#This Row],[Unidad de precio]],Tabla3[Medida],Tabla3[Equivalencia en Kg],"ELVIS",0)</f>
        <v>21.80289168136391</v>
      </c>
      <c r="M2835">
        <v>2409.2436004449601</v>
      </c>
      <c r="N2835" s="2">
        <f>(Tabla2[[#This Row],[Productividad (kg/TAS)]]*Tabla2[[#This Row],[Precio por kg]]-Tabla2[[#This Row],[Costos (En RD$/Tarea)]])</f>
        <v>75.340365970809671</v>
      </c>
      <c r="O2835" s="6">
        <f>IF(Tabla2[[#This Row],[Costos (En RD$/Tarea)]]=0,0,Tabla2[[#This Row],[Beneficio Neto  (En RD$/Tarea)]]/Tabla2[[#This Row],[Costos (En RD$/Tarea)]])</f>
        <v>3.1271377438501925E-2</v>
      </c>
      <c r="P2835" s="4">
        <f>Tabla2[[#This Row],[Rentabilidad (%)]]/12</f>
        <v>2.6059481198751604E-3</v>
      </c>
    </row>
    <row r="2836" spans="1:16" x14ac:dyDescent="0.35">
      <c r="A2836" s="1">
        <v>43709</v>
      </c>
      <c r="B2836" t="s">
        <v>21</v>
      </c>
      <c r="C2836" s="2">
        <v>7421</v>
      </c>
      <c r="D2836" s="5" t="s">
        <v>17</v>
      </c>
      <c r="E2836" s="2">
        <f>IF(Tabla2[[#This Row],[Frecuencia]]="Annual", Tabla2[[#This Row],[Cosecha/Tarea]]/12,Tabla2[[#This Row],[Cosecha/Tarea]])</f>
        <v>7421</v>
      </c>
      <c r="F2836" s="2">
        <v>75102</v>
      </c>
      <c r="G2836" t="s">
        <v>18</v>
      </c>
      <c r="H2836">
        <f>F2836/Tabla2[[#This Row],[Cosecha Mensual]]</f>
        <v>10.12019943403854</v>
      </c>
      <c r="I2836">
        <f>H2836*_xlfn.XLOOKUP(Tabla2[[#This Row],[Unidad de producción]],Tabla3[Medida],Tabla3[Equivalencia en Kg],"ELVIS",0)</f>
        <v>459.05224632798814</v>
      </c>
      <c r="J2836">
        <v>1159.7222222222199</v>
      </c>
      <c r="K2836" t="s">
        <v>18</v>
      </c>
      <c r="L2836">
        <f>J2836/_xlfn.XLOOKUP(Tabla2[[#This Row],[Unidad de precio]],Tabla3[Medida],Tabla3[Equivalencia en Kg],"ELVIS",0)</f>
        <v>25.567068391142413</v>
      </c>
      <c r="M2836">
        <v>5846.9700795819999</v>
      </c>
      <c r="N2836" s="2">
        <f>(Tabla2[[#This Row],[Productividad (kg/TAS)]]*Tabla2[[#This Row],[Precio por kg]]-Tabla2[[#This Row],[Costos (En RD$/Tarea)]])</f>
        <v>5889.6500973932261</v>
      </c>
      <c r="O2836" s="6">
        <f>IF(Tabla2[[#This Row],[Costos (En RD$/Tarea)]]=0,0,Tabla2[[#This Row],[Beneficio Neto  (En RD$/Tarea)]]/Tabla2[[#This Row],[Costos (En RD$/Tarea)]])</f>
        <v>1.0072995102130362</v>
      </c>
      <c r="P2836" s="4">
        <f>Tabla2[[#This Row],[Rentabilidad (%)]]/12</f>
        <v>8.3941625851086346E-2</v>
      </c>
    </row>
    <row r="2837" spans="1:16" x14ac:dyDescent="0.35">
      <c r="A2837" s="1">
        <v>43709</v>
      </c>
      <c r="B2837" t="s">
        <v>22</v>
      </c>
      <c r="C2837" s="2">
        <v>4852</v>
      </c>
      <c r="D2837" s="5" t="s">
        <v>17</v>
      </c>
      <c r="E2837" s="2">
        <f>IF(Tabla2[[#This Row],[Frecuencia]]="Annual", Tabla2[[#This Row],[Cosecha/Tarea]]/12,Tabla2[[#This Row],[Cosecha/Tarea]])</f>
        <v>4852</v>
      </c>
      <c r="F2837" s="2">
        <v>43011</v>
      </c>
      <c r="G2837" t="s">
        <v>18</v>
      </c>
      <c r="H2837">
        <f>F2837/Tabla2[[#This Row],[Cosecha Mensual]]</f>
        <v>8.8645919208573787</v>
      </c>
      <c r="I2837">
        <f>H2837*_xlfn.XLOOKUP(Tabla2[[#This Row],[Unidad de producción]],Tabla3[Medida],Tabla3[Equivalencia en Kg],"ELVIS",0)</f>
        <v>402.0978895300907</v>
      </c>
      <c r="J2837">
        <v>2183.0124999999998</v>
      </c>
      <c r="K2837" t="s">
        <v>18</v>
      </c>
      <c r="L2837">
        <f>J2837/_xlfn.XLOOKUP(Tabla2[[#This Row],[Unidad de precio]],Tabla3[Medida],Tabla3[Equivalencia en Kg],"ELVIS",0)</f>
        <v>48.126377865961196</v>
      </c>
      <c r="M2837">
        <v>10137.37206528</v>
      </c>
      <c r="N2837" s="2">
        <f>(Tabla2[[#This Row],[Productividad (kg/TAS)]]*Tabla2[[#This Row],[Precio por kg]]-Tabla2[[#This Row],[Costos (En RD$/Tarea)]])</f>
        <v>9214.1429053506654</v>
      </c>
      <c r="O2837" s="6">
        <f>IF(Tabla2[[#This Row],[Costos (En RD$/Tarea)]]=0,0,Tabla2[[#This Row],[Beneficio Neto  (En RD$/Tarea)]]/Tabla2[[#This Row],[Costos (En RD$/Tarea)]])</f>
        <v>0.90892815672699345</v>
      </c>
      <c r="P2837" s="4">
        <f>Tabla2[[#This Row],[Rentabilidad (%)]]/12</f>
        <v>7.5744013060582788E-2</v>
      </c>
    </row>
    <row r="2838" spans="1:16" x14ac:dyDescent="0.35">
      <c r="A2838" s="1">
        <v>43709</v>
      </c>
      <c r="B2838" t="s">
        <v>23</v>
      </c>
      <c r="C2838" s="2">
        <v>4658</v>
      </c>
      <c r="D2838" s="5" t="s">
        <v>17</v>
      </c>
      <c r="E2838" s="2">
        <f>IF(Tabla2[[#This Row],[Frecuencia]]="Annual", Tabla2[[#This Row],[Cosecha/Tarea]]/12,Tabla2[[#This Row],[Cosecha/Tarea]])</f>
        <v>4658</v>
      </c>
      <c r="F2838" s="2">
        <v>193241</v>
      </c>
      <c r="G2838" t="s">
        <v>18</v>
      </c>
      <c r="H2838">
        <f>F2838/Tabla2[[#This Row],[Cosecha Mensual]]</f>
        <v>41.485830828681834</v>
      </c>
      <c r="I2838">
        <f>H2838*_xlfn.XLOOKUP(Tabla2[[#This Row],[Unidad de producción]],Tabla3[Medida],Tabla3[Equivalencia en Kg],"ELVIS",0)</f>
        <v>1881.7972863890079</v>
      </c>
      <c r="J2838">
        <v>988</v>
      </c>
      <c r="K2838" t="s">
        <v>18</v>
      </c>
      <c r="L2838">
        <f>J2838/_xlfn.XLOOKUP(Tabla2[[#This Row],[Unidad de precio]],Tabla3[Medida],Tabla3[Equivalencia en Kg],"ELVIS",0)</f>
        <v>21.78130511463845</v>
      </c>
      <c r="M2838">
        <v>26088.260008087302</v>
      </c>
      <c r="N2838" s="2">
        <f>(Tabla2[[#This Row],[Productividad (kg/TAS)]]*Tabla2[[#This Row],[Precio por kg]]-Tabla2[[#This Row],[Costos (En RD$/Tarea)]])</f>
        <v>14899.740850650349</v>
      </c>
      <c r="O2838" s="6">
        <f>IF(Tabla2[[#This Row],[Costos (En RD$/Tarea)]]=0,0,Tabla2[[#This Row],[Beneficio Neto  (En RD$/Tarea)]]/Tabla2[[#This Row],[Costos (En RD$/Tarea)]])</f>
        <v>0.57112819505905965</v>
      </c>
      <c r="P2838" s="4">
        <f>Tabla2[[#This Row],[Rentabilidad (%)]]/12</f>
        <v>4.7594016254921635E-2</v>
      </c>
    </row>
    <row r="2839" spans="1:16" x14ac:dyDescent="0.35">
      <c r="A2839" s="1">
        <v>43709</v>
      </c>
      <c r="B2839" t="s">
        <v>24</v>
      </c>
      <c r="C2839" s="2">
        <v>4524</v>
      </c>
      <c r="D2839" s="5" t="s">
        <v>17</v>
      </c>
      <c r="E2839" s="2">
        <f>IF(Tabla2[[#This Row],[Frecuencia]]="Annual", Tabla2[[#This Row],[Cosecha/Tarea]]/12,Tabla2[[#This Row],[Cosecha/Tarea]])</f>
        <v>4524</v>
      </c>
      <c r="F2839" s="2">
        <v>43124</v>
      </c>
      <c r="G2839" t="s">
        <v>18</v>
      </c>
      <c r="H2839">
        <f>F2839/Tabla2[[#This Row],[Cosecha Mensual]]</f>
        <v>9.5322723253757733</v>
      </c>
      <c r="I2839">
        <f>H2839*_xlfn.XLOOKUP(Tabla2[[#This Row],[Unidad de producción]],Tabla3[Medida],Tabla3[Equivalencia en Kg],"ELVIS",0)</f>
        <v>432.38387267904506</v>
      </c>
      <c r="J2839">
        <v>3384.5972222222199</v>
      </c>
      <c r="K2839" t="s">
        <v>18</v>
      </c>
      <c r="L2839">
        <f>J2839/_xlfn.XLOOKUP(Tabla2[[#This Row],[Unidad de precio]],Tabla3[Medida],Tabla3[Equivalencia en Kg],"ELVIS",0)</f>
        <v>74.616340877914908</v>
      </c>
      <c r="M2839">
        <v>8388.8026628831994</v>
      </c>
      <c r="N2839" s="2">
        <f>(Tabla2[[#This Row],[Productividad (kg/TAS)]]*Tabla2[[#This Row],[Precio por kg]]-Tabla2[[#This Row],[Costos (En RD$/Tarea)]])</f>
        <v>23874.099771049383</v>
      </c>
      <c r="O2839" s="6">
        <f>IF(Tabla2[[#This Row],[Costos (En RD$/Tarea)]]=0,0,Tabla2[[#This Row],[Beneficio Neto  (En RD$/Tarea)]]/Tabla2[[#This Row],[Costos (En RD$/Tarea)]])</f>
        <v>2.8459484303620446</v>
      </c>
      <c r="P2839" s="4">
        <f>Tabla2[[#This Row],[Rentabilidad (%)]]/12</f>
        <v>0.23716236919683706</v>
      </c>
    </row>
    <row r="2840" spans="1:16" x14ac:dyDescent="0.35">
      <c r="A2840" s="1">
        <v>43709</v>
      </c>
      <c r="B2840" t="s">
        <v>25</v>
      </c>
      <c r="C2840" s="2">
        <v>29245</v>
      </c>
      <c r="D2840" s="5" t="s">
        <v>17</v>
      </c>
      <c r="E2840" s="2">
        <f>IF(Tabla2[[#This Row],[Frecuencia]]="Annual", Tabla2[[#This Row],[Cosecha/Tarea]]/12,Tabla2[[#This Row],[Cosecha/Tarea]])</f>
        <v>29245</v>
      </c>
      <c r="F2840" s="2">
        <v>332541</v>
      </c>
      <c r="G2840" t="s">
        <v>18</v>
      </c>
      <c r="H2840">
        <f>F2840/Tabla2[[#This Row],[Cosecha Mensual]]</f>
        <v>11.370866814840143</v>
      </c>
      <c r="I2840">
        <f>H2840*_xlfn.XLOOKUP(Tabla2[[#This Row],[Unidad de producción]],Tabla3[Medida],Tabla3[Equivalencia en Kg],"ELVIS",0)</f>
        <v>515.7825187211489</v>
      </c>
      <c r="J2840">
        <v>939.00297619047603</v>
      </c>
      <c r="K2840" t="s">
        <v>18</v>
      </c>
      <c r="L2840">
        <f>J2840/_xlfn.XLOOKUP(Tabla2[[#This Row],[Unidad de precio]],Tabla3[Medida],Tabla3[Equivalencia en Kg],"ELVIS",0)</f>
        <v>20.701123813723015</v>
      </c>
      <c r="M2840">
        <v>4718.2914901260801</v>
      </c>
      <c r="N2840" s="2">
        <f>(Tabla2[[#This Row],[Productividad (kg/TAS)]]*Tabla2[[#This Row],[Precio por kg]]-Tabla2[[#This Row],[Costos (En RD$/Tarea)]])</f>
        <v>5958.9862908743316</v>
      </c>
      <c r="O2840" s="6">
        <f>IF(Tabla2[[#This Row],[Costos (En RD$/Tarea)]]=0,0,Tabla2[[#This Row],[Beneficio Neto  (En RD$/Tarea)]]/Tabla2[[#This Row],[Costos (En RD$/Tarea)]])</f>
        <v>1.2629542501442823</v>
      </c>
      <c r="P2840" s="4">
        <f>Tabla2[[#This Row],[Rentabilidad (%)]]/12</f>
        <v>0.10524618751202353</v>
      </c>
    </row>
    <row r="2841" spans="1:16" x14ac:dyDescent="0.35">
      <c r="A2841" s="1">
        <v>43709</v>
      </c>
      <c r="B2841" t="s">
        <v>26</v>
      </c>
      <c r="C2841" s="2">
        <v>10654</v>
      </c>
      <c r="D2841" s="5" t="s">
        <v>17</v>
      </c>
      <c r="E2841" s="2">
        <f>IF(Tabla2[[#This Row],[Frecuencia]]="Annual", Tabla2[[#This Row],[Cosecha/Tarea]]/12,Tabla2[[#This Row],[Cosecha/Tarea]])</f>
        <v>10654</v>
      </c>
      <c r="F2841" s="2">
        <v>66985</v>
      </c>
      <c r="G2841" t="s">
        <v>18</v>
      </c>
      <c r="H2841">
        <f>F2841/Tabla2[[#This Row],[Cosecha Mensual]]</f>
        <v>6.2873099305425191</v>
      </c>
      <c r="I2841">
        <f>H2841*_xlfn.XLOOKUP(Tabla2[[#This Row],[Unidad de producción]],Tabla3[Medida],Tabla3[Equivalencia en Kg],"ELVIS",0)</f>
        <v>285.19237844940864</v>
      </c>
      <c r="J2841">
        <v>852.88988095238096</v>
      </c>
      <c r="K2841" t="s">
        <v>18</v>
      </c>
      <c r="L2841">
        <f>J2841/_xlfn.XLOOKUP(Tabla2[[#This Row],[Unidad de precio]],Tabla3[Medida],Tabla3[Equivalencia en Kg],"ELVIS",0)</f>
        <v>18.80268696984967</v>
      </c>
      <c r="M2841">
        <v>1668.6966112895</v>
      </c>
      <c r="N2841" s="2">
        <f>(Tabla2[[#This Row],[Productividad (kg/TAS)]]*Tabla2[[#This Row],[Precio por kg]]-Tabla2[[#This Row],[Costos (En RD$/Tarea)]])</f>
        <v>3693.6864068816321</v>
      </c>
      <c r="O2841" s="6">
        <f>IF(Tabla2[[#This Row],[Costos (En RD$/Tarea)]]=0,0,Tabla2[[#This Row],[Beneficio Neto  (En RD$/Tarea)]]/Tabla2[[#This Row],[Costos (En RD$/Tarea)]])</f>
        <v>2.2135158553640877</v>
      </c>
      <c r="P2841" s="4">
        <f>Tabla2[[#This Row],[Rentabilidad (%)]]/12</f>
        <v>0.18445965461367397</v>
      </c>
    </row>
    <row r="2842" spans="1:16" x14ac:dyDescent="0.35">
      <c r="A2842" s="1">
        <v>43709</v>
      </c>
      <c r="B2842" t="s">
        <v>27</v>
      </c>
      <c r="C2842" s="2">
        <v>4995</v>
      </c>
      <c r="D2842" s="5" t="s">
        <v>17</v>
      </c>
      <c r="E2842" s="2">
        <f>IF(Tabla2[[#This Row],[Frecuencia]]="Annual", Tabla2[[#This Row],[Cosecha/Tarea]]/12,Tabla2[[#This Row],[Cosecha/Tarea]])</f>
        <v>4995</v>
      </c>
      <c r="F2842" s="2">
        <v>45698</v>
      </c>
      <c r="G2842" t="s">
        <v>18</v>
      </c>
      <c r="H2842">
        <f>F2842/Tabla2[[#This Row],[Cosecha Mensual]]</f>
        <v>9.1487487487487495</v>
      </c>
      <c r="I2842">
        <f>H2842*_xlfn.XLOOKUP(Tabla2[[#This Row],[Unidad de producción]],Tabla3[Medida],Tabla3[Equivalencia en Kg],"ELVIS",0)</f>
        <v>414.98724324324326</v>
      </c>
      <c r="J2842">
        <v>1175.5324074074099</v>
      </c>
      <c r="K2842" t="s">
        <v>18</v>
      </c>
      <c r="L2842">
        <f>J2842/_xlfn.XLOOKUP(Tabla2[[#This Row],[Unidad de precio]],Tabla3[Medida],Tabla3[Equivalencia en Kg],"ELVIS",0)</f>
        <v>25.915617447253304</v>
      </c>
      <c r="M2842">
        <v>9222.1943510245001</v>
      </c>
      <c r="N2842" s="2">
        <f>(Tabla2[[#This Row],[Productividad (kg/TAS)]]*Tabla2[[#This Row],[Precio por kg]]-Tabla2[[#This Row],[Costos (En RD$/Tarea)]])</f>
        <v>1532.4562903576461</v>
      </c>
      <c r="O2842" s="6">
        <f>IF(Tabla2[[#This Row],[Costos (En RD$/Tarea)]]=0,0,Tabla2[[#This Row],[Beneficio Neto  (En RD$/Tarea)]]/Tabla2[[#This Row],[Costos (En RD$/Tarea)]])</f>
        <v>0.1661704613921311</v>
      </c>
      <c r="P2842" s="4">
        <f>Tabla2[[#This Row],[Rentabilidad (%)]]/12</f>
        <v>1.3847538449344257E-2</v>
      </c>
    </row>
    <row r="2843" spans="1:16" x14ac:dyDescent="0.35">
      <c r="A2843" s="1">
        <v>43709</v>
      </c>
      <c r="B2843" t="s">
        <v>28</v>
      </c>
      <c r="C2843" s="2">
        <v>76521</v>
      </c>
      <c r="D2843" s="5" t="s">
        <v>17</v>
      </c>
      <c r="E2843" s="2">
        <f>IF(Tabla2[[#This Row],[Frecuencia]]="Annual", Tabla2[[#This Row],[Cosecha/Tarea]]/12,Tabla2[[#This Row],[Cosecha/Tarea]])</f>
        <v>76521</v>
      </c>
      <c r="F2843" s="2">
        <v>1727820</v>
      </c>
      <c r="G2843" t="s">
        <v>18</v>
      </c>
      <c r="H2843">
        <f>F2843/Tabla2[[#This Row],[Cosecha Mensual]]</f>
        <v>22.579684008311443</v>
      </c>
      <c r="I2843">
        <f>H2843*_xlfn.XLOOKUP(Tabla2[[#This Row],[Unidad de producción]],Tabla3[Medida],Tabla3[Equivalencia en Kg],"ELVIS",0)</f>
        <v>1024.214466617007</v>
      </c>
      <c r="J2843">
        <v>6436.9958333333298</v>
      </c>
      <c r="K2843" t="s">
        <v>29</v>
      </c>
      <c r="L2843">
        <f>J2843/_xlfn.XLOOKUP(Tabla2[[#This Row],[Unidad de precio]],Tabla3[Medida],Tabla3[Equivalencia en Kg],"ELVIS",0)</f>
        <v>11.446804127988992</v>
      </c>
      <c r="M2843">
        <v>7149.9398177165003</v>
      </c>
      <c r="N2843" s="2">
        <f>(Tabla2[[#This Row],[Productividad (kg/TAS)]]*Tabla2[[#This Row],[Precio por kg]]-Tabla2[[#This Row],[Costos (En RD$/Tarea)]])</f>
        <v>4574.0425667010986</v>
      </c>
      <c r="O2843" s="6">
        <f>IF(Tabla2[[#This Row],[Costos (En RD$/Tarea)]]=0,0,Tabla2[[#This Row],[Beneficio Neto  (En RD$/Tarea)]]/Tabla2[[#This Row],[Costos (En RD$/Tarea)]])</f>
        <v>0.63973161779170407</v>
      </c>
      <c r="P2843" s="4">
        <f>Tabla2[[#This Row],[Rentabilidad (%)]]/12</f>
        <v>5.331096814930867E-2</v>
      </c>
    </row>
    <row r="2844" spans="1:16" x14ac:dyDescent="0.35">
      <c r="A2844" s="1">
        <v>43709</v>
      </c>
      <c r="B2844" t="s">
        <v>30</v>
      </c>
      <c r="C2844" s="2">
        <v>438541</v>
      </c>
      <c r="D2844" s="2" t="s">
        <v>31</v>
      </c>
      <c r="E2844" s="2">
        <f>IF(Tabla2[[#This Row],[Frecuencia]]="Annual", Tabla2[[#This Row],[Cosecha/Tarea]]/12,Tabla2[[#This Row],[Cosecha/Tarea]])</f>
        <v>36545.083333333336</v>
      </c>
      <c r="F2844" s="2">
        <v>2153670.6</v>
      </c>
      <c r="G2844" t="s">
        <v>18</v>
      </c>
      <c r="H2844">
        <f>F2844/Tabla2[[#This Row],[Cosecha Mensual]]</f>
        <v>58.931883677922933</v>
      </c>
      <c r="I2844">
        <f>H2844*_xlfn.XLOOKUP(Tabla2[[#This Row],[Unidad de producción]],Tabla3[Medida],Tabla3[Equivalencia en Kg],"ELVIS",0)</f>
        <v>2673.1502436305841</v>
      </c>
      <c r="J2844">
        <v>187.95119047618999</v>
      </c>
      <c r="K2844" t="s">
        <v>32</v>
      </c>
      <c r="L2844">
        <f>J2844/_xlfn.XLOOKUP(Tabla2[[#This Row],[Unidad de precio]],Tabla3[Medida],Tabla3[Equivalencia en Kg],"ELVIS",0)</f>
        <v>6.9074307414990805</v>
      </c>
      <c r="M2844" s="2">
        <v>35445.717948420002</v>
      </c>
      <c r="N2844" s="2">
        <f>(Tabla2[[#This Row],[Productividad (kg/TAS)]]*Tabla2[[#This Row],[Precio por kg]]-Tabla2[[#This Row],[Costos (En RD$/Tarea)]])</f>
        <v>-16981.11777892035</v>
      </c>
      <c r="O2844" s="6">
        <f>IF(Tabla2[[#This Row],[Costos (En RD$/Tarea)]]=0,0,Tabla2[[#This Row],[Beneficio Neto  (En RD$/Tarea)]]/Tabla2[[#This Row],[Costos (En RD$/Tarea)]])</f>
        <v>-0.47907388428782793</v>
      </c>
      <c r="P2844" s="4">
        <f>Tabla2[[#This Row],[Rentabilidad (%)]]/12</f>
        <v>-3.992282369065233E-2</v>
      </c>
    </row>
    <row r="2845" spans="1:16" x14ac:dyDescent="0.35">
      <c r="A2845" s="1">
        <v>43709</v>
      </c>
      <c r="B2845" t="s">
        <v>33</v>
      </c>
      <c r="C2845" s="2">
        <v>753241</v>
      </c>
      <c r="D2845" s="2" t="s">
        <v>31</v>
      </c>
      <c r="E2845" s="8">
        <f>IF(Tabla2[[#This Row],[Frecuencia]]="Annual", Tabla2[[#This Row],[Cosecha/Tarea]]/12,Tabla2[[#This Row],[Cosecha/Tarea]])</f>
        <v>62770.083333333336</v>
      </c>
      <c r="F2845" s="2">
        <v>1836009</v>
      </c>
      <c r="G2845" t="s">
        <v>18</v>
      </c>
      <c r="H2845">
        <f>F2845/Tabla2[[#This Row],[Cosecha Mensual]]</f>
        <v>29.249746097198638</v>
      </c>
      <c r="I2845">
        <f>H2845*_xlfn.XLOOKUP(Tabla2[[#This Row],[Unidad de producción]],Tabla3[Medida],Tabla3[Equivalencia en Kg],"ELVIS",0)</f>
        <v>1326.7684829689301</v>
      </c>
      <c r="J2845">
        <v>10347.4851190476</v>
      </c>
      <c r="K2845" t="s">
        <v>34</v>
      </c>
      <c r="L2845">
        <f>J2845/_xlfn.XLOOKUP(Tabla2[[#This Row],[Unidad de precio]],Tabla3[Medida],Tabla3[Equivalencia en Kg],"ELVIS",0)</f>
        <v>25.352162486947449</v>
      </c>
      <c r="M2845" s="2">
        <v>22691.3984505224</v>
      </c>
      <c r="N2845" s="2">
        <f>(Tabla2[[#This Row],[Productividad (kg/TAS)]]*Tabla2[[#This Row],[Precio por kg]]-Tabla2[[#This Row],[Costos (En RD$/Tarea)]])</f>
        <v>10945.051712266686</v>
      </c>
      <c r="O2845" s="6">
        <f>IF(Tabla2[[#This Row],[Costos (En RD$/Tarea)]]=0,0,Tabla2[[#This Row],[Beneficio Neto  (En RD$/Tarea)]]/Tabla2[[#This Row],[Costos (En RD$/Tarea)]])</f>
        <v>0.48234363942495179</v>
      </c>
      <c r="P2845" s="4">
        <f>Tabla2[[#This Row],[Rentabilidad (%)]]/12</f>
        <v>4.0195303285412647E-2</v>
      </c>
    </row>
    <row r="2846" spans="1:16" x14ac:dyDescent="0.35">
      <c r="A2846" s="1">
        <v>43739</v>
      </c>
      <c r="B2846" t="s">
        <v>16</v>
      </c>
      <c r="C2846" s="2">
        <v>322532</v>
      </c>
      <c r="D2846" s="5" t="s">
        <v>17</v>
      </c>
      <c r="E2846" s="2">
        <f>IF(Tabla2[[#This Row],[Frecuencia]]="Annual", Tabla2[[#This Row],[Cosecha/Tarea]]/12,Tabla2[[#This Row],[Cosecha/Tarea]])</f>
        <v>322532</v>
      </c>
      <c r="F2846" s="2">
        <v>1324389</v>
      </c>
      <c r="G2846" t="s">
        <v>18</v>
      </c>
      <c r="H2846">
        <f>F2846/Tabla2[[#This Row],[Cosecha Mensual]]</f>
        <v>4.1062251187479069</v>
      </c>
      <c r="I2846">
        <f>H2846*_xlfn.XLOOKUP(Tabla2[[#This Row],[Unidad de producción]],Tabla3[Medida],Tabla3[Equivalencia en Kg],"ELVIS",0)</f>
        <v>186.25837138640506</v>
      </c>
      <c r="J2846">
        <v>2299.4618973230699</v>
      </c>
      <c r="K2846" t="s">
        <v>19</v>
      </c>
      <c r="L2846">
        <f>J2846/_xlfn.XLOOKUP(Tabla2[[#This Row],[Unidad de precio]],Tabla3[Medida],Tabla3[Equivalencia en Kg],"ELVIS",0)</f>
        <v>20.904199066573362</v>
      </c>
      <c r="M2846">
        <v>6284.7907932016997</v>
      </c>
      <c r="N2846" s="2">
        <f>(Tabla2[[#This Row],[Productividad (kg/TAS)]]*Tabla2[[#This Row],[Precio por kg]]-Tabla2[[#This Row],[Costos (En RD$/Tarea)]])</f>
        <v>-2391.2087199245366</v>
      </c>
      <c r="O2846" s="6">
        <f>IF(Tabla2[[#This Row],[Costos (En RD$/Tarea)]]=0,0,Tabla2[[#This Row],[Beneficio Neto  (En RD$/Tarea)]]/Tabla2[[#This Row],[Costos (En RD$/Tarea)]])</f>
        <v>-0.3804754682544283</v>
      </c>
      <c r="P2846" s="4">
        <f>Tabla2[[#This Row],[Rentabilidad (%)]]/12</f>
        <v>-3.1706289021202358E-2</v>
      </c>
    </row>
    <row r="2847" spans="1:16" x14ac:dyDescent="0.35">
      <c r="A2847" s="1">
        <v>43739</v>
      </c>
      <c r="B2847" t="s">
        <v>20</v>
      </c>
      <c r="C2847" s="2">
        <v>33245</v>
      </c>
      <c r="D2847" s="5" t="s">
        <v>17</v>
      </c>
      <c r="E2847" s="2">
        <f>IF(Tabla2[[#This Row],[Frecuencia]]="Annual", Tabla2[[#This Row],[Cosecha/Tarea]]/12,Tabla2[[#This Row],[Cosecha/Tarea]])</f>
        <v>33245</v>
      </c>
      <c r="F2847" s="2">
        <v>87564</v>
      </c>
      <c r="G2847" t="s">
        <v>18</v>
      </c>
      <c r="H2847">
        <f>F2847/Tabla2[[#This Row],[Cosecha Mensual]]</f>
        <v>2.6338998345615883</v>
      </c>
      <c r="I2847">
        <f>H2847*_xlfn.XLOOKUP(Tabla2[[#This Row],[Unidad de producción]],Tabla3[Medida],Tabla3[Equivalencia en Kg],"ELVIS",0)</f>
        <v>119.47369649571364</v>
      </c>
      <c r="J2847">
        <v>942.13671875</v>
      </c>
      <c r="K2847" t="s">
        <v>18</v>
      </c>
      <c r="L2847">
        <f>J2847/_xlfn.XLOOKUP(Tabla2[[#This Row],[Unidad de precio]],Tabla3[Medida],Tabla3[Equivalencia en Kg],"ELVIS",0)</f>
        <v>20.770209848985893</v>
      </c>
      <c r="M2847">
        <v>2409.2436004449601</v>
      </c>
      <c r="N2847" s="2">
        <f>(Tabla2[[#This Row],[Productividad (kg/TAS)]]*Tabla2[[#This Row],[Precio por kg]]-Tabla2[[#This Row],[Costos (En RD$/Tarea)]])</f>
        <v>72.250147205062603</v>
      </c>
      <c r="O2847" s="6">
        <f>IF(Tabla2[[#This Row],[Costos (En RD$/Tarea)]]=0,0,Tabla2[[#This Row],[Beneficio Neto  (En RD$/Tarea)]]/Tabla2[[#This Row],[Costos (En RD$/Tarea)]])</f>
        <v>2.9988726416755374E-2</v>
      </c>
      <c r="P2847" s="4">
        <f>Tabla2[[#This Row],[Rentabilidad (%)]]/12</f>
        <v>2.4990605347296143E-3</v>
      </c>
    </row>
    <row r="2848" spans="1:16" x14ac:dyDescent="0.35">
      <c r="A2848" s="1">
        <v>43739</v>
      </c>
      <c r="B2848" t="s">
        <v>21</v>
      </c>
      <c r="C2848" s="2">
        <v>6201</v>
      </c>
      <c r="D2848" s="5" t="s">
        <v>17</v>
      </c>
      <c r="E2848" s="2">
        <f>IF(Tabla2[[#This Row],[Frecuencia]]="Annual", Tabla2[[#This Row],[Cosecha/Tarea]]/12,Tabla2[[#This Row],[Cosecha/Tarea]])</f>
        <v>6201</v>
      </c>
      <c r="F2848" s="2">
        <v>79254</v>
      </c>
      <c r="G2848" t="s">
        <v>18</v>
      </c>
      <c r="H2848">
        <f>F2848/Tabla2[[#This Row],[Cosecha Mensual]]</f>
        <v>12.780841799709725</v>
      </c>
      <c r="I2848">
        <f>H2848*_xlfn.XLOOKUP(Tabla2[[#This Row],[Unidad de producción]],Tabla3[Medida],Tabla3[Equivalencia en Kg],"ELVIS",0)</f>
        <v>579.73898403483315</v>
      </c>
      <c r="J2848">
        <v>1155.40261904762</v>
      </c>
      <c r="K2848" t="s">
        <v>18</v>
      </c>
      <c r="L2848">
        <f>J2848/_xlfn.XLOOKUP(Tabla2[[#This Row],[Unidad de precio]],Tabla3[Medida],Tabla3[Equivalencia en Kg],"ELVIS",0)</f>
        <v>25.471839044259699</v>
      </c>
      <c r="M2848">
        <v>5846.9700795819999</v>
      </c>
      <c r="N2848" s="2">
        <f>(Tabla2[[#This Row],[Productividad (kg/TAS)]]*Tabla2[[#This Row],[Precio por kg]]-Tabla2[[#This Row],[Costos (En RD$/Tarea)]])</f>
        <v>8920.0480094359118</v>
      </c>
      <c r="O2848" s="6">
        <f>IF(Tabla2[[#This Row],[Costos (En RD$/Tarea)]]=0,0,Tabla2[[#This Row],[Beneficio Neto  (En RD$/Tarea)]]/Tabla2[[#This Row],[Costos (En RD$/Tarea)]])</f>
        <v>1.5255846854057455</v>
      </c>
      <c r="P2848" s="4">
        <f>Tabla2[[#This Row],[Rentabilidad (%)]]/12</f>
        <v>0.12713205711714545</v>
      </c>
    </row>
    <row r="2849" spans="1:16" x14ac:dyDescent="0.35">
      <c r="A2849" s="1">
        <v>43739</v>
      </c>
      <c r="B2849" t="s">
        <v>22</v>
      </c>
      <c r="C2849" s="2">
        <v>3214</v>
      </c>
      <c r="D2849" s="5" t="s">
        <v>17</v>
      </c>
      <c r="E2849" s="2">
        <f>IF(Tabla2[[#This Row],[Frecuencia]]="Annual", Tabla2[[#This Row],[Cosecha/Tarea]]/12,Tabla2[[#This Row],[Cosecha/Tarea]])</f>
        <v>3214</v>
      </c>
      <c r="F2849" s="2">
        <v>33541</v>
      </c>
      <c r="G2849" t="s">
        <v>18</v>
      </c>
      <c r="H2849">
        <f>F2849/Tabla2[[#This Row],[Cosecha Mensual]]</f>
        <v>10.435905413814561</v>
      </c>
      <c r="I2849">
        <f>H2849*_xlfn.XLOOKUP(Tabla2[[#This Row],[Unidad de producción]],Tabla3[Medida],Tabla3[Equivalencia en Kg],"ELVIS",0)</f>
        <v>473.37266957062849</v>
      </c>
      <c r="J2849">
        <v>1660.3125</v>
      </c>
      <c r="K2849" t="s">
        <v>18</v>
      </c>
      <c r="L2849">
        <f>J2849/_xlfn.XLOOKUP(Tabla2[[#This Row],[Unidad de precio]],Tabla3[Medida],Tabla3[Equivalencia en Kg],"ELVIS",0)</f>
        <v>36.60300925925926</v>
      </c>
      <c r="M2849">
        <v>10137.37206528</v>
      </c>
      <c r="N2849" s="2">
        <f>(Tabla2[[#This Row],[Productividad (kg/TAS)]]*Tabla2[[#This Row],[Precio por kg]]-Tabla2[[#This Row],[Costos (En RD$/Tarea)]])</f>
        <v>7189.49214209399</v>
      </c>
      <c r="O2849" s="6">
        <f>IF(Tabla2[[#This Row],[Costos (En RD$/Tarea)]]=0,0,Tabla2[[#This Row],[Beneficio Neto  (En RD$/Tarea)]]/Tabla2[[#This Row],[Costos (En RD$/Tarea)]])</f>
        <v>0.70920669536414138</v>
      </c>
      <c r="P2849" s="4">
        <f>Tabla2[[#This Row],[Rentabilidad (%)]]/12</f>
        <v>5.910055794701178E-2</v>
      </c>
    </row>
    <row r="2850" spans="1:16" x14ac:dyDescent="0.35">
      <c r="A2850" s="1">
        <v>43739</v>
      </c>
      <c r="B2850" t="s">
        <v>23</v>
      </c>
      <c r="C2850" s="2">
        <v>3875</v>
      </c>
      <c r="D2850" s="5" t="s">
        <v>17</v>
      </c>
      <c r="E2850" s="2">
        <f>IF(Tabla2[[#This Row],[Frecuencia]]="Annual", Tabla2[[#This Row],[Cosecha/Tarea]]/12,Tabla2[[#This Row],[Cosecha/Tarea]])</f>
        <v>3875</v>
      </c>
      <c r="F2850" s="2">
        <v>154521</v>
      </c>
      <c r="G2850" t="s">
        <v>18</v>
      </c>
      <c r="H2850">
        <f>F2850/Tabla2[[#This Row],[Cosecha Mensual]]</f>
        <v>39.876387096774195</v>
      </c>
      <c r="I2850">
        <f>H2850*_xlfn.XLOOKUP(Tabla2[[#This Row],[Unidad de producción]],Tabla3[Medida],Tabla3[Equivalencia en Kg],"ELVIS",0)</f>
        <v>1808.7929187096775</v>
      </c>
      <c r="J2850">
        <v>1099</v>
      </c>
      <c r="K2850" t="s">
        <v>18</v>
      </c>
      <c r="L2850">
        <f>J2850/_xlfn.XLOOKUP(Tabla2[[#This Row],[Unidad de precio]],Tabla3[Medida],Tabla3[Equivalencia en Kg],"ELVIS",0)</f>
        <v>24.228395061728396</v>
      </c>
      <c r="M2850">
        <v>26088.260008087302</v>
      </c>
      <c r="N2850" s="2">
        <f>(Tabla2[[#This Row],[Productividad (kg/TAS)]]*Tabla2[[#This Row],[Precio por kg]]-Tabla2[[#This Row],[Costos (En RD$/Tarea)]])</f>
        <v>17735.889411267541</v>
      </c>
      <c r="O2850" s="6">
        <f>IF(Tabla2[[#This Row],[Costos (En RD$/Tarea)]]=0,0,Tabla2[[#This Row],[Beneficio Neto  (En RD$/Tarea)]]/Tabla2[[#This Row],[Costos (En RD$/Tarea)]])</f>
        <v>0.67984179112633247</v>
      </c>
      <c r="P2850" s="4">
        <f>Tabla2[[#This Row],[Rentabilidad (%)]]/12</f>
        <v>5.6653482593861042E-2</v>
      </c>
    </row>
    <row r="2851" spans="1:16" x14ac:dyDescent="0.35">
      <c r="A2851" s="1">
        <v>43739</v>
      </c>
      <c r="B2851" t="s">
        <v>24</v>
      </c>
      <c r="C2851" s="2">
        <v>5421</v>
      </c>
      <c r="D2851" s="5" t="s">
        <v>17</v>
      </c>
      <c r="E2851" s="2">
        <f>IF(Tabla2[[#This Row],[Frecuencia]]="Annual", Tabla2[[#This Row],[Cosecha/Tarea]]/12,Tabla2[[#This Row],[Cosecha/Tarea]])</f>
        <v>5421</v>
      </c>
      <c r="F2851" s="2">
        <v>53014</v>
      </c>
      <c r="G2851" t="s">
        <v>18</v>
      </c>
      <c r="H2851">
        <f>F2851/Tabla2[[#This Row],[Cosecha Mensual]]</f>
        <v>9.7793764988009588</v>
      </c>
      <c r="I2851">
        <f>H2851*_xlfn.XLOOKUP(Tabla2[[#This Row],[Unidad de producción]],Tabla3[Medida],Tabla3[Equivalencia en Kg],"ELVIS",0)</f>
        <v>443.59251798561149</v>
      </c>
      <c r="J2851">
        <v>3381.9642857142899</v>
      </c>
      <c r="K2851" t="s">
        <v>18</v>
      </c>
      <c r="L2851">
        <f>J2851/_xlfn.XLOOKUP(Tabla2[[#This Row],[Unidad de precio]],Tabla3[Medida],Tabla3[Equivalencia en Kg],"ELVIS",0)</f>
        <v>74.558295540438493</v>
      </c>
      <c r="M2851">
        <v>8388.8026628831994</v>
      </c>
      <c r="N2851" s="2">
        <f>(Tabla2[[#This Row],[Productividad (kg/TAS)]]*Tabla2[[#This Row],[Precio por kg]]-Tabla2[[#This Row],[Costos (En RD$/Tarea)]])</f>
        <v>24684.699392615301</v>
      </c>
      <c r="O2851" s="6">
        <f>IF(Tabla2[[#This Row],[Costos (En RD$/Tarea)]]=0,0,Tabla2[[#This Row],[Beneficio Neto  (En RD$/Tarea)]]/Tabla2[[#This Row],[Costos (En RD$/Tarea)]])</f>
        <v>2.9425771930283151</v>
      </c>
      <c r="P2851" s="4">
        <f>Tabla2[[#This Row],[Rentabilidad (%)]]/12</f>
        <v>0.24521476608569293</v>
      </c>
    </row>
    <row r="2852" spans="1:16" x14ac:dyDescent="0.35">
      <c r="A2852" s="1">
        <v>43739</v>
      </c>
      <c r="B2852" t="s">
        <v>25</v>
      </c>
      <c r="C2852" s="2">
        <v>32689</v>
      </c>
      <c r="D2852" s="5" t="s">
        <v>17</v>
      </c>
      <c r="E2852" s="2">
        <f>IF(Tabla2[[#This Row],[Frecuencia]]="Annual", Tabla2[[#This Row],[Cosecha/Tarea]]/12,Tabla2[[#This Row],[Cosecha/Tarea]])</f>
        <v>32689</v>
      </c>
      <c r="F2852" s="2">
        <v>354124</v>
      </c>
      <c r="G2852" t="s">
        <v>18</v>
      </c>
      <c r="H2852">
        <f>F2852/Tabla2[[#This Row],[Cosecha Mensual]]</f>
        <v>10.833124292575484</v>
      </c>
      <c r="I2852">
        <f>H2852*_xlfn.XLOOKUP(Tabla2[[#This Row],[Unidad de producción]],Tabla3[Medida],Tabla3[Equivalencia en Kg],"ELVIS",0)</f>
        <v>491.39051791122392</v>
      </c>
      <c r="J2852">
        <v>950.06968749999999</v>
      </c>
      <c r="K2852" t="s">
        <v>18</v>
      </c>
      <c r="L2852">
        <f>J2852/_xlfn.XLOOKUP(Tabla2[[#This Row],[Unidad de precio]],Tabla3[Medida],Tabla3[Equivalencia en Kg],"ELVIS",0)</f>
        <v>20.945098930776012</v>
      </c>
      <c r="M2852">
        <v>4718.2914901260801</v>
      </c>
      <c r="N2852" s="2">
        <f>(Tabla2[[#This Row],[Productividad (kg/TAS)]]*Tabla2[[#This Row],[Precio por kg]]-Tabla2[[#This Row],[Costos (En RD$/Tarea)]])</f>
        <v>5573.9315211697676</v>
      </c>
      <c r="O2852" s="6">
        <f>IF(Tabla2[[#This Row],[Costos (En RD$/Tarea)]]=0,0,Tabla2[[#This Row],[Beneficio Neto  (En RD$/Tarea)]]/Tabla2[[#This Row],[Costos (En RD$/Tarea)]])</f>
        <v>1.1813453095965514</v>
      </c>
      <c r="P2852" s="4">
        <f>Tabla2[[#This Row],[Rentabilidad (%)]]/12</f>
        <v>9.8445442466379277E-2</v>
      </c>
    </row>
    <row r="2853" spans="1:16" x14ac:dyDescent="0.35">
      <c r="A2853" s="1">
        <v>43739</v>
      </c>
      <c r="B2853" t="s">
        <v>26</v>
      </c>
      <c r="C2853" s="2">
        <v>9875</v>
      </c>
      <c r="D2853" s="5" t="s">
        <v>17</v>
      </c>
      <c r="E2853" s="2">
        <f>IF(Tabla2[[#This Row],[Frecuencia]]="Annual", Tabla2[[#This Row],[Cosecha/Tarea]]/12,Tabla2[[#This Row],[Cosecha/Tarea]])</f>
        <v>9875</v>
      </c>
      <c r="F2853" s="2">
        <v>63214</v>
      </c>
      <c r="G2853" t="s">
        <v>18</v>
      </c>
      <c r="H2853">
        <f>F2853/Tabla2[[#This Row],[Cosecha Mensual]]</f>
        <v>6.4014177215189871</v>
      </c>
      <c r="I2853">
        <f>H2853*_xlfn.XLOOKUP(Tabla2[[#This Row],[Unidad de producción]],Tabla3[Medida],Tabla3[Equivalencia en Kg],"ELVIS",0)</f>
        <v>290.36830784810127</v>
      </c>
      <c r="J2853">
        <v>1093.1796875</v>
      </c>
      <c r="K2853" t="s">
        <v>18</v>
      </c>
      <c r="L2853">
        <f>J2853/_xlfn.XLOOKUP(Tabla2[[#This Row],[Unidad de precio]],Tabla3[Medida],Tabla3[Equivalencia en Kg],"ELVIS",0)</f>
        <v>24.100081294091712</v>
      </c>
      <c r="M2853">
        <v>1668.6966112895</v>
      </c>
      <c r="N2853" s="2">
        <f>(Tabla2[[#This Row],[Productividad (kg/TAS)]]*Tabla2[[#This Row],[Precio por kg]]-Tabla2[[#This Row],[Costos (En RD$/Tarea)]])</f>
        <v>5329.2032130775897</v>
      </c>
      <c r="O2853" s="6">
        <f>IF(Tabla2[[#This Row],[Costos (En RD$/Tarea)]]=0,0,Tabla2[[#This Row],[Beneficio Neto  (En RD$/Tarea)]]/Tabla2[[#This Row],[Costos (En RD$/Tarea)]])</f>
        <v>3.1936321899517739</v>
      </c>
      <c r="P2853" s="4">
        <f>Tabla2[[#This Row],[Rentabilidad (%)]]/12</f>
        <v>0.26613601582931451</v>
      </c>
    </row>
    <row r="2854" spans="1:16" x14ac:dyDescent="0.35">
      <c r="A2854" s="1">
        <v>43739</v>
      </c>
      <c r="B2854" t="s">
        <v>27</v>
      </c>
      <c r="C2854" s="2">
        <v>3456</v>
      </c>
      <c r="D2854" s="5" t="s">
        <v>17</v>
      </c>
      <c r="E2854" s="2">
        <f>IF(Tabla2[[#This Row],[Frecuencia]]="Annual", Tabla2[[#This Row],[Cosecha/Tarea]]/12,Tabla2[[#This Row],[Cosecha/Tarea]])</f>
        <v>3456</v>
      </c>
      <c r="F2854" s="2">
        <v>36544</v>
      </c>
      <c r="G2854" t="s">
        <v>18</v>
      </c>
      <c r="H2854">
        <f>F2854/Tabla2[[#This Row],[Cosecha Mensual]]</f>
        <v>10.574074074074074</v>
      </c>
      <c r="I2854">
        <f>H2854*_xlfn.XLOOKUP(Tabla2[[#This Row],[Unidad de producción]],Tabla3[Medida],Tabla3[Equivalencia en Kg],"ELVIS",0)</f>
        <v>479.64</v>
      </c>
      <c r="J2854">
        <v>946.484375</v>
      </c>
      <c r="K2854" t="s">
        <v>18</v>
      </c>
      <c r="L2854">
        <f>J2854/_xlfn.XLOOKUP(Tabla2[[#This Row],[Unidad de precio]],Tabla3[Medida],Tabla3[Equivalencia en Kg],"ELVIS",0)</f>
        <v>20.866057649911816</v>
      </c>
      <c r="M2854">
        <v>9222.1943510245001</v>
      </c>
      <c r="N2854" s="2">
        <f>(Tabla2[[#This Row],[Productividad (kg/TAS)]]*Tabla2[[#This Row],[Precio por kg]]-Tabla2[[#This Row],[Costos (En RD$/Tarea)]])</f>
        <v>786.00154017920249</v>
      </c>
      <c r="O2854" s="6">
        <f>IF(Tabla2[[#This Row],[Costos (En RD$/Tarea)]]=0,0,Tabla2[[#This Row],[Beneficio Neto  (En RD$/Tarea)]]/Tabla2[[#This Row],[Costos (En RD$/Tarea)]])</f>
        <v>8.5229340248276705E-2</v>
      </c>
      <c r="P2854" s="4">
        <f>Tabla2[[#This Row],[Rentabilidad (%)]]/12</f>
        <v>7.1024450206897257E-3</v>
      </c>
    </row>
    <row r="2855" spans="1:16" x14ac:dyDescent="0.35">
      <c r="A2855" s="1">
        <v>43739</v>
      </c>
      <c r="B2855" t="s">
        <v>28</v>
      </c>
      <c r="C2855" s="2">
        <v>77568</v>
      </c>
      <c r="D2855" s="5" t="s">
        <v>17</v>
      </c>
      <c r="E2855" s="2">
        <f>IF(Tabla2[[#This Row],[Frecuencia]]="Annual", Tabla2[[#This Row],[Cosecha/Tarea]]/12,Tabla2[[#This Row],[Cosecha/Tarea]])</f>
        <v>77568</v>
      </c>
      <c r="F2855" s="2">
        <v>1838568</v>
      </c>
      <c r="G2855" t="s">
        <v>18</v>
      </c>
      <c r="H2855">
        <f>F2855/Tabla2[[#This Row],[Cosecha Mensual]]</f>
        <v>23.70266089108911</v>
      </c>
      <c r="I2855">
        <f>H2855*_xlfn.XLOOKUP(Tabla2[[#This Row],[Unidad de producción]],Tabla3[Medida],Tabla3[Equivalencia en Kg],"ELVIS",0)</f>
        <v>1075.1526980198021</v>
      </c>
      <c r="J2855">
        <v>6055.1076388888896</v>
      </c>
      <c r="K2855" t="s">
        <v>29</v>
      </c>
      <c r="L2855">
        <f>J2855/_xlfn.XLOOKUP(Tabla2[[#This Row],[Unidad de precio]],Tabla3[Medida],Tabla3[Equivalencia en Kg],"ELVIS",0)</f>
        <v>10.767698614519489</v>
      </c>
      <c r="M2855">
        <v>7149.9398177165003</v>
      </c>
      <c r="N2855" s="2">
        <f>(Tabla2[[#This Row],[Productividad (kg/TAS)]]*Tabla2[[#This Row],[Precio por kg]]-Tabla2[[#This Row],[Costos (En RD$/Tarea)]])</f>
        <v>4426.9803991482131</v>
      </c>
      <c r="O2855" s="6">
        <f>IF(Tabla2[[#This Row],[Costos (En RD$/Tarea)]]=0,0,Tabla2[[#This Row],[Beneficio Neto  (En RD$/Tarea)]]/Tabla2[[#This Row],[Costos (En RD$/Tarea)]])</f>
        <v>0.61916330934405994</v>
      </c>
      <c r="P2855" s="4">
        <f>Tabla2[[#This Row],[Rentabilidad (%)]]/12</f>
        <v>5.1596942445338329E-2</v>
      </c>
    </row>
    <row r="2856" spans="1:16" x14ac:dyDescent="0.35">
      <c r="A2856" s="1">
        <v>43739</v>
      </c>
      <c r="B2856" t="s">
        <v>30</v>
      </c>
      <c r="C2856" s="2">
        <v>485985</v>
      </c>
      <c r="D2856" s="2" t="s">
        <v>31</v>
      </c>
      <c r="E2856" s="2">
        <f>IF(Tabla2[[#This Row],[Frecuencia]]="Annual", Tabla2[[#This Row],[Cosecha/Tarea]]/12,Tabla2[[#This Row],[Cosecha/Tarea]])</f>
        <v>40498.75</v>
      </c>
      <c r="F2856" s="2">
        <v>2461273.2000000002</v>
      </c>
      <c r="G2856" t="s">
        <v>18</v>
      </c>
      <c r="H2856">
        <f>F2856/Tabla2[[#This Row],[Cosecha Mensual]]</f>
        <v>60.774053520170384</v>
      </c>
      <c r="I2856">
        <f>H2856*_xlfn.XLOOKUP(Tabla2[[#This Row],[Unidad de producción]],Tabla3[Medida],Tabla3[Equivalencia en Kg],"ELVIS",0)</f>
        <v>2756.7110676749285</v>
      </c>
      <c r="J2856">
        <v>177.370833333333</v>
      </c>
      <c r="K2856" t="s">
        <v>32</v>
      </c>
      <c r="L2856">
        <f>J2856/_xlfn.XLOOKUP(Tabla2[[#This Row],[Unidad de precio]],Tabla3[Medida],Tabla3[Equivalencia en Kg],"ELVIS",0)</f>
        <v>6.5185899791743109</v>
      </c>
      <c r="M2856" s="2">
        <v>35445.717948420002</v>
      </c>
      <c r="N2856" s="2">
        <f>(Tabla2[[#This Row],[Productividad (kg/TAS)]]*Tabla2[[#This Row],[Precio por kg]]-Tabla2[[#This Row],[Costos (En RD$/Tarea)]])</f>
        <v>-17475.848807195296</v>
      </c>
      <c r="O2856" s="6">
        <f>IF(Tabla2[[#This Row],[Costos (En RD$/Tarea)]]=0,0,Tabla2[[#This Row],[Beneficio Neto  (En RD$/Tarea)]]/Tabla2[[#This Row],[Costos (En RD$/Tarea)]])</f>
        <v>-0.49303131150075308</v>
      </c>
      <c r="P2856" s="4">
        <f>Tabla2[[#This Row],[Rentabilidad (%)]]/12</f>
        <v>-4.1085942625062759E-2</v>
      </c>
    </row>
    <row r="2857" spans="1:16" x14ac:dyDescent="0.35">
      <c r="A2857" s="1">
        <v>43739</v>
      </c>
      <c r="B2857" t="s">
        <v>33</v>
      </c>
      <c r="C2857" s="2">
        <v>784521</v>
      </c>
      <c r="D2857" s="2" t="s">
        <v>31</v>
      </c>
      <c r="E2857" s="8">
        <f>IF(Tabla2[[#This Row],[Frecuencia]]="Annual", Tabla2[[#This Row],[Cosecha/Tarea]]/12,Tabla2[[#This Row],[Cosecha/Tarea]])</f>
        <v>65376.75</v>
      </c>
      <c r="F2857" s="2">
        <v>1418841</v>
      </c>
      <c r="G2857" t="s">
        <v>18</v>
      </c>
      <c r="H2857">
        <f>F2857/Tabla2[[#This Row],[Cosecha Mensual]]</f>
        <v>21.702531863391801</v>
      </c>
      <c r="I2857">
        <f>H2857*_xlfn.XLOOKUP(Tabla2[[#This Row],[Unidad de producción]],Tabla3[Medida],Tabla3[Equivalencia en Kg],"ELVIS",0)</f>
        <v>984.42684532345208</v>
      </c>
      <c r="J2857">
        <v>11186.223958333299</v>
      </c>
      <c r="K2857" t="s">
        <v>34</v>
      </c>
      <c r="L2857">
        <f>J2857/_xlfn.XLOOKUP(Tabla2[[#This Row],[Unidad de precio]],Tabla3[Medida],Tabla3[Equivalencia en Kg],"ELVIS",0)</f>
        <v>27.407139429948057</v>
      </c>
      <c r="M2857" s="2">
        <v>22691.3984505224</v>
      </c>
      <c r="N2857" s="2">
        <f>(Tabla2[[#This Row],[Productividad (kg/TAS)]]*Tabla2[[#This Row],[Precio por kg]]-Tabla2[[#This Row],[Costos (En RD$/Tarea)]])</f>
        <v>4288.9253578413591</v>
      </c>
      <c r="O2857" s="6">
        <f>IF(Tabla2[[#This Row],[Costos (En RD$/Tarea)]]=0,0,Tabla2[[#This Row],[Beneficio Neto  (En RD$/Tarea)]]/Tabla2[[#This Row],[Costos (En RD$/Tarea)]])</f>
        <v>0.18901106369416468</v>
      </c>
      <c r="P2857" s="4">
        <f>Tabla2[[#This Row],[Rentabilidad (%)]]/12</f>
        <v>1.5750921974513724E-2</v>
      </c>
    </row>
    <row r="2858" spans="1:16" x14ac:dyDescent="0.35">
      <c r="A2858" s="1">
        <v>43770</v>
      </c>
      <c r="B2858" t="s">
        <v>16</v>
      </c>
      <c r="C2858" s="2">
        <v>302014</v>
      </c>
      <c r="D2858" s="5" t="s">
        <v>17</v>
      </c>
      <c r="E2858" s="2">
        <f>IF(Tabla2[[#This Row],[Frecuencia]]="Annual", Tabla2[[#This Row],[Cosecha/Tarea]]/12,Tabla2[[#This Row],[Cosecha/Tarea]])</f>
        <v>302014</v>
      </c>
      <c r="F2858" s="2">
        <v>1197430</v>
      </c>
      <c r="G2858" t="s">
        <v>18</v>
      </c>
      <c r="H2858">
        <f>F2858/Tabla2[[#This Row],[Cosecha Mensual]]</f>
        <v>3.9648162005734835</v>
      </c>
      <c r="I2858">
        <f>H2858*_xlfn.XLOOKUP(Tabla2[[#This Row],[Unidad de producción]],Tabla3[Medida],Tabla3[Equivalencia en Kg],"ELVIS",0)</f>
        <v>179.84406285801322</v>
      </c>
      <c r="J2858">
        <v>2280.2363792629299</v>
      </c>
      <c r="K2858" t="s">
        <v>19</v>
      </c>
      <c r="L2858">
        <f>J2858/_xlfn.XLOOKUP(Tabla2[[#This Row],[Unidad de precio]],Tabla3[Medida],Tabla3[Equivalencia en Kg],"ELVIS",0)</f>
        <v>20.729421629662998</v>
      </c>
      <c r="M2858">
        <v>6284.7907932016997</v>
      </c>
      <c r="N2858" s="2">
        <f>(Tabla2[[#This Row],[Productividad (kg/TAS)]]*Tabla2[[#This Row],[Precio por kg]]-Tabla2[[#This Row],[Costos (En RD$/Tarea)]])</f>
        <v>-2556.7273866263286</v>
      </c>
      <c r="O2858" s="6">
        <f>IF(Tabla2[[#This Row],[Costos (En RD$/Tarea)]]=0,0,Tabla2[[#This Row],[Beneficio Neto  (En RD$/Tarea)]]/Tabla2[[#This Row],[Costos (En RD$/Tarea)]])</f>
        <v>-0.40681185273373899</v>
      </c>
      <c r="P2858" s="4">
        <f>Tabla2[[#This Row],[Rentabilidad (%)]]/12</f>
        <v>-3.3900987727811582E-2</v>
      </c>
    </row>
    <row r="2859" spans="1:16" x14ac:dyDescent="0.35">
      <c r="A2859" s="1">
        <v>43770</v>
      </c>
      <c r="B2859" t="s">
        <v>20</v>
      </c>
      <c r="C2859" s="2">
        <v>42658</v>
      </c>
      <c r="D2859" s="5" t="s">
        <v>17</v>
      </c>
      <c r="E2859" s="2">
        <f>IF(Tabla2[[#This Row],[Frecuencia]]="Annual", Tabla2[[#This Row],[Cosecha/Tarea]]/12,Tabla2[[#This Row],[Cosecha/Tarea]])</f>
        <v>42658</v>
      </c>
      <c r="F2859" s="2">
        <v>72145</v>
      </c>
      <c r="G2859" t="s">
        <v>18</v>
      </c>
      <c r="H2859">
        <f>F2859/Tabla2[[#This Row],[Cosecha Mensual]]</f>
        <v>1.6912419710253646</v>
      </c>
      <c r="I2859">
        <f>H2859*_xlfn.XLOOKUP(Tabla2[[#This Row],[Unidad de producción]],Tabla3[Medida],Tabla3[Equivalencia en Kg],"ELVIS",0)</f>
        <v>76.714735805710532</v>
      </c>
      <c r="J2859">
        <v>929.50364583333305</v>
      </c>
      <c r="K2859" t="s">
        <v>18</v>
      </c>
      <c r="L2859">
        <f>J2859/_xlfn.XLOOKUP(Tabla2[[#This Row],[Unidad de precio]],Tabla3[Medida],Tabla3[Equivalencia en Kg],"ELVIS",0)</f>
        <v>20.491702950470305</v>
      </c>
      <c r="M2859">
        <v>2409.2436004449601</v>
      </c>
      <c r="N2859" s="2">
        <f>(Tabla2[[#This Row],[Productividad (kg/TAS)]]*Tabla2[[#This Row],[Precio por kg]]-Tabla2[[#This Row],[Costos (En RD$/Tarea)]])</f>
        <v>-837.22802239053158</v>
      </c>
      <c r="O2859" s="6">
        <f>IF(Tabla2[[#This Row],[Costos (En RD$/Tarea)]]=0,0,Tabla2[[#This Row],[Beneficio Neto  (En RD$/Tarea)]]/Tabla2[[#This Row],[Costos (En RD$/Tarea)]])</f>
        <v>-0.34750658764265474</v>
      </c>
      <c r="P2859" s="4">
        <f>Tabla2[[#This Row],[Rentabilidad (%)]]/12</f>
        <v>-2.8958882303554562E-2</v>
      </c>
    </row>
    <row r="2860" spans="1:16" x14ac:dyDescent="0.35">
      <c r="A2860" s="1">
        <v>43770</v>
      </c>
      <c r="B2860" t="s">
        <v>21</v>
      </c>
      <c r="C2860" s="2">
        <v>14766</v>
      </c>
      <c r="D2860" s="5" t="s">
        <v>17</v>
      </c>
      <c r="E2860" s="2">
        <f>IF(Tabla2[[#This Row],[Frecuencia]]="Annual", Tabla2[[#This Row],[Cosecha/Tarea]]/12,Tabla2[[#This Row],[Cosecha/Tarea]])</f>
        <v>14766</v>
      </c>
      <c r="F2860" s="2">
        <v>114006</v>
      </c>
      <c r="G2860" t="s">
        <v>18</v>
      </c>
      <c r="H2860">
        <f>F2860/Tabla2[[#This Row],[Cosecha Mensual]]</f>
        <v>7.720845184884193</v>
      </c>
      <c r="I2860">
        <f>H2860*_xlfn.XLOOKUP(Tabla2[[#This Row],[Unidad de producción]],Tabla3[Medida],Tabla3[Equivalencia en Kg],"ELVIS",0)</f>
        <v>350.21753758634696</v>
      </c>
      <c r="J2860">
        <v>752.06357142857098</v>
      </c>
      <c r="K2860" t="s">
        <v>18</v>
      </c>
      <c r="L2860">
        <f>J2860/_xlfn.XLOOKUP(Tabla2[[#This Row],[Unidad de precio]],Tabla3[Medida],Tabla3[Equivalencia en Kg],"ELVIS",0)</f>
        <v>16.579884731670436</v>
      </c>
      <c r="M2860">
        <v>5846.9700795819999</v>
      </c>
      <c r="N2860" s="2">
        <f>(Tabla2[[#This Row],[Productividad (kg/TAS)]]*Tabla2[[#This Row],[Precio por kg]]-Tabla2[[#This Row],[Costos (En RD$/Tarea)]])</f>
        <v>-40.403675390908575</v>
      </c>
      <c r="O2860" s="6">
        <f>IF(Tabla2[[#This Row],[Costos (En RD$/Tarea)]]=0,0,Tabla2[[#This Row],[Beneficio Neto  (En RD$/Tarea)]]/Tabla2[[#This Row],[Costos (En RD$/Tarea)]])</f>
        <v>-6.9101902080875768E-3</v>
      </c>
      <c r="P2860" s="4">
        <f>Tabla2[[#This Row],[Rentabilidad (%)]]/12</f>
        <v>-5.7584918400729803E-4</v>
      </c>
    </row>
    <row r="2861" spans="1:16" x14ac:dyDescent="0.35">
      <c r="A2861" s="1">
        <v>43770</v>
      </c>
      <c r="B2861" t="s">
        <v>22</v>
      </c>
      <c r="C2861" s="2">
        <v>5484</v>
      </c>
      <c r="D2861" s="5" t="s">
        <v>17</v>
      </c>
      <c r="E2861" s="2">
        <f>IF(Tabla2[[#This Row],[Frecuencia]]="Annual", Tabla2[[#This Row],[Cosecha/Tarea]]/12,Tabla2[[#This Row],[Cosecha/Tarea]])</f>
        <v>5484</v>
      </c>
      <c r="F2861" s="2">
        <v>48962</v>
      </c>
      <c r="G2861" t="s">
        <v>18</v>
      </c>
      <c r="H2861">
        <f>F2861/Tabla2[[#This Row],[Cosecha Mensual]]</f>
        <v>8.9281546316557261</v>
      </c>
      <c r="I2861">
        <f>H2861*_xlfn.XLOOKUP(Tabla2[[#This Row],[Unidad de producción]],Tabla3[Medida],Tabla3[Equivalencia en Kg],"ELVIS",0)</f>
        <v>404.98109409190374</v>
      </c>
      <c r="J2861">
        <v>1809.375</v>
      </c>
      <c r="K2861" t="s">
        <v>18</v>
      </c>
      <c r="L2861">
        <f>J2861/_xlfn.XLOOKUP(Tabla2[[#This Row],[Unidad de precio]],Tabla3[Medida],Tabla3[Equivalencia en Kg],"ELVIS",0)</f>
        <v>39.889219576719576</v>
      </c>
      <c r="M2861">
        <v>10137.37206528</v>
      </c>
      <c r="N2861" s="2">
        <f>(Tabla2[[#This Row],[Productividad (kg/TAS)]]*Tabla2[[#This Row],[Precio por kg]]-Tabla2[[#This Row],[Costos (En RD$/Tarea)]])</f>
        <v>6017.0077213720797</v>
      </c>
      <c r="O2861" s="6">
        <f>IF(Tabla2[[#This Row],[Costos (En RD$/Tarea)]]=0,0,Tabla2[[#This Row],[Beneficio Neto  (En RD$/Tarea)]]/Tabla2[[#This Row],[Costos (En RD$/Tarea)]])</f>
        <v>0.5935470931347222</v>
      </c>
      <c r="P2861" s="4">
        <f>Tabla2[[#This Row],[Rentabilidad (%)]]/12</f>
        <v>4.9462257761226848E-2</v>
      </c>
    </row>
    <row r="2862" spans="1:16" x14ac:dyDescent="0.35">
      <c r="A2862" s="1">
        <v>43770</v>
      </c>
      <c r="B2862" t="s">
        <v>23</v>
      </c>
      <c r="C2862" s="2">
        <v>5501</v>
      </c>
      <c r="D2862" s="5" t="s">
        <v>17</v>
      </c>
      <c r="E2862" s="2">
        <f>IF(Tabla2[[#This Row],[Frecuencia]]="Annual", Tabla2[[#This Row],[Cosecha/Tarea]]/12,Tabla2[[#This Row],[Cosecha/Tarea]])</f>
        <v>5501</v>
      </c>
      <c r="F2862" s="2">
        <v>183990</v>
      </c>
      <c r="G2862" t="s">
        <v>18</v>
      </c>
      <c r="H2862">
        <f>F2862/Tabla2[[#This Row],[Cosecha Mensual]]</f>
        <v>33.446646064351938</v>
      </c>
      <c r="I2862">
        <f>H2862*_xlfn.XLOOKUP(Tabla2[[#This Row],[Unidad de producción]],Tabla3[Medida],Tabla3[Equivalencia en Kg],"ELVIS",0)</f>
        <v>1517.1398654790039</v>
      </c>
      <c r="J2862">
        <v>1218.75</v>
      </c>
      <c r="K2862" t="s">
        <v>18</v>
      </c>
      <c r="L2862">
        <f>J2862/_xlfn.XLOOKUP(Tabla2[[#This Row],[Unidad de precio]],Tabla3[Medida],Tabla3[Equivalencia en Kg],"ELVIS",0)</f>
        <v>26.868386243386244</v>
      </c>
      <c r="M2862">
        <v>26088.260008087302</v>
      </c>
      <c r="N2862" s="2">
        <f>(Tabla2[[#This Row],[Productividad (kg/TAS)]]*Tabla2[[#This Row],[Precio por kg]]-Tabla2[[#This Row],[Costos (En RD$/Tarea)]])</f>
        <v>14674.839882841625</v>
      </c>
      <c r="O2862" s="6">
        <f>IF(Tabla2[[#This Row],[Costos (En RD$/Tarea)]]=0,0,Tabla2[[#This Row],[Beneficio Neto  (En RD$/Tarea)]]/Tabla2[[#This Row],[Costos (En RD$/Tarea)]])</f>
        <v>0.56250742204702264</v>
      </c>
      <c r="P2862" s="4">
        <f>Tabla2[[#This Row],[Rentabilidad (%)]]/12</f>
        <v>4.6875618503918554E-2</v>
      </c>
    </row>
    <row r="2863" spans="1:16" x14ac:dyDescent="0.35">
      <c r="A2863" s="1">
        <v>43770</v>
      </c>
      <c r="B2863" t="s">
        <v>24</v>
      </c>
      <c r="C2863" s="2">
        <v>6954</v>
      </c>
      <c r="D2863" s="5" t="s">
        <v>17</v>
      </c>
      <c r="E2863" s="2">
        <f>IF(Tabla2[[#This Row],[Frecuencia]]="Annual", Tabla2[[#This Row],[Cosecha/Tarea]]/12,Tabla2[[#This Row],[Cosecha/Tarea]])</f>
        <v>6954</v>
      </c>
      <c r="F2863" s="2">
        <v>52141</v>
      </c>
      <c r="G2863" t="s">
        <v>18</v>
      </c>
      <c r="H2863">
        <f>F2863/Tabla2[[#This Row],[Cosecha Mensual]]</f>
        <v>7.4979867702041991</v>
      </c>
      <c r="I2863">
        <f>H2863*_xlfn.XLOOKUP(Tabla2[[#This Row],[Unidad de producción]],Tabla3[Medida],Tabla3[Equivalencia en Kg],"ELVIS",0)</f>
        <v>340.10867989646249</v>
      </c>
      <c r="J2863">
        <v>3239.3845486111099</v>
      </c>
      <c r="K2863" t="s">
        <v>18</v>
      </c>
      <c r="L2863">
        <f>J2863/_xlfn.XLOOKUP(Tabla2[[#This Row],[Unidad de precio]],Tabla3[Medida],Tabla3[Equivalencia en Kg],"ELVIS",0)</f>
        <v>71.415003276259043</v>
      </c>
      <c r="M2863">
        <v>8388.8026628831994</v>
      </c>
      <c r="N2863" s="2">
        <f>(Tabla2[[#This Row],[Productividad (kg/TAS)]]*Tabla2[[#This Row],[Precio por kg]]-Tabla2[[#This Row],[Costos (En RD$/Tarea)]])</f>
        <v>15900.059826206807</v>
      </c>
      <c r="O2863" s="6">
        <f>IF(Tabla2[[#This Row],[Costos (En RD$/Tarea)]]=0,0,Tabla2[[#This Row],[Beneficio Neto  (En RD$/Tarea)]]/Tabla2[[#This Row],[Costos (En RD$/Tarea)]])</f>
        <v>1.8953908519695726</v>
      </c>
      <c r="P2863" s="4">
        <f>Tabla2[[#This Row],[Rentabilidad (%)]]/12</f>
        <v>0.15794923766413105</v>
      </c>
    </row>
    <row r="2864" spans="1:16" x14ac:dyDescent="0.35">
      <c r="A2864" s="1">
        <v>43770</v>
      </c>
      <c r="B2864" t="s">
        <v>25</v>
      </c>
      <c r="C2864" s="2">
        <v>48395</v>
      </c>
      <c r="D2864" s="5" t="s">
        <v>17</v>
      </c>
      <c r="E2864" s="2">
        <f>IF(Tabla2[[#This Row],[Frecuencia]]="Annual", Tabla2[[#This Row],[Cosecha/Tarea]]/12,Tabla2[[#This Row],[Cosecha/Tarea]])</f>
        <v>48395</v>
      </c>
      <c r="F2864" s="2">
        <v>498544</v>
      </c>
      <c r="G2864" t="s">
        <v>18</v>
      </c>
      <c r="H2864">
        <f>F2864/Tabla2[[#This Row],[Cosecha Mensual]]</f>
        <v>10.301560078520508</v>
      </c>
      <c r="I2864">
        <f>H2864*_xlfn.XLOOKUP(Tabla2[[#This Row],[Unidad de producción]],Tabla3[Medida],Tabla3[Equivalencia en Kg],"ELVIS",0)</f>
        <v>467.27876516169022</v>
      </c>
      <c r="J2864">
        <v>919.82286458333294</v>
      </c>
      <c r="K2864" t="s">
        <v>18</v>
      </c>
      <c r="L2864">
        <f>J2864/_xlfn.XLOOKUP(Tabla2[[#This Row],[Unidad de precio]],Tabla3[Medida],Tabla3[Equivalencia en Kg],"ELVIS",0)</f>
        <v>20.278281847075242</v>
      </c>
      <c r="M2864">
        <v>4718.2914901260801</v>
      </c>
      <c r="N2864" s="2">
        <f>(Tabla2[[#This Row],[Productividad (kg/TAS)]]*Tabla2[[#This Row],[Precio por kg]]-Tabla2[[#This Row],[Costos (En RD$/Tarea)]])</f>
        <v>4757.3190109759571</v>
      </c>
      <c r="O2864" s="6">
        <f>IF(Tabla2[[#This Row],[Costos (En RD$/Tarea)]]=0,0,Tabla2[[#This Row],[Beneficio Neto  (En RD$/Tarea)]]/Tabla2[[#This Row],[Costos (En RD$/Tarea)]])</f>
        <v>1.0082715366211581</v>
      </c>
      <c r="P2864" s="4">
        <f>Tabla2[[#This Row],[Rentabilidad (%)]]/12</f>
        <v>8.4022628051763179E-2</v>
      </c>
    </row>
    <row r="2865" spans="1:16" x14ac:dyDescent="0.35">
      <c r="A2865" s="1">
        <v>43770</v>
      </c>
      <c r="B2865" t="s">
        <v>26</v>
      </c>
      <c r="C2865" s="2">
        <v>13488</v>
      </c>
      <c r="D2865" s="5" t="s">
        <v>17</v>
      </c>
      <c r="E2865" s="2">
        <f>IF(Tabla2[[#This Row],[Frecuencia]]="Annual", Tabla2[[#This Row],[Cosecha/Tarea]]/12,Tabla2[[#This Row],[Cosecha/Tarea]])</f>
        <v>13488</v>
      </c>
      <c r="F2865" s="2">
        <v>91948</v>
      </c>
      <c r="G2865" t="s">
        <v>18</v>
      </c>
      <c r="H2865">
        <f>F2865/Tabla2[[#This Row],[Cosecha Mensual]]</f>
        <v>6.8170225385527878</v>
      </c>
      <c r="I2865">
        <f>H2865*_xlfn.XLOOKUP(Tabla2[[#This Row],[Unidad de producción]],Tabla3[Medida],Tabla3[Equivalencia en Kg],"ELVIS",0)</f>
        <v>309.22014234875445</v>
      </c>
      <c r="J2865">
        <v>973.71875</v>
      </c>
      <c r="K2865" t="s">
        <v>18</v>
      </c>
      <c r="L2865">
        <f>J2865/_xlfn.XLOOKUP(Tabla2[[#This Row],[Unidad de precio]],Tabla3[Medida],Tabla3[Equivalencia en Kg],"ELVIS",0)</f>
        <v>21.466462742504408</v>
      </c>
      <c r="M2865">
        <v>1668.6966112895</v>
      </c>
      <c r="N2865" s="2">
        <f>(Tabla2[[#This Row],[Productividad (kg/TAS)]]*Tabla2[[#This Row],[Precio por kg]]-Tabla2[[#This Row],[Costos (En RD$/Tarea)]])</f>
        <v>4969.1660536719473</v>
      </c>
      <c r="O2865" s="6">
        <f>IF(Tabla2[[#This Row],[Costos (En RD$/Tarea)]]=0,0,Tabla2[[#This Row],[Beneficio Neto  (En RD$/Tarea)]]/Tabla2[[#This Row],[Costos (En RD$/Tarea)]])</f>
        <v>2.9778726822199157</v>
      </c>
      <c r="P2865" s="4">
        <f>Tabla2[[#This Row],[Rentabilidad (%)]]/12</f>
        <v>0.24815605685165965</v>
      </c>
    </row>
    <row r="2866" spans="1:16" x14ac:dyDescent="0.35">
      <c r="A2866" s="1">
        <v>43770</v>
      </c>
      <c r="B2866" t="s">
        <v>27</v>
      </c>
      <c r="C2866" s="2">
        <v>6542</v>
      </c>
      <c r="D2866" s="5" t="s">
        <v>17</v>
      </c>
      <c r="E2866" s="2">
        <f>IF(Tabla2[[#This Row],[Frecuencia]]="Annual", Tabla2[[#This Row],[Cosecha/Tarea]]/12,Tabla2[[#This Row],[Cosecha/Tarea]])</f>
        <v>6542</v>
      </c>
      <c r="F2866" s="2">
        <v>39541</v>
      </c>
      <c r="G2866" t="s">
        <v>18</v>
      </c>
      <c r="H2866">
        <f>F2866/Tabla2[[#This Row],[Cosecha Mensual]]</f>
        <v>6.0441760929379393</v>
      </c>
      <c r="I2866">
        <f>H2866*_xlfn.XLOOKUP(Tabla2[[#This Row],[Unidad de producción]],Tabla3[Medida],Tabla3[Equivalencia en Kg],"ELVIS",0)</f>
        <v>274.16382757566493</v>
      </c>
      <c r="J2866">
        <v>911.66468253968299</v>
      </c>
      <c r="K2866" t="s">
        <v>18</v>
      </c>
      <c r="L2866">
        <f>J2866/_xlfn.XLOOKUP(Tabla2[[#This Row],[Unidad de precio]],Tabla3[Medida],Tabla3[Equivalencia en Kg],"ELVIS",0)</f>
        <v>20.098427745583841</v>
      </c>
      <c r="M2866">
        <v>9222.1943510245001</v>
      </c>
      <c r="N2866" s="2">
        <f>(Tabla2[[#This Row],[Productividad (kg/TAS)]]*Tabla2[[#This Row],[Precio por kg]]-Tabla2[[#This Row],[Costos (En RD$/Tarea)]])</f>
        <v>-3711.9324720422919</v>
      </c>
      <c r="O2866" s="6">
        <f>IF(Tabla2[[#This Row],[Costos (En RD$/Tarea)]]=0,0,Tabla2[[#This Row],[Beneficio Neto  (En RD$/Tarea)]]/Tabla2[[#This Row],[Costos (En RD$/Tarea)]])</f>
        <v>-0.40249991821414288</v>
      </c>
      <c r="P2866" s="4">
        <f>Tabla2[[#This Row],[Rentabilidad (%)]]/12</f>
        <v>-3.3541659851178574E-2</v>
      </c>
    </row>
    <row r="2867" spans="1:16" x14ac:dyDescent="0.35">
      <c r="A2867" s="1">
        <v>43770</v>
      </c>
      <c r="B2867" t="s">
        <v>28</v>
      </c>
      <c r="C2867" s="2">
        <v>65214</v>
      </c>
      <c r="D2867" s="5" t="s">
        <v>17</v>
      </c>
      <c r="E2867" s="2">
        <f>IF(Tabla2[[#This Row],[Frecuencia]]="Annual", Tabla2[[#This Row],[Cosecha/Tarea]]/12,Tabla2[[#This Row],[Cosecha/Tarea]])</f>
        <v>65214</v>
      </c>
      <c r="F2867" s="2">
        <v>1007424</v>
      </c>
      <c r="G2867" t="s">
        <v>18</v>
      </c>
      <c r="H2867">
        <f>F2867/Tabla2[[#This Row],[Cosecha Mensual]]</f>
        <v>15.447971294507314</v>
      </c>
      <c r="I2867">
        <f>H2867*_xlfn.XLOOKUP(Tabla2[[#This Row],[Unidad de producción]],Tabla3[Medida],Tabla3[Equivalencia en Kg],"ELVIS",0)</f>
        <v>700.71997791885178</v>
      </c>
      <c r="J2867">
        <v>6137.4305555555602</v>
      </c>
      <c r="K2867" t="s">
        <v>29</v>
      </c>
      <c r="L2867">
        <f>J2867/_xlfn.XLOOKUP(Tabla2[[#This Row],[Unidad de precio]],Tabla3[Medida],Tabla3[Equivalencia en Kg],"ELVIS",0)</f>
        <v>10.91409210718704</v>
      </c>
      <c r="M2867">
        <v>7149.9398177165003</v>
      </c>
      <c r="N2867" s="2">
        <f>(Tabla2[[#This Row],[Productividad (kg/TAS)]]*Tabla2[[#This Row],[Precio por kg]]-Tabla2[[#This Row],[Costos (En RD$/Tarea)]])</f>
        <v>497.78256263591629</v>
      </c>
      <c r="O2867" s="6">
        <f>IF(Tabla2[[#This Row],[Costos (En RD$/Tarea)]]=0,0,Tabla2[[#This Row],[Beneficio Neto  (En RD$/Tarea)]]/Tabla2[[#This Row],[Costos (En RD$/Tarea)]])</f>
        <v>6.9620524833297795E-2</v>
      </c>
      <c r="P2867" s="4">
        <f>Tabla2[[#This Row],[Rentabilidad (%)]]/12</f>
        <v>5.801710402774816E-3</v>
      </c>
    </row>
    <row r="2868" spans="1:16" x14ac:dyDescent="0.35">
      <c r="A2868" s="1">
        <v>43770</v>
      </c>
      <c r="B2868" t="s">
        <v>30</v>
      </c>
      <c r="C2868" s="2">
        <v>422544</v>
      </c>
      <c r="D2868" s="2" t="s">
        <v>31</v>
      </c>
      <c r="E2868" s="2">
        <f>IF(Tabla2[[#This Row],[Frecuencia]]="Annual", Tabla2[[#This Row],[Cosecha/Tarea]]/12,Tabla2[[#This Row],[Cosecha/Tarea]])</f>
        <v>35212</v>
      </c>
      <c r="F2868" s="2">
        <v>1769728.2</v>
      </c>
      <c r="G2868" t="s">
        <v>18</v>
      </c>
      <c r="H2868">
        <f>F2868/Tabla2[[#This Row],[Cosecha Mensual]]</f>
        <v>50.259235487901847</v>
      </c>
      <c r="I2868">
        <f>H2868*_xlfn.XLOOKUP(Tabla2[[#This Row],[Unidad de producción]],Tabla3[Medida],Tabla3[Equivalencia en Kg],"ELVIS",0)</f>
        <v>2279.7589217312279</v>
      </c>
      <c r="J2868">
        <v>191.067708333333</v>
      </c>
      <c r="K2868" t="s">
        <v>32</v>
      </c>
      <c r="L2868">
        <f>J2868/_xlfn.XLOOKUP(Tabla2[[#This Row],[Unidad de precio]],Tabla3[Medida],Tabla3[Equivalencia en Kg],"ELVIS",0)</f>
        <v>7.0219664951610801</v>
      </c>
      <c r="M2868" s="2">
        <v>35445.717948420002</v>
      </c>
      <c r="N2868" s="2">
        <f>(Tabla2[[#This Row],[Productividad (kg/TAS)]]*Tabla2[[#This Row],[Precio por kg]]-Tabla2[[#This Row],[Costos (En RD$/Tarea)]])</f>
        <v>-19437.32718297877</v>
      </c>
      <c r="O2868" s="6">
        <f>IF(Tabla2[[#This Row],[Costos (En RD$/Tarea)]]=0,0,Tabla2[[#This Row],[Beneficio Neto  (En RD$/Tarea)]]/Tabla2[[#This Row],[Costos (En RD$/Tarea)]])</f>
        <v>-0.54836883855092544</v>
      </c>
      <c r="P2868" s="4">
        <f>Tabla2[[#This Row],[Rentabilidad (%)]]/12</f>
        <v>-4.569740321257712E-2</v>
      </c>
    </row>
    <row r="2869" spans="1:16" x14ac:dyDescent="0.35">
      <c r="A2869" s="1">
        <v>43770</v>
      </c>
      <c r="B2869" t="s">
        <v>33</v>
      </c>
      <c r="C2869" s="2">
        <v>756559</v>
      </c>
      <c r="D2869" s="2" t="s">
        <v>31</v>
      </c>
      <c r="E2869" s="8">
        <f>IF(Tabla2[[#This Row],[Frecuencia]]="Annual", Tabla2[[#This Row],[Cosecha/Tarea]]/12,Tabla2[[#This Row],[Cosecha/Tarea]])</f>
        <v>63046.583333333336</v>
      </c>
      <c r="F2869" s="2">
        <v>1232208</v>
      </c>
      <c r="G2869" t="s">
        <v>18</v>
      </c>
      <c r="H2869">
        <f>F2869/Tabla2[[#This Row],[Cosecha Mensual]]</f>
        <v>19.544405657721342</v>
      </c>
      <c r="I2869">
        <f>H2869*_xlfn.XLOOKUP(Tabla2[[#This Row],[Unidad de producción]],Tabla3[Medida],Tabla3[Equivalencia en Kg],"ELVIS",0)</f>
        <v>886.53424063424006</v>
      </c>
      <c r="J2869">
        <v>11120.111979166701</v>
      </c>
      <c r="K2869" t="s">
        <v>34</v>
      </c>
      <c r="L2869">
        <f>J2869/_xlfn.XLOOKUP(Tabla2[[#This Row],[Unidad de precio]],Tabla3[Medida],Tabla3[Equivalencia en Kg],"ELVIS",0)</f>
        <v>27.24515981665246</v>
      </c>
      <c r="M2869" s="2">
        <v>22691.3984505224</v>
      </c>
      <c r="N2869" s="2">
        <f>(Tabla2[[#This Row],[Productividad (kg/TAS)]]*Tabla2[[#This Row],[Precio por kg]]-Tabla2[[#This Row],[Costos (En RD$/Tarea)]])</f>
        <v>1462.3686184920989</v>
      </c>
      <c r="O2869" s="6">
        <f>IF(Tabla2[[#This Row],[Costos (En RD$/Tarea)]]=0,0,Tabla2[[#This Row],[Beneficio Neto  (En RD$/Tarea)]]/Tabla2[[#This Row],[Costos (En RD$/Tarea)]])</f>
        <v>6.4445945087109976E-2</v>
      </c>
      <c r="P2869" s="4">
        <f>Tabla2[[#This Row],[Rentabilidad (%)]]/12</f>
        <v>5.3704954239258314E-3</v>
      </c>
    </row>
    <row r="2870" spans="1:16" x14ac:dyDescent="0.35">
      <c r="A2870" s="1">
        <v>43800</v>
      </c>
      <c r="B2870" t="s">
        <v>16</v>
      </c>
      <c r="C2870" s="2">
        <v>115457</v>
      </c>
      <c r="D2870" s="5" t="s">
        <v>17</v>
      </c>
      <c r="E2870" s="2">
        <f>IF(Tabla2[[#This Row],[Frecuencia]]="Annual", Tabla2[[#This Row],[Cosecha/Tarea]]/12,Tabla2[[#This Row],[Cosecha/Tarea]])</f>
        <v>115457</v>
      </c>
      <c r="F2870" s="2">
        <v>452154</v>
      </c>
      <c r="G2870" t="s">
        <v>18</v>
      </c>
      <c r="H2870">
        <f>F2870/Tabla2[[#This Row],[Cosecha Mensual]]</f>
        <v>3.9162112301549494</v>
      </c>
      <c r="I2870">
        <f>H2870*_xlfn.XLOOKUP(Tabla2[[#This Row],[Unidad de producción]],Tabla3[Medida],Tabla3[Equivalencia en Kg],"ELVIS",0)</f>
        <v>177.63934139982851</v>
      </c>
      <c r="J2870">
        <v>2257.1615190685702</v>
      </c>
      <c r="K2870" t="s">
        <v>19</v>
      </c>
      <c r="L2870">
        <f>J2870/_xlfn.XLOOKUP(Tabla2[[#This Row],[Unidad de precio]],Tabla3[Medida],Tabla3[Equivalencia en Kg],"ELVIS",0)</f>
        <v>20.519650173350637</v>
      </c>
      <c r="M2870">
        <v>6284.7907932016997</v>
      </c>
      <c r="N2870" s="2">
        <f>(Tabla2[[#This Row],[Productividad (kg/TAS)]]*Tabla2[[#This Row],[Precio por kg]]-Tabla2[[#This Row],[Costos (En RD$/Tarea)]])</f>
        <v>-2639.6936506528154</v>
      </c>
      <c r="O2870" s="6">
        <f>IF(Tabla2[[#This Row],[Costos (En RD$/Tarea)]]=0,0,Tabla2[[#This Row],[Beneficio Neto  (En RD$/Tarea)]]/Tabla2[[#This Row],[Costos (En RD$/Tarea)]])</f>
        <v>-0.42001297060010173</v>
      </c>
      <c r="P2870" s="4">
        <f>Tabla2[[#This Row],[Rentabilidad (%)]]/12</f>
        <v>-3.5001080883341813E-2</v>
      </c>
    </row>
    <row r="2871" spans="1:16" x14ac:dyDescent="0.35">
      <c r="A2871" s="1">
        <v>43800</v>
      </c>
      <c r="B2871" t="s">
        <v>20</v>
      </c>
      <c r="C2871" s="2">
        <v>53854</v>
      </c>
      <c r="D2871" s="5" t="s">
        <v>17</v>
      </c>
      <c r="E2871" s="2">
        <f>IF(Tabla2[[#This Row],[Frecuencia]]="Annual", Tabla2[[#This Row],[Cosecha/Tarea]]/12,Tabla2[[#This Row],[Cosecha/Tarea]])</f>
        <v>53854</v>
      </c>
      <c r="F2871" s="2">
        <v>102451</v>
      </c>
      <c r="G2871" t="s">
        <v>18</v>
      </c>
      <c r="H2871">
        <f>F2871/Tabla2[[#This Row],[Cosecha Mensual]]</f>
        <v>1.9023842240130724</v>
      </c>
      <c r="I2871">
        <f>H2871*_xlfn.XLOOKUP(Tabla2[[#This Row],[Unidad de producción]],Tabla3[Medida],Tabla3[Equivalencia en Kg],"ELVIS",0)</f>
        <v>86.292148401232964</v>
      </c>
      <c r="J2871">
        <v>939.35598958333298</v>
      </c>
      <c r="K2871" t="s">
        <v>18</v>
      </c>
      <c r="L2871">
        <f>J2871/_xlfn.XLOOKUP(Tabla2[[#This Row],[Unidad de precio]],Tabla3[Medida],Tabla3[Equivalencia en Kg],"ELVIS",0)</f>
        <v>20.708906295928859</v>
      </c>
      <c r="M2871">
        <v>2409.2436004449601</v>
      </c>
      <c r="N2871" s="2">
        <f>(Tabla2[[#This Row],[Productividad (kg/TAS)]]*Tabla2[[#This Row],[Precio por kg]]-Tabla2[[#This Row],[Costos (En RD$/Tarea)]])</f>
        <v>-622.22758512943938</v>
      </c>
      <c r="O2871" s="6">
        <f>IF(Tabla2[[#This Row],[Costos (En RD$/Tarea)]]=0,0,Tabla2[[#This Row],[Beneficio Neto  (En RD$/Tarea)]]/Tabla2[[#This Row],[Costos (En RD$/Tarea)]])</f>
        <v>-0.25826677925574687</v>
      </c>
      <c r="P2871" s="4">
        <f>Tabla2[[#This Row],[Rentabilidad (%)]]/12</f>
        <v>-2.1522231604645573E-2</v>
      </c>
    </row>
    <row r="2872" spans="1:16" x14ac:dyDescent="0.35">
      <c r="A2872" s="1">
        <v>43800</v>
      </c>
      <c r="B2872" t="s">
        <v>21</v>
      </c>
      <c r="C2872" s="2">
        <v>8951</v>
      </c>
      <c r="D2872" s="5" t="s">
        <v>17</v>
      </c>
      <c r="E2872" s="2">
        <f>IF(Tabla2[[#This Row],[Frecuencia]]="Annual", Tabla2[[#This Row],[Cosecha/Tarea]]/12,Tabla2[[#This Row],[Cosecha/Tarea]])</f>
        <v>8951</v>
      </c>
      <c r="F2872" s="2">
        <v>98323</v>
      </c>
      <c r="G2872" t="s">
        <v>18</v>
      </c>
      <c r="H2872">
        <f>F2872/Tabla2[[#This Row],[Cosecha Mensual]]</f>
        <v>10.984582728186794</v>
      </c>
      <c r="I2872">
        <f>H2872*_xlfn.XLOOKUP(Tabla2[[#This Row],[Unidad de producción]],Tabla3[Medida],Tabla3[Equivalencia en Kg],"ELVIS",0)</f>
        <v>498.26067255055295</v>
      </c>
      <c r="J2872">
        <v>705.15499999999997</v>
      </c>
      <c r="K2872" t="s">
        <v>18</v>
      </c>
      <c r="L2872">
        <f>J2872/_xlfn.XLOOKUP(Tabla2[[#This Row],[Unidad de precio]],Tabla3[Medida],Tabla3[Equivalencia en Kg],"ELVIS",0)</f>
        <v>15.545745149911816</v>
      </c>
      <c r="M2872">
        <v>5846.9700795819999</v>
      </c>
      <c r="N2872" s="2">
        <f>(Tabla2[[#This Row],[Productividad (kg/TAS)]]*Tabla2[[#This Row],[Precio por kg]]-Tabla2[[#This Row],[Costos (En RD$/Tarea)]])</f>
        <v>1898.8633541125582</v>
      </c>
      <c r="O2872" s="6">
        <f>IF(Tabla2[[#This Row],[Costos (En RD$/Tarea)]]=0,0,Tabla2[[#This Row],[Beneficio Neto  (En RD$/Tarea)]]/Tabla2[[#This Row],[Costos (En RD$/Tarea)]])</f>
        <v>0.32476023107139074</v>
      </c>
      <c r="P2872" s="4">
        <f>Tabla2[[#This Row],[Rentabilidad (%)]]/12</f>
        <v>2.7063352589282563E-2</v>
      </c>
    </row>
    <row r="2873" spans="1:16" x14ac:dyDescent="0.35">
      <c r="A2873" s="1">
        <v>43800</v>
      </c>
      <c r="B2873" t="s">
        <v>22</v>
      </c>
      <c r="C2873" s="2">
        <v>7120</v>
      </c>
      <c r="D2873" s="5" t="s">
        <v>17</v>
      </c>
      <c r="E2873" s="2">
        <f>IF(Tabla2[[#This Row],[Frecuencia]]="Annual", Tabla2[[#This Row],[Cosecha/Tarea]]/12,Tabla2[[#This Row],[Cosecha/Tarea]])</f>
        <v>7120</v>
      </c>
      <c r="F2873" s="2">
        <v>64305</v>
      </c>
      <c r="G2873" t="s">
        <v>18</v>
      </c>
      <c r="H2873">
        <f>F2873/Tabla2[[#This Row],[Cosecha Mensual]]</f>
        <v>9.0316011235955056</v>
      </c>
      <c r="I2873">
        <f>H2873*_xlfn.XLOOKUP(Tabla2[[#This Row],[Unidad de producción]],Tabla3[Medida],Tabla3[Equivalencia en Kg],"ELVIS",0)</f>
        <v>409.67342696629214</v>
      </c>
      <c r="J2873">
        <v>1679.3576388888901</v>
      </c>
      <c r="K2873" t="s">
        <v>18</v>
      </c>
      <c r="L2873">
        <f>J2873/_xlfn.XLOOKUP(Tabla2[[#This Row],[Unidad de precio]],Tabla3[Medida],Tabla3[Equivalencia en Kg],"ELVIS",0)</f>
        <v>37.022875636880293</v>
      </c>
      <c r="M2873">
        <v>10137.37206528</v>
      </c>
      <c r="N2873" s="2">
        <f>(Tabla2[[#This Row],[Productividad (kg/TAS)]]*Tabla2[[#This Row],[Precio por kg]]-Tabla2[[#This Row],[Costos (En RD$/Tarea)]])</f>
        <v>5029.9162730275948</v>
      </c>
      <c r="O2873" s="6">
        <f>IF(Tabla2[[#This Row],[Costos (En RD$/Tarea)]]=0,0,Tabla2[[#This Row],[Beneficio Neto  (En RD$/Tarea)]]/Tabla2[[#This Row],[Costos (En RD$/Tarea)]])</f>
        <v>0.49617556114516209</v>
      </c>
      <c r="P2873" s="4">
        <f>Tabla2[[#This Row],[Rentabilidad (%)]]/12</f>
        <v>4.1347963428763505E-2</v>
      </c>
    </row>
    <row r="2874" spans="1:16" x14ac:dyDescent="0.35">
      <c r="A2874" s="1">
        <v>43800</v>
      </c>
      <c r="B2874" t="s">
        <v>23</v>
      </c>
      <c r="C2874" s="2">
        <v>4956</v>
      </c>
      <c r="D2874" s="5" t="s">
        <v>17</v>
      </c>
      <c r="E2874" s="2">
        <f>IF(Tabla2[[#This Row],[Frecuencia]]="Annual", Tabla2[[#This Row],[Cosecha/Tarea]]/12,Tabla2[[#This Row],[Cosecha/Tarea]])</f>
        <v>4956</v>
      </c>
      <c r="F2874" s="2">
        <v>181750</v>
      </c>
      <c r="G2874" t="s">
        <v>18</v>
      </c>
      <c r="H2874">
        <f>F2874/Tabla2[[#This Row],[Cosecha Mensual]]</f>
        <v>36.6727199354318</v>
      </c>
      <c r="I2874">
        <f>H2874*_xlfn.XLOOKUP(Tabla2[[#This Row],[Unidad de producción]],Tabla3[Medida],Tabla3[Equivalencia en Kg],"ELVIS",0)</f>
        <v>1663.4745762711864</v>
      </c>
      <c r="J2874">
        <v>1106.6666666666699</v>
      </c>
      <c r="K2874" t="s">
        <v>18</v>
      </c>
      <c r="L2874">
        <f>J2874/_xlfn.XLOOKUP(Tabla2[[#This Row],[Unidad de precio]],Tabla3[Medida],Tabla3[Equivalencia en Kg],"ELVIS",0)</f>
        <v>24.397413286302246</v>
      </c>
      <c r="M2874">
        <v>26088.260008087302</v>
      </c>
      <c r="N2874" s="2">
        <f>(Tabla2[[#This Row],[Productividad (kg/TAS)]]*Tabla2[[#This Row],[Precio por kg]]-Tabla2[[#This Row],[Costos (En RD$/Tarea)]])</f>
        <v>14496.216720457342</v>
      </c>
      <c r="O2874" s="6">
        <f>IF(Tabla2[[#This Row],[Costos (En RD$/Tarea)]]=0,0,Tabla2[[#This Row],[Beneficio Neto  (En RD$/Tarea)]]/Tabla2[[#This Row],[Costos (En RD$/Tarea)]])</f>
        <v>0.55566054294014045</v>
      </c>
      <c r="P2874" s="4">
        <f>Tabla2[[#This Row],[Rentabilidad (%)]]/12</f>
        <v>4.6305045245011701E-2</v>
      </c>
    </row>
    <row r="2875" spans="1:16" x14ac:dyDescent="0.35">
      <c r="A2875" s="1">
        <v>43800</v>
      </c>
      <c r="B2875" t="s">
        <v>24</v>
      </c>
      <c r="C2875" s="2">
        <v>8608.2000000000007</v>
      </c>
      <c r="D2875" s="5" t="s">
        <v>17</v>
      </c>
      <c r="E2875" s="2">
        <f>IF(Tabla2[[#This Row],[Frecuencia]]="Annual", Tabla2[[#This Row],[Cosecha/Tarea]]/12,Tabla2[[#This Row],[Cosecha/Tarea]])</f>
        <v>8608.2000000000007</v>
      </c>
      <c r="F2875" s="2">
        <v>86148</v>
      </c>
      <c r="G2875" t="s">
        <v>18</v>
      </c>
      <c r="H2875">
        <f>F2875/Tabla2[[#This Row],[Cosecha Mensual]]</f>
        <v>10.007667108106224</v>
      </c>
      <c r="I2875">
        <f>H2875*_xlfn.XLOOKUP(Tabla2[[#This Row],[Unidad de producción]],Tabla3[Medida],Tabla3[Equivalencia en Kg],"ELVIS",0)</f>
        <v>453.94778002369833</v>
      </c>
      <c r="J2875">
        <v>3248.0894097222199</v>
      </c>
      <c r="K2875" t="s">
        <v>18</v>
      </c>
      <c r="L2875">
        <f>J2875/_xlfn.XLOOKUP(Tabla2[[#This Row],[Unidad de precio]],Tabla3[Medida],Tabla3[Equivalencia en Kg],"ELVIS",0)</f>
        <v>71.606909385410489</v>
      </c>
      <c r="M2875">
        <v>8388.8026628831994</v>
      </c>
      <c r="N2875" s="2">
        <f>(Tabla2[[#This Row],[Productividad (kg/TAS)]]*Tabla2[[#This Row],[Precio por kg]]-Tabla2[[#This Row],[Costos (En RD$/Tarea)]])</f>
        <v>24116.994886982022</v>
      </c>
      <c r="O2875" s="6">
        <f>IF(Tabla2[[#This Row],[Costos (En RD$/Tarea)]]=0,0,Tabla2[[#This Row],[Beneficio Neto  (En RD$/Tarea)]]/Tabla2[[#This Row],[Costos (En RD$/Tarea)]])</f>
        <v>2.8749031126562588</v>
      </c>
      <c r="P2875" s="4">
        <f>Tabla2[[#This Row],[Rentabilidad (%)]]/12</f>
        <v>0.23957525938802157</v>
      </c>
    </row>
    <row r="2876" spans="1:16" x14ac:dyDescent="0.35">
      <c r="A2876" s="1">
        <v>43800</v>
      </c>
      <c r="B2876" t="s">
        <v>25</v>
      </c>
      <c r="C2876" s="2">
        <v>31001</v>
      </c>
      <c r="D2876" s="5" t="s">
        <v>17</v>
      </c>
      <c r="E2876" s="2">
        <f>IF(Tabla2[[#This Row],[Frecuencia]]="Annual", Tabla2[[#This Row],[Cosecha/Tarea]]/12,Tabla2[[#This Row],[Cosecha/Tarea]])</f>
        <v>31001</v>
      </c>
      <c r="F2876" s="2">
        <v>363707</v>
      </c>
      <c r="G2876" t="s">
        <v>18</v>
      </c>
      <c r="H2876">
        <f>F2876/Tabla2[[#This Row],[Cosecha Mensual]]</f>
        <v>11.732105415954324</v>
      </c>
      <c r="I2876">
        <f>H2876*_xlfn.XLOOKUP(Tabla2[[#This Row],[Unidad de producción]],Tabla3[Medida],Tabla3[Equivalencia en Kg],"ELVIS",0)</f>
        <v>532.16830166768818</v>
      </c>
      <c r="J2876">
        <v>751.41675486111103</v>
      </c>
      <c r="K2876" t="s">
        <v>18</v>
      </c>
      <c r="L2876">
        <f>J2876/_xlfn.XLOOKUP(Tabla2[[#This Row],[Unidad de precio]],Tabla3[Medida],Tabla3[Equivalencia en Kg],"ELVIS",0)</f>
        <v>16.565625107167349</v>
      </c>
      <c r="M2876">
        <v>4718.2914901260801</v>
      </c>
      <c r="N2876" s="2">
        <f>(Tabla2[[#This Row],[Productividad (kg/TAS)]]*Tabla2[[#This Row],[Precio por kg]]-Tabla2[[#This Row],[Costos (En RD$/Tarea)]])</f>
        <v>4097.4090892187842</v>
      </c>
      <c r="O2876" s="6">
        <f>IF(Tabla2[[#This Row],[Costos (En RD$/Tarea)]]=0,0,Tabla2[[#This Row],[Beneficio Neto  (En RD$/Tarea)]]/Tabla2[[#This Row],[Costos (En RD$/Tarea)]])</f>
        <v>0.86840948631371973</v>
      </c>
      <c r="P2876" s="4">
        <f>Tabla2[[#This Row],[Rentabilidad (%)]]/12</f>
        <v>7.2367457192809972E-2</v>
      </c>
    </row>
    <row r="2877" spans="1:16" x14ac:dyDescent="0.35">
      <c r="A2877" s="1">
        <v>43800</v>
      </c>
      <c r="B2877" t="s">
        <v>26</v>
      </c>
      <c r="C2877" s="2">
        <v>14347</v>
      </c>
      <c r="D2877" s="5" t="s">
        <v>17</v>
      </c>
      <c r="E2877" s="2">
        <f>IF(Tabla2[[#This Row],[Frecuencia]]="Annual", Tabla2[[#This Row],[Cosecha/Tarea]]/12,Tabla2[[#This Row],[Cosecha/Tarea]])</f>
        <v>14347</v>
      </c>
      <c r="F2877" s="2">
        <v>98559</v>
      </c>
      <c r="G2877" t="s">
        <v>18</v>
      </c>
      <c r="H2877">
        <f>F2877/Tabla2[[#This Row],[Cosecha Mensual]]</f>
        <v>6.8696591621941874</v>
      </c>
      <c r="I2877">
        <f>H2877*_xlfn.XLOOKUP(Tabla2[[#This Row],[Unidad de producción]],Tabla3[Medida],Tabla3[Equivalencia en Kg],"ELVIS",0)</f>
        <v>311.60773959712833</v>
      </c>
      <c r="J2877">
        <v>957.600694444444</v>
      </c>
      <c r="K2877" t="s">
        <v>18</v>
      </c>
      <c r="L2877">
        <f>J2877/_xlfn.XLOOKUP(Tabla2[[#This Row],[Unidad de precio]],Tabla3[Medida],Tabla3[Equivalencia en Kg],"ELVIS",0)</f>
        <v>21.111126420732894</v>
      </c>
      <c r="M2877">
        <v>1668.6966112895</v>
      </c>
      <c r="N2877" s="2">
        <f>(Tabla2[[#This Row],[Productividad (kg/TAS)]]*Tabla2[[#This Row],[Precio por kg]]-Tabla2[[#This Row],[Costos (En RD$/Tarea)]])</f>
        <v>4909.6937730242917</v>
      </c>
      <c r="O2877" s="6">
        <f>IF(Tabla2[[#This Row],[Costos (En RD$/Tarea)]]=0,0,Tabla2[[#This Row],[Beneficio Neto  (En RD$/Tarea)]]/Tabla2[[#This Row],[Costos (En RD$/Tarea)]])</f>
        <v>2.9422327221185416</v>
      </c>
      <c r="P2877" s="4">
        <f>Tabla2[[#This Row],[Rentabilidad (%)]]/12</f>
        <v>0.24518606017654512</v>
      </c>
    </row>
    <row r="2878" spans="1:16" x14ac:dyDescent="0.35">
      <c r="A2878" s="1">
        <v>43800</v>
      </c>
      <c r="B2878" t="s">
        <v>27</v>
      </c>
      <c r="C2878" s="2">
        <v>7644</v>
      </c>
      <c r="D2878" s="5" t="s">
        <v>17</v>
      </c>
      <c r="E2878" s="2">
        <f>IF(Tabla2[[#This Row],[Frecuencia]]="Annual", Tabla2[[#This Row],[Cosecha/Tarea]]/12,Tabla2[[#This Row],[Cosecha/Tarea]])</f>
        <v>7644</v>
      </c>
      <c r="F2878" s="2">
        <v>46598</v>
      </c>
      <c r="G2878" t="s">
        <v>18</v>
      </c>
      <c r="H2878">
        <f>F2878/Tabla2[[#This Row],[Cosecha Mensual]]</f>
        <v>6.0960230245944533</v>
      </c>
      <c r="I2878">
        <f>H2878*_xlfn.XLOOKUP(Tabla2[[#This Row],[Unidad de producción]],Tabla3[Medida],Tabla3[Equivalencia en Kg],"ELVIS",0)</f>
        <v>276.51560439560438</v>
      </c>
      <c r="J2878">
        <v>898.16190476190502</v>
      </c>
      <c r="K2878" t="s">
        <v>18</v>
      </c>
      <c r="L2878">
        <f>J2878/_xlfn.XLOOKUP(Tabla2[[#This Row],[Unidad de precio]],Tabla3[Medida],Tabla3[Equivalencia en Kg],"ELVIS",0)</f>
        <v>19.800747459477623</v>
      </c>
      <c r="M2878">
        <v>9222.1943510245001</v>
      </c>
      <c r="N2878" s="2">
        <f>(Tabla2[[#This Row],[Productividad (kg/TAS)]]*Tabla2[[#This Row],[Precio por kg]]-Tabla2[[#This Row],[Costos (En RD$/Tarea)]])</f>
        <v>-3746.9786997823167</v>
      </c>
      <c r="O2878" s="6">
        <f>IF(Tabla2[[#This Row],[Costos (En RD$/Tarea)]]=0,0,Tabla2[[#This Row],[Beneficio Neto  (En RD$/Tarea)]]/Tabla2[[#This Row],[Costos (En RD$/Tarea)]])</f>
        <v>-0.40630012306843893</v>
      </c>
      <c r="P2878" s="4">
        <f>Tabla2[[#This Row],[Rentabilidad (%)]]/12</f>
        <v>-3.3858343589036576E-2</v>
      </c>
    </row>
    <row r="2879" spans="1:16" x14ac:dyDescent="0.35">
      <c r="A2879" s="1">
        <v>43800</v>
      </c>
      <c r="B2879" t="s">
        <v>28</v>
      </c>
      <c r="C2879" s="2">
        <v>67246</v>
      </c>
      <c r="D2879" s="5" t="s">
        <v>17</v>
      </c>
      <c r="E2879" s="2">
        <f>IF(Tabla2[[#This Row],[Frecuencia]]="Annual", Tabla2[[#This Row],[Cosecha/Tarea]]/12,Tabla2[[#This Row],[Cosecha/Tarea]])</f>
        <v>67246</v>
      </c>
      <c r="F2879" s="2">
        <v>1454940</v>
      </c>
      <c r="G2879" t="s">
        <v>18</v>
      </c>
      <c r="H2879">
        <f>F2879/Tabla2[[#This Row],[Cosecha Mensual]]</f>
        <v>21.636082443565417</v>
      </c>
      <c r="I2879">
        <f>H2879*_xlfn.XLOOKUP(Tabla2[[#This Row],[Unidad de producción]],Tabla3[Medida],Tabla3[Equivalencia en Kg],"ELVIS",0)</f>
        <v>981.41269964012736</v>
      </c>
      <c r="J2879">
        <v>6977.0208333333303</v>
      </c>
      <c r="K2879" t="s">
        <v>29</v>
      </c>
      <c r="L2879">
        <f>J2879/_xlfn.XLOOKUP(Tabla2[[#This Row],[Unidad de precio]],Tabla3[Medida],Tabla3[Equivalencia en Kg],"ELVIS",0)</f>
        <v>12.407121729440071</v>
      </c>
      <c r="M2879">
        <v>7149.9398177165003</v>
      </c>
      <c r="N2879" s="2">
        <f>(Tabla2[[#This Row],[Productividad (kg/TAS)]]*Tabla2[[#This Row],[Precio por kg]]-Tabla2[[#This Row],[Costos (En RD$/Tarea)]])</f>
        <v>5026.5670135369655</v>
      </c>
      <c r="O2879" s="6">
        <f>IF(Tabla2[[#This Row],[Costos (En RD$/Tarea)]]=0,0,Tabla2[[#This Row],[Beneficio Neto  (En RD$/Tarea)]]/Tabla2[[#This Row],[Costos (En RD$/Tarea)]])</f>
        <v>0.70302228294032221</v>
      </c>
      <c r="P2879" s="4">
        <f>Tabla2[[#This Row],[Rentabilidad (%)]]/12</f>
        <v>5.8585190245026848E-2</v>
      </c>
    </row>
    <row r="2880" spans="1:16" x14ac:dyDescent="0.35">
      <c r="A2880" s="1">
        <v>43800</v>
      </c>
      <c r="B2880" t="s">
        <v>30</v>
      </c>
      <c r="C2880" s="2">
        <v>410241</v>
      </c>
      <c r="D2880" s="2" t="s">
        <v>31</v>
      </c>
      <c r="E2880" s="2">
        <f>IF(Tabla2[[#This Row],[Frecuencia]]="Annual", Tabla2[[#This Row],[Cosecha/Tarea]]/12,Tabla2[[#This Row],[Cosecha/Tarea]])</f>
        <v>34186.75</v>
      </c>
      <c r="F2880" s="2">
        <v>2154866.4</v>
      </c>
      <c r="G2880" t="s">
        <v>18</v>
      </c>
      <c r="H2880">
        <f>F2880/Tabla2[[#This Row],[Cosecha Mensual]]</f>
        <v>63.03220984738239</v>
      </c>
      <c r="I2880">
        <f>H2880*_xlfn.XLOOKUP(Tabla2[[#This Row],[Unidad de producción]],Tabla3[Medida],Tabla3[Equivalencia en Kg],"ELVIS",0)</f>
        <v>2859.141038677265</v>
      </c>
      <c r="J2880">
        <v>188.27291666666699</v>
      </c>
      <c r="K2880" t="s">
        <v>32</v>
      </c>
      <c r="L2880">
        <f>J2880/_xlfn.XLOOKUP(Tabla2[[#This Row],[Unidad de precio]],Tabla3[Medida],Tabla3[Equivalencia en Kg],"ELVIS",0)</f>
        <v>6.9192545632733182</v>
      </c>
      <c r="M2880" s="2">
        <v>35445.717948420002</v>
      </c>
      <c r="N2880" s="2">
        <f>(Tabla2[[#This Row],[Productividad (kg/TAS)]]*Tabla2[[#This Row],[Precio por kg]]-Tabla2[[#This Row],[Costos (En RD$/Tarea)]])</f>
        <v>-15662.593269510322</v>
      </c>
      <c r="O2880" s="6">
        <f>IF(Tabla2[[#This Row],[Costos (En RD$/Tarea)]]=0,0,Tabla2[[#This Row],[Beneficio Neto  (En RD$/Tarea)]]/Tabla2[[#This Row],[Costos (En RD$/Tarea)]])</f>
        <v>-0.4418754697620248</v>
      </c>
      <c r="P2880" s="4">
        <f>Tabla2[[#This Row],[Rentabilidad (%)]]/12</f>
        <v>-3.6822955813502069E-2</v>
      </c>
    </row>
    <row r="2881" spans="1:16" x14ac:dyDescent="0.35">
      <c r="A2881" s="1">
        <v>43800</v>
      </c>
      <c r="B2881" t="s">
        <v>33</v>
      </c>
      <c r="C2881" s="2">
        <v>780381</v>
      </c>
      <c r="D2881" s="2" t="s">
        <v>31</v>
      </c>
      <c r="E2881" s="8">
        <f>IF(Tabla2[[#This Row],[Frecuencia]]="Annual", Tabla2[[#This Row],[Cosecha/Tarea]]/12,Tabla2[[#This Row],[Cosecha/Tarea]])</f>
        <v>65031.75</v>
      </c>
      <c r="F2881" s="2">
        <v>1349613</v>
      </c>
      <c r="G2881" t="s">
        <v>18</v>
      </c>
      <c r="H2881">
        <f>F2881/Tabla2[[#This Row],[Cosecha Mensual]]</f>
        <v>20.753139812476213</v>
      </c>
      <c r="I2881">
        <f>H2881*_xlfn.XLOOKUP(Tabla2[[#This Row],[Unidad de producción]],Tabla3[Medida],Tabla3[Equivalencia en Kg],"ELVIS",0)</f>
        <v>941.36242189392101</v>
      </c>
      <c r="J2881">
        <v>10863.830729166701</v>
      </c>
      <c r="K2881" t="s">
        <v>34</v>
      </c>
      <c r="L2881">
        <f>J2881/_xlfn.XLOOKUP(Tabla2[[#This Row],[Unidad de precio]],Tabla3[Medida],Tabla3[Equivalencia en Kg],"ELVIS",0)</f>
        <v>26.6172503470947</v>
      </c>
      <c r="M2881" s="2">
        <v>22691.3984505224</v>
      </c>
      <c r="N2881" s="2">
        <f>(Tabla2[[#This Row],[Productividad (kg/TAS)]]*Tabla2[[#This Row],[Precio por kg]]-Tabla2[[#This Row],[Costos (En RD$/Tarea)]])</f>
        <v>2365.0808003754755</v>
      </c>
      <c r="O2881" s="6">
        <f>IF(Tabla2[[#This Row],[Costos (En RD$/Tarea)]]=0,0,Tabla2[[#This Row],[Beneficio Neto  (En RD$/Tarea)]]/Tabla2[[#This Row],[Costos (En RD$/Tarea)]])</f>
        <v>0.10422807591750816</v>
      </c>
      <c r="P2881" s="4">
        <f>Tabla2[[#This Row],[Rentabilidad (%)]]/12</f>
        <v>8.6856729931256791E-3</v>
      </c>
    </row>
    <row r="2882" spans="1:16" x14ac:dyDescent="0.35">
      <c r="A2882" s="1">
        <v>43831</v>
      </c>
      <c r="B2882" t="s">
        <v>16</v>
      </c>
      <c r="C2882" s="2">
        <v>26476</v>
      </c>
      <c r="D2882" s="5" t="s">
        <v>17</v>
      </c>
      <c r="E2882" s="2">
        <f>IF(Tabla2[[#This Row],[Frecuencia]]="Annual", Tabla2[[#This Row],[Cosecha/Tarea]]/12,Tabla2[[#This Row],[Cosecha/Tarea]])</f>
        <v>26476</v>
      </c>
      <c r="F2882" s="2">
        <v>96176</v>
      </c>
      <c r="G2882" t="s">
        <v>18</v>
      </c>
      <c r="H2882">
        <f>F2882/Tabla2[[#This Row],[Cosecha Mensual]]</f>
        <v>3.6325728962078863</v>
      </c>
      <c r="I2882">
        <f>H2882*_xlfn.XLOOKUP(Tabla2[[#This Row],[Unidad de producción]],Tabla3[Medida],Tabla3[Equivalencia en Kg],"ELVIS",0)</f>
        <v>164.77350657198971</v>
      </c>
      <c r="J2882">
        <v>2247.26293202237</v>
      </c>
      <c r="K2882" t="s">
        <v>19</v>
      </c>
      <c r="L2882">
        <f>J2882/_xlfn.XLOOKUP(Tabla2[[#This Row],[Unidad de precio]],Tabla3[Medida],Tabla3[Equivalencia en Kg],"ELVIS",0)</f>
        <v>20.429663018385181</v>
      </c>
      <c r="M2882">
        <v>7092.5943689866499</v>
      </c>
      <c r="N2882" s="2">
        <f>(Tabla2[[#This Row],[Productividad (kg/TAS)]]*Tabla2[[#This Row],[Precio por kg]]-Tabla2[[#This Row],[Costos (En RD$/Tarea)]])</f>
        <v>-3726.3271553632239</v>
      </c>
      <c r="O2882" s="6">
        <f>IF(Tabla2[[#This Row],[Costos (En RD$/Tarea)]]=0,0,Tabla2[[#This Row],[Beneficio Neto  (En RD$/Tarea)]]/Tabla2[[#This Row],[Costos (En RD$/Tarea)]])</f>
        <v>-0.52538280937890725</v>
      </c>
      <c r="P2882" s="4">
        <f>Tabla2[[#This Row],[Rentabilidad (%)]]/12</f>
        <v>-4.3781900781575601E-2</v>
      </c>
    </row>
    <row r="2883" spans="1:16" x14ac:dyDescent="0.35">
      <c r="A2883" s="1">
        <v>43831</v>
      </c>
      <c r="B2883" t="s">
        <v>20</v>
      </c>
      <c r="C2883" s="2">
        <v>65213.8926162891</v>
      </c>
      <c r="D2883" s="5" t="s">
        <v>17</v>
      </c>
      <c r="E2883" s="2">
        <f>IF(Tabla2[[#This Row],[Frecuencia]]="Annual", Tabla2[[#This Row],[Cosecha/Tarea]]/12,Tabla2[[#This Row],[Cosecha/Tarea]])</f>
        <v>65213.8926162891</v>
      </c>
      <c r="F2883" s="2">
        <v>223183</v>
      </c>
      <c r="G2883" t="s">
        <v>18</v>
      </c>
      <c r="H2883">
        <f>F2883/Tabla2[[#This Row],[Cosecha Mensual]]</f>
        <v>3.4223229291522683</v>
      </c>
      <c r="I2883">
        <f>H2883*_xlfn.XLOOKUP(Tabla2[[#This Row],[Unidad de producción]],Tabla3[Medida],Tabla3[Equivalencia en Kg],"ELVIS",0)</f>
        <v>155.23656806634688</v>
      </c>
      <c r="J2883">
        <v>926.30989583333303</v>
      </c>
      <c r="K2883" t="s">
        <v>18</v>
      </c>
      <c r="L2883">
        <f>J2883/_xlfn.XLOOKUP(Tabla2[[#This Row],[Unidad de precio]],Tabla3[Medida],Tabla3[Equivalencia en Kg],"ELVIS",0)</f>
        <v>20.42129399985302</v>
      </c>
      <c r="M2883">
        <v>2584.1546858372599</v>
      </c>
      <c r="N2883" s="2">
        <f>(Tabla2[[#This Row],[Productividad (kg/TAS)]]*Tabla2[[#This Row],[Precio por kg]]-Tabla2[[#This Row],[Costos (En RD$/Tarea)]])</f>
        <v>585.97691017380475</v>
      </c>
      <c r="O2883" s="6">
        <f>IF(Tabla2[[#This Row],[Costos (En RD$/Tarea)]]=0,0,Tabla2[[#This Row],[Beneficio Neto  (En RD$/Tarea)]]/Tabla2[[#This Row],[Costos (En RD$/Tarea)]])</f>
        <v>0.22675767568610145</v>
      </c>
      <c r="P2883" s="4">
        <f>Tabla2[[#This Row],[Rentabilidad (%)]]/12</f>
        <v>1.8896472973841786E-2</v>
      </c>
    </row>
    <row r="2884" spans="1:16" x14ac:dyDescent="0.35">
      <c r="A2884" s="1">
        <v>43831</v>
      </c>
      <c r="B2884" t="s">
        <v>21</v>
      </c>
      <c r="C2884" s="2">
        <v>5985</v>
      </c>
      <c r="D2884" s="5" t="s">
        <v>17</v>
      </c>
      <c r="E2884" s="2">
        <f>IF(Tabla2[[#This Row],[Frecuencia]]="Annual", Tabla2[[#This Row],[Cosecha/Tarea]]/12,Tabla2[[#This Row],[Cosecha/Tarea]])</f>
        <v>5985</v>
      </c>
      <c r="F2884" s="2">
        <v>81124</v>
      </c>
      <c r="G2884" t="s">
        <v>18</v>
      </c>
      <c r="H2884">
        <f>F2884/Tabla2[[#This Row],[Cosecha Mensual]]</f>
        <v>13.554553049289892</v>
      </c>
      <c r="I2884">
        <f>H2884*_xlfn.XLOOKUP(Tabla2[[#This Row],[Unidad de producción]],Tabla3[Medida],Tabla3[Equivalencia en Kg],"ELVIS",0)</f>
        <v>614.8345263157895</v>
      </c>
      <c r="J2884">
        <v>661.37690476190505</v>
      </c>
      <c r="K2884" t="s">
        <v>18</v>
      </c>
      <c r="L2884">
        <f>J2884/_xlfn.XLOOKUP(Tabla2[[#This Row],[Unidad de precio]],Tabla3[Medida],Tabla3[Equivalencia en Kg],"ELVIS",0)</f>
        <v>14.580619593516426</v>
      </c>
      <c r="M2884">
        <v>6271.4601073596496</v>
      </c>
      <c r="N2884" s="2">
        <f>(Tabla2[[#This Row],[Productividad (kg/TAS)]]*Tabla2[[#This Row],[Precio por kg]]-Tabla2[[#This Row],[Costos (En RD$/Tarea)]])</f>
        <v>2693.2082338107411</v>
      </c>
      <c r="O2884" s="6">
        <f>IF(Tabla2[[#This Row],[Costos (En RD$/Tarea)]]=0,0,Tabla2[[#This Row],[Beneficio Neto  (En RD$/Tarea)]]/Tabla2[[#This Row],[Costos (En RD$/Tarea)]])</f>
        <v>0.42943878900708021</v>
      </c>
      <c r="P2884" s="4">
        <f>Tabla2[[#This Row],[Rentabilidad (%)]]/12</f>
        <v>3.578656575059002E-2</v>
      </c>
    </row>
    <row r="2885" spans="1:16" x14ac:dyDescent="0.35">
      <c r="A2885" s="1">
        <v>43831</v>
      </c>
      <c r="B2885" t="s">
        <v>22</v>
      </c>
      <c r="C2885" s="2">
        <v>9353.8616020197405</v>
      </c>
      <c r="D2885" s="5" t="s">
        <v>17</v>
      </c>
      <c r="E2885" s="2">
        <f>IF(Tabla2[[#This Row],[Frecuencia]]="Annual", Tabla2[[#This Row],[Cosecha/Tarea]]/12,Tabla2[[#This Row],[Cosecha/Tarea]])</f>
        <v>9353.8616020197405</v>
      </c>
      <c r="F2885" s="2">
        <v>82144</v>
      </c>
      <c r="G2885" t="s">
        <v>18</v>
      </c>
      <c r="H2885">
        <f>F2885/Tabla2[[#This Row],[Cosecha Mensual]]</f>
        <v>8.7818276017963512</v>
      </c>
      <c r="I2885">
        <f>H2885*_xlfn.XLOOKUP(Tabla2[[#This Row],[Unidad de producción]],Tabla3[Medida],Tabla3[Equivalencia en Kg],"ELVIS",0)</f>
        <v>398.34370001748249</v>
      </c>
      <c r="J2885">
        <v>1651.2239583333301</v>
      </c>
      <c r="K2885" t="s">
        <v>18</v>
      </c>
      <c r="L2885">
        <f>J2885/_xlfn.XLOOKUP(Tabla2[[#This Row],[Unidad de precio]],Tabla3[Medida],Tabla3[Equivalencia en Kg],"ELVIS",0)</f>
        <v>36.402644584068121</v>
      </c>
      <c r="M2885">
        <v>10873.3452772193</v>
      </c>
      <c r="N2885" s="2">
        <f>(Tabla2[[#This Row],[Productividad (kg/TAS)]]*Tabla2[[#This Row],[Precio por kg]]-Tabla2[[#This Row],[Costos (En RD$/Tarea)]])</f>
        <v>3627.418856819766</v>
      </c>
      <c r="O2885" s="6">
        <f>IF(Tabla2[[#This Row],[Costos (En RD$/Tarea)]]=0,0,Tabla2[[#This Row],[Beneficio Neto  (En RD$/Tarea)]]/Tabla2[[#This Row],[Costos (En RD$/Tarea)]])</f>
        <v>0.33360651798849394</v>
      </c>
      <c r="P2885" s="4">
        <f>Tabla2[[#This Row],[Rentabilidad (%)]]/12</f>
        <v>2.780054316570783E-2</v>
      </c>
    </row>
    <row r="2886" spans="1:16" x14ac:dyDescent="0.35">
      <c r="A2886" s="1">
        <v>43831</v>
      </c>
      <c r="B2886" t="s">
        <v>23</v>
      </c>
      <c r="C2886" s="2">
        <v>5102</v>
      </c>
      <c r="D2886" s="5" t="s">
        <v>17</v>
      </c>
      <c r="E2886" s="2">
        <f>IF(Tabla2[[#This Row],[Frecuencia]]="Annual", Tabla2[[#This Row],[Cosecha/Tarea]]/12,Tabla2[[#This Row],[Cosecha/Tarea]])</f>
        <v>5102</v>
      </c>
      <c r="F2886" s="2">
        <v>144598</v>
      </c>
      <c r="G2886" t="s">
        <v>18</v>
      </c>
      <c r="H2886">
        <f>F2886/Tabla2[[#This Row],[Cosecha Mensual]]</f>
        <v>28.34143473147785</v>
      </c>
      <c r="I2886">
        <f>H2886*_xlfn.XLOOKUP(Tabla2[[#This Row],[Unidad de producción]],Tabla3[Medida],Tabla3[Equivalencia en Kg],"ELVIS",0)</f>
        <v>1285.5674794198353</v>
      </c>
      <c r="J2886">
        <v>1242.75</v>
      </c>
      <c r="K2886" t="s">
        <v>18</v>
      </c>
      <c r="L2886">
        <f>J2886/_xlfn.XLOOKUP(Tabla2[[#This Row],[Unidad de precio]],Tabla3[Medida],Tabla3[Equivalencia en Kg],"ELVIS",0)</f>
        <v>27.397486772486772</v>
      </c>
      <c r="M2886">
        <v>28931.455637376999</v>
      </c>
      <c r="N2886" s="2">
        <f>(Tabla2[[#This Row],[Productividad (kg/TAS)]]*Tabla2[[#This Row],[Precio por kg]]-Tabla2[[#This Row],[Costos (En RD$/Tarea)]])</f>
        <v>6289.8623751671003</v>
      </c>
      <c r="O2886" s="6">
        <f>IF(Tabla2[[#This Row],[Costos (En RD$/Tarea)]]=0,0,Tabla2[[#This Row],[Beneficio Neto  (En RD$/Tarea)]]/Tabla2[[#This Row],[Costos (En RD$/Tarea)]])</f>
        <v>0.2174056657917042</v>
      </c>
      <c r="P2886" s="4">
        <f>Tabla2[[#This Row],[Rentabilidad (%)]]/12</f>
        <v>1.8117138815975351E-2</v>
      </c>
    </row>
    <row r="2887" spans="1:16" x14ac:dyDescent="0.35">
      <c r="A2887" s="1">
        <v>43831</v>
      </c>
      <c r="B2887" t="s">
        <v>24</v>
      </c>
      <c r="C2887" s="2">
        <v>5758</v>
      </c>
      <c r="D2887" s="5" t="s">
        <v>17</v>
      </c>
      <c r="E2887" s="2">
        <f>IF(Tabla2[[#This Row],[Frecuencia]]="Annual", Tabla2[[#This Row],[Cosecha/Tarea]]/12,Tabla2[[#This Row],[Cosecha/Tarea]])</f>
        <v>5758</v>
      </c>
      <c r="F2887" s="2">
        <v>66541</v>
      </c>
      <c r="G2887" t="s">
        <v>18</v>
      </c>
      <c r="H2887">
        <f>F2887/Tabla2[[#This Row],[Cosecha Mensual]]</f>
        <v>11.556269538034039</v>
      </c>
      <c r="I2887">
        <f>H2887*_xlfn.XLOOKUP(Tabla2[[#This Row],[Unidad de producción]],Tabla3[Medida],Tabla3[Equivalencia en Kg],"ELVIS",0)</f>
        <v>524.19238624522404</v>
      </c>
      <c r="J2887">
        <v>3077.6488095238101</v>
      </c>
      <c r="K2887" t="s">
        <v>18</v>
      </c>
      <c r="L2887">
        <f>J2887/_xlfn.XLOOKUP(Tabla2[[#This Row],[Unidad de precio]],Tabla3[Medida],Tabla3[Equivalencia en Kg],"ELVIS",0)</f>
        <v>67.849400562694228</v>
      </c>
      <c r="M2887">
        <v>8997.8297362085195</v>
      </c>
      <c r="N2887" s="2">
        <f>(Tabla2[[#This Row],[Productividad (kg/TAS)]]*Tabla2[[#This Row],[Precio por kg]]-Tabla2[[#This Row],[Costos (En RD$/Tarea)]])</f>
        <v>26568.309450058216</v>
      </c>
      <c r="O2887" s="6">
        <f>IF(Tabla2[[#This Row],[Costos (En RD$/Tarea)]]=0,0,Tabla2[[#This Row],[Beneficio Neto  (En RD$/Tarea)]]/Tabla2[[#This Row],[Costos (En RD$/Tarea)]])</f>
        <v>2.9527464098529936</v>
      </c>
      <c r="P2887" s="4">
        <f>Tabla2[[#This Row],[Rentabilidad (%)]]/12</f>
        <v>0.24606220082108279</v>
      </c>
    </row>
    <row r="2888" spans="1:16" x14ac:dyDescent="0.35">
      <c r="A2888" s="1">
        <v>43831</v>
      </c>
      <c r="B2888" t="s">
        <v>25</v>
      </c>
      <c r="C2888" s="2">
        <v>26584</v>
      </c>
      <c r="D2888" s="5" t="s">
        <v>17</v>
      </c>
      <c r="E2888" s="2">
        <f>IF(Tabla2[[#This Row],[Frecuencia]]="Annual", Tabla2[[#This Row],[Cosecha/Tarea]]/12,Tabla2[[#This Row],[Cosecha/Tarea]])</f>
        <v>26584</v>
      </c>
      <c r="F2888" s="2">
        <v>279985</v>
      </c>
      <c r="G2888" t="s">
        <v>18</v>
      </c>
      <c r="H2888">
        <f>F2888/Tabla2[[#This Row],[Cosecha Mensual]]</f>
        <v>10.532086969605778</v>
      </c>
      <c r="I2888">
        <f>H2888*_xlfn.XLOOKUP(Tabla2[[#This Row],[Unidad de producción]],Tabla3[Medida],Tabla3[Equivalencia en Kg],"ELVIS",0)</f>
        <v>477.73546494131813</v>
      </c>
      <c r="J2888">
        <v>741.01208333333295</v>
      </c>
      <c r="K2888" t="s">
        <v>18</v>
      </c>
      <c r="L2888">
        <f>J2888/_xlfn.XLOOKUP(Tabla2[[#This Row],[Unidad de precio]],Tabla3[Medida],Tabla3[Equivalencia en Kg],"ELVIS",0)</f>
        <v>16.336245223397992</v>
      </c>
      <c r="M2888">
        <v>5060.8394523092302</v>
      </c>
      <c r="N2888" s="2">
        <f>(Tabla2[[#This Row],[Productividad (kg/TAS)]]*Tabla2[[#This Row],[Precio por kg]]-Tabla2[[#This Row],[Costos (En RD$/Tarea)]])</f>
        <v>2743.564254886197</v>
      </c>
      <c r="O2888" s="6">
        <f>IF(Tabla2[[#This Row],[Costos (En RD$/Tarea)]]=0,0,Tabla2[[#This Row],[Beneficio Neto  (En RD$/Tarea)]]/Tabla2[[#This Row],[Costos (En RD$/Tarea)]])</f>
        <v>0.54211643754759409</v>
      </c>
      <c r="P2888" s="4">
        <f>Tabla2[[#This Row],[Rentabilidad (%)]]/12</f>
        <v>4.5176369795632838E-2</v>
      </c>
    </row>
    <row r="2889" spans="1:16" x14ac:dyDescent="0.35">
      <c r="A2889" s="1">
        <v>43831</v>
      </c>
      <c r="B2889" t="s">
        <v>26</v>
      </c>
      <c r="C2889" s="2">
        <v>13754</v>
      </c>
      <c r="D2889" s="5" t="s">
        <v>17</v>
      </c>
      <c r="E2889" s="2">
        <f>IF(Tabla2[[#This Row],[Frecuencia]]="Annual", Tabla2[[#This Row],[Cosecha/Tarea]]/12,Tabla2[[#This Row],[Cosecha/Tarea]])</f>
        <v>13754</v>
      </c>
      <c r="F2889" s="2">
        <v>88954</v>
      </c>
      <c r="G2889" t="s">
        <v>18</v>
      </c>
      <c r="H2889">
        <f>F2889/Tabla2[[#This Row],[Cosecha Mensual]]</f>
        <v>6.4675003635306094</v>
      </c>
      <c r="I2889">
        <f>H2889*_xlfn.XLOOKUP(Tabla2[[#This Row],[Unidad de producción]],Tabla3[Medida],Tabla3[Equivalencia en Kg],"ELVIS",0)</f>
        <v>293.36581648974845</v>
      </c>
      <c r="J2889">
        <v>795.64761904761895</v>
      </c>
      <c r="K2889" t="s">
        <v>18</v>
      </c>
      <c r="L2889">
        <f>J2889/_xlfn.XLOOKUP(Tabla2[[#This Row],[Unidad de precio]],Tabla3[Medida],Tabla3[Equivalencia en Kg],"ELVIS",0)</f>
        <v>17.540732342319643</v>
      </c>
      <c r="M2889">
        <v>1789.8439852691199</v>
      </c>
      <c r="N2889" s="2">
        <f>(Tabla2[[#This Row],[Productividad (kg/TAS)]]*Tabla2[[#This Row],[Precio por kg]]-Tabla2[[#This Row],[Costos (En RD$/Tarea)]])</f>
        <v>3356.0072801636197</v>
      </c>
      <c r="O2889" s="6">
        <f>IF(Tabla2[[#This Row],[Costos (En RD$/Tarea)]]=0,0,Tabla2[[#This Row],[Beneficio Neto  (En RD$/Tarea)]]/Tabla2[[#This Row],[Costos (En RD$/Tarea)]])</f>
        <v>1.8750278280031276</v>
      </c>
      <c r="P2889" s="4">
        <f>Tabla2[[#This Row],[Rentabilidad (%)]]/12</f>
        <v>0.15625231900026063</v>
      </c>
    </row>
    <row r="2890" spans="1:16" x14ac:dyDescent="0.35">
      <c r="A2890" s="1">
        <v>43831</v>
      </c>
      <c r="B2890" t="s">
        <v>27</v>
      </c>
      <c r="C2890" s="2">
        <v>7105</v>
      </c>
      <c r="D2890" s="5" t="s">
        <v>17</v>
      </c>
      <c r="E2890" s="2">
        <f>IF(Tabla2[[#This Row],[Frecuencia]]="Annual", Tabla2[[#This Row],[Cosecha/Tarea]]/12,Tabla2[[#This Row],[Cosecha/Tarea]])</f>
        <v>7105</v>
      </c>
      <c r="F2890" s="2">
        <v>58547</v>
      </c>
      <c r="G2890" t="s">
        <v>18</v>
      </c>
      <c r="H2890">
        <f>F2890/Tabla2[[#This Row],[Cosecha Mensual]]</f>
        <v>8.2402533427163966</v>
      </c>
      <c r="I2890">
        <f>H2890*_xlfn.XLOOKUP(Tabla2[[#This Row],[Unidad de producción]],Tabla3[Medida],Tabla3[Equivalencia en Kg],"ELVIS",0)</f>
        <v>373.77789162561572</v>
      </c>
      <c r="J2890">
        <v>779.94841269841299</v>
      </c>
      <c r="K2890" t="s">
        <v>18</v>
      </c>
      <c r="L2890">
        <f>J2890/_xlfn.XLOOKUP(Tabla2[[#This Row],[Unidad de precio]],Tabla3[Medida],Tabla3[Equivalencia en Kg],"ELVIS",0)</f>
        <v>17.194629909577007</v>
      </c>
      <c r="M2890">
        <v>9891.7256609088799</v>
      </c>
      <c r="N2890" s="2">
        <f>(Tabla2[[#This Row],[Productividad (kg/TAS)]]*Tabla2[[#This Row],[Precio por kg]]-Tabla2[[#This Row],[Costos (En RD$/Tarea)]])</f>
        <v>-3464.7531460244345</v>
      </c>
      <c r="O2890" s="6">
        <f>IF(Tabla2[[#This Row],[Costos (En RD$/Tarea)]]=0,0,Tabla2[[#This Row],[Beneficio Neto  (En RD$/Tarea)]]/Tabla2[[#This Row],[Costos (En RD$/Tarea)]])</f>
        <v>-0.35026781623319736</v>
      </c>
      <c r="P2890" s="4">
        <f>Tabla2[[#This Row],[Rentabilidad (%)]]/12</f>
        <v>-2.9188984686099779E-2</v>
      </c>
    </row>
    <row r="2891" spans="1:16" x14ac:dyDescent="0.35">
      <c r="A2891" s="1">
        <v>43831</v>
      </c>
      <c r="B2891" t="s">
        <v>28</v>
      </c>
      <c r="C2891" s="2">
        <v>72972.999999999898</v>
      </c>
      <c r="D2891" s="5" t="s">
        <v>17</v>
      </c>
      <c r="E2891" s="2">
        <f>IF(Tabla2[[#This Row],[Frecuencia]]="Annual", Tabla2[[#This Row],[Cosecha/Tarea]]/12,Tabla2[[#This Row],[Cosecha/Tarea]])</f>
        <v>72972.999999999898</v>
      </c>
      <c r="F2891" s="2">
        <v>1283982.8</v>
      </c>
      <c r="G2891" t="s">
        <v>18</v>
      </c>
      <c r="H2891">
        <f>F2891/Tabla2[[#This Row],[Cosecha Mensual]]</f>
        <v>17.595313335069161</v>
      </c>
      <c r="I2891">
        <f>H2891*_xlfn.XLOOKUP(Tabla2[[#This Row],[Unidad de producción]],Tabla3[Medida],Tabla3[Equivalencia en Kg],"ELVIS",0)</f>
        <v>798.1234128787371</v>
      </c>
      <c r="J2891">
        <v>3391.6666666666702</v>
      </c>
      <c r="K2891" t="s">
        <v>29</v>
      </c>
      <c r="L2891">
        <f>J2891/_xlfn.XLOOKUP(Tabla2[[#This Row],[Unidad de precio]],Tabla3[Medida],Tabla3[Equivalencia en Kg],"ELVIS",0)</f>
        <v>6.0313452122677917</v>
      </c>
      <c r="M2891">
        <v>13735.141908858301</v>
      </c>
      <c r="N2891" s="2">
        <f>(Tabla2[[#This Row],[Productividad (kg/TAS)]]*Tabla2[[#This Row],[Precio por kg]]-Tabla2[[#This Row],[Costos (En RD$/Tarea)]])</f>
        <v>-8921.3840837932985</v>
      </c>
      <c r="O2891" s="6">
        <f>IF(Tabla2[[#This Row],[Costos (En RD$/Tarea)]]=0,0,Tabla2[[#This Row],[Beneficio Neto  (En RD$/Tarea)]]/Tabla2[[#This Row],[Costos (En RD$/Tarea)]])</f>
        <v>-0.64952980777283187</v>
      </c>
      <c r="P2891" s="4">
        <f>Tabla2[[#This Row],[Rentabilidad (%)]]/12</f>
        <v>-5.412748398106932E-2</v>
      </c>
    </row>
    <row r="2892" spans="1:16" x14ac:dyDescent="0.35">
      <c r="A2892" s="1">
        <v>43831</v>
      </c>
      <c r="B2892" t="s">
        <v>30</v>
      </c>
      <c r="C2892" s="2">
        <v>456254</v>
      </c>
      <c r="D2892" s="2" t="s">
        <v>31</v>
      </c>
      <c r="E2892" s="2">
        <f>IF(Tabla2[[#This Row],[Frecuencia]]="Annual", Tabla2[[#This Row],[Cosecha/Tarea]]/12,Tabla2[[#This Row],[Cosecha/Tarea]])</f>
        <v>38021.166666666664</v>
      </c>
      <c r="F2892" s="2">
        <v>2089834.8</v>
      </c>
      <c r="G2892" t="s">
        <v>18</v>
      </c>
      <c r="H2892">
        <f>F2892/Tabla2[[#This Row],[Cosecha Mensual]]</f>
        <v>54.965036142148897</v>
      </c>
      <c r="I2892">
        <f>H2892*_xlfn.XLOOKUP(Tabla2[[#This Row],[Unidad de producción]],Tabla3[Medida],Tabla3[Equivalencia en Kg],"ELVIS",0)</f>
        <v>2493.2140394078738</v>
      </c>
      <c r="J2892">
        <v>186.91874999999999</v>
      </c>
      <c r="K2892" t="s">
        <v>32</v>
      </c>
      <c r="L2892">
        <f>J2892/_xlfn.XLOOKUP(Tabla2[[#This Row],[Unidad de precio]],Tabla3[Medida],Tabla3[Equivalencia en Kg],"ELVIS",0)</f>
        <v>6.8694873208379263</v>
      </c>
      <c r="M2892" s="2">
        <v>38019.0770714752</v>
      </c>
      <c r="N2892" s="2">
        <f>(Tabla2[[#This Row],[Productividad (kg/TAS)]]*Tabla2[[#This Row],[Precio por kg]]-Tabla2[[#This Row],[Costos (En RD$/Tarea)]])</f>
        <v>-20891.974839627699</v>
      </c>
      <c r="O2892" s="6">
        <f>IF(Tabla2[[#This Row],[Costos (En RD$/Tarea)]]=0,0,Tabla2[[#This Row],[Beneficio Neto  (En RD$/Tarea)]]/Tabla2[[#This Row],[Costos (En RD$/Tarea)]])</f>
        <v>-0.5495129405785194</v>
      </c>
      <c r="P2892" s="4">
        <f>Tabla2[[#This Row],[Rentabilidad (%)]]/12</f>
        <v>-4.5792745048209953E-2</v>
      </c>
    </row>
    <row r="2893" spans="1:16" x14ac:dyDescent="0.35">
      <c r="A2893" s="1">
        <v>43831</v>
      </c>
      <c r="B2893" t="s">
        <v>33</v>
      </c>
      <c r="C2893" s="2">
        <v>667885.85938612896</v>
      </c>
      <c r="D2893" s="2" t="s">
        <v>31</v>
      </c>
      <c r="E2893" s="2">
        <f>IF(Tabla2[[#This Row],[Frecuencia]]="Annual", Tabla2[[#This Row],[Cosecha/Tarea]]/12,Tabla2[[#This Row],[Cosecha/Tarea]])</f>
        <v>55657.15494884408</v>
      </c>
      <c r="F2893" s="2">
        <v>1359225</v>
      </c>
      <c r="G2893" t="s">
        <v>18</v>
      </c>
      <c r="H2893">
        <f>F2893/Tabla2[[#This Row],[Cosecha Mensual]]</f>
        <v>24.421388431537665</v>
      </c>
      <c r="I2893">
        <f>H2893*_xlfn.XLOOKUP(Tabla2[[#This Row],[Unidad de producción]],Tabla3[Medida],Tabla3[Equivalencia en Kg],"ELVIS",0)</f>
        <v>1107.7541792545485</v>
      </c>
      <c r="J2893">
        <v>10648.969791666699</v>
      </c>
      <c r="K2893" t="s">
        <v>34</v>
      </c>
      <c r="L2893">
        <f>J2893/_xlfn.XLOOKUP(Tabla2[[#This Row],[Unidad de precio]],Tabla3[Medida],Tabla3[Equivalencia en Kg],"ELVIS",0)</f>
        <v>26.09082394136151</v>
      </c>
      <c r="M2893" s="2">
        <v>33327.4212424613</v>
      </c>
      <c r="N2893" s="2">
        <f>(Tabla2[[#This Row],[Productividad (kg/TAS)]]*Tabla2[[#This Row],[Precio por kg]]-Tabla2[[#This Row],[Costos (En RD$/Tarea)]])</f>
        <v>-4425.2019812234576</v>
      </c>
      <c r="O2893" s="6">
        <f>IF(Tabla2[[#This Row],[Costos (En RD$/Tarea)]]=0,0,Tabla2[[#This Row],[Beneficio Neto  (En RD$/Tarea)]]/Tabla2[[#This Row],[Costos (En RD$/Tarea)]])</f>
        <v>-0.13277960959023924</v>
      </c>
      <c r="P2893" s="4">
        <f>Tabla2[[#This Row],[Rentabilidad (%)]]/12</f>
        <v>-1.1064967465853269E-2</v>
      </c>
    </row>
    <row r="2894" spans="1:16" x14ac:dyDescent="0.35">
      <c r="A2894" s="1">
        <v>43862</v>
      </c>
      <c r="B2894" t="s">
        <v>16</v>
      </c>
      <c r="C2894" s="2">
        <v>6810</v>
      </c>
      <c r="D2894" s="5" t="s">
        <v>17</v>
      </c>
      <c r="E2894" s="2">
        <f>IF(Tabla2[[#This Row],[Frecuencia]]="Annual", Tabla2[[#This Row],[Cosecha/Tarea]]/12,Tabla2[[#This Row],[Cosecha/Tarea]])</f>
        <v>6810</v>
      </c>
      <c r="F2894" s="2">
        <v>35841</v>
      </c>
      <c r="G2894" t="s">
        <v>18</v>
      </c>
      <c r="H2894">
        <f>F2894/Tabla2[[#This Row],[Cosecha Mensual]]</f>
        <v>5.2629955947136562</v>
      </c>
      <c r="I2894">
        <f>H2894*_xlfn.XLOOKUP(Tabla2[[#This Row],[Unidad de producción]],Tabla3[Medida],Tabla3[Equivalencia en Kg],"ELVIS",0)</f>
        <v>238.72948017621144</v>
      </c>
      <c r="J2894">
        <v>2319.7338436621399</v>
      </c>
      <c r="K2894" t="s">
        <v>19</v>
      </c>
      <c r="L2894">
        <f>J2894/_xlfn.XLOOKUP(Tabla2[[#This Row],[Unidad de precio]],Tabla3[Medida],Tabla3[Equivalencia en Kg],"ELVIS",0)</f>
        <v>21.088489487837634</v>
      </c>
      <c r="M2894">
        <v>7092.5943689866499</v>
      </c>
      <c r="N2894" s="2">
        <f>(Tabla2[[#This Row],[Productividad (kg/TAS)]]*Tabla2[[#This Row],[Precio por kg]]-Tabla2[[#This Row],[Costos (En RD$/Tarea)]])</f>
        <v>-2058.1502358536718</v>
      </c>
      <c r="O2894" s="6">
        <f>IF(Tabla2[[#This Row],[Costos (En RD$/Tarea)]]=0,0,Tabla2[[#This Row],[Beneficio Neto  (En RD$/Tarea)]]/Tabla2[[#This Row],[Costos (En RD$/Tarea)]])</f>
        <v>-0.29018298929559799</v>
      </c>
      <c r="P2894" s="4">
        <f>Tabla2[[#This Row],[Rentabilidad (%)]]/12</f>
        <v>-2.4181915774633165E-2</v>
      </c>
    </row>
    <row r="2895" spans="1:16" x14ac:dyDescent="0.35">
      <c r="A2895" s="1">
        <v>43862</v>
      </c>
      <c r="B2895" t="s">
        <v>20</v>
      </c>
      <c r="C2895" s="2">
        <v>33345</v>
      </c>
      <c r="D2895" s="5" t="s">
        <v>17</v>
      </c>
      <c r="E2895" s="2">
        <f>IF(Tabla2[[#This Row],[Frecuencia]]="Annual", Tabla2[[#This Row],[Cosecha/Tarea]]/12,Tabla2[[#This Row],[Cosecha/Tarea]])</f>
        <v>33345</v>
      </c>
      <c r="F2895" s="2">
        <v>82541</v>
      </c>
      <c r="G2895" t="s">
        <v>18</v>
      </c>
      <c r="H2895">
        <f>F2895/Tabla2[[#This Row],[Cosecha Mensual]]</f>
        <v>2.4753636227320439</v>
      </c>
      <c r="I2895">
        <f>H2895*_xlfn.XLOOKUP(Tabla2[[#This Row],[Unidad de producción]],Tabla3[Medida],Tabla3[Equivalencia en Kg],"ELVIS",0)</f>
        <v>112.28249392712551</v>
      </c>
      <c r="J2895">
        <v>892.875</v>
      </c>
      <c r="K2895" t="s">
        <v>18</v>
      </c>
      <c r="L2895">
        <f>J2895/_xlfn.XLOOKUP(Tabla2[[#This Row],[Unidad de precio]],Tabla3[Medida],Tabla3[Equivalencia en Kg],"ELVIS",0)</f>
        <v>19.684193121693124</v>
      </c>
      <c r="M2895">
        <v>2584.1546858372599</v>
      </c>
      <c r="N2895" s="2">
        <f>(Tabla2[[#This Row],[Productividad (kg/TAS)]]*Tabla2[[#This Row],[Precio por kg]]-Tabla2[[#This Row],[Costos (En RD$/Tarea)]])</f>
        <v>-373.96439119038587</v>
      </c>
      <c r="O2895" s="6">
        <f>IF(Tabla2[[#This Row],[Costos (En RD$/Tarea)]]=0,0,Tabla2[[#This Row],[Beneficio Neto  (En RD$/Tarea)]]/Tabla2[[#This Row],[Costos (En RD$/Tarea)]])</f>
        <v>-0.14471439857681054</v>
      </c>
      <c r="P2895" s="4">
        <f>Tabla2[[#This Row],[Rentabilidad (%)]]/12</f>
        <v>-1.2059533214734212E-2</v>
      </c>
    </row>
    <row r="2896" spans="1:16" x14ac:dyDescent="0.35">
      <c r="A2896" s="1">
        <v>43862</v>
      </c>
      <c r="B2896" t="s">
        <v>21</v>
      </c>
      <c r="C2896" s="2">
        <v>12011</v>
      </c>
      <c r="D2896" s="5" t="s">
        <v>17</v>
      </c>
      <c r="E2896" s="2">
        <f>IF(Tabla2[[#This Row],[Frecuencia]]="Annual", Tabla2[[#This Row],[Cosecha/Tarea]]/12,Tabla2[[#This Row],[Cosecha/Tarea]])</f>
        <v>12011</v>
      </c>
      <c r="F2896" s="2">
        <v>162275</v>
      </c>
      <c r="G2896" t="s">
        <v>18</v>
      </c>
      <c r="H2896">
        <f>F2896/Tabla2[[#This Row],[Cosecha Mensual]]</f>
        <v>13.510532012322038</v>
      </c>
      <c r="I2896">
        <f>H2896*_xlfn.XLOOKUP(Tabla2[[#This Row],[Unidad de producción]],Tabla3[Medida],Tabla3[Equivalencia en Kg],"ELVIS",0)</f>
        <v>612.83773207892762</v>
      </c>
      <c r="J2896">
        <v>503.52880952381003</v>
      </c>
      <c r="K2896" t="s">
        <v>18</v>
      </c>
      <c r="L2896">
        <f>J2896/_xlfn.XLOOKUP(Tabla2[[#This Row],[Unidad de precio]],Tabla3[Medida],Tabla3[Equivalencia en Kg],"ELVIS",0)</f>
        <v>11.100723314016976</v>
      </c>
      <c r="M2896">
        <v>6271.4601073596496</v>
      </c>
      <c r="N2896" s="2">
        <f>(Tabla2[[#This Row],[Productividad (kg/TAS)]]*Tabla2[[#This Row],[Precio por kg]]-Tabla2[[#This Row],[Costos (En RD$/Tarea)]])</f>
        <v>531.48199283819122</v>
      </c>
      <c r="O2896" s="6">
        <f>IF(Tabla2[[#This Row],[Costos (En RD$/Tarea)]]=0,0,Tabla2[[#This Row],[Beneficio Neto  (En RD$/Tarea)]]/Tabla2[[#This Row],[Costos (En RD$/Tarea)]])</f>
        <v>8.4746133075850924E-2</v>
      </c>
      <c r="P2896" s="4">
        <f>Tabla2[[#This Row],[Rentabilidad (%)]]/12</f>
        <v>7.0621777563209106E-3</v>
      </c>
    </row>
    <row r="2897" spans="1:16" x14ac:dyDescent="0.35">
      <c r="A2897" s="1">
        <v>43862</v>
      </c>
      <c r="B2897" t="s">
        <v>22</v>
      </c>
      <c r="C2897" s="2">
        <v>10015.4250085412</v>
      </c>
      <c r="D2897" s="5" t="s">
        <v>17</v>
      </c>
      <c r="E2897" s="2">
        <f>IF(Tabla2[[#This Row],[Frecuencia]]="Annual", Tabla2[[#This Row],[Cosecha/Tarea]]/12,Tabla2[[#This Row],[Cosecha/Tarea]])</f>
        <v>10015.4250085412</v>
      </c>
      <c r="F2897" s="2">
        <v>85244</v>
      </c>
      <c r="G2897" t="s">
        <v>18</v>
      </c>
      <c r="H2897">
        <f>F2897/Tabla2[[#This Row],[Cosecha Mensual]]</f>
        <v>8.5112713566627001</v>
      </c>
      <c r="I2897">
        <f>H2897*_xlfn.XLOOKUP(Tabla2[[#This Row],[Unidad de producción]],Tabla3[Medida],Tabla3[Equivalencia en Kg],"ELVIS",0)</f>
        <v>386.07126873822006</v>
      </c>
      <c r="J2897">
        <v>1661.1796875</v>
      </c>
      <c r="K2897" t="s">
        <v>18</v>
      </c>
      <c r="L2897">
        <f>J2897/_xlfn.XLOOKUP(Tabla2[[#This Row],[Unidad de precio]],Tabla3[Medida],Tabla3[Equivalencia en Kg],"ELVIS",0)</f>
        <v>36.622127149470899</v>
      </c>
      <c r="M2897">
        <v>10873.3452772193</v>
      </c>
      <c r="N2897" s="2">
        <f>(Tabla2[[#This Row],[Productividad (kg/TAS)]]*Tabla2[[#This Row],[Precio por kg]]-Tabla2[[#This Row],[Costos (En RD$/Tarea)]])</f>
        <v>3265.4058152693451</v>
      </c>
      <c r="O2897" s="6">
        <f>IF(Tabla2[[#This Row],[Costos (En RD$/Tarea)]]=0,0,Tabla2[[#This Row],[Beneficio Neto  (En RD$/Tarea)]]/Tabla2[[#This Row],[Costos (En RD$/Tarea)]])</f>
        <v>0.30031289653890447</v>
      </c>
      <c r="P2897" s="4">
        <f>Tabla2[[#This Row],[Rentabilidad (%)]]/12</f>
        <v>2.5026074711575374E-2</v>
      </c>
    </row>
    <row r="2898" spans="1:16" x14ac:dyDescent="0.35">
      <c r="A2898" s="1">
        <v>43862</v>
      </c>
      <c r="B2898" t="s">
        <v>23</v>
      </c>
      <c r="C2898" s="2">
        <v>5598</v>
      </c>
      <c r="D2898" s="5" t="s">
        <v>17</v>
      </c>
      <c r="E2898" s="2">
        <f>IF(Tabla2[[#This Row],[Frecuencia]]="Annual", Tabla2[[#This Row],[Cosecha/Tarea]]/12,Tabla2[[#This Row],[Cosecha/Tarea]])</f>
        <v>5598</v>
      </c>
      <c r="F2898" s="2">
        <v>216479</v>
      </c>
      <c r="G2898" t="s">
        <v>18</v>
      </c>
      <c r="H2898">
        <f>F2898/Tabla2[[#This Row],[Cosecha Mensual]]</f>
        <v>38.670775276884605</v>
      </c>
      <c r="I2898">
        <f>H2898*_xlfn.XLOOKUP(Tabla2[[#This Row],[Unidad de producción]],Tabla3[Medida],Tabla3[Equivalencia en Kg],"ELVIS",0)</f>
        <v>1754.1063665594857</v>
      </c>
      <c r="J2898">
        <v>972.91666666666697</v>
      </c>
      <c r="K2898" t="s">
        <v>18</v>
      </c>
      <c r="L2898">
        <f>J2898/_xlfn.XLOOKUP(Tabla2[[#This Row],[Unidad de precio]],Tabla3[Medida],Tabla3[Equivalencia en Kg],"ELVIS",0)</f>
        <v>21.448780129335692</v>
      </c>
      <c r="M2898">
        <v>28931.455637376999</v>
      </c>
      <c r="N2898" s="2">
        <f>(Tabla2[[#This Row],[Productividad (kg/TAS)]]*Tabla2[[#This Row],[Precio por kg]]-Tabla2[[#This Row],[Costos (En RD$/Tarea)]])</f>
        <v>8691.9861424253286</v>
      </c>
      <c r="O2898" s="6">
        <f>IF(Tabla2[[#This Row],[Costos (En RD$/Tarea)]]=0,0,Tabla2[[#This Row],[Beneficio Neto  (En RD$/Tarea)]]/Tabla2[[#This Row],[Costos (En RD$/Tarea)]])</f>
        <v>0.30043376494323415</v>
      </c>
      <c r="P2898" s="4">
        <f>Tabla2[[#This Row],[Rentabilidad (%)]]/12</f>
        <v>2.5036147078602845E-2</v>
      </c>
    </row>
    <row r="2899" spans="1:16" x14ac:dyDescent="0.35">
      <c r="A2899" s="1">
        <v>43862</v>
      </c>
      <c r="B2899" t="s">
        <v>24</v>
      </c>
      <c r="C2899" s="2">
        <v>7624</v>
      </c>
      <c r="D2899" s="5" t="s">
        <v>17</v>
      </c>
      <c r="E2899" s="2">
        <f>IF(Tabla2[[#This Row],[Frecuencia]]="Annual", Tabla2[[#This Row],[Cosecha/Tarea]]/12,Tabla2[[#This Row],[Cosecha/Tarea]])</f>
        <v>7624</v>
      </c>
      <c r="F2899" s="2">
        <v>67451</v>
      </c>
      <c r="G2899" t="s">
        <v>18</v>
      </c>
      <c r="H2899">
        <f>F2899/Tabla2[[#This Row],[Cosecha Mensual]]</f>
        <v>8.8471930745015737</v>
      </c>
      <c r="I2899">
        <f>H2899*_xlfn.XLOOKUP(Tabla2[[#This Row],[Unidad de producción]],Tabla3[Medida],Tabla3[Equivalencia en Kg],"ELVIS",0)</f>
        <v>401.30867785939137</v>
      </c>
      <c r="J2899">
        <v>3060.1369791666698</v>
      </c>
      <c r="K2899" t="s">
        <v>18</v>
      </c>
      <c r="L2899">
        <f>J2899/_xlfn.XLOOKUP(Tabla2[[#This Row],[Unidad de precio]],Tabla3[Medida],Tabla3[Equivalencia en Kg],"ELVIS",0)</f>
        <v>67.463337283215822</v>
      </c>
      <c r="M2899">
        <v>8997.8297362085195</v>
      </c>
      <c r="N2899" s="2">
        <f>(Tabla2[[#This Row],[Productividad (kg/TAS)]]*Tabla2[[#This Row],[Precio por kg]]-Tabla2[[#This Row],[Costos (En RD$/Tarea)]])</f>
        <v>18075.792952901007</v>
      </c>
      <c r="O2899" s="6">
        <f>IF(Tabla2[[#This Row],[Costos (En RD$/Tarea)]]=0,0,Tabla2[[#This Row],[Beneficio Neto  (En RD$/Tarea)]]/Tabla2[[#This Row],[Costos (En RD$/Tarea)]])</f>
        <v>2.0089058676184437</v>
      </c>
      <c r="P2899" s="4">
        <f>Tabla2[[#This Row],[Rentabilidad (%)]]/12</f>
        <v>0.16740882230153697</v>
      </c>
    </row>
    <row r="2900" spans="1:16" x14ac:dyDescent="0.35">
      <c r="A2900" s="1">
        <v>43862</v>
      </c>
      <c r="B2900" t="s">
        <v>25</v>
      </c>
      <c r="C2900" s="2">
        <v>36021</v>
      </c>
      <c r="D2900" s="5" t="s">
        <v>17</v>
      </c>
      <c r="E2900" s="2">
        <f>IF(Tabla2[[#This Row],[Frecuencia]]="Annual", Tabla2[[#This Row],[Cosecha/Tarea]]/12,Tabla2[[#This Row],[Cosecha/Tarea]])</f>
        <v>36021</v>
      </c>
      <c r="F2900" s="2">
        <v>410211</v>
      </c>
      <c r="G2900" t="s">
        <v>18</v>
      </c>
      <c r="H2900">
        <f>F2900/Tabla2[[#This Row],[Cosecha Mensual]]</f>
        <v>11.388106937619721</v>
      </c>
      <c r="I2900">
        <f>H2900*_xlfn.XLOOKUP(Tabla2[[#This Row],[Unidad de producción]],Tabla3[Medida],Tabla3[Equivalencia en Kg],"ELVIS",0)</f>
        <v>516.5645306904305</v>
      </c>
      <c r="J2900">
        <v>679.49726562499995</v>
      </c>
      <c r="K2900" t="s">
        <v>18</v>
      </c>
      <c r="L2900">
        <f>J2900/_xlfn.XLOOKUP(Tabla2[[#This Row],[Unidad de precio]],Tabla3[Medida],Tabla3[Equivalencia en Kg],"ELVIS",0)</f>
        <v>14.980098448522927</v>
      </c>
      <c r="M2900">
        <v>5060.8394523092302</v>
      </c>
      <c r="N2900" s="2">
        <f>(Tabla2[[#This Row],[Productividad (kg/TAS)]]*Tabla2[[#This Row],[Precio por kg]]-Tabla2[[#This Row],[Costos (En RD$/Tarea)]])</f>
        <v>2677.3480724484616</v>
      </c>
      <c r="O2900" s="6">
        <f>IF(Tabla2[[#This Row],[Costos (En RD$/Tarea)]]=0,0,Tabla2[[#This Row],[Beneficio Neto  (En RD$/Tarea)]]/Tabla2[[#This Row],[Costos (En RD$/Tarea)]])</f>
        <v>0.52903240612124225</v>
      </c>
      <c r="P2900" s="4">
        <f>Tabla2[[#This Row],[Rentabilidad (%)]]/12</f>
        <v>4.4086033843436852E-2</v>
      </c>
    </row>
    <row r="2901" spans="1:16" x14ac:dyDescent="0.35">
      <c r="A2901" s="1">
        <v>43862</v>
      </c>
      <c r="B2901" t="s">
        <v>26</v>
      </c>
      <c r="C2901" s="2">
        <v>12324.4521202469</v>
      </c>
      <c r="D2901" s="5" t="s">
        <v>17</v>
      </c>
      <c r="E2901" s="2">
        <f>IF(Tabla2[[#This Row],[Frecuencia]]="Annual", Tabla2[[#This Row],[Cosecha/Tarea]]/12,Tabla2[[#This Row],[Cosecha/Tarea]])</f>
        <v>12324.4521202469</v>
      </c>
      <c r="F2901" s="2">
        <v>87405</v>
      </c>
      <c r="G2901" t="s">
        <v>18</v>
      </c>
      <c r="H2901">
        <f>F2901/Tabla2[[#This Row],[Cosecha Mensual]]</f>
        <v>7.091998828605858</v>
      </c>
      <c r="I2901">
        <f>H2901*_xlfn.XLOOKUP(Tabla2[[#This Row],[Unidad de producción]],Tabla3[Medida],Tabla3[Equivalencia en Kg],"ELVIS",0)</f>
        <v>321.69306686556172</v>
      </c>
      <c r="J2901">
        <v>784.38802083333303</v>
      </c>
      <c r="K2901" t="s">
        <v>18</v>
      </c>
      <c r="L2901">
        <f>J2901/_xlfn.XLOOKUP(Tabla2[[#This Row],[Unidad de precio]],Tabla3[Medida],Tabla3[Equivalencia en Kg],"ELVIS",0)</f>
        <v>17.292504868459723</v>
      </c>
      <c r="M2901">
        <v>1789.8439852691199</v>
      </c>
      <c r="N2901" s="2">
        <f>(Tabla2[[#This Row],[Productividad (kg/TAS)]]*Tabla2[[#This Row],[Precio por kg]]-Tabla2[[#This Row],[Costos (En RD$/Tarea)]])</f>
        <v>3773.0349396533456</v>
      </c>
      <c r="O2901" s="6">
        <f>IF(Tabla2[[#This Row],[Costos (En RD$/Tarea)]]=0,0,Tabla2[[#This Row],[Beneficio Neto  (En RD$/Tarea)]]/Tabla2[[#This Row],[Costos (En RD$/Tarea)]])</f>
        <v>2.1080244818578611</v>
      </c>
      <c r="P2901" s="4">
        <f>Tabla2[[#This Row],[Rentabilidad (%)]]/12</f>
        <v>0.17566870682148841</v>
      </c>
    </row>
    <row r="2902" spans="1:16" x14ac:dyDescent="0.35">
      <c r="A2902" s="1">
        <v>43862</v>
      </c>
      <c r="B2902" t="s">
        <v>27</v>
      </c>
      <c r="C2902" s="2">
        <v>7012</v>
      </c>
      <c r="D2902" s="5" t="s">
        <v>17</v>
      </c>
      <c r="E2902" s="2">
        <f>IF(Tabla2[[#This Row],[Frecuencia]]="Annual", Tabla2[[#This Row],[Cosecha/Tarea]]/12,Tabla2[[#This Row],[Cosecha/Tarea]])</f>
        <v>7012</v>
      </c>
      <c r="F2902" s="2">
        <v>63250</v>
      </c>
      <c r="G2902" t="s">
        <v>18</v>
      </c>
      <c r="H2902">
        <f>F2902/Tabla2[[#This Row],[Cosecha Mensual]]</f>
        <v>9.0202509982886472</v>
      </c>
      <c r="I2902">
        <f>H2902*_xlfn.XLOOKUP(Tabla2[[#This Row],[Unidad de producción]],Tabla3[Medida],Tabla3[Equivalencia en Kg],"ELVIS",0)</f>
        <v>409.15858528237305</v>
      </c>
      <c r="J2902">
        <v>848.94642857142901</v>
      </c>
      <c r="K2902" t="s">
        <v>18</v>
      </c>
      <c r="L2902">
        <f>J2902/_xlfn.XLOOKUP(Tabla2[[#This Row],[Unidad de precio]],Tabla3[Medida],Tabla3[Equivalencia en Kg],"ELVIS",0)</f>
        <v>18.715750188964485</v>
      </c>
      <c r="M2902">
        <v>9891.7256609088799</v>
      </c>
      <c r="N2902" s="2">
        <f>(Tabla2[[#This Row],[Productividad (kg/TAS)]]*Tabla2[[#This Row],[Precio por kg]]-Tabla2[[#This Row],[Costos (En RD$/Tarea)]])</f>
        <v>-2234.0157910938651</v>
      </c>
      <c r="O2902" s="6">
        <f>IF(Tabla2[[#This Row],[Costos (En RD$/Tarea)]]=0,0,Tabla2[[#This Row],[Beneficio Neto  (En RD$/Tarea)]]/Tabla2[[#This Row],[Costos (En RD$/Tarea)]])</f>
        <v>-0.22584692172797252</v>
      </c>
      <c r="P2902" s="4">
        <f>Tabla2[[#This Row],[Rentabilidad (%)]]/12</f>
        <v>-1.8820576810664378E-2</v>
      </c>
    </row>
    <row r="2903" spans="1:16" x14ac:dyDescent="0.35">
      <c r="A2903" s="1">
        <v>43862</v>
      </c>
      <c r="B2903" t="s">
        <v>28</v>
      </c>
      <c r="C2903" s="2">
        <v>93541</v>
      </c>
      <c r="D2903" s="5" t="s">
        <v>17</v>
      </c>
      <c r="E2903" s="2">
        <f>IF(Tabla2[[#This Row],[Frecuencia]]="Annual", Tabla2[[#This Row],[Cosecha/Tarea]]/12,Tabla2[[#This Row],[Cosecha/Tarea]])</f>
        <v>93541</v>
      </c>
      <c r="F2903" s="2">
        <v>1988885.6</v>
      </c>
      <c r="G2903" t="s">
        <v>18</v>
      </c>
      <c r="H2903">
        <f>F2903/Tabla2[[#This Row],[Cosecha Mensual]]</f>
        <v>21.262180220438097</v>
      </c>
      <c r="I2903">
        <f>H2903*_xlfn.XLOOKUP(Tabla2[[#This Row],[Unidad de producción]],Tabla3[Medida],Tabla3[Equivalencia en Kg],"ELVIS",0)</f>
        <v>964.45249479907204</v>
      </c>
      <c r="J2903">
        <v>10997.222222222201</v>
      </c>
      <c r="K2903" t="s">
        <v>29</v>
      </c>
      <c r="L2903">
        <f>J2903/_xlfn.XLOOKUP(Tabla2[[#This Row],[Unidad de precio]],Tabla3[Medida],Tabla3[Equivalencia en Kg],"ELVIS",0)</f>
        <v>19.556179930686419</v>
      </c>
      <c r="M2903">
        <v>13735.141908858301</v>
      </c>
      <c r="N2903" s="2">
        <f>(Tabla2[[#This Row],[Productividad (kg/TAS)]]*Tabla2[[#This Row],[Precio por kg]]-Tabla2[[#This Row],[Costos (En RD$/Tarea)]])</f>
        <v>5125.8646140317596</v>
      </c>
      <c r="O2903" s="6">
        <f>IF(Tabla2[[#This Row],[Costos (En RD$/Tarea)]]=0,0,Tabla2[[#This Row],[Beneficio Neto  (En RD$/Tarea)]]/Tabla2[[#This Row],[Costos (En RD$/Tarea)]])</f>
        <v>0.37319342224821866</v>
      </c>
      <c r="P2903" s="4">
        <f>Tabla2[[#This Row],[Rentabilidad (%)]]/12</f>
        <v>3.1099451854018221E-2</v>
      </c>
    </row>
    <row r="2904" spans="1:16" x14ac:dyDescent="0.35">
      <c r="A2904" s="1">
        <v>43862</v>
      </c>
      <c r="B2904" t="s">
        <v>30</v>
      </c>
      <c r="C2904" s="2">
        <v>455215</v>
      </c>
      <c r="D2904" s="2" t="s">
        <v>31</v>
      </c>
      <c r="E2904" s="2">
        <f>IF(Tabla2[[#This Row],[Frecuencia]]="Annual", Tabla2[[#This Row],[Cosecha/Tarea]]/12,Tabla2[[#This Row],[Cosecha/Tarea]])</f>
        <v>37934.583333333336</v>
      </c>
      <c r="F2904" s="2">
        <v>2184873.6</v>
      </c>
      <c r="G2904" t="s">
        <v>18</v>
      </c>
      <c r="H2904">
        <f>F2904/Tabla2[[#This Row],[Cosecha Mensual]]</f>
        <v>57.59582439067254</v>
      </c>
      <c r="I2904">
        <f>H2904*_xlfn.XLOOKUP(Tabla2[[#This Row],[Unidad de producción]],Tabla3[Medida],Tabla3[Equivalencia en Kg],"ELVIS",0)</f>
        <v>2612.5465943609065</v>
      </c>
      <c r="J2904">
        <v>192.216145833333</v>
      </c>
      <c r="K2904" t="s">
        <v>32</v>
      </c>
      <c r="L2904">
        <f>J2904/_xlfn.XLOOKUP(Tabla2[[#This Row],[Unidad de precio]],Tabla3[Medida],Tabla3[Equivalencia en Kg],"ELVIS",0)</f>
        <v>7.0641729449956996</v>
      </c>
      <c r="M2904" s="2">
        <v>38019.0770714752</v>
      </c>
      <c r="N2904" s="2">
        <f>(Tabla2[[#This Row],[Productividad (kg/TAS)]]*Tabla2[[#This Row],[Precio por kg]]-Tabla2[[#This Row],[Costos (En RD$/Tarea)]])</f>
        <v>-19563.596102050229</v>
      </c>
      <c r="O2904" s="6">
        <f>IF(Tabla2[[#This Row],[Costos (En RD$/Tarea)]]=0,0,Tabla2[[#This Row],[Beneficio Neto  (En RD$/Tarea)]]/Tabla2[[#This Row],[Costos (En RD$/Tarea)]])</f>
        <v>-0.51457314614110727</v>
      </c>
      <c r="P2904" s="4">
        <f>Tabla2[[#This Row],[Rentabilidad (%)]]/12</f>
        <v>-4.2881095511758942E-2</v>
      </c>
    </row>
    <row r="2905" spans="1:16" x14ac:dyDescent="0.35">
      <c r="A2905" s="1">
        <v>43862</v>
      </c>
      <c r="B2905" t="s">
        <v>33</v>
      </c>
      <c r="C2905" s="2">
        <v>744167.36745744001</v>
      </c>
      <c r="D2905" s="2" t="s">
        <v>31</v>
      </c>
      <c r="E2905" s="2">
        <f>IF(Tabla2[[#This Row],[Frecuencia]]="Annual", Tabla2[[#This Row],[Cosecha/Tarea]]/12,Tabla2[[#This Row],[Cosecha/Tarea]])</f>
        <v>62013.947288119998</v>
      </c>
      <c r="F2905" s="2">
        <v>1450836</v>
      </c>
      <c r="G2905" t="s">
        <v>18</v>
      </c>
      <c r="H2905">
        <f>F2905/Tabla2[[#This Row],[Cosecha Mensual]]</f>
        <v>23.395317721985041</v>
      </c>
      <c r="I2905">
        <f>H2905*_xlfn.XLOOKUP(Tabla2[[#This Row],[Unidad de producción]],Tabla3[Medida],Tabla3[Equivalencia en Kg],"ELVIS",0)</f>
        <v>1061.2116118692416</v>
      </c>
      <c r="J2905">
        <v>10221.924479166701</v>
      </c>
      <c r="K2905" t="s">
        <v>34</v>
      </c>
      <c r="L2905">
        <f>J2905/_xlfn.XLOOKUP(Tabla2[[#This Row],[Unidad de precio]],Tabla3[Medida],Tabla3[Equivalencia en Kg],"ELVIS",0)</f>
        <v>25.044528921148355</v>
      </c>
      <c r="M2905" s="2">
        <v>33327.4212424613</v>
      </c>
      <c r="N2905" s="2">
        <f>(Tabla2[[#This Row],[Productividad (kg/TAS)]]*Tabla2[[#This Row],[Precio por kg]]-Tabla2[[#This Row],[Costos (En RD$/Tarea)]])</f>
        <v>-6749.8763375436174</v>
      </c>
      <c r="O2905" s="6">
        <f>IF(Tabla2[[#This Row],[Costos (En RD$/Tarea)]]=0,0,Tabla2[[#This Row],[Beneficio Neto  (En RD$/Tarea)]]/Tabla2[[#This Row],[Costos (En RD$/Tarea)]])</f>
        <v>-0.20253221179152728</v>
      </c>
      <c r="P2905" s="4">
        <f>Tabla2[[#This Row],[Rentabilidad (%)]]/12</f>
        <v>-1.6877684315960605E-2</v>
      </c>
    </row>
    <row r="2906" spans="1:16" x14ac:dyDescent="0.35">
      <c r="A2906" s="1">
        <v>43891</v>
      </c>
      <c r="B2906" t="s">
        <v>16</v>
      </c>
      <c r="C2906" s="2">
        <v>125411</v>
      </c>
      <c r="D2906" s="5" t="s">
        <v>17</v>
      </c>
      <c r="E2906" s="2">
        <f>IF(Tabla2[[#This Row],[Frecuencia]]="Annual", Tabla2[[#This Row],[Cosecha/Tarea]]/12,Tabla2[[#This Row],[Cosecha/Tarea]])</f>
        <v>125411</v>
      </c>
      <c r="F2906" s="2">
        <v>652176</v>
      </c>
      <c r="G2906" t="s">
        <v>18</v>
      </c>
      <c r="H2906">
        <f>F2906/Tabla2[[#This Row],[Cosecha Mensual]]</f>
        <v>5.2003093827495199</v>
      </c>
      <c r="I2906">
        <f>H2906*_xlfn.XLOOKUP(Tabla2[[#This Row],[Unidad de producción]],Tabla3[Medida],Tabla3[Equivalencia en Kg],"ELVIS",0)</f>
        <v>235.88603360151822</v>
      </c>
      <c r="J2906">
        <v>2266.5618995232899</v>
      </c>
      <c r="K2906" t="s">
        <v>19</v>
      </c>
      <c r="L2906">
        <f>J2906/_xlfn.XLOOKUP(Tabla2[[#This Row],[Unidad de precio]],Tabla3[Medida],Tabla3[Equivalencia en Kg],"ELVIS",0)</f>
        <v>20.605108177484453</v>
      </c>
      <c r="M2906">
        <v>7092.5943689866499</v>
      </c>
      <c r="N2906" s="2">
        <f>(Tabla2[[#This Row],[Productividad (kg/TAS)]]*Tabla2[[#This Row],[Precio por kg]]-Tabla2[[#This Row],[Costos (En RD$/Tarea)]])</f>
        <v>-2232.1371290696343</v>
      </c>
      <c r="O2906" s="6">
        <f>IF(Tabla2[[#This Row],[Costos (En RD$/Tarea)]]=0,0,Tabla2[[#This Row],[Beneficio Neto  (En RD$/Tarea)]]/Tabla2[[#This Row],[Costos (En RD$/Tarea)]])</f>
        <v>-0.31471377227350866</v>
      </c>
      <c r="P2906" s="4">
        <f>Tabla2[[#This Row],[Rentabilidad (%)]]/12</f>
        <v>-2.6226147689459054E-2</v>
      </c>
    </row>
    <row r="2907" spans="1:16" x14ac:dyDescent="0.35">
      <c r="A2907" s="1">
        <v>43891</v>
      </c>
      <c r="B2907" t="s">
        <v>20</v>
      </c>
      <c r="C2907" s="2">
        <v>31606</v>
      </c>
      <c r="D2907" s="5" t="s">
        <v>17</v>
      </c>
      <c r="E2907" s="2">
        <f>IF(Tabla2[[#This Row],[Frecuencia]]="Annual", Tabla2[[#This Row],[Cosecha/Tarea]]/12,Tabla2[[#This Row],[Cosecha/Tarea]])</f>
        <v>31606</v>
      </c>
      <c r="F2907" s="2">
        <v>76862</v>
      </c>
      <c r="G2907" t="s">
        <v>18</v>
      </c>
      <c r="H2907">
        <f>F2907/Tabla2[[#This Row],[Cosecha Mensual]]</f>
        <v>2.4318800227804847</v>
      </c>
      <c r="I2907">
        <f>H2907*_xlfn.XLOOKUP(Tabla2[[#This Row],[Unidad de producción]],Tabla3[Medida],Tabla3[Equivalencia en Kg],"ELVIS",0)</f>
        <v>110.31007783332278</v>
      </c>
      <c r="J2907">
        <v>847.88888888888903</v>
      </c>
      <c r="K2907" t="s">
        <v>18</v>
      </c>
      <c r="L2907">
        <f>J2907/_xlfn.XLOOKUP(Tabla2[[#This Row],[Unidad de precio]],Tabla3[Medida],Tabla3[Equivalencia en Kg],"ELVIS",0)</f>
        <v>18.692435822065455</v>
      </c>
      <c r="M2907">
        <v>2584.1546858372599</v>
      </c>
      <c r="N2907" s="2">
        <f>(Tabla2[[#This Row],[Productividad (kg/TAS)]]*Tabla2[[#This Row],[Precio por kg]]-Tabla2[[#This Row],[Costos (En RD$/Tarea)]])</f>
        <v>-522.19063541082869</v>
      </c>
      <c r="O2907" s="6">
        <f>IF(Tabla2[[#This Row],[Costos (En RD$/Tarea)]]=0,0,Tabla2[[#This Row],[Beneficio Neto  (En RD$/Tarea)]]/Tabla2[[#This Row],[Costos (En RD$/Tarea)]])</f>
        <v>-0.20207406246721651</v>
      </c>
      <c r="P2907" s="4">
        <f>Tabla2[[#This Row],[Rentabilidad (%)]]/12</f>
        <v>-1.6839505205601377E-2</v>
      </c>
    </row>
    <row r="2908" spans="1:16" x14ac:dyDescent="0.35">
      <c r="A2908" s="1">
        <v>43891</v>
      </c>
      <c r="B2908" t="s">
        <v>21</v>
      </c>
      <c r="C2908" s="2">
        <v>10943</v>
      </c>
      <c r="D2908" s="5" t="s">
        <v>17</v>
      </c>
      <c r="E2908" s="2">
        <f>IF(Tabla2[[#This Row],[Frecuencia]]="Annual", Tabla2[[#This Row],[Cosecha/Tarea]]/12,Tabla2[[#This Row],[Cosecha/Tarea]])</f>
        <v>10943</v>
      </c>
      <c r="F2908" s="2">
        <v>131031</v>
      </c>
      <c r="G2908" t="s">
        <v>18</v>
      </c>
      <c r="H2908">
        <f>F2908/Tabla2[[#This Row],[Cosecha Mensual]]</f>
        <v>11.973955953577629</v>
      </c>
      <c r="I2908">
        <f>H2908*_xlfn.XLOOKUP(Tabla2[[#This Row],[Unidad de producción]],Tabla3[Medida],Tabla3[Equivalencia en Kg],"ELVIS",0)</f>
        <v>543.13864205428126</v>
      </c>
      <c r="J2908">
        <v>530.30233333333297</v>
      </c>
      <c r="K2908" t="s">
        <v>18</v>
      </c>
      <c r="L2908">
        <f>J2908/_xlfn.XLOOKUP(Tabla2[[#This Row],[Unidad de precio]],Tabla3[Medida],Tabla3[Equivalencia en Kg],"ELVIS",0)</f>
        <v>11.690968547912984</v>
      </c>
      <c r="M2908">
        <v>6271.4601073596496</v>
      </c>
      <c r="N2908" s="2">
        <f>(Tabla2[[#This Row],[Productividad (kg/TAS)]]*Tabla2[[#This Row],[Precio por kg]]-Tabla2[[#This Row],[Costos (En RD$/Tarea)]])</f>
        <v>78.356674053121424</v>
      </c>
      <c r="O2908" s="6">
        <f>IF(Tabla2[[#This Row],[Costos (En RD$/Tarea)]]=0,0,Tabla2[[#This Row],[Beneficio Neto  (En RD$/Tarea)]]/Tabla2[[#This Row],[Costos (En RD$/Tarea)]])</f>
        <v>1.2494167659803612E-2</v>
      </c>
      <c r="P2908" s="4">
        <f>Tabla2[[#This Row],[Rentabilidad (%)]]/12</f>
        <v>1.0411806383169677E-3</v>
      </c>
    </row>
    <row r="2909" spans="1:16" x14ac:dyDescent="0.35">
      <c r="A2909" s="1">
        <v>43891</v>
      </c>
      <c r="B2909" t="s">
        <v>22</v>
      </c>
      <c r="C2909" s="2">
        <v>7294</v>
      </c>
      <c r="D2909" s="5" t="s">
        <v>17</v>
      </c>
      <c r="E2909" s="2">
        <f>IF(Tabla2[[#This Row],[Frecuencia]]="Annual", Tabla2[[#This Row],[Cosecha/Tarea]]/12,Tabla2[[#This Row],[Cosecha/Tarea]])</f>
        <v>7294</v>
      </c>
      <c r="F2909" s="2">
        <v>74565</v>
      </c>
      <c r="G2909" t="s">
        <v>18</v>
      </c>
      <c r="H2909">
        <f>F2909/Tabla2[[#This Row],[Cosecha Mensual]]</f>
        <v>10.2227858513847</v>
      </c>
      <c r="I2909">
        <f>H2909*_xlfn.XLOOKUP(Tabla2[[#This Row],[Unidad de producción]],Tabla3[Medida],Tabla3[Equivalencia en Kg],"ELVIS",0)</f>
        <v>463.70556621880996</v>
      </c>
      <c r="J2909">
        <v>1629.55</v>
      </c>
      <c r="K2909" t="s">
        <v>18</v>
      </c>
      <c r="L2909">
        <f>J2909/_xlfn.XLOOKUP(Tabla2[[#This Row],[Unidad de precio]],Tabla3[Medida],Tabla3[Equivalencia en Kg],"ELVIS",0)</f>
        <v>35.924823633156969</v>
      </c>
      <c r="M2909">
        <v>10873.3452772193</v>
      </c>
      <c r="N2909" s="2">
        <f>(Tabla2[[#This Row],[Productividad (kg/TAS)]]*Tabla2[[#This Row],[Precio por kg]]-Tabla2[[#This Row],[Costos (En RD$/Tarea)]])</f>
        <v>5785.1954069046387</v>
      </c>
      <c r="O2909" s="6">
        <f>IF(Tabla2[[#This Row],[Costos (En RD$/Tarea)]]=0,0,Tabla2[[#This Row],[Beneficio Neto  (En RD$/Tarea)]]/Tabla2[[#This Row],[Costos (En RD$/Tarea)]])</f>
        <v>0.53205294777359624</v>
      </c>
      <c r="P2909" s="4">
        <f>Tabla2[[#This Row],[Rentabilidad (%)]]/12</f>
        <v>4.4337745647799687E-2</v>
      </c>
    </row>
    <row r="2910" spans="1:16" x14ac:dyDescent="0.35">
      <c r="A2910" s="1">
        <v>43891</v>
      </c>
      <c r="B2910" t="s">
        <v>23</v>
      </c>
      <c r="C2910" s="2">
        <v>4813</v>
      </c>
      <c r="D2910" s="5" t="s">
        <v>17</v>
      </c>
      <c r="E2910" s="2">
        <f>IF(Tabla2[[#This Row],[Frecuencia]]="Annual", Tabla2[[#This Row],[Cosecha/Tarea]]/12,Tabla2[[#This Row],[Cosecha/Tarea]])</f>
        <v>4813</v>
      </c>
      <c r="F2910" s="2">
        <v>218260</v>
      </c>
      <c r="G2910" t="s">
        <v>18</v>
      </c>
      <c r="H2910">
        <f>F2910/Tabla2[[#This Row],[Cosecha Mensual]]</f>
        <v>45.348015790567217</v>
      </c>
      <c r="I2910">
        <f>H2910*_xlfn.XLOOKUP(Tabla2[[#This Row],[Unidad de producción]],Tabla3[Medida],Tabla3[Equivalencia en Kg],"ELVIS",0)</f>
        <v>2056.985996260129</v>
      </c>
      <c r="J2910">
        <v>1037.5</v>
      </c>
      <c r="K2910" t="s">
        <v>18</v>
      </c>
      <c r="L2910">
        <f>J2910/_xlfn.XLOOKUP(Tabla2[[#This Row],[Unidad de precio]],Tabla3[Medida],Tabla3[Equivalencia en Kg],"ELVIS",0)</f>
        <v>22.872574955908288</v>
      </c>
      <c r="M2910">
        <v>28931.455637376999</v>
      </c>
      <c r="N2910" s="2">
        <f>(Tabla2[[#This Row],[Productividad (kg/TAS)]]*Tabla2[[#This Row],[Precio por kg]]-Tabla2[[#This Row],[Costos (En RD$/Tarea)]])</f>
        <v>18117.110745336486</v>
      </c>
      <c r="O2910" s="6">
        <f>IF(Tabla2[[#This Row],[Costos (En RD$/Tarea)]]=0,0,Tabla2[[#This Row],[Beneficio Neto  (En RD$/Tarea)]]/Tabla2[[#This Row],[Costos (En RD$/Tarea)]])</f>
        <v>0.6262080613023393</v>
      </c>
      <c r="P2910" s="4">
        <f>Tabla2[[#This Row],[Rentabilidad (%)]]/12</f>
        <v>5.2184005108528275E-2</v>
      </c>
    </row>
    <row r="2911" spans="1:16" x14ac:dyDescent="0.35">
      <c r="A2911" s="1">
        <v>43891</v>
      </c>
      <c r="B2911" t="s">
        <v>24</v>
      </c>
      <c r="C2911" s="2">
        <v>6087</v>
      </c>
      <c r="D2911" s="5" t="s">
        <v>17</v>
      </c>
      <c r="E2911" s="2">
        <f>IF(Tabla2[[#This Row],[Frecuencia]]="Annual", Tabla2[[#This Row],[Cosecha/Tarea]]/12,Tabla2[[#This Row],[Cosecha/Tarea]])</f>
        <v>6087</v>
      </c>
      <c r="F2911" s="2">
        <v>51391</v>
      </c>
      <c r="G2911" t="s">
        <v>18</v>
      </c>
      <c r="H2911">
        <f>F2911/Tabla2[[#This Row],[Cosecha Mensual]]</f>
        <v>8.4427468375225896</v>
      </c>
      <c r="I2911">
        <f>H2911*_xlfn.XLOOKUP(Tabla2[[#This Row],[Unidad de producción]],Tabla3[Medida],Tabla3[Equivalencia en Kg],"ELVIS",0)</f>
        <v>382.96299655002468</v>
      </c>
      <c r="J2911">
        <v>3166.9625000000001</v>
      </c>
      <c r="K2911" t="s">
        <v>18</v>
      </c>
      <c r="L2911">
        <f>J2911/_xlfn.XLOOKUP(Tabla2[[#This Row],[Unidad de precio]],Tabla3[Medida],Tabla3[Equivalencia en Kg],"ELVIS",0)</f>
        <v>69.818397266313937</v>
      </c>
      <c r="M2911">
        <v>8997.8297362085195</v>
      </c>
      <c r="N2911" s="2">
        <f>(Tabla2[[#This Row],[Productividad (kg/TAS)]]*Tabla2[[#This Row],[Precio por kg]]-Tabla2[[#This Row],[Costos (En RD$/Tarea)]])</f>
        <v>17740.032895219119</v>
      </c>
      <c r="O2911" s="6">
        <f>IF(Tabla2[[#This Row],[Costos (En RD$/Tarea)]]=0,0,Tabla2[[#This Row],[Beneficio Neto  (En RD$/Tarea)]]/Tabla2[[#This Row],[Costos (En RD$/Tarea)]])</f>
        <v>1.9715901962259585</v>
      </c>
      <c r="P2911" s="4">
        <f>Tabla2[[#This Row],[Rentabilidad (%)]]/12</f>
        <v>0.16429918301882987</v>
      </c>
    </row>
    <row r="2912" spans="1:16" x14ac:dyDescent="0.35">
      <c r="A2912" s="1">
        <v>43891</v>
      </c>
      <c r="B2912" t="s">
        <v>25</v>
      </c>
      <c r="C2912" s="2">
        <v>27496.332630238801</v>
      </c>
      <c r="D2912" s="5" t="s">
        <v>17</v>
      </c>
      <c r="E2912" s="2">
        <f>IF(Tabla2[[#This Row],[Frecuencia]]="Annual", Tabla2[[#This Row],[Cosecha/Tarea]]/12,Tabla2[[#This Row],[Cosecha/Tarea]])</f>
        <v>27496.332630238801</v>
      </c>
      <c r="F2912" s="2">
        <v>289566</v>
      </c>
      <c r="G2912" t="s">
        <v>18</v>
      </c>
      <c r="H2912">
        <f>F2912/Tabla2[[#This Row],[Cosecha Mensual]]</f>
        <v>10.531077140140241</v>
      </c>
      <c r="I2912">
        <f>H2912*_xlfn.XLOOKUP(Tabla2[[#This Row],[Unidad de producción]],Tabla3[Medida],Tabla3[Equivalencia en Kg],"ELVIS",0)</f>
        <v>477.6896590767613</v>
      </c>
      <c r="J2912">
        <v>675.42866666666703</v>
      </c>
      <c r="K2912" t="s">
        <v>18</v>
      </c>
      <c r="L2912">
        <f>J2912/_xlfn.XLOOKUP(Tabla2[[#This Row],[Unidad de precio]],Tabla3[Medida],Tabla3[Equivalencia en Kg],"ELVIS",0)</f>
        <v>14.890402704291601</v>
      </c>
      <c r="M2912">
        <v>5060.8394523092302</v>
      </c>
      <c r="N2912" s="2">
        <f>(Tabla2[[#This Row],[Productividad (kg/TAS)]]*Tabla2[[#This Row],[Precio por kg]]-Tabla2[[#This Row],[Costos (En RD$/Tarea)]])</f>
        <v>2052.151939019509</v>
      </c>
      <c r="O2912" s="6">
        <f>IF(Tabla2[[#This Row],[Costos (En RD$/Tarea)]]=0,0,Tabla2[[#This Row],[Beneficio Neto  (En RD$/Tarea)]]/Tabla2[[#This Row],[Costos (En RD$/Tarea)]])</f>
        <v>0.40549635260275341</v>
      </c>
      <c r="P2912" s="4">
        <f>Tabla2[[#This Row],[Rentabilidad (%)]]/12</f>
        <v>3.3791362716896117E-2</v>
      </c>
    </row>
    <row r="2913" spans="1:16" x14ac:dyDescent="0.35">
      <c r="A2913" s="1">
        <v>43891</v>
      </c>
      <c r="B2913" t="s">
        <v>26</v>
      </c>
      <c r="C2913" s="2">
        <v>14765</v>
      </c>
      <c r="D2913" s="5" t="s">
        <v>17</v>
      </c>
      <c r="E2913" s="2">
        <f>IF(Tabla2[[#This Row],[Frecuencia]]="Annual", Tabla2[[#This Row],[Cosecha/Tarea]]/12,Tabla2[[#This Row],[Cosecha/Tarea]])</f>
        <v>14765</v>
      </c>
      <c r="F2913" s="2">
        <v>83456</v>
      </c>
      <c r="G2913" t="s">
        <v>18</v>
      </c>
      <c r="H2913">
        <f>F2913/Tabla2[[#This Row],[Cosecha Mensual]]</f>
        <v>5.6522858110396204</v>
      </c>
      <c r="I2913">
        <f>H2913*_xlfn.XLOOKUP(Tabla2[[#This Row],[Unidad de producción]],Tabla3[Medida],Tabla3[Equivalencia en Kg],"ELVIS",0)</f>
        <v>256.38768438875718</v>
      </c>
      <c r="J2913">
        <v>876.31666666666695</v>
      </c>
      <c r="K2913" t="s">
        <v>18</v>
      </c>
      <c r="L2913">
        <f>J2913/_xlfn.XLOOKUP(Tabla2[[#This Row],[Unidad de precio]],Tabla3[Medida],Tabla3[Equivalencia en Kg],"ELVIS",0)</f>
        <v>19.319150499706062</v>
      </c>
      <c r="M2913">
        <v>1789.8439852691199</v>
      </c>
      <c r="N2913" s="2">
        <f>(Tabla2[[#This Row],[Productividad (kg/TAS)]]*Tabla2[[#This Row],[Precio por kg]]-Tabla2[[#This Row],[Costos (En RD$/Tarea)]])</f>
        <v>3163.3482757084184</v>
      </c>
      <c r="O2913" s="6">
        <f>IF(Tabla2[[#This Row],[Costos (En RD$/Tarea)]]=0,0,Tabla2[[#This Row],[Beneficio Neto  (En RD$/Tarea)]]/Tabla2[[#This Row],[Costos (En RD$/Tarea)]])</f>
        <v>1.7673877174455399</v>
      </c>
      <c r="P2913" s="4">
        <f>Tabla2[[#This Row],[Rentabilidad (%)]]/12</f>
        <v>0.14728230978712833</v>
      </c>
    </row>
    <row r="2914" spans="1:16" x14ac:dyDescent="0.35">
      <c r="A2914" s="1">
        <v>43891</v>
      </c>
      <c r="B2914" t="s">
        <v>27</v>
      </c>
      <c r="C2914" s="2">
        <v>5800</v>
      </c>
      <c r="D2914" s="5" t="s">
        <v>17</v>
      </c>
      <c r="E2914" s="2">
        <f>IF(Tabla2[[#This Row],[Frecuencia]]="Annual", Tabla2[[#This Row],[Cosecha/Tarea]]/12,Tabla2[[#This Row],[Cosecha/Tarea]])</f>
        <v>5800</v>
      </c>
      <c r="F2914" s="2">
        <v>54501</v>
      </c>
      <c r="G2914" t="s">
        <v>18</v>
      </c>
      <c r="H2914">
        <f>F2914/Tabla2[[#This Row],[Cosecha Mensual]]</f>
        <v>9.3967241379310344</v>
      </c>
      <c r="I2914">
        <f>H2914*_xlfn.XLOOKUP(Tabla2[[#This Row],[Unidad de producción]],Tabla3[Medida],Tabla3[Equivalencia en Kg],"ELVIS",0)</f>
        <v>426.23540689655169</v>
      </c>
      <c r="J2914">
        <v>921.86458333333303</v>
      </c>
      <c r="K2914" t="s">
        <v>18</v>
      </c>
      <c r="L2914">
        <f>J2914/_xlfn.XLOOKUP(Tabla2[[#This Row],[Unidad de precio]],Tabla3[Medida],Tabla3[Equivalencia en Kg],"ELVIS",0)</f>
        <v>20.323293283362723</v>
      </c>
      <c r="M2914">
        <v>9891.7256609088799</v>
      </c>
      <c r="N2914" s="2">
        <f>(Tabla2[[#This Row],[Productividad (kg/TAS)]]*Tabla2[[#This Row],[Precio por kg]]-Tabla2[[#This Row],[Costos (En RD$/Tarea)]])</f>
        <v>-1229.2184787968145</v>
      </c>
      <c r="O2914" s="6">
        <f>IF(Tabla2[[#This Row],[Costos (En RD$/Tarea)]]=0,0,Tabla2[[#This Row],[Beneficio Neto  (En RD$/Tarea)]]/Tabla2[[#This Row],[Costos (En RD$/Tarea)]])</f>
        <v>-0.12426734433755721</v>
      </c>
      <c r="P2914" s="4">
        <f>Tabla2[[#This Row],[Rentabilidad (%)]]/12</f>
        <v>-1.0355612028129768E-2</v>
      </c>
    </row>
    <row r="2915" spans="1:16" x14ac:dyDescent="0.35">
      <c r="A2915" s="1">
        <v>43891</v>
      </c>
      <c r="B2915" t="s">
        <v>28</v>
      </c>
      <c r="C2915" s="2">
        <v>79611</v>
      </c>
      <c r="D2915" s="5" t="s">
        <v>17</v>
      </c>
      <c r="E2915" s="2">
        <f>IF(Tabla2[[#This Row],[Frecuencia]]="Annual", Tabla2[[#This Row],[Cosecha/Tarea]]/12,Tabla2[[#This Row],[Cosecha/Tarea]])</f>
        <v>79611</v>
      </c>
      <c r="F2915" s="2">
        <v>1310109.6000000001</v>
      </c>
      <c r="G2915" t="s">
        <v>18</v>
      </c>
      <c r="H2915">
        <f>F2915/Tabla2[[#This Row],[Cosecha Mensual]]</f>
        <v>16.456389192448281</v>
      </c>
      <c r="I2915">
        <f>H2915*_xlfn.XLOOKUP(Tabla2[[#This Row],[Unidad de producción]],Tabla3[Medida],Tabla3[Equivalencia en Kg],"ELVIS",0)</f>
        <v>746.46181376945401</v>
      </c>
      <c r="J2915">
        <v>8872.9166666666697</v>
      </c>
      <c r="K2915" t="s">
        <v>29</v>
      </c>
      <c r="L2915">
        <f>J2915/_xlfn.XLOOKUP(Tabla2[[#This Row],[Unidad de precio]],Tabla3[Medida],Tabla3[Equivalencia en Kg],"ELVIS",0)</f>
        <v>15.778562198432743</v>
      </c>
      <c r="M2915">
        <v>13735.141908858301</v>
      </c>
      <c r="N2915" s="2">
        <f>(Tabla2[[#This Row],[Productividad (kg/TAS)]]*Tabla2[[#This Row],[Precio por kg]]-Tabla2[[#This Row],[Costos (En RD$/Tarea)]])</f>
        <v>-1957.0477515420516</v>
      </c>
      <c r="O2915" s="6">
        <f>IF(Tabla2[[#This Row],[Costos (En RD$/Tarea)]]=0,0,Tabla2[[#This Row],[Beneficio Neto  (En RD$/Tarea)]]/Tabla2[[#This Row],[Costos (En RD$/Tarea)]])</f>
        <v>-0.14248471290128276</v>
      </c>
      <c r="P2915" s="4">
        <f>Tabla2[[#This Row],[Rentabilidad (%)]]/12</f>
        <v>-1.1873726075106896E-2</v>
      </c>
    </row>
    <row r="2916" spans="1:16" x14ac:dyDescent="0.35">
      <c r="A2916" s="1">
        <v>43891</v>
      </c>
      <c r="B2916" t="s">
        <v>30</v>
      </c>
      <c r="C2916" s="2">
        <v>452145</v>
      </c>
      <c r="D2916" s="2" t="s">
        <v>31</v>
      </c>
      <c r="E2916" s="2">
        <f>IF(Tabla2[[#This Row],[Frecuencia]]="Annual", Tabla2[[#This Row],[Cosecha/Tarea]]/12,Tabla2[[#This Row],[Cosecha/Tarea]])</f>
        <v>37678.75</v>
      </c>
      <c r="F2916" s="2">
        <v>2222931</v>
      </c>
      <c r="G2916" t="s">
        <v>18</v>
      </c>
      <c r="H2916">
        <f>F2916/Tabla2[[#This Row],[Cosecha Mensual]]</f>
        <v>58.996941246723949</v>
      </c>
      <c r="I2916">
        <f>H2916*_xlfn.XLOOKUP(Tabla2[[#This Row],[Unidad de producción]],Tabla3[Medida],Tabla3[Equivalencia en Kg],"ELVIS",0)</f>
        <v>2676.1012549513985</v>
      </c>
      <c r="J2916">
        <v>191.25</v>
      </c>
      <c r="K2916" t="s">
        <v>32</v>
      </c>
      <c r="L2916">
        <f>J2916/_xlfn.XLOOKUP(Tabla2[[#This Row],[Unidad de precio]],Tabla3[Medida],Tabla3[Equivalencia en Kg],"ELVIS",0)</f>
        <v>7.0286659316427782</v>
      </c>
      <c r="M2916" s="2">
        <v>38019.0770714752</v>
      </c>
      <c r="N2916" s="2">
        <f>(Tabla2[[#This Row],[Productividad (kg/TAS)]]*Tabla2[[#This Row],[Precio por kg]]-Tabla2[[#This Row],[Costos (En RD$/Tarea)]])</f>
        <v>-19209.655351171819</v>
      </c>
      <c r="O2916" s="6">
        <f>IF(Tabla2[[#This Row],[Costos (En RD$/Tarea)]]=0,0,Tabla2[[#This Row],[Beneficio Neto  (En RD$/Tarea)]]/Tabla2[[#This Row],[Costos (En RD$/Tarea)]])</f>
        <v>-0.50526358951475869</v>
      </c>
      <c r="P2916" s="4">
        <f>Tabla2[[#This Row],[Rentabilidad (%)]]/12</f>
        <v>-4.2105299126229893E-2</v>
      </c>
    </row>
    <row r="2917" spans="1:16" x14ac:dyDescent="0.35">
      <c r="A2917" s="1">
        <v>43891</v>
      </c>
      <c r="B2917" t="s">
        <v>33</v>
      </c>
      <c r="C2917" s="2">
        <v>704781.85160398495</v>
      </c>
      <c r="D2917" s="2" t="s">
        <v>31</v>
      </c>
      <c r="E2917" s="2">
        <f>IF(Tabla2[[#This Row],[Frecuencia]]="Annual", Tabla2[[#This Row],[Cosecha/Tarea]]/12,Tabla2[[#This Row],[Cosecha/Tarea]])</f>
        <v>58731.820966998748</v>
      </c>
      <c r="F2917" s="2">
        <v>1697904</v>
      </c>
      <c r="G2917" t="s">
        <v>18</v>
      </c>
      <c r="H2917">
        <f>F2917/Tabla2[[#This Row],[Cosecha Mensual]]</f>
        <v>28.909439074842371</v>
      </c>
      <c r="I2917">
        <f>H2917*_xlfn.XLOOKUP(Tabla2[[#This Row],[Unidad de producción]],Tabla3[Medida],Tabla3[Equivalencia en Kg],"ELVIS",0)</f>
        <v>1311.33215643485</v>
      </c>
      <c r="J2917">
        <v>9793.9</v>
      </c>
      <c r="K2917" t="s">
        <v>34</v>
      </c>
      <c r="L2917">
        <f>J2917/_xlfn.XLOOKUP(Tabla2[[#This Row],[Unidad de precio]],Tabla3[Medida],Tabla3[Equivalencia en Kg],"ELVIS",0)</f>
        <v>23.9958348646331</v>
      </c>
      <c r="M2917" s="2">
        <v>33327.4212424613</v>
      </c>
      <c r="N2917" s="2">
        <f>(Tabla2[[#This Row],[Productividad (kg/TAS)]]*Tabla2[[#This Row],[Precio por kg]]-Tabla2[[#This Row],[Costos (En RD$/Tarea)]])</f>
        <v>-1860.9113639674179</v>
      </c>
      <c r="O2917" s="6">
        <f>IF(Tabla2[[#This Row],[Costos (En RD$/Tarea)]]=0,0,Tabla2[[#This Row],[Beneficio Neto  (En RD$/Tarea)]]/Tabla2[[#This Row],[Costos (En RD$/Tarea)]])</f>
        <v>-5.5837244364904413E-2</v>
      </c>
      <c r="P2917" s="4">
        <f>Tabla2[[#This Row],[Rentabilidad (%)]]/12</f>
        <v>-4.6531036970753675E-3</v>
      </c>
    </row>
    <row r="2918" spans="1:16" x14ac:dyDescent="0.35">
      <c r="A2918" s="1">
        <v>43922</v>
      </c>
      <c r="B2918" t="s">
        <v>16</v>
      </c>
      <c r="C2918" s="2">
        <v>464895</v>
      </c>
      <c r="D2918" s="5" t="s">
        <v>17</v>
      </c>
      <c r="E2918" s="2">
        <f>IF(Tabla2[[#This Row],[Frecuencia]]="Annual", Tabla2[[#This Row],[Cosecha/Tarea]]/12,Tabla2[[#This Row],[Cosecha/Tarea]])</f>
        <v>464895</v>
      </c>
      <c r="F2918" s="2">
        <v>2842893</v>
      </c>
      <c r="G2918" t="s">
        <v>18</v>
      </c>
      <c r="H2918">
        <f>F2918/Tabla2[[#This Row],[Cosecha Mensual]]</f>
        <v>6.1151292227277123</v>
      </c>
      <c r="I2918">
        <f>H2918*_xlfn.XLOOKUP(Tabla2[[#This Row],[Unidad de producción]],Tabla3[Medida],Tabla3[Equivalencia en Kg],"ELVIS",0)</f>
        <v>277.38226154292903</v>
      </c>
      <c r="J2918">
        <v>2163.0153648698201</v>
      </c>
      <c r="K2918" t="s">
        <v>19</v>
      </c>
      <c r="L2918">
        <f>J2918/_xlfn.XLOOKUP(Tabla2[[#This Row],[Unidad de precio]],Tabla3[Medida],Tabla3[Equivalencia en Kg],"ELVIS",0)</f>
        <v>19.663776044271092</v>
      </c>
      <c r="M2918">
        <v>7092.5943689866499</v>
      </c>
      <c r="N2918" s="2">
        <f>(Tabla2[[#This Row],[Productividad (kg/TAS)]]*Tabla2[[#This Row],[Precio por kg]]-Tabla2[[#This Row],[Costos (En RD$/Tarea)]])</f>
        <v>-1638.2116993530635</v>
      </c>
      <c r="O2918" s="6">
        <f>IF(Tabla2[[#This Row],[Costos (En RD$/Tarea)]]=0,0,Tabla2[[#This Row],[Beneficio Neto  (En RD$/Tarea)]]/Tabla2[[#This Row],[Costos (En RD$/Tarea)]])</f>
        <v>-0.23097495981391108</v>
      </c>
      <c r="P2918" s="4">
        <f>Tabla2[[#This Row],[Rentabilidad (%)]]/12</f>
        <v>-1.9247913317825924E-2</v>
      </c>
    </row>
    <row r="2919" spans="1:16" x14ac:dyDescent="0.35">
      <c r="A2919" s="1">
        <v>43922</v>
      </c>
      <c r="B2919" t="s">
        <v>20</v>
      </c>
      <c r="C2919" s="2">
        <v>31954.114086148398</v>
      </c>
      <c r="D2919" s="5" t="s">
        <v>17</v>
      </c>
      <c r="E2919" s="2">
        <f>IF(Tabla2[[#This Row],[Frecuencia]]="Annual", Tabla2[[#This Row],[Cosecha/Tarea]]/12,Tabla2[[#This Row],[Cosecha/Tarea]])</f>
        <v>31954.114086148398</v>
      </c>
      <c r="F2919" s="2">
        <v>72233</v>
      </c>
      <c r="G2919" t="s">
        <v>18</v>
      </c>
      <c r="H2919">
        <f>F2919/Tabla2[[#This Row],[Cosecha Mensual]]</f>
        <v>2.2605226921722692</v>
      </c>
      <c r="I2919">
        <f>H2919*_xlfn.XLOOKUP(Tabla2[[#This Row],[Unidad de producción]],Tabla3[Medida],Tabla3[Equivalencia en Kg],"ELVIS",0)</f>
        <v>102.53730931693413</v>
      </c>
      <c r="J2919">
        <v>924.28472222222194</v>
      </c>
      <c r="K2919" t="s">
        <v>18</v>
      </c>
      <c r="L2919">
        <f>J2919/_xlfn.XLOOKUP(Tabla2[[#This Row],[Unidad de precio]],Tabla3[Medida],Tabla3[Equivalencia en Kg],"ELVIS",0)</f>
        <v>20.376647315304716</v>
      </c>
      <c r="M2919">
        <v>2584.1546858372599</v>
      </c>
      <c r="N2919" s="2">
        <f>(Tabla2[[#This Row],[Productividad (kg/TAS)]]*Tabla2[[#This Row],[Precio por kg]]-Tabla2[[#This Row],[Costos (En RD$/Tarea)]])</f>
        <v>-494.7880972257849</v>
      </c>
      <c r="O2919" s="6">
        <f>IF(Tabla2[[#This Row],[Costos (En RD$/Tarea)]]=0,0,Tabla2[[#This Row],[Beneficio Neto  (En RD$/Tarea)]]/Tabla2[[#This Row],[Costos (En RD$/Tarea)]])</f>
        <v>-0.19146999981755145</v>
      </c>
      <c r="P2919" s="4">
        <f>Tabla2[[#This Row],[Rentabilidad (%)]]/12</f>
        <v>-1.5955833318129286E-2</v>
      </c>
    </row>
    <row r="2920" spans="1:16" x14ac:dyDescent="0.35">
      <c r="A2920" s="1">
        <v>43922</v>
      </c>
      <c r="B2920" t="s">
        <v>21</v>
      </c>
      <c r="C2920" s="2">
        <v>12343</v>
      </c>
      <c r="D2920" s="5" t="s">
        <v>17</v>
      </c>
      <c r="E2920" s="2">
        <f>IF(Tabla2[[#This Row],[Frecuencia]]="Annual", Tabla2[[#This Row],[Cosecha/Tarea]]/12,Tabla2[[#This Row],[Cosecha/Tarea]])</f>
        <v>12343</v>
      </c>
      <c r="F2920" s="2">
        <v>144254</v>
      </c>
      <c r="G2920" t="s">
        <v>18</v>
      </c>
      <c r="H2920">
        <f>F2920/Tabla2[[#This Row],[Cosecha Mensual]]</f>
        <v>11.687110102892328</v>
      </c>
      <c r="I2920">
        <f>H2920*_xlfn.XLOOKUP(Tabla2[[#This Row],[Unidad de producción]],Tabla3[Medida],Tabla3[Equivalencia en Kg],"ELVIS",0)</f>
        <v>530.12731426719597</v>
      </c>
      <c r="J2920">
        <v>599.73611111111097</v>
      </c>
      <c r="K2920" t="s">
        <v>18</v>
      </c>
      <c r="L2920">
        <f>J2920/_xlfn.XLOOKUP(Tabla2[[#This Row],[Unidad de precio]],Tabla3[Medida],Tabla3[Equivalencia en Kg],"ELVIS",0)</f>
        <v>13.221695571232605</v>
      </c>
      <c r="M2920">
        <v>6271.4601073596496</v>
      </c>
      <c r="N2920" s="2">
        <f>(Tabla2[[#This Row],[Productividad (kg/TAS)]]*Tabla2[[#This Row],[Precio por kg]]-Tabla2[[#This Row],[Costos (En RD$/Tarea)]])</f>
        <v>737.72185587637068</v>
      </c>
      <c r="O2920" s="6">
        <f>IF(Tabla2[[#This Row],[Costos (En RD$/Tarea)]]=0,0,Tabla2[[#This Row],[Beneficio Neto  (En RD$/Tarea)]]/Tabla2[[#This Row],[Costos (En RD$/Tarea)]])</f>
        <v>0.11763159507474875</v>
      </c>
      <c r="P2920" s="4">
        <f>Tabla2[[#This Row],[Rentabilidad (%)]]/12</f>
        <v>9.8026329228957289E-3</v>
      </c>
    </row>
    <row r="2921" spans="1:16" x14ac:dyDescent="0.35">
      <c r="A2921" s="1">
        <v>43922</v>
      </c>
      <c r="B2921" t="s">
        <v>22</v>
      </c>
      <c r="C2921" s="2">
        <v>9042</v>
      </c>
      <c r="D2921" s="5" t="s">
        <v>17</v>
      </c>
      <c r="E2921" s="2">
        <f>IF(Tabla2[[#This Row],[Frecuencia]]="Annual", Tabla2[[#This Row],[Cosecha/Tarea]]/12,Tabla2[[#This Row],[Cosecha/Tarea]])</f>
        <v>9042</v>
      </c>
      <c r="F2921" s="2">
        <v>99109</v>
      </c>
      <c r="G2921" t="s">
        <v>18</v>
      </c>
      <c r="H2921">
        <f>F2921/Tabla2[[#This Row],[Cosecha Mensual]]</f>
        <v>10.9609599646096</v>
      </c>
      <c r="I2921">
        <f>H2921*_xlfn.XLOOKUP(Tabla2[[#This Row],[Unidad de producción]],Tabla3[Medida],Tabla3[Equivalencia en Kg],"ELVIS",0)</f>
        <v>497.18914399469145</v>
      </c>
      <c r="J2921">
        <v>1586.3375000000001</v>
      </c>
      <c r="K2921" t="s">
        <v>18</v>
      </c>
      <c r="L2921">
        <f>J2921/_xlfn.XLOOKUP(Tabla2[[#This Row],[Unidad de precio]],Tabla3[Medida],Tabla3[Equivalencia en Kg],"ELVIS",0)</f>
        <v>34.972167107583779</v>
      </c>
      <c r="M2921">
        <v>10873.3452772193</v>
      </c>
      <c r="N2921" s="2">
        <f>(Tabla2[[#This Row],[Productividad (kg/TAS)]]*Tabla2[[#This Row],[Precio por kg]]-Tabla2[[#This Row],[Costos (En RD$/Tarea)]])</f>
        <v>6514.4365506395825</v>
      </c>
      <c r="O2921" s="6">
        <f>IF(Tabla2[[#This Row],[Costos (En RD$/Tarea)]]=0,0,Tabla2[[#This Row],[Beneficio Neto  (En RD$/Tarea)]]/Tabla2[[#This Row],[Costos (En RD$/Tarea)]])</f>
        <v>0.59911980945624443</v>
      </c>
      <c r="P2921" s="4">
        <f>Tabla2[[#This Row],[Rentabilidad (%)]]/12</f>
        <v>4.9926650788020367E-2</v>
      </c>
    </row>
    <row r="2922" spans="1:16" x14ac:dyDescent="0.35">
      <c r="A2922" s="1">
        <v>43922</v>
      </c>
      <c r="B2922" t="s">
        <v>23</v>
      </c>
      <c r="C2922" s="2">
        <v>3970</v>
      </c>
      <c r="D2922" s="5" t="s">
        <v>17</v>
      </c>
      <c r="E2922" s="2">
        <f>IF(Tabla2[[#This Row],[Frecuencia]]="Annual", Tabla2[[#This Row],[Cosecha/Tarea]]/12,Tabla2[[#This Row],[Cosecha/Tarea]])</f>
        <v>3970</v>
      </c>
      <c r="F2922" s="2">
        <v>167243</v>
      </c>
      <c r="G2922" t="s">
        <v>18</v>
      </c>
      <c r="H2922">
        <f>F2922/Tabla2[[#This Row],[Cosecha Mensual]]</f>
        <v>42.126700251889169</v>
      </c>
      <c r="I2922">
        <f>H2922*_xlfn.XLOOKUP(Tabla2[[#This Row],[Unidad de producción]],Tabla3[Medida],Tabla3[Equivalencia en Kg],"ELVIS",0)</f>
        <v>1910.8671234256926</v>
      </c>
      <c r="J2922">
        <v>1036.56</v>
      </c>
      <c r="K2922" t="s">
        <v>18</v>
      </c>
      <c r="L2922">
        <f>J2922/_xlfn.XLOOKUP(Tabla2[[#This Row],[Unidad de precio]],Tabla3[Medida],Tabla3[Equivalencia en Kg],"ELVIS",0)</f>
        <v>22.851851851851851</v>
      </c>
      <c r="M2922">
        <v>28931.455637376999</v>
      </c>
      <c r="N2922" s="2">
        <f>(Tabla2[[#This Row],[Productividad (kg/TAS)]]*Tabla2[[#This Row],[Precio por kg]]-Tabla2[[#This Row],[Costos (En RD$/Tarea)]])</f>
        <v>14735.396775721234</v>
      </c>
      <c r="O2922" s="6">
        <f>IF(Tabla2[[#This Row],[Costos (En RD$/Tarea)]]=0,0,Tabla2[[#This Row],[Beneficio Neto  (En RD$/Tarea)]]/Tabla2[[#This Row],[Costos (En RD$/Tarea)]])</f>
        <v>0.50932096056322673</v>
      </c>
      <c r="P2922" s="4">
        <f>Tabla2[[#This Row],[Rentabilidad (%)]]/12</f>
        <v>4.2443413380268892E-2</v>
      </c>
    </row>
    <row r="2923" spans="1:16" x14ac:dyDescent="0.35">
      <c r="A2923" s="1">
        <v>43922</v>
      </c>
      <c r="B2923" t="s">
        <v>24</v>
      </c>
      <c r="C2923" s="2">
        <v>6659</v>
      </c>
      <c r="D2923" s="5" t="s">
        <v>17</v>
      </c>
      <c r="E2923" s="2">
        <f>IF(Tabla2[[#This Row],[Frecuencia]]="Annual", Tabla2[[#This Row],[Cosecha/Tarea]]/12,Tabla2[[#This Row],[Cosecha/Tarea]])</f>
        <v>6659</v>
      </c>
      <c r="F2923" s="2">
        <v>64189</v>
      </c>
      <c r="G2923" t="s">
        <v>18</v>
      </c>
      <c r="H2923">
        <f>F2923/Tabla2[[#This Row],[Cosecha Mensual]]</f>
        <v>9.6394353506532511</v>
      </c>
      <c r="I2923">
        <f>H2923*_xlfn.XLOOKUP(Tabla2[[#This Row],[Unidad de producción]],Tabla3[Medida],Tabla3[Equivalencia en Kg],"ELVIS",0)</f>
        <v>437.24478750563145</v>
      </c>
      <c r="J2923">
        <v>2747.0555555555602</v>
      </c>
      <c r="K2923" t="s">
        <v>18</v>
      </c>
      <c r="L2923">
        <f>J2923/_xlfn.XLOOKUP(Tabla2[[#This Row],[Unidad de precio]],Tabla3[Medida],Tabla3[Equivalencia en Kg],"ELVIS",0)</f>
        <v>60.561189496374787</v>
      </c>
      <c r="M2923">
        <v>8997.8297362085195</v>
      </c>
      <c r="N2923" s="2">
        <f>(Tabla2[[#This Row],[Productividad (kg/TAS)]]*Tabla2[[#This Row],[Precio por kg]]-Tabla2[[#This Row],[Costos (En RD$/Tarea)]])</f>
        <v>17482.234696222156</v>
      </c>
      <c r="O2923" s="6">
        <f>IF(Tabla2[[#This Row],[Costos (En RD$/Tarea)]]=0,0,Tabla2[[#This Row],[Beneficio Neto  (En RD$/Tarea)]]/Tabla2[[#This Row],[Costos (En RD$/Tarea)]])</f>
        <v>1.9429390429417897</v>
      </c>
      <c r="P2923" s="4">
        <f>Tabla2[[#This Row],[Rentabilidad (%)]]/12</f>
        <v>0.16191158691181581</v>
      </c>
    </row>
    <row r="2924" spans="1:16" x14ac:dyDescent="0.35">
      <c r="A2924" s="1">
        <v>43922</v>
      </c>
      <c r="B2924" t="s">
        <v>25</v>
      </c>
      <c r="C2924" s="2">
        <v>30435</v>
      </c>
      <c r="D2924" s="5" t="s">
        <v>17</v>
      </c>
      <c r="E2924" s="2">
        <f>IF(Tabla2[[#This Row],[Frecuencia]]="Annual", Tabla2[[#This Row],[Cosecha/Tarea]]/12,Tabla2[[#This Row],[Cosecha/Tarea]])</f>
        <v>30435</v>
      </c>
      <c r="F2924" s="2">
        <v>295287</v>
      </c>
      <c r="G2924" t="s">
        <v>18</v>
      </c>
      <c r="H2924">
        <f>F2924/Tabla2[[#This Row],[Cosecha Mensual]]</f>
        <v>9.7022178413011329</v>
      </c>
      <c r="I2924">
        <f>H2924*_xlfn.XLOOKUP(Tabla2[[#This Row],[Unidad de producción]],Tabla3[Medida],Tabla3[Equivalencia en Kg],"ELVIS",0)</f>
        <v>440.09260128141938</v>
      </c>
      <c r="J2924">
        <v>668.10702380952398</v>
      </c>
      <c r="K2924" t="s">
        <v>18</v>
      </c>
      <c r="L2924">
        <f>J2924/_xlfn.XLOOKUP(Tabla2[[#This Row],[Unidad de precio]],Tabla3[Medida],Tabla3[Equivalencia en Kg],"ELVIS",0)</f>
        <v>14.728990824724956</v>
      </c>
      <c r="M2924">
        <v>5060.8394523092302</v>
      </c>
      <c r="N2924" s="2">
        <f>(Tabla2[[#This Row],[Productividad (kg/TAS)]]*Tabla2[[#This Row],[Precio por kg]]-Tabla2[[#This Row],[Costos (En RD$/Tarea)]])</f>
        <v>1421.280433994134</v>
      </c>
      <c r="O2924" s="6">
        <f>IF(Tabla2[[#This Row],[Costos (En RD$/Tarea)]]=0,0,Tabla2[[#This Row],[Beneficio Neto  (En RD$/Tarea)]]/Tabla2[[#This Row],[Costos (En RD$/Tarea)]])</f>
        <v>0.28083887018893922</v>
      </c>
      <c r="P2924" s="4">
        <f>Tabla2[[#This Row],[Rentabilidad (%)]]/12</f>
        <v>2.3403239182411602E-2</v>
      </c>
    </row>
    <row r="2925" spans="1:16" x14ac:dyDescent="0.35">
      <c r="A2925" s="1">
        <v>43922</v>
      </c>
      <c r="B2925" t="s">
        <v>26</v>
      </c>
      <c r="C2925" s="2">
        <v>8567</v>
      </c>
      <c r="D2925" s="5" t="s">
        <v>17</v>
      </c>
      <c r="E2925" s="2">
        <f>IF(Tabla2[[#This Row],[Frecuencia]]="Annual", Tabla2[[#This Row],[Cosecha/Tarea]]/12,Tabla2[[#This Row],[Cosecha/Tarea]])</f>
        <v>8567</v>
      </c>
      <c r="F2925" s="2">
        <v>68655</v>
      </c>
      <c r="G2925" t="s">
        <v>18</v>
      </c>
      <c r="H2925">
        <f>F2925/Tabla2[[#This Row],[Cosecha Mensual]]</f>
        <v>8.0138905100968838</v>
      </c>
      <c r="I2925">
        <f>H2925*_xlfn.XLOOKUP(Tabla2[[#This Row],[Unidad de producción]],Tabla3[Medida],Tabla3[Equivalencia en Kg],"ELVIS",0)</f>
        <v>363.51007353799463</v>
      </c>
      <c r="J2925">
        <v>938.944444444444</v>
      </c>
      <c r="K2925" t="s">
        <v>18</v>
      </c>
      <c r="L2925">
        <f>J2925/_xlfn.XLOOKUP(Tabla2[[#This Row],[Unidad de precio]],Tabla3[Medida],Tabla3[Equivalencia en Kg],"ELVIS",0)</f>
        <v>20.699833431314904</v>
      </c>
      <c r="M2925">
        <v>1789.8439852691199</v>
      </c>
      <c r="N2925" s="2">
        <f>(Tabla2[[#This Row],[Productividad (kg/TAS)]]*Tabla2[[#This Row],[Precio por kg]]-Tabla2[[#This Row],[Costos (En RD$/Tarea)]])</f>
        <v>5734.7539875724005</v>
      </c>
      <c r="O2925" s="6">
        <f>IF(Tabla2[[#This Row],[Costos (En RD$/Tarea)]]=0,0,Tabla2[[#This Row],[Beneficio Neto  (En RD$/Tarea)]]/Tabla2[[#This Row],[Costos (En RD$/Tarea)]])</f>
        <v>3.2040524396377075</v>
      </c>
      <c r="P2925" s="4">
        <f>Tabla2[[#This Row],[Rentabilidad (%)]]/12</f>
        <v>0.26700436996980897</v>
      </c>
    </row>
    <row r="2926" spans="1:16" x14ac:dyDescent="0.35">
      <c r="A2926" s="1">
        <v>43922</v>
      </c>
      <c r="B2926" t="s">
        <v>27</v>
      </c>
      <c r="C2926" s="2">
        <v>2134</v>
      </c>
      <c r="D2926" s="5" t="s">
        <v>17</v>
      </c>
      <c r="E2926" s="2">
        <f>IF(Tabla2[[#This Row],[Frecuencia]]="Annual", Tabla2[[#This Row],[Cosecha/Tarea]]/12,Tabla2[[#This Row],[Cosecha/Tarea]])</f>
        <v>2134</v>
      </c>
      <c r="F2926" s="2">
        <v>52553</v>
      </c>
      <c r="G2926" t="s">
        <v>18</v>
      </c>
      <c r="H2926">
        <f>F2926/Tabla2[[#This Row],[Cosecha Mensual]]</f>
        <v>24.626522961574508</v>
      </c>
      <c r="I2926">
        <f>H2926*_xlfn.XLOOKUP(Tabla2[[#This Row],[Unidad de producción]],Tabla3[Medida],Tabla3[Equivalencia en Kg],"ELVIS",0)</f>
        <v>1117.0590815370197</v>
      </c>
      <c r="J2926">
        <v>815.41666666666697</v>
      </c>
      <c r="K2926" t="s">
        <v>18</v>
      </c>
      <c r="L2926">
        <f>J2926/_xlfn.XLOOKUP(Tabla2[[#This Row],[Unidad de precio]],Tabla3[Medida],Tabla3[Equivalencia en Kg],"ELVIS",0)</f>
        <v>17.97655790711347</v>
      </c>
      <c r="M2926">
        <v>9891.7256609088799</v>
      </c>
      <c r="N2926" s="2">
        <f>(Tabla2[[#This Row],[Productividad (kg/TAS)]]*Tabla2[[#This Row],[Precio por kg]]-Tabla2[[#This Row],[Costos (En RD$/Tarea)]])</f>
        <v>10189.151604008341</v>
      </c>
      <c r="O2926" s="6">
        <f>IF(Tabla2[[#This Row],[Costos (En RD$/Tarea)]]=0,0,Tabla2[[#This Row],[Beneficio Neto  (En RD$/Tarea)]]/Tabla2[[#This Row],[Costos (En RD$/Tarea)]])</f>
        <v>1.0300681552739437</v>
      </c>
      <c r="P2926" s="4">
        <f>Tabla2[[#This Row],[Rentabilidad (%)]]/12</f>
        <v>8.5839012939495307E-2</v>
      </c>
    </row>
    <row r="2927" spans="1:16" x14ac:dyDescent="0.35">
      <c r="A2927" s="1">
        <v>43922</v>
      </c>
      <c r="B2927" t="s">
        <v>28</v>
      </c>
      <c r="C2927" s="2">
        <v>12434</v>
      </c>
      <c r="D2927" s="5" t="s">
        <v>17</v>
      </c>
      <c r="E2927" s="2">
        <f>IF(Tabla2[[#This Row],[Frecuencia]]="Annual", Tabla2[[#This Row],[Cosecha/Tarea]]/12,Tabla2[[#This Row],[Cosecha/Tarea]])</f>
        <v>12434</v>
      </c>
      <c r="F2927" s="2">
        <v>176377.60000000001</v>
      </c>
      <c r="G2927" t="s">
        <v>18</v>
      </c>
      <c r="H2927">
        <f>F2927/Tabla2[[#This Row],[Cosecha Mensual]]</f>
        <v>14.185105356281165</v>
      </c>
      <c r="I2927">
        <f>H2927*_xlfn.XLOOKUP(Tabla2[[#This Row],[Unidad de producción]],Tabla3[Medida],Tabla3[Equivalencia en Kg],"ELVIS",0)</f>
        <v>643.43637896091366</v>
      </c>
      <c r="J2927">
        <v>6675</v>
      </c>
      <c r="K2927" t="s">
        <v>29</v>
      </c>
      <c r="L2927">
        <f>J2927/_xlfn.XLOOKUP(Tabla2[[#This Row],[Unidad de precio]],Tabla3[Medida],Tabla3[Equivalencia en Kg],"ELVIS",0)</f>
        <v>11.870043034463135</v>
      </c>
      <c r="M2927">
        <v>13735.141908858301</v>
      </c>
      <c r="N2927" s="2">
        <f>(Tabla2[[#This Row],[Productividad (kg/TAS)]]*Tabla2[[#This Row],[Precio por kg]]-Tabla2[[#This Row],[Costos (En RD$/Tarea)]])</f>
        <v>-6097.5244006531248</v>
      </c>
      <c r="O2927" s="6">
        <f>IF(Tabla2[[#This Row],[Costos (En RD$/Tarea)]]=0,0,Tabla2[[#This Row],[Beneficio Neto  (En RD$/Tarea)]]/Tabla2[[#This Row],[Costos (En RD$/Tarea)]])</f>
        <v>-0.44393603219494993</v>
      </c>
      <c r="P2927" s="4">
        <f>Tabla2[[#This Row],[Rentabilidad (%)]]/12</f>
        <v>-3.6994669349579158E-2</v>
      </c>
    </row>
    <row r="2928" spans="1:16" x14ac:dyDescent="0.35">
      <c r="A2928" s="1">
        <v>43922</v>
      </c>
      <c r="B2928" t="s">
        <v>30</v>
      </c>
      <c r="C2928" s="2">
        <v>432409</v>
      </c>
      <c r="D2928" s="2" t="s">
        <v>31</v>
      </c>
      <c r="E2928" s="2">
        <f>IF(Tabla2[[#This Row],[Frecuencia]]="Annual", Tabla2[[#This Row],[Cosecha/Tarea]]/12,Tabla2[[#This Row],[Cosecha/Tarea]])</f>
        <v>36034.083333333336</v>
      </c>
      <c r="F2928" s="2">
        <v>2369267.4</v>
      </c>
      <c r="G2928" t="s">
        <v>18</v>
      </c>
      <c r="H2928">
        <f>F2928/Tabla2[[#This Row],[Cosecha Mensual]]</f>
        <v>65.750733217856236</v>
      </c>
      <c r="I2928">
        <f>H2928*_xlfn.XLOOKUP(Tabla2[[#This Row],[Unidad de producción]],Tabla3[Medida],Tabla3[Equivalencia en Kg],"ELVIS",0)</f>
        <v>2982.4532587619588</v>
      </c>
      <c r="J2928">
        <v>172.99107142857099</v>
      </c>
      <c r="K2928" t="s">
        <v>32</v>
      </c>
      <c r="L2928">
        <f>J2928/_xlfn.XLOOKUP(Tabla2[[#This Row],[Unidad de precio]],Tabla3[Medida],Tabla3[Equivalencia en Kg],"ELVIS",0)</f>
        <v>6.3576284979261661</v>
      </c>
      <c r="M2928" s="2">
        <v>38019.0770714752</v>
      </c>
      <c r="N2928" s="2">
        <f>(Tabla2[[#This Row],[Productividad (kg/TAS)]]*Tabla2[[#This Row],[Precio por kg]]-Tabla2[[#This Row],[Costos (En RD$/Tarea)]])</f>
        <v>-19057.747239837408</v>
      </c>
      <c r="O2928" s="6">
        <f>IF(Tabla2[[#This Row],[Costos (En RD$/Tarea)]]=0,0,Tabla2[[#This Row],[Beneficio Neto  (En RD$/Tarea)]]/Tabla2[[#This Row],[Costos (En RD$/Tarea)]])</f>
        <v>-0.50126801352934414</v>
      </c>
      <c r="P2928" s="4">
        <f>Tabla2[[#This Row],[Rentabilidad (%)]]/12</f>
        <v>-4.177233446077868E-2</v>
      </c>
    </row>
    <row r="2929" spans="1:16" x14ac:dyDescent="0.35">
      <c r="A2929" s="1">
        <v>43922</v>
      </c>
      <c r="B2929" t="s">
        <v>33</v>
      </c>
      <c r="C2929" s="2">
        <v>734493.74889178004</v>
      </c>
      <c r="D2929" s="2" t="s">
        <v>31</v>
      </c>
      <c r="E2929" s="8">
        <f>IF(Tabla2[[#This Row],[Frecuencia]]="Annual", Tabla2[[#This Row],[Cosecha/Tarea]]/12,Tabla2[[#This Row],[Cosecha/Tarea]])</f>
        <v>61207.812407648336</v>
      </c>
      <c r="F2929" s="2">
        <v>3222459</v>
      </c>
      <c r="G2929" t="s">
        <v>18</v>
      </c>
      <c r="H2929">
        <f>F2929/Tabla2[[#This Row],[Cosecha Mensual]]</f>
        <v>52.647838131155488</v>
      </c>
      <c r="I2929">
        <f>H2929*_xlfn.XLOOKUP(Tabla2[[#This Row],[Unidad de producción]],Tabla3[Medida],Tabla3[Equivalencia en Kg],"ELVIS",0)</f>
        <v>2388.1059376292128</v>
      </c>
      <c r="J2929">
        <v>8274.4523809523798</v>
      </c>
      <c r="K2929" t="s">
        <v>34</v>
      </c>
      <c r="L2929">
        <f>J2929/_xlfn.XLOOKUP(Tabla2[[#This Row],[Unidad de precio]],Tabla3[Medida],Tabla3[Equivalencia en Kg],"ELVIS",0)</f>
        <v>20.273067208017594</v>
      </c>
      <c r="M2929" s="2">
        <v>33327.4212424613</v>
      </c>
      <c r="N2929" s="2">
        <f>(Tabla2[[#This Row],[Productividad (kg/TAS)]]*Tabla2[[#This Row],[Precio por kg]]-Tabla2[[#This Row],[Costos (En RD$/Tarea)]])</f>
        <v>15086.810930961605</v>
      </c>
      <c r="O2929" s="6">
        <f>IF(Tabla2[[#This Row],[Costos (En RD$/Tarea)]]=0,0,Tabla2[[#This Row],[Beneficio Neto  (En RD$/Tarea)]]/Tabla2[[#This Row],[Costos (En RD$/Tarea)]])</f>
        <v>0.45268461730666482</v>
      </c>
      <c r="P2929" s="4">
        <f>Tabla2[[#This Row],[Rentabilidad (%)]]/12</f>
        <v>3.7723718108888735E-2</v>
      </c>
    </row>
    <row r="2930" spans="1:16" x14ac:dyDescent="0.35">
      <c r="A2930" s="1">
        <v>43952</v>
      </c>
      <c r="B2930" t="s">
        <v>16</v>
      </c>
      <c r="C2930" s="2">
        <v>501884</v>
      </c>
      <c r="D2930" s="5" t="s">
        <v>17</v>
      </c>
      <c r="E2930" s="2">
        <f>IF(Tabla2[[#This Row],[Frecuencia]]="Annual", Tabla2[[#This Row],[Cosecha/Tarea]]/12,Tabla2[[#This Row],[Cosecha/Tarea]])</f>
        <v>501884</v>
      </c>
      <c r="F2930" s="2">
        <v>2685822</v>
      </c>
      <c r="G2930" t="s">
        <v>18</v>
      </c>
      <c r="H2930">
        <f>F2930/Tabla2[[#This Row],[Cosecha Mensual]]</f>
        <v>5.3514796247738525</v>
      </c>
      <c r="I2930">
        <f>H2930*_xlfn.XLOOKUP(Tabla2[[#This Row],[Unidad de producción]],Tabla3[Medida],Tabla3[Equivalencia en Kg],"ELVIS",0)</f>
        <v>242.74311577974194</v>
      </c>
      <c r="J2930">
        <v>2285.5910134763499</v>
      </c>
      <c r="K2930" t="s">
        <v>19</v>
      </c>
      <c r="L2930">
        <f>J2930/_xlfn.XLOOKUP(Tabla2[[#This Row],[Unidad de precio]],Tabla3[Medida],Tabla3[Equivalencia en Kg],"ELVIS",0)</f>
        <v>20.778100122512271</v>
      </c>
      <c r="M2930">
        <v>7092.5943689866499</v>
      </c>
      <c r="N2930" s="2">
        <f>(Tabla2[[#This Row],[Productividad (kg/TAS)]]*Tabla2[[#This Row],[Precio por kg]]-Tabla2[[#This Row],[Costos (En RD$/Tarea)]])</f>
        <v>-2048.8536052645832</v>
      </c>
      <c r="O2930" s="6">
        <f>IF(Tabla2[[#This Row],[Costos (En RD$/Tarea)]]=0,0,Tabla2[[#This Row],[Beneficio Neto  (En RD$/Tarea)]]/Tabla2[[#This Row],[Costos (En RD$/Tarea)]])</f>
        <v>-0.2888722375303851</v>
      </c>
      <c r="P2930" s="4">
        <f>Tabla2[[#This Row],[Rentabilidad (%)]]/12</f>
        <v>-2.4072686460865425E-2</v>
      </c>
    </row>
    <row r="2931" spans="1:16" x14ac:dyDescent="0.35">
      <c r="A2931" s="1">
        <v>43952</v>
      </c>
      <c r="B2931" t="s">
        <v>20</v>
      </c>
      <c r="C2931" s="2">
        <v>22654</v>
      </c>
      <c r="D2931" s="5" t="s">
        <v>17</v>
      </c>
      <c r="E2931" s="2">
        <f>IF(Tabla2[[#This Row],[Frecuencia]]="Annual", Tabla2[[#This Row],[Cosecha/Tarea]]/12,Tabla2[[#This Row],[Cosecha/Tarea]])</f>
        <v>22654</v>
      </c>
      <c r="F2931" s="2">
        <v>82414</v>
      </c>
      <c r="G2931" t="s">
        <v>18</v>
      </c>
      <c r="H2931">
        <f>F2931/Tabla2[[#This Row],[Cosecha Mensual]]</f>
        <v>3.6379447338218416</v>
      </c>
      <c r="I2931">
        <f>H2931*_xlfn.XLOOKUP(Tabla2[[#This Row],[Unidad de producción]],Tabla3[Medida],Tabla3[Equivalencia en Kg],"ELVIS",0)</f>
        <v>165.01717312615872</v>
      </c>
      <c r="J2931">
        <v>936.49503968253998</v>
      </c>
      <c r="K2931" t="s">
        <v>18</v>
      </c>
      <c r="L2931">
        <f>J2931/_xlfn.XLOOKUP(Tabla2[[#This Row],[Unidad de precio]],Tabla3[Medida],Tabla3[Equivalencia en Kg],"ELVIS",0)</f>
        <v>20.645834208168871</v>
      </c>
      <c r="M2931">
        <v>2584.1546858372599</v>
      </c>
      <c r="N2931" s="2">
        <f>(Tabla2[[#This Row],[Productividad (kg/TAS)]]*Tabla2[[#This Row],[Precio por kg]]-Tabla2[[#This Row],[Costos (En RD$/Tarea)]])</f>
        <v>822.76251202611274</v>
      </c>
      <c r="O2931" s="6">
        <f>IF(Tabla2[[#This Row],[Costos (En RD$/Tarea)]]=0,0,Tabla2[[#This Row],[Beneficio Neto  (En RD$/Tarea)]]/Tabla2[[#This Row],[Costos (En RD$/Tarea)]])</f>
        <v>0.31838748529078076</v>
      </c>
      <c r="P2931" s="4">
        <f>Tabla2[[#This Row],[Rentabilidad (%)]]/12</f>
        <v>2.6532290440898398E-2</v>
      </c>
    </row>
    <row r="2932" spans="1:16" x14ac:dyDescent="0.35">
      <c r="A2932" s="1">
        <v>43952</v>
      </c>
      <c r="B2932" t="s">
        <v>21</v>
      </c>
      <c r="C2932" s="2">
        <v>10547</v>
      </c>
      <c r="D2932" s="5" t="s">
        <v>17</v>
      </c>
      <c r="E2932" s="2">
        <f>IF(Tabla2[[#This Row],[Frecuencia]]="Annual", Tabla2[[#This Row],[Cosecha/Tarea]]/12,Tabla2[[#This Row],[Cosecha/Tarea]])</f>
        <v>10547</v>
      </c>
      <c r="F2932" s="2">
        <v>122859</v>
      </c>
      <c r="G2932" t="s">
        <v>18</v>
      </c>
      <c r="H2932">
        <f>F2932/Tabla2[[#This Row],[Cosecha Mensual]]</f>
        <v>11.648715274485635</v>
      </c>
      <c r="I2932">
        <f>H2932*_xlfn.XLOOKUP(Tabla2[[#This Row],[Unidad de producción]],Tabla3[Medida],Tabla3[Equivalencia en Kg],"ELVIS",0)</f>
        <v>528.38572485066845</v>
      </c>
      <c r="J2932">
        <v>541.49282407407395</v>
      </c>
      <c r="K2932" t="s">
        <v>18</v>
      </c>
      <c r="L2932">
        <f>J2932/_xlfn.XLOOKUP(Tabla2[[#This Row],[Unidad de precio]],Tabla3[Medida],Tabla3[Equivalencia en Kg],"ELVIS",0)</f>
        <v>11.937672488405511</v>
      </c>
      <c r="M2932">
        <v>6271.4601073596496</v>
      </c>
      <c r="N2932" s="2">
        <f>(Tabla2[[#This Row],[Productividad (kg/TAS)]]*Tabla2[[#This Row],[Precio por kg]]-Tabla2[[#This Row],[Costos (En RD$/Tarea)]])</f>
        <v>36.235623456379471</v>
      </c>
      <c r="O2932" s="6">
        <f>IF(Tabla2[[#This Row],[Costos (En RD$/Tarea)]]=0,0,Tabla2[[#This Row],[Beneficio Neto  (En RD$/Tarea)]]/Tabla2[[#This Row],[Costos (En RD$/Tarea)]])</f>
        <v>5.7778607909594196E-3</v>
      </c>
      <c r="P2932" s="4">
        <f>Tabla2[[#This Row],[Rentabilidad (%)]]/12</f>
        <v>4.8148839924661832E-4</v>
      </c>
    </row>
    <row r="2933" spans="1:16" x14ac:dyDescent="0.35">
      <c r="A2933" s="1">
        <v>43952</v>
      </c>
      <c r="B2933" t="s">
        <v>22</v>
      </c>
      <c r="C2933" s="2">
        <v>5401</v>
      </c>
      <c r="D2933" s="5" t="s">
        <v>17</v>
      </c>
      <c r="E2933" s="2">
        <f>IF(Tabla2[[#This Row],[Frecuencia]]="Annual", Tabla2[[#This Row],[Cosecha/Tarea]]/12,Tabla2[[#This Row],[Cosecha/Tarea]])</f>
        <v>5401</v>
      </c>
      <c r="F2933" s="2">
        <v>56011</v>
      </c>
      <c r="G2933" t="s">
        <v>18</v>
      </c>
      <c r="H2933">
        <f>F2933/Tabla2[[#This Row],[Cosecha Mensual]]</f>
        <v>10.370486946861693</v>
      </c>
      <c r="I2933">
        <f>H2933*_xlfn.XLOOKUP(Tabla2[[#This Row],[Unidad de producción]],Tabla3[Medida],Tabla3[Equivalencia en Kg],"ELVIS",0)</f>
        <v>470.40528790964635</v>
      </c>
      <c r="J2933">
        <v>1371.40443809524</v>
      </c>
      <c r="K2933" t="s">
        <v>18</v>
      </c>
      <c r="L2933">
        <f>J2933/_xlfn.XLOOKUP(Tabla2[[#This Row],[Unidad de precio]],Tabla3[Medida],Tabla3[Equivalencia en Kg],"ELVIS",0)</f>
        <v>30.23378390862522</v>
      </c>
      <c r="M2933">
        <v>10873.3452772193</v>
      </c>
      <c r="N2933" s="2">
        <f>(Tabla2[[#This Row],[Productividad (kg/TAS)]]*Tabla2[[#This Row],[Precio por kg]]-Tabla2[[#This Row],[Costos (En RD$/Tarea)]])</f>
        <v>3348.7865469155804</v>
      </c>
      <c r="O2933" s="6">
        <f>IF(Tabla2[[#This Row],[Costos (En RD$/Tarea)]]=0,0,Tabla2[[#This Row],[Beneficio Neto  (En RD$/Tarea)]]/Tabla2[[#This Row],[Costos (En RD$/Tarea)]])</f>
        <v>0.30798125705909563</v>
      </c>
      <c r="P2933" s="4">
        <f>Tabla2[[#This Row],[Rentabilidad (%)]]/12</f>
        <v>2.5665104754924634E-2</v>
      </c>
    </row>
    <row r="2934" spans="1:16" x14ac:dyDescent="0.35">
      <c r="A2934" s="1">
        <v>43952</v>
      </c>
      <c r="B2934" t="s">
        <v>23</v>
      </c>
      <c r="C2934" s="2">
        <v>4914</v>
      </c>
      <c r="D2934" s="5" t="s">
        <v>17</v>
      </c>
      <c r="E2934" s="2">
        <f>IF(Tabla2[[#This Row],[Frecuencia]]="Annual", Tabla2[[#This Row],[Cosecha/Tarea]]/12,Tabla2[[#This Row],[Cosecha/Tarea]])</f>
        <v>4914</v>
      </c>
      <c r="F2934" s="2">
        <v>188645</v>
      </c>
      <c r="G2934" t="s">
        <v>18</v>
      </c>
      <c r="H2934">
        <f>F2934/Tabla2[[#This Row],[Cosecha Mensual]]</f>
        <v>38.389295889295887</v>
      </c>
      <c r="I2934">
        <f>H2934*_xlfn.XLOOKUP(Tabla2[[#This Row],[Unidad de producción]],Tabla3[Medida],Tabla3[Equivalencia en Kg],"ELVIS",0)</f>
        <v>1741.3384615384614</v>
      </c>
      <c r="J2934">
        <v>1275</v>
      </c>
      <c r="K2934" t="s">
        <v>18</v>
      </c>
      <c r="L2934">
        <f>J2934/_xlfn.XLOOKUP(Tabla2[[#This Row],[Unidad de precio]],Tabla3[Medida],Tabla3[Equivalencia en Kg],"ELVIS",0)</f>
        <v>28.108465608465607</v>
      </c>
      <c r="M2934">
        <v>28931.455637376999</v>
      </c>
      <c r="N2934" s="2">
        <f>(Tabla2[[#This Row],[Productividad (kg/TAS)]]*Tabla2[[#This Row],[Precio por kg]]-Tabla2[[#This Row],[Costos (En RD$/Tarea)]])</f>
        <v>20014.896621475255</v>
      </c>
      <c r="O2934" s="6">
        <f>IF(Tabla2[[#This Row],[Costos (En RD$/Tarea)]]=0,0,Tabla2[[#This Row],[Beneficio Neto  (En RD$/Tarea)]]/Tabla2[[#This Row],[Costos (En RD$/Tarea)]])</f>
        <v>0.69180399604981146</v>
      </c>
      <c r="P2934" s="4">
        <f>Tabla2[[#This Row],[Rentabilidad (%)]]/12</f>
        <v>5.7650333004150955E-2</v>
      </c>
    </row>
    <row r="2935" spans="1:16" x14ac:dyDescent="0.35">
      <c r="A2935" s="1">
        <v>43952</v>
      </c>
      <c r="B2935" t="s">
        <v>24</v>
      </c>
      <c r="C2935" s="2">
        <v>6254</v>
      </c>
      <c r="D2935" s="5" t="s">
        <v>17</v>
      </c>
      <c r="E2935" s="2">
        <f>IF(Tabla2[[#This Row],[Frecuencia]]="Annual", Tabla2[[#This Row],[Cosecha/Tarea]]/12,Tabla2[[#This Row],[Cosecha/Tarea]])</f>
        <v>6254</v>
      </c>
      <c r="F2935" s="2">
        <v>41553</v>
      </c>
      <c r="G2935" t="s">
        <v>18</v>
      </c>
      <c r="H2935">
        <f>F2935/Tabla2[[#This Row],[Cosecha Mensual]]</f>
        <v>6.6442276942756635</v>
      </c>
      <c r="I2935">
        <f>H2935*_xlfn.XLOOKUP(Tabla2[[#This Row],[Unidad de producción]],Tabla3[Medida],Tabla3[Equivalencia en Kg],"ELVIS",0)</f>
        <v>301.38216821234408</v>
      </c>
      <c r="J2935">
        <v>2740.5949047619001</v>
      </c>
      <c r="K2935" t="s">
        <v>18</v>
      </c>
      <c r="L2935">
        <f>J2935/_xlfn.XLOOKUP(Tabla2[[#This Row],[Unidad de precio]],Tabla3[Medida],Tabla3[Equivalencia en Kg],"ELVIS",0)</f>
        <v>60.418758923322315</v>
      </c>
      <c r="M2935">
        <v>8997.8297362085195</v>
      </c>
      <c r="N2935" s="2">
        <f>(Tabla2[[#This Row],[Productividad (kg/TAS)]]*Tabla2[[#This Row],[Precio por kg]]-Tabla2[[#This Row],[Costos (En RD$/Tarea)]])</f>
        <v>9211.306828801271</v>
      </c>
      <c r="O2935" s="6">
        <f>IF(Tabla2[[#This Row],[Costos (En RD$/Tarea)]]=0,0,Tabla2[[#This Row],[Beneficio Neto  (En RD$/Tarea)]]/Tabla2[[#This Row],[Costos (En RD$/Tarea)]])</f>
        <v>1.0237253981072447</v>
      </c>
      <c r="P2935" s="4">
        <f>Tabla2[[#This Row],[Rentabilidad (%)]]/12</f>
        <v>8.5310449842270389E-2</v>
      </c>
    </row>
    <row r="2936" spans="1:16" x14ac:dyDescent="0.35">
      <c r="A2936" s="1">
        <v>43952</v>
      </c>
      <c r="B2936" t="s">
        <v>25</v>
      </c>
      <c r="C2936" s="2">
        <v>26214</v>
      </c>
      <c r="D2936" s="5" t="s">
        <v>17</v>
      </c>
      <c r="E2936" s="2">
        <f>IF(Tabla2[[#This Row],[Frecuencia]]="Annual", Tabla2[[#This Row],[Cosecha/Tarea]]/12,Tabla2[[#This Row],[Cosecha/Tarea]])</f>
        <v>26214</v>
      </c>
      <c r="F2936" s="2">
        <v>288745</v>
      </c>
      <c r="G2936" t="s">
        <v>18</v>
      </c>
      <c r="H2936">
        <f>F2936/Tabla2[[#This Row],[Cosecha Mensual]]</f>
        <v>11.014915693904021</v>
      </c>
      <c r="I2936">
        <f>H2936*_xlfn.XLOOKUP(Tabla2[[#This Row],[Unidad de producción]],Tabla3[Medida],Tabla3[Equivalencia en Kg],"ELVIS",0)</f>
        <v>499.63657587548636</v>
      </c>
      <c r="J2936">
        <v>646.44787037036997</v>
      </c>
      <c r="K2936" t="s">
        <v>18</v>
      </c>
      <c r="L2936">
        <f>J2936/_xlfn.XLOOKUP(Tabla2[[#This Row],[Unidad de precio]],Tabla3[Medida],Tabla3[Equivalencia en Kg],"ELVIS",0)</f>
        <v>14.251496260369709</v>
      </c>
      <c r="M2936">
        <v>5060.8394523092302</v>
      </c>
      <c r="N2936" s="2">
        <f>(Tabla2[[#This Row],[Productividad (kg/TAS)]]*Tabla2[[#This Row],[Precio por kg]]-Tabla2[[#This Row],[Costos (En RD$/Tarea)]])</f>
        <v>2059.7293403241902</v>
      </c>
      <c r="O2936" s="6">
        <f>IF(Tabla2[[#This Row],[Costos (En RD$/Tarea)]]=0,0,Tabla2[[#This Row],[Beneficio Neto  (En RD$/Tarea)]]/Tabla2[[#This Row],[Costos (En RD$/Tarea)]])</f>
        <v>0.40699361434679543</v>
      </c>
      <c r="P2936" s="4">
        <f>Tabla2[[#This Row],[Rentabilidad (%)]]/12</f>
        <v>3.3916134528899619E-2</v>
      </c>
    </row>
    <row r="2937" spans="1:16" x14ac:dyDescent="0.35">
      <c r="A2937" s="1">
        <v>43952</v>
      </c>
      <c r="B2937" t="s">
        <v>26</v>
      </c>
      <c r="C2937" s="2">
        <v>10252.3915116834</v>
      </c>
      <c r="D2937" s="5" t="s">
        <v>17</v>
      </c>
      <c r="E2937" s="2">
        <f>IF(Tabla2[[#This Row],[Frecuencia]]="Annual", Tabla2[[#This Row],[Cosecha/Tarea]]/12,Tabla2[[#This Row],[Cosecha/Tarea]])</f>
        <v>10252.3915116834</v>
      </c>
      <c r="F2937" s="2">
        <v>77584</v>
      </c>
      <c r="G2937" t="s">
        <v>18</v>
      </c>
      <c r="H2937">
        <f>F2937/Tabla2[[#This Row],[Cosecha Mensual]]</f>
        <v>7.5674051182679651</v>
      </c>
      <c r="I2937">
        <f>H2937*_xlfn.XLOOKUP(Tabla2[[#This Row],[Unidad de producción]],Tabla3[Medida],Tabla3[Equivalencia en Kg],"ELVIS",0)</f>
        <v>343.25749616463492</v>
      </c>
      <c r="J2937">
        <v>871.305555555556</v>
      </c>
      <c r="K2937" t="s">
        <v>18</v>
      </c>
      <c r="L2937">
        <f>J2937/_xlfn.XLOOKUP(Tabla2[[#This Row],[Unidad de precio]],Tabla3[Medida],Tabla3[Equivalencia en Kg],"ELVIS",0)</f>
        <v>19.208676268861463</v>
      </c>
      <c r="M2937">
        <v>1789.8439852691199</v>
      </c>
      <c r="N2937" s="2">
        <f>(Tabla2[[#This Row],[Productividad (kg/TAS)]]*Tabla2[[#This Row],[Precio por kg]]-Tabla2[[#This Row],[Costos (En RD$/Tarea)]])</f>
        <v>4803.6781354173072</v>
      </c>
      <c r="O2937" s="6">
        <f>IF(Tabla2[[#This Row],[Costos (En RD$/Tarea)]]=0,0,Tabla2[[#This Row],[Beneficio Neto  (En RD$/Tarea)]]/Tabla2[[#This Row],[Costos (En RD$/Tarea)]])</f>
        <v>2.6838529921897236</v>
      </c>
      <c r="P2937" s="4">
        <f>Tabla2[[#This Row],[Rentabilidad (%)]]/12</f>
        <v>0.22365441601581029</v>
      </c>
    </row>
    <row r="2938" spans="1:16" x14ac:dyDescent="0.35">
      <c r="A2938" s="1">
        <v>43952</v>
      </c>
      <c r="B2938" t="s">
        <v>27</v>
      </c>
      <c r="C2938" s="2">
        <v>4455</v>
      </c>
      <c r="D2938" s="5" t="s">
        <v>17</v>
      </c>
      <c r="E2938" s="2">
        <f>IF(Tabla2[[#This Row],[Frecuencia]]="Annual", Tabla2[[#This Row],[Cosecha/Tarea]]/12,Tabla2[[#This Row],[Cosecha/Tarea]])</f>
        <v>4455</v>
      </c>
      <c r="F2938" s="2">
        <v>48144</v>
      </c>
      <c r="G2938" t="s">
        <v>18</v>
      </c>
      <c r="H2938">
        <f>F2938/Tabla2[[#This Row],[Cosecha Mensual]]</f>
        <v>10.806734006734006</v>
      </c>
      <c r="I2938">
        <f>H2938*_xlfn.XLOOKUP(Tabla2[[#This Row],[Unidad de producción]],Tabla3[Medida],Tabla3[Equivalencia en Kg],"ELVIS",0)</f>
        <v>490.19345454545447</v>
      </c>
      <c r="J2938">
        <v>937.57222222222197</v>
      </c>
      <c r="K2938" t="s">
        <v>18</v>
      </c>
      <c r="L2938">
        <f>J2938/_xlfn.XLOOKUP(Tabla2[[#This Row],[Unidad de precio]],Tabla3[Medida],Tabla3[Equivalencia en Kg],"ELVIS",0)</f>
        <v>20.669581618655688</v>
      </c>
      <c r="M2938">
        <v>9891.7256609088799</v>
      </c>
      <c r="N2938" s="2">
        <f>(Tabla2[[#This Row],[Productividad (kg/TAS)]]*Tabla2[[#This Row],[Precio por kg]]-Tabla2[[#This Row],[Costos (En RD$/Tarea)]])</f>
        <v>240.36795674917812</v>
      </c>
      <c r="O2938" s="6">
        <f>IF(Tabla2[[#This Row],[Costos (En RD$/Tarea)]]=0,0,Tabla2[[#This Row],[Beneficio Neto  (En RD$/Tarea)]]/Tabla2[[#This Row],[Costos (En RD$/Tarea)]])</f>
        <v>2.4299901249696852E-2</v>
      </c>
      <c r="P2938" s="4">
        <f>Tabla2[[#This Row],[Rentabilidad (%)]]/12</f>
        <v>2.0249917708080709E-3</v>
      </c>
    </row>
    <row r="2939" spans="1:16" x14ac:dyDescent="0.35">
      <c r="A2939" s="1">
        <v>43952</v>
      </c>
      <c r="B2939" t="s">
        <v>28</v>
      </c>
      <c r="C2939" s="2">
        <v>11321</v>
      </c>
      <c r="D2939" s="5" t="s">
        <v>17</v>
      </c>
      <c r="E2939" s="2">
        <f>IF(Tabla2[[#This Row],[Frecuencia]]="Annual", Tabla2[[#This Row],[Cosecha/Tarea]]/12,Tabla2[[#This Row],[Cosecha/Tarea]])</f>
        <v>11321</v>
      </c>
      <c r="F2939" s="2">
        <v>334142.8</v>
      </c>
      <c r="G2939" t="s">
        <v>18</v>
      </c>
      <c r="H2939">
        <f>F2939/Tabla2[[#This Row],[Cosecha Mensual]]</f>
        <v>29.515307834996907</v>
      </c>
      <c r="I2939">
        <f>H2939*_xlfn.XLOOKUP(Tabla2[[#This Row],[Unidad de producción]],Tabla3[Medida],Tabla3[Equivalencia en Kg],"ELVIS",0)</f>
        <v>1338.8143633954596</v>
      </c>
      <c r="J2939">
        <v>7000</v>
      </c>
      <c r="K2939" t="s">
        <v>29</v>
      </c>
      <c r="L2939">
        <f>J2939/_xlfn.XLOOKUP(Tabla2[[#This Row],[Unidad de precio]],Tabla3[Medida],Tabla3[Equivalencia en Kg],"ELVIS",0)</f>
        <v>12.447985204680442</v>
      </c>
      <c r="M2939">
        <v>13735.141908858301</v>
      </c>
      <c r="N2939" s="2">
        <f>(Tabla2[[#This Row],[Productividad (kg/TAS)]]*Tabla2[[#This Row],[Precio por kg]]-Tabla2[[#This Row],[Costos (En RD$/Tarea)]])</f>
        <v>2930.3994785020459</v>
      </c>
      <c r="O2939" s="6">
        <f>IF(Tabla2[[#This Row],[Costos (En RD$/Tarea)]]=0,0,Tabla2[[#This Row],[Beneficio Neto  (En RD$/Tarea)]]/Tabla2[[#This Row],[Costos (En RD$/Tarea)]])</f>
        <v>0.21335050616492887</v>
      </c>
      <c r="P2939" s="4">
        <f>Tabla2[[#This Row],[Rentabilidad (%)]]/12</f>
        <v>1.7779208847077406E-2</v>
      </c>
    </row>
    <row r="2940" spans="1:16" x14ac:dyDescent="0.35">
      <c r="A2940" s="1">
        <v>43952</v>
      </c>
      <c r="B2940" t="s">
        <v>30</v>
      </c>
      <c r="C2940" s="2">
        <v>443154</v>
      </c>
      <c r="D2940" s="2" t="s">
        <v>31</v>
      </c>
      <c r="E2940" s="2">
        <f>IF(Tabla2[[#This Row],[Frecuencia]]="Annual", Tabla2[[#This Row],[Cosecha/Tarea]]/12,Tabla2[[#This Row],[Cosecha/Tarea]])</f>
        <v>36929.5</v>
      </c>
      <c r="F2940" s="2">
        <v>2385539.4</v>
      </c>
      <c r="G2940" t="s">
        <v>18</v>
      </c>
      <c r="H2940">
        <f>F2940/Tabla2[[#This Row],[Cosecha Mensual]]</f>
        <v>64.597121542398355</v>
      </c>
      <c r="I2940">
        <f>H2940*_xlfn.XLOOKUP(Tabla2[[#This Row],[Unidad de producción]],Tabla3[Medida],Tabla3[Equivalencia en Kg],"ELVIS",0)</f>
        <v>2930.1254331631894</v>
      </c>
      <c r="J2940">
        <v>196.055555555556</v>
      </c>
      <c r="K2940" t="s">
        <v>32</v>
      </c>
      <c r="L2940">
        <f>J2940/_xlfn.XLOOKUP(Tabla2[[#This Row],[Unidad de precio]],Tabla3[Medida],Tabla3[Equivalencia en Kg],"ELVIS",0)</f>
        <v>7.2052758381314224</v>
      </c>
      <c r="M2940" s="2">
        <v>38019.0770714752</v>
      </c>
      <c r="N2940" s="2">
        <f>(Tabla2[[#This Row],[Productividad (kg/TAS)]]*Tabla2[[#This Row],[Precio por kg]]-Tabla2[[#This Row],[Costos (En RD$/Tarea)]])</f>
        <v>-16906.715085210104</v>
      </c>
      <c r="O2940" s="6">
        <f>IF(Tabla2[[#This Row],[Costos (En RD$/Tarea)]]=0,0,Tabla2[[#This Row],[Beneficio Neto  (En RD$/Tarea)]]/Tabla2[[#This Row],[Costos (En RD$/Tarea)]])</f>
        <v>-0.44469030780062796</v>
      </c>
      <c r="P2940" s="4">
        <f>Tabla2[[#This Row],[Rentabilidad (%)]]/12</f>
        <v>-3.7057525650052332E-2</v>
      </c>
    </row>
    <row r="2941" spans="1:16" x14ac:dyDescent="0.35">
      <c r="A2941" s="1">
        <v>43952</v>
      </c>
      <c r="B2941" t="s">
        <v>33</v>
      </c>
      <c r="C2941" s="2">
        <v>768626.41941021197</v>
      </c>
      <c r="D2941" s="2" t="s">
        <v>31</v>
      </c>
      <c r="E2941" s="8">
        <f>IF(Tabla2[[#This Row],[Frecuencia]]="Annual", Tabla2[[#This Row],[Cosecha/Tarea]]/12,Tabla2[[#This Row],[Cosecha/Tarea]])</f>
        <v>64052.201617517661</v>
      </c>
      <c r="F2941" s="2">
        <v>3252654</v>
      </c>
      <c r="G2941" t="s">
        <v>18</v>
      </c>
      <c r="H2941">
        <f>F2941/Tabla2[[#This Row],[Cosecha Mensual]]</f>
        <v>50.781298969595923</v>
      </c>
      <c r="I2941">
        <f>H2941*_xlfn.XLOOKUP(Tabla2[[#This Row],[Unidad de producción]],Tabla3[Medida],Tabla3[Equivalencia en Kg],"ELVIS",0)</f>
        <v>2303.439721260871</v>
      </c>
      <c r="J2941">
        <v>7378.9722222222199</v>
      </c>
      <c r="K2941" t="s">
        <v>34</v>
      </c>
      <c r="L2941">
        <f>J2941/_xlfn.XLOOKUP(Tabla2[[#This Row],[Unidad de precio]],Tabla3[Medida],Tabla3[Equivalencia en Kg],"ELVIS",0)</f>
        <v>18.079069514203653</v>
      </c>
      <c r="M2941" s="2">
        <v>33327.4212424613</v>
      </c>
      <c r="N2941" s="2">
        <f>(Tabla2[[#This Row],[Productividad (kg/TAS)]]*Tabla2[[#This Row],[Precio por kg]]-Tabla2[[#This Row],[Costos (En RD$/Tarea)]])</f>
        <v>8316.6255999918721</v>
      </c>
      <c r="O2941" s="6">
        <f>IF(Tabla2[[#This Row],[Costos (En RD$/Tarea)]]=0,0,Tabla2[[#This Row],[Beneficio Neto  (En RD$/Tarea)]]/Tabla2[[#This Row],[Costos (En RD$/Tarea)]])</f>
        <v>0.24954302763143135</v>
      </c>
      <c r="P2941" s="4">
        <f>Tabla2[[#This Row],[Rentabilidad (%)]]/12</f>
        <v>2.0795252302619281E-2</v>
      </c>
    </row>
    <row r="2942" spans="1:16" x14ac:dyDescent="0.35">
      <c r="A2942" s="1">
        <v>43983</v>
      </c>
      <c r="B2942" t="s">
        <v>16</v>
      </c>
      <c r="C2942" s="2">
        <v>130214</v>
      </c>
      <c r="D2942" s="5" t="s">
        <v>17</v>
      </c>
      <c r="E2942" s="2">
        <f>IF(Tabla2[[#This Row],[Frecuencia]]="Annual", Tabla2[[#This Row],[Cosecha/Tarea]]/12,Tabla2[[#This Row],[Cosecha/Tarea]])</f>
        <v>130214</v>
      </c>
      <c r="F2942" s="2">
        <v>670854</v>
      </c>
      <c r="G2942" t="s">
        <v>18</v>
      </c>
      <c r="H2942">
        <f>F2942/Tabla2[[#This Row],[Cosecha Mensual]]</f>
        <v>5.1519345078102203</v>
      </c>
      <c r="I2942">
        <f>H2942*_xlfn.XLOOKUP(Tabla2[[#This Row],[Unidad de producción]],Tabla3[Medida],Tabla3[Equivalencia en Kg],"ELVIS",0)</f>
        <v>233.69174927427159</v>
      </c>
      <c r="J2942">
        <v>2321.2332248502598</v>
      </c>
      <c r="K2942" t="s">
        <v>19</v>
      </c>
      <c r="L2942">
        <f>J2942/_xlfn.XLOOKUP(Tabla2[[#This Row],[Unidad de precio]],Tabla3[Medida],Tabla3[Equivalencia en Kg],"ELVIS",0)</f>
        <v>21.102120225911452</v>
      </c>
      <c r="M2942">
        <v>7092.5943689866499</v>
      </c>
      <c r="N2942" s="2">
        <f>(Tabla2[[#This Row],[Productividad (kg/TAS)]]*Tabla2[[#This Row],[Precio por kg]]-Tabla2[[#This Row],[Costos (En RD$/Tarea)]])</f>
        <v>-2161.2029799974152</v>
      </c>
      <c r="O2942" s="6">
        <f>IF(Tabla2[[#This Row],[Costos (En RD$/Tarea)]]=0,0,Tabla2[[#This Row],[Beneficio Neto  (En RD$/Tarea)]]/Tabla2[[#This Row],[Costos (En RD$/Tarea)]])</f>
        <v>-0.30471261537915861</v>
      </c>
      <c r="P2942" s="4">
        <f>Tabla2[[#This Row],[Rentabilidad (%)]]/12</f>
        <v>-2.5392717948263217E-2</v>
      </c>
    </row>
    <row r="2943" spans="1:16" x14ac:dyDescent="0.35">
      <c r="A2943" s="1">
        <v>43983</v>
      </c>
      <c r="B2943" t="s">
        <v>20</v>
      </c>
      <c r="C2943" s="2">
        <v>49020.946081009999</v>
      </c>
      <c r="D2943" s="5" t="s">
        <v>17</v>
      </c>
      <c r="E2943" s="2">
        <f>IF(Tabla2[[#This Row],[Frecuencia]]="Annual", Tabla2[[#This Row],[Cosecha/Tarea]]/12,Tabla2[[#This Row],[Cosecha/Tarea]])</f>
        <v>49020.946081009999</v>
      </c>
      <c r="F2943" s="2">
        <v>98421</v>
      </c>
      <c r="G2943" t="s">
        <v>18</v>
      </c>
      <c r="H2943">
        <f>F2943/Tabla2[[#This Row],[Cosecha Mensual]]</f>
        <v>2.0077335887674117</v>
      </c>
      <c r="I2943">
        <f>H2943*_xlfn.XLOOKUP(Tabla2[[#This Row],[Unidad de producción]],Tabla3[Medida],Tabla3[Equivalencia en Kg],"ELVIS",0)</f>
        <v>91.070795586489794</v>
      </c>
      <c r="J2943">
        <v>954.88020833333303</v>
      </c>
      <c r="K2943" t="s">
        <v>18</v>
      </c>
      <c r="L2943">
        <f>J2943/_xlfn.XLOOKUP(Tabla2[[#This Row],[Unidad de precio]],Tabla3[Medida],Tabla3[Equivalencia en Kg],"ELVIS",0)</f>
        <v>21.051150977366248</v>
      </c>
      <c r="M2943">
        <v>2584.1546858372599</v>
      </c>
      <c r="N2943" s="2">
        <f>(Tabla2[[#This Row],[Productividad (kg/TAS)]]*Tabla2[[#This Row],[Precio por kg]]-Tabla2[[#This Row],[Costos (En RD$/Tarea)]])</f>
        <v>-667.00961831720338</v>
      </c>
      <c r="O2943" s="6">
        <f>IF(Tabla2[[#This Row],[Costos (En RD$/Tarea)]]=0,0,Tabla2[[#This Row],[Beneficio Neto  (En RD$/Tarea)]]/Tabla2[[#This Row],[Costos (En RD$/Tarea)]])</f>
        <v>-0.25811520570839741</v>
      </c>
      <c r="P2943" s="4">
        <f>Tabla2[[#This Row],[Rentabilidad (%)]]/12</f>
        <v>-2.1509600475699785E-2</v>
      </c>
    </row>
    <row r="2944" spans="1:16" x14ac:dyDescent="0.35">
      <c r="A2944" s="1">
        <v>43983</v>
      </c>
      <c r="B2944" t="s">
        <v>21</v>
      </c>
      <c r="C2944" s="2">
        <v>10621.490626618301</v>
      </c>
      <c r="D2944" s="5" t="s">
        <v>17</v>
      </c>
      <c r="E2944" s="2">
        <f>IF(Tabla2[[#This Row],[Frecuencia]]="Annual", Tabla2[[#This Row],[Cosecha/Tarea]]/12,Tabla2[[#This Row],[Cosecha/Tarea]])</f>
        <v>10621.490626618301</v>
      </c>
      <c r="F2944" s="2">
        <v>111884</v>
      </c>
      <c r="G2944" t="s">
        <v>18</v>
      </c>
      <c r="H2944">
        <f>F2944/Tabla2[[#This Row],[Cosecha Mensual]]</f>
        <v>10.533738053640963</v>
      </c>
      <c r="I2944">
        <f>H2944*_xlfn.XLOOKUP(Tabla2[[#This Row],[Unidad de producción]],Tabla3[Medida],Tabla3[Equivalencia en Kg],"ELVIS",0)</f>
        <v>477.81035811315411</v>
      </c>
      <c r="J2944">
        <v>599.44635416666699</v>
      </c>
      <c r="K2944" t="s">
        <v>18</v>
      </c>
      <c r="L2944">
        <f>J2944/_xlfn.XLOOKUP(Tabla2[[#This Row],[Unidad de precio]],Tabla3[Medida],Tabla3[Equivalencia en Kg],"ELVIS",0)</f>
        <v>13.215307631540277</v>
      </c>
      <c r="M2944">
        <v>6271.4601073596496</v>
      </c>
      <c r="N2944" s="2">
        <f>(Tabla2[[#This Row],[Productividad (kg/TAS)]]*Tabla2[[#This Row],[Precio por kg]]-Tabla2[[#This Row],[Costos (En RD$/Tarea)]])</f>
        <v>42.950764642108879</v>
      </c>
      <c r="O2944" s="6">
        <f>IF(Tabla2[[#This Row],[Costos (En RD$/Tarea)]]=0,0,Tabla2[[#This Row],[Beneficio Neto  (En RD$/Tarea)]]/Tabla2[[#This Row],[Costos (En RD$/Tarea)]])</f>
        <v>6.8486068486197553E-3</v>
      </c>
      <c r="P2944" s="4">
        <f>Tabla2[[#This Row],[Rentabilidad (%)]]/12</f>
        <v>5.7071723738497961E-4</v>
      </c>
    </row>
    <row r="2945" spans="1:16" x14ac:dyDescent="0.35">
      <c r="A2945" s="1">
        <v>43983</v>
      </c>
      <c r="B2945" t="s">
        <v>22</v>
      </c>
      <c r="C2945" s="2">
        <v>6998</v>
      </c>
      <c r="D2945" s="5" t="s">
        <v>17</v>
      </c>
      <c r="E2945" s="2">
        <f>IF(Tabla2[[#This Row],[Frecuencia]]="Annual", Tabla2[[#This Row],[Cosecha/Tarea]]/12,Tabla2[[#This Row],[Cosecha/Tarea]])</f>
        <v>6998</v>
      </c>
      <c r="F2945" s="2">
        <v>51207</v>
      </c>
      <c r="G2945" t="s">
        <v>18</v>
      </c>
      <c r="H2945">
        <f>F2945/Tabla2[[#This Row],[Cosecha Mensual]]</f>
        <v>7.3173763932552154</v>
      </c>
      <c r="I2945">
        <f>H2945*_xlfn.XLOOKUP(Tabla2[[#This Row],[Unidad de producción]],Tabla3[Medida],Tabla3[Equivalencia en Kg],"ELVIS",0)</f>
        <v>331.91619319805659</v>
      </c>
      <c r="J2945">
        <v>1653.2738095238101</v>
      </c>
      <c r="K2945" t="s">
        <v>18</v>
      </c>
      <c r="L2945">
        <f>J2945/_xlfn.XLOOKUP(Tabla2[[#This Row],[Unidad de precio]],Tabla3[Medida],Tabla3[Equivalencia en Kg],"ELVIS",0)</f>
        <v>36.447835306962304</v>
      </c>
      <c r="M2945">
        <v>10873.3452772193</v>
      </c>
      <c r="N2945" s="2">
        <f>(Tabla2[[#This Row],[Productividad (kg/TAS)]]*Tabla2[[#This Row],[Precio por kg]]-Tabla2[[#This Row],[Costos (En RD$/Tarea)]])</f>
        <v>1224.2814681773489</v>
      </c>
      <c r="O2945" s="6">
        <f>IF(Tabla2[[#This Row],[Costos (En RD$/Tarea)]]=0,0,Tabla2[[#This Row],[Beneficio Neto  (En RD$/Tarea)]]/Tabla2[[#This Row],[Costos (En RD$/Tarea)]])</f>
        <v>0.11259473850631194</v>
      </c>
      <c r="P2945" s="4">
        <f>Tabla2[[#This Row],[Rentabilidad (%)]]/12</f>
        <v>9.3828948755259947E-3</v>
      </c>
    </row>
    <row r="2946" spans="1:16" x14ac:dyDescent="0.35">
      <c r="A2946" s="1">
        <v>43983</v>
      </c>
      <c r="B2946" t="s">
        <v>23</v>
      </c>
      <c r="C2946" s="2">
        <v>4158</v>
      </c>
      <c r="D2946" s="5" t="s">
        <v>17</v>
      </c>
      <c r="E2946" s="2">
        <f>IF(Tabla2[[#This Row],[Frecuencia]]="Annual", Tabla2[[#This Row],[Cosecha/Tarea]]/12,Tabla2[[#This Row],[Cosecha/Tarea]])</f>
        <v>4158</v>
      </c>
      <c r="F2946" s="2">
        <v>159241</v>
      </c>
      <c r="G2946" t="s">
        <v>18</v>
      </c>
      <c r="H2946">
        <f>F2946/Tabla2[[#This Row],[Cosecha Mensual]]</f>
        <v>38.297498797498797</v>
      </c>
      <c r="I2946">
        <f>H2946*_xlfn.XLOOKUP(Tabla2[[#This Row],[Unidad de producción]],Tabla3[Medida],Tabla3[Equivalencia en Kg],"ELVIS",0)</f>
        <v>1737.1745454545453</v>
      </c>
      <c r="J2946">
        <v>1059.375</v>
      </c>
      <c r="K2946" t="s">
        <v>18</v>
      </c>
      <c r="L2946">
        <f>J2946/_xlfn.XLOOKUP(Tabla2[[#This Row],[Unidad de precio]],Tabla3[Medida],Tabla3[Equivalencia en Kg],"ELVIS",0)</f>
        <v>23.354828042328041</v>
      </c>
      <c r="M2946">
        <v>28931.455637376999</v>
      </c>
      <c r="N2946" s="2">
        <f>(Tabla2[[#This Row],[Productividad (kg/TAS)]]*Tabla2[[#This Row],[Precio por kg]]-Tabla2[[#This Row],[Costos (En RD$/Tarea)]])</f>
        <v>11639.957151223283</v>
      </c>
      <c r="O2946" s="6">
        <f>IF(Tabla2[[#This Row],[Costos (En RD$/Tarea)]]=0,0,Tabla2[[#This Row],[Beneficio Neto  (En RD$/Tarea)]]/Tabla2[[#This Row],[Costos (En RD$/Tarea)]])</f>
        <v>0.40232877657857768</v>
      </c>
      <c r="P2946" s="4">
        <f>Tabla2[[#This Row],[Rentabilidad (%)]]/12</f>
        <v>3.3527398048214807E-2</v>
      </c>
    </row>
    <row r="2947" spans="1:16" x14ac:dyDescent="0.35">
      <c r="A2947" s="1">
        <v>43983</v>
      </c>
      <c r="B2947" t="s">
        <v>24</v>
      </c>
      <c r="C2947" s="2">
        <v>6601</v>
      </c>
      <c r="D2947" s="5" t="s">
        <v>17</v>
      </c>
      <c r="E2947" s="2">
        <f>IF(Tabla2[[#This Row],[Frecuencia]]="Annual", Tabla2[[#This Row],[Cosecha/Tarea]]/12,Tabla2[[#This Row],[Cosecha/Tarea]])</f>
        <v>6601</v>
      </c>
      <c r="F2947" s="2">
        <v>63855</v>
      </c>
      <c r="G2947" t="s">
        <v>18</v>
      </c>
      <c r="H2947">
        <f>F2947/Tabla2[[#This Row],[Cosecha Mensual]]</f>
        <v>9.6735343129828806</v>
      </c>
      <c r="I2947">
        <f>H2947*_xlfn.XLOOKUP(Tabla2[[#This Row],[Unidad de producción]],Tabla3[Medida],Tabla3[Equivalencia en Kg],"ELVIS",0)</f>
        <v>438.79151643690346</v>
      </c>
      <c r="J2947">
        <v>2618.63375</v>
      </c>
      <c r="K2947" t="s">
        <v>18</v>
      </c>
      <c r="L2947">
        <f>J2947/_xlfn.XLOOKUP(Tabla2[[#This Row],[Unidad de precio]],Tabla3[Medida],Tabla3[Equivalencia en Kg],"ELVIS",0)</f>
        <v>57.730020943562607</v>
      </c>
      <c r="M2947">
        <v>8997.8297362085195</v>
      </c>
      <c r="N2947" s="2">
        <f>(Tabla2[[#This Row],[Productividad (kg/TAS)]]*Tabla2[[#This Row],[Precio por kg]]-Tabla2[[#This Row],[Costos (En RD$/Tarea)]])</f>
        <v>16333.613697551513</v>
      </c>
      <c r="O2947" s="6">
        <f>IF(Tabla2[[#This Row],[Costos (En RD$/Tarea)]]=0,0,Tabla2[[#This Row],[Beneficio Neto  (En RD$/Tarea)]]/Tabla2[[#This Row],[Costos (En RD$/Tarea)]])</f>
        <v>1.8152837046718919</v>
      </c>
      <c r="P2947" s="4">
        <f>Tabla2[[#This Row],[Rentabilidad (%)]]/12</f>
        <v>0.151273642055991</v>
      </c>
    </row>
    <row r="2948" spans="1:16" x14ac:dyDescent="0.35">
      <c r="A2948" s="1">
        <v>43983</v>
      </c>
      <c r="B2948" t="s">
        <v>25</v>
      </c>
      <c r="C2948" s="2">
        <v>38965</v>
      </c>
      <c r="D2948" s="5" t="s">
        <v>17</v>
      </c>
      <c r="E2948" s="2">
        <f>IF(Tabla2[[#This Row],[Frecuencia]]="Annual", Tabla2[[#This Row],[Cosecha/Tarea]]/12,Tabla2[[#This Row],[Cosecha/Tarea]])</f>
        <v>38965</v>
      </c>
      <c r="F2948" s="2">
        <v>377341</v>
      </c>
      <c r="G2948" t="s">
        <v>18</v>
      </c>
      <c r="H2948">
        <f>F2948/Tabla2[[#This Row],[Cosecha Mensual]]</f>
        <v>9.6841011163865005</v>
      </c>
      <c r="I2948">
        <f>H2948*_xlfn.XLOOKUP(Tabla2[[#This Row],[Unidad de producción]],Tabla3[Medida],Tabla3[Equivalencia en Kg],"ELVIS",0)</f>
        <v>439.27082663929167</v>
      </c>
      <c r="J2948">
        <v>620.76052083333298</v>
      </c>
      <c r="K2948" t="s">
        <v>18</v>
      </c>
      <c r="L2948">
        <f>J2948/_xlfn.XLOOKUP(Tabla2[[#This Row],[Unidad de precio]],Tabla3[Medida],Tabla3[Equivalencia en Kg],"ELVIS",0)</f>
        <v>13.68519666740152</v>
      </c>
      <c r="M2948">
        <v>5060.8394523092302</v>
      </c>
      <c r="N2948" s="2">
        <f>(Tabla2[[#This Row],[Productividad (kg/TAS)]]*Tabla2[[#This Row],[Precio por kg]]-Tabla2[[#This Row],[Costos (En RD$/Tarea)]])</f>
        <v>950.66820050151546</v>
      </c>
      <c r="O2948" s="6">
        <f>IF(Tabla2[[#This Row],[Costos (En RD$/Tarea)]]=0,0,Tabla2[[#This Row],[Beneficio Neto  (En RD$/Tarea)]]/Tabla2[[#This Row],[Costos (En RD$/Tarea)]])</f>
        <v>0.18784792709986706</v>
      </c>
      <c r="P2948" s="4">
        <f>Tabla2[[#This Row],[Rentabilidad (%)]]/12</f>
        <v>1.565399392498892E-2</v>
      </c>
    </row>
    <row r="2949" spans="1:16" x14ac:dyDescent="0.35">
      <c r="A2949" s="1">
        <v>43983</v>
      </c>
      <c r="B2949" t="s">
        <v>26</v>
      </c>
      <c r="C2949" s="2">
        <v>11087</v>
      </c>
      <c r="D2949" s="5" t="s">
        <v>17</v>
      </c>
      <c r="E2949" s="2">
        <f>IF(Tabla2[[#This Row],[Frecuencia]]="Annual", Tabla2[[#This Row],[Cosecha/Tarea]]/12,Tabla2[[#This Row],[Cosecha/Tarea]])</f>
        <v>11087</v>
      </c>
      <c r="F2949" s="2">
        <v>67344</v>
      </c>
      <c r="G2949" t="s">
        <v>18</v>
      </c>
      <c r="H2949">
        <f>F2949/Tabla2[[#This Row],[Cosecha Mensual]]</f>
        <v>6.0741408857220165</v>
      </c>
      <c r="I2949">
        <f>H2949*_xlfn.XLOOKUP(Tabla2[[#This Row],[Unidad de producción]],Tabla3[Medida],Tabla3[Equivalencia en Kg],"ELVIS",0)</f>
        <v>275.52303057635066</v>
      </c>
      <c r="J2949">
        <v>1012.734375</v>
      </c>
      <c r="K2949" t="s">
        <v>18</v>
      </c>
      <c r="L2949">
        <f>J2949/_xlfn.XLOOKUP(Tabla2[[#This Row],[Unidad de precio]],Tabla3[Medida],Tabla3[Equivalencia en Kg],"ELVIS",0)</f>
        <v>22.32659556878307</v>
      </c>
      <c r="M2949">
        <v>1789.8439852691199</v>
      </c>
      <c r="N2949" s="2">
        <f>(Tabla2[[#This Row],[Productividad (kg/TAS)]]*Tabla2[[#This Row],[Precio por kg]]-Tabla2[[#This Row],[Costos (En RD$/Tarea)]])</f>
        <v>4361.6472882945127</v>
      </c>
      <c r="O2949" s="6">
        <f>IF(Tabla2[[#This Row],[Costos (En RD$/Tarea)]]=0,0,Tabla2[[#This Row],[Beneficio Neto  (En RD$/Tarea)]]/Tabla2[[#This Row],[Costos (En RD$/Tarea)]])</f>
        <v>2.4368868595207185</v>
      </c>
      <c r="P2949" s="4">
        <f>Tabla2[[#This Row],[Rentabilidad (%)]]/12</f>
        <v>0.20307390496005986</v>
      </c>
    </row>
    <row r="2950" spans="1:16" x14ac:dyDescent="0.35">
      <c r="A2950" s="1">
        <v>43983</v>
      </c>
      <c r="B2950" t="s">
        <v>27</v>
      </c>
      <c r="C2950" s="2">
        <v>8321</v>
      </c>
      <c r="D2950" s="5" t="s">
        <v>17</v>
      </c>
      <c r="E2950" s="2">
        <f>IF(Tabla2[[#This Row],[Frecuencia]]="Annual", Tabla2[[#This Row],[Cosecha/Tarea]]/12,Tabla2[[#This Row],[Cosecha/Tarea]])</f>
        <v>8321</v>
      </c>
      <c r="F2950" s="2">
        <v>57999</v>
      </c>
      <c r="G2950" t="s">
        <v>18</v>
      </c>
      <c r="H2950">
        <f>F2950/Tabla2[[#This Row],[Cosecha Mensual]]</f>
        <v>6.9701958899170773</v>
      </c>
      <c r="I2950">
        <f>H2950*_xlfn.XLOOKUP(Tabla2[[#This Row],[Unidad de producción]],Tabla3[Medida],Tabla3[Equivalencia en Kg],"ELVIS",0)</f>
        <v>316.16808556663864</v>
      </c>
      <c r="J2950">
        <v>957.15238095238101</v>
      </c>
      <c r="K2950" t="s">
        <v>18</v>
      </c>
      <c r="L2950">
        <f>J2950/_xlfn.XLOOKUP(Tabla2[[#This Row],[Unidad de precio]],Tabla3[Medida],Tabla3[Equivalencia en Kg],"ELVIS",0)</f>
        <v>21.101242966322332</v>
      </c>
      <c r="M2950">
        <v>9891.7256609088799</v>
      </c>
      <c r="N2950" s="2">
        <f>(Tabla2[[#This Row],[Productividad (kg/TAS)]]*Tabla2[[#This Row],[Precio por kg]]-Tabla2[[#This Row],[Costos (En RD$/Tarea)]])</f>
        <v>-3220.1860691702495</v>
      </c>
      <c r="O2950" s="6">
        <f>IF(Tabla2[[#This Row],[Costos (En RD$/Tarea)]]=0,0,Tabla2[[#This Row],[Beneficio Neto  (En RD$/Tarea)]]/Tabla2[[#This Row],[Costos (En RD$/Tarea)]])</f>
        <v>-0.32554340663693354</v>
      </c>
      <c r="P2950" s="4">
        <f>Tabla2[[#This Row],[Rentabilidad (%)]]/12</f>
        <v>-2.7128617219744463E-2</v>
      </c>
    </row>
    <row r="2951" spans="1:16" x14ac:dyDescent="0.35">
      <c r="A2951" s="1">
        <v>43983</v>
      </c>
      <c r="B2951" t="s">
        <v>28</v>
      </c>
      <c r="C2951" s="2">
        <v>47501</v>
      </c>
      <c r="D2951" s="5" t="s">
        <v>17</v>
      </c>
      <c r="E2951" s="2">
        <f>IF(Tabla2[[#This Row],[Frecuencia]]="Annual", Tabla2[[#This Row],[Cosecha/Tarea]]/12,Tabla2[[#This Row],[Cosecha/Tarea]])</f>
        <v>47501</v>
      </c>
      <c r="F2951" s="2">
        <v>1391838</v>
      </c>
      <c r="G2951" t="s">
        <v>18</v>
      </c>
      <c r="H2951">
        <f>F2951/Tabla2[[#This Row],[Cosecha Mensual]]</f>
        <v>29.301235763457612</v>
      </c>
      <c r="I2951">
        <f>H2951*_xlfn.XLOOKUP(Tabla2[[#This Row],[Unidad de producción]],Tabla3[Medida],Tabla3[Equivalencia en Kg],"ELVIS",0)</f>
        <v>1329.1040542304372</v>
      </c>
      <c r="J2951">
        <v>21612.962962963</v>
      </c>
      <c r="K2951" t="s">
        <v>29</v>
      </c>
      <c r="L2951">
        <f>J2951/_xlfn.XLOOKUP(Tabla2[[#This Row],[Unidad de precio]],Tabla3[Medida],Tabla3[Equivalencia en Kg],"ELVIS",0)</f>
        <v>38.43397759889568</v>
      </c>
      <c r="M2951">
        <v>13735.141908858301</v>
      </c>
      <c r="N2951" s="2">
        <f>(Tabla2[[#This Row],[Productividad (kg/TAS)]]*Tabla2[[#This Row],[Precio por kg]]-Tabla2[[#This Row],[Costos (En RD$/Tarea)]])</f>
        <v>37347.613538035752</v>
      </c>
      <c r="O2951" s="6">
        <f>IF(Tabla2[[#This Row],[Costos (En RD$/Tarea)]]=0,0,Tabla2[[#This Row],[Beneficio Neto  (En RD$/Tarea)]]/Tabla2[[#This Row],[Costos (En RD$/Tarea)]])</f>
        <v>2.7191283341564092</v>
      </c>
      <c r="P2951" s="4">
        <f>Tabla2[[#This Row],[Rentabilidad (%)]]/12</f>
        <v>0.22659402784636742</v>
      </c>
    </row>
    <row r="2952" spans="1:16" x14ac:dyDescent="0.35">
      <c r="A2952" s="1">
        <v>43983</v>
      </c>
      <c r="B2952" t="s">
        <v>30</v>
      </c>
      <c r="C2952" s="2">
        <v>445264</v>
      </c>
      <c r="D2952" s="2" t="s">
        <v>31</v>
      </c>
      <c r="E2952" s="2">
        <f>IF(Tabla2[[#This Row],[Frecuencia]]="Annual", Tabla2[[#This Row],[Cosecha/Tarea]]/12,Tabla2[[#This Row],[Cosecha/Tarea]])</f>
        <v>37105.333333333336</v>
      </c>
      <c r="F2952" s="2">
        <v>2640995.4</v>
      </c>
      <c r="G2952" t="s">
        <v>18</v>
      </c>
      <c r="H2952">
        <f>F2952/Tabla2[[#This Row],[Cosecha Mensual]]</f>
        <v>71.175627942074811</v>
      </c>
      <c r="I2952">
        <f>H2952*_xlfn.XLOOKUP(Tabla2[[#This Row],[Unidad de producción]],Tabla3[Medida],Tabla3[Equivalencia en Kg],"ELVIS",0)</f>
        <v>3228.5264834525133</v>
      </c>
      <c r="J2952">
        <v>178.4921875</v>
      </c>
      <c r="K2952" t="s">
        <v>32</v>
      </c>
      <c r="L2952">
        <f>J2952/_xlfn.XLOOKUP(Tabla2[[#This Row],[Unidad de precio]],Tabla3[Medida],Tabla3[Equivalencia en Kg],"ELVIS",0)</f>
        <v>6.5598010841602354</v>
      </c>
      <c r="M2952" s="2">
        <v>38019.0770714752</v>
      </c>
      <c r="N2952" s="2">
        <f>(Tabla2[[#This Row],[Productividad (kg/TAS)]]*Tabla2[[#This Row],[Precio por kg]]-Tabla2[[#This Row],[Costos (En RD$/Tarea)]])</f>
        <v>-16840.58554508337</v>
      </c>
      <c r="O2952" s="6">
        <f>IF(Tabla2[[#This Row],[Costos (En RD$/Tarea)]]=0,0,Tabla2[[#This Row],[Beneficio Neto  (En RD$/Tarea)]]/Tabla2[[#This Row],[Costos (En RD$/Tarea)]])</f>
        <v>-0.4429509299613813</v>
      </c>
      <c r="P2952" s="4">
        <f>Tabla2[[#This Row],[Rentabilidad (%)]]/12</f>
        <v>-3.6912577496781777E-2</v>
      </c>
    </row>
    <row r="2953" spans="1:16" x14ac:dyDescent="0.35">
      <c r="A2953" s="1">
        <v>43983</v>
      </c>
      <c r="B2953" t="s">
        <v>33</v>
      </c>
      <c r="C2953" s="2">
        <v>742839.15240901895</v>
      </c>
      <c r="D2953" s="2" t="s">
        <v>31</v>
      </c>
      <c r="E2953" s="2">
        <f>IF(Tabla2[[#This Row],[Frecuencia]]="Annual", Tabla2[[#This Row],[Cosecha/Tarea]]/12,Tabla2[[#This Row],[Cosecha/Tarea]])</f>
        <v>61903.262700751577</v>
      </c>
      <c r="F2953" s="2">
        <v>1978866</v>
      </c>
      <c r="G2953" t="s">
        <v>18</v>
      </c>
      <c r="H2953">
        <f>F2953/Tabla2[[#This Row],[Cosecha Mensual]]</f>
        <v>31.967071098757678</v>
      </c>
      <c r="I2953">
        <f>H2953*_xlfn.XLOOKUP(Tabla2[[#This Row],[Unidad de producción]],Tabla3[Medida],Tabla3[Equivalencia en Kg],"ELVIS",0)</f>
        <v>1450.0263450396483</v>
      </c>
      <c r="J2953">
        <v>6584.6510416666697</v>
      </c>
      <c r="K2953" t="s">
        <v>34</v>
      </c>
      <c r="L2953">
        <f>J2953/_xlfn.XLOOKUP(Tabla2[[#This Row],[Unidad de precio]],Tabla3[Medida],Tabla3[Equivalencia en Kg],"ELVIS",0)</f>
        <v>16.132919371962931</v>
      </c>
      <c r="M2953" s="2">
        <v>33327.4212424613</v>
      </c>
      <c r="N2953" s="2">
        <f>(Tabla2[[#This Row],[Productividad (kg/TAS)]]*Tabla2[[#This Row],[Precio por kg]]-Tabla2[[#This Row],[Costos (En RD$/Tarea)]])</f>
        <v>-9934.263130714553</v>
      </c>
      <c r="O2953" s="6">
        <f>IF(Tabla2[[#This Row],[Costos (En RD$/Tarea)]]=0,0,Tabla2[[#This Row],[Beneficio Neto  (En RD$/Tarea)]]/Tabla2[[#This Row],[Costos (En RD$/Tarea)]])</f>
        <v>-0.29808076233806102</v>
      </c>
      <c r="P2953" s="4">
        <f>Tabla2[[#This Row],[Rentabilidad (%)]]/12</f>
        <v>-2.4840063528171752E-2</v>
      </c>
    </row>
    <row r="2954" spans="1:16" x14ac:dyDescent="0.35">
      <c r="A2954" s="1">
        <v>44013</v>
      </c>
      <c r="B2954" t="s">
        <v>16</v>
      </c>
      <c r="C2954" s="2">
        <v>146255</v>
      </c>
      <c r="D2954" s="5" t="s">
        <v>17</v>
      </c>
      <c r="E2954" s="2">
        <f>IF(Tabla2[[#This Row],[Frecuencia]]="Annual", Tabla2[[#This Row],[Cosecha/Tarea]]/12,Tabla2[[#This Row],[Cosecha/Tarea]])</f>
        <v>146255</v>
      </c>
      <c r="F2954" s="2">
        <v>529351</v>
      </c>
      <c r="G2954" t="s">
        <v>18</v>
      </c>
      <c r="H2954">
        <f>F2954/Tabla2[[#This Row],[Cosecha Mensual]]</f>
        <v>3.6193702779392156</v>
      </c>
      <c r="I2954">
        <f>H2954*_xlfn.XLOOKUP(Tabla2[[#This Row],[Unidad de producción]],Tabla3[Medida],Tabla3[Equivalencia en Kg],"ELVIS",0)</f>
        <v>164.17463580732283</v>
      </c>
      <c r="J2954">
        <v>2409.93324318543</v>
      </c>
      <c r="K2954" t="s">
        <v>19</v>
      </c>
      <c r="L2954">
        <f>J2954/_xlfn.XLOOKUP(Tabla2[[#This Row],[Unidad de precio]],Tabla3[Medida],Tabla3[Equivalencia en Kg],"ELVIS",0)</f>
        <v>21.908484028958455</v>
      </c>
      <c r="M2954">
        <v>7092.5943689866499</v>
      </c>
      <c r="N2954" s="2">
        <f>(Tabla2[[#This Row],[Productividad (kg/TAS)]]*Tabla2[[#This Row],[Precio por kg]]-Tabla2[[#This Row],[Costos (En RD$/Tarea)]])</f>
        <v>-3495.7769824418469</v>
      </c>
      <c r="O2954" s="6">
        <f>IF(Tabla2[[#This Row],[Costos (En RD$/Tarea)]]=0,0,Tabla2[[#This Row],[Beneficio Neto  (En RD$/Tarea)]]/Tabla2[[#This Row],[Costos (En RD$/Tarea)]])</f>
        <v>-0.49287704901433749</v>
      </c>
      <c r="P2954" s="4">
        <f>Tabla2[[#This Row],[Rentabilidad (%)]]/12</f>
        <v>-4.1073087417861455E-2</v>
      </c>
    </row>
    <row r="2955" spans="1:16" x14ac:dyDescent="0.35">
      <c r="A2955" s="1">
        <v>44013</v>
      </c>
      <c r="B2955" t="s">
        <v>20</v>
      </c>
      <c r="C2955" s="2">
        <v>47854.379617834398</v>
      </c>
      <c r="D2955" s="5" t="s">
        <v>17</v>
      </c>
      <c r="E2955" s="2">
        <f>IF(Tabla2[[#This Row],[Frecuencia]]="Annual", Tabla2[[#This Row],[Cosecha/Tarea]]/12,Tabla2[[#This Row],[Cosecha/Tarea]])</f>
        <v>47854.379617834398</v>
      </c>
      <c r="F2955" s="2">
        <v>120122</v>
      </c>
      <c r="G2955" t="s">
        <v>18</v>
      </c>
      <c r="H2955">
        <f>F2955/Tabla2[[#This Row],[Cosecha Mensual]]</f>
        <v>2.5101568750717407</v>
      </c>
      <c r="I2955">
        <f>H2955*_xlfn.XLOOKUP(Tabla2[[#This Row],[Unidad de producción]],Tabla3[Medida],Tabla3[Equivalencia en Kg],"ELVIS",0)</f>
        <v>113.86071585325415</v>
      </c>
      <c r="J2955">
        <v>958.75</v>
      </c>
      <c r="K2955" t="s">
        <v>18</v>
      </c>
      <c r="L2955">
        <f>J2955/_xlfn.XLOOKUP(Tabla2[[#This Row],[Unidad de precio]],Tabla3[Medida],Tabla3[Equivalencia en Kg],"ELVIS",0)</f>
        <v>21.136463844797177</v>
      </c>
      <c r="M2955">
        <v>2584.1546858372599</v>
      </c>
      <c r="N2955" s="2">
        <f>(Tabla2[[#This Row],[Productividad (kg/TAS)]]*Tabla2[[#This Row],[Precio por kg]]-Tabla2[[#This Row],[Costos (En RD$/Tarea)]])</f>
        <v>-177.54178186222862</v>
      </c>
      <c r="O2955" s="6">
        <f>IF(Tabla2[[#This Row],[Costos (En RD$/Tarea)]]=0,0,Tabla2[[#This Row],[Beneficio Neto  (En RD$/Tarea)]]/Tabla2[[#This Row],[Costos (En RD$/Tarea)]])</f>
        <v>-6.8704007091860878E-2</v>
      </c>
      <c r="P2955" s="4">
        <f>Tabla2[[#This Row],[Rentabilidad (%)]]/12</f>
        <v>-5.7253339243217398E-3</v>
      </c>
    </row>
    <row r="2956" spans="1:16" x14ac:dyDescent="0.35">
      <c r="A2956" s="1">
        <v>44013</v>
      </c>
      <c r="B2956" t="s">
        <v>21</v>
      </c>
      <c r="C2956" s="2">
        <v>9209.6451437873002</v>
      </c>
      <c r="D2956" s="5" t="s">
        <v>17</v>
      </c>
      <c r="E2956" s="2">
        <f>IF(Tabla2[[#This Row],[Frecuencia]]="Annual", Tabla2[[#This Row],[Cosecha/Tarea]]/12,Tabla2[[#This Row],[Cosecha/Tarea]])</f>
        <v>9209.6451437873002</v>
      </c>
      <c r="F2956" s="2">
        <v>99897</v>
      </c>
      <c r="G2956" t="s">
        <v>18</v>
      </c>
      <c r="H2956">
        <f>F2956/Tabla2[[#This Row],[Cosecha Mensual]]</f>
        <v>10.846997733391404</v>
      </c>
      <c r="I2956">
        <f>H2956*_xlfn.XLOOKUP(Tabla2[[#This Row],[Unidad de producción]],Tabla3[Medida],Tabla3[Equivalencia en Kg],"ELVIS",0)</f>
        <v>492.0198171866341</v>
      </c>
      <c r="J2956">
        <v>713.94940476190504</v>
      </c>
      <c r="K2956" t="s">
        <v>18</v>
      </c>
      <c r="L2956">
        <f>J2956/_xlfn.XLOOKUP(Tabla2[[#This Row],[Unidad de precio]],Tabla3[Medida],Tabla3[Equivalencia en Kg],"ELVIS",0)</f>
        <v>15.739625325438825</v>
      </c>
      <c r="M2956">
        <v>6271.4601073596496</v>
      </c>
      <c r="N2956" s="2">
        <f>(Tabla2[[#This Row],[Productividad (kg/TAS)]]*Tabla2[[#This Row],[Precio por kg]]-Tabla2[[#This Row],[Costos (En RD$/Tarea)]])</f>
        <v>1472.747467848877</v>
      </c>
      <c r="O2956" s="6">
        <f>IF(Tabla2[[#This Row],[Costos (En RD$/Tarea)]]=0,0,Tabla2[[#This Row],[Beneficio Neto  (En RD$/Tarea)]]/Tabla2[[#This Row],[Costos (En RD$/Tarea)]])</f>
        <v>0.23483326731530771</v>
      </c>
      <c r="P2956" s="4">
        <f>Tabla2[[#This Row],[Rentabilidad (%)]]/12</f>
        <v>1.9569438942942309E-2</v>
      </c>
    </row>
    <row r="2957" spans="1:16" x14ac:dyDescent="0.35">
      <c r="A2957" s="1">
        <v>44013</v>
      </c>
      <c r="B2957" t="s">
        <v>22</v>
      </c>
      <c r="C2957" s="2">
        <v>4521</v>
      </c>
      <c r="D2957" s="5" t="s">
        <v>17</v>
      </c>
      <c r="E2957" s="2">
        <f>IF(Tabla2[[#This Row],[Frecuencia]]="Annual", Tabla2[[#This Row],[Cosecha/Tarea]]/12,Tabla2[[#This Row],[Cosecha/Tarea]])</f>
        <v>4521</v>
      </c>
      <c r="F2957" s="2">
        <v>43988</v>
      </c>
      <c r="G2957" t="s">
        <v>18</v>
      </c>
      <c r="H2957">
        <f>F2957/Tabla2[[#This Row],[Cosecha Mensual]]</f>
        <v>9.7297058172970576</v>
      </c>
      <c r="I2957">
        <f>H2957*_xlfn.XLOOKUP(Tabla2[[#This Row],[Unidad de producción]],Tabla3[Medida],Tabla3[Equivalencia en Kg],"ELVIS",0)</f>
        <v>441.33945587259456</v>
      </c>
      <c r="J2957">
        <v>2031.1979166666699</v>
      </c>
      <c r="K2957" t="s">
        <v>18</v>
      </c>
      <c r="L2957">
        <f>J2957/_xlfn.XLOOKUP(Tabla2[[#This Row],[Unidad de precio]],Tabla3[Medida],Tabla3[Equivalencia en Kg],"ELVIS",0)</f>
        <v>44.779495517342809</v>
      </c>
      <c r="M2957">
        <v>10873.3452772193</v>
      </c>
      <c r="N2957" s="2">
        <f>(Tabla2[[#This Row],[Productividad (kg/TAS)]]*Tabla2[[#This Row],[Precio por kg]]-Tabla2[[#This Row],[Costos (En RD$/Tarea)]])</f>
        <v>8889.6129086540623</v>
      </c>
      <c r="O2957" s="6">
        <f>IF(Tabla2[[#This Row],[Costos (En RD$/Tarea)]]=0,0,Tabla2[[#This Row],[Beneficio Neto  (En RD$/Tarea)]]/Tabla2[[#This Row],[Costos (En RD$/Tarea)]])</f>
        <v>0.81756006840679041</v>
      </c>
      <c r="P2957" s="4">
        <f>Tabla2[[#This Row],[Rentabilidad (%)]]/12</f>
        <v>6.8130005700565863E-2</v>
      </c>
    </row>
    <row r="2958" spans="1:16" x14ac:dyDescent="0.35">
      <c r="A2958" s="1">
        <v>44013</v>
      </c>
      <c r="B2958" t="s">
        <v>23</v>
      </c>
      <c r="C2958" s="2">
        <v>3400</v>
      </c>
      <c r="D2958" s="5" t="s">
        <v>17</v>
      </c>
      <c r="E2958" s="2">
        <f>IF(Tabla2[[#This Row],[Frecuencia]]="Annual", Tabla2[[#This Row],[Cosecha/Tarea]]/12,Tabla2[[#This Row],[Cosecha/Tarea]])</f>
        <v>3400</v>
      </c>
      <c r="F2958" s="2">
        <v>119857</v>
      </c>
      <c r="G2958" t="s">
        <v>18</v>
      </c>
      <c r="H2958">
        <f>F2958/Tabla2[[#This Row],[Cosecha Mensual]]</f>
        <v>35.25205882352941</v>
      </c>
      <c r="I2958">
        <f>H2958*_xlfn.XLOOKUP(Tabla2[[#This Row],[Unidad de producción]],Tabla3[Medida],Tabla3[Equivalencia en Kg],"ELVIS",0)</f>
        <v>1599.0333882352941</v>
      </c>
      <c r="J2958">
        <v>1187.5</v>
      </c>
      <c r="K2958" t="s">
        <v>18</v>
      </c>
      <c r="L2958">
        <f>J2958/_xlfn.XLOOKUP(Tabla2[[#This Row],[Unidad de precio]],Tabla3[Medida],Tabla3[Equivalencia en Kg],"ELVIS",0)</f>
        <v>26.179453262786595</v>
      </c>
      <c r="M2958">
        <v>28931.455637376999</v>
      </c>
      <c r="N2958" s="2">
        <f>(Tabla2[[#This Row],[Productividad (kg/TAS)]]*Tabla2[[#This Row],[Precio por kg]]-Tabla2[[#This Row],[Costos (En RD$/Tarea)]])</f>
        <v>12930.364215564176</v>
      </c>
      <c r="O2958" s="6">
        <f>IF(Tabla2[[#This Row],[Costos (En RD$/Tarea)]]=0,0,Tabla2[[#This Row],[Beneficio Neto  (En RD$/Tarea)]]/Tabla2[[#This Row],[Costos (En RD$/Tarea)]])</f>
        <v>0.44693099364344585</v>
      </c>
      <c r="P2958" s="4">
        <f>Tabla2[[#This Row],[Rentabilidad (%)]]/12</f>
        <v>3.7244249470287157E-2</v>
      </c>
    </row>
    <row r="2959" spans="1:16" x14ac:dyDescent="0.35">
      <c r="A2959" s="1">
        <v>44013</v>
      </c>
      <c r="B2959" t="s">
        <v>24</v>
      </c>
      <c r="C2959" s="2">
        <v>6520</v>
      </c>
      <c r="D2959" s="5" t="s">
        <v>17</v>
      </c>
      <c r="E2959" s="2">
        <f>IF(Tabla2[[#This Row],[Frecuencia]]="Annual", Tabla2[[#This Row],[Cosecha/Tarea]]/12,Tabla2[[#This Row],[Cosecha/Tarea]])</f>
        <v>6520</v>
      </c>
      <c r="F2959" s="2">
        <v>61058</v>
      </c>
      <c r="G2959" t="s">
        <v>18</v>
      </c>
      <c r="H2959">
        <f>F2959/Tabla2[[#This Row],[Cosecha Mensual]]</f>
        <v>9.3647239263803677</v>
      </c>
      <c r="I2959">
        <f>H2959*_xlfn.XLOOKUP(Tabla2[[#This Row],[Unidad de producción]],Tabla3[Medida],Tabla3[Equivalencia en Kg],"ELVIS",0)</f>
        <v>424.78387730061348</v>
      </c>
      <c r="J2959">
        <v>2635.6600694444401</v>
      </c>
      <c r="K2959" t="s">
        <v>18</v>
      </c>
      <c r="L2959">
        <f>J2959/_xlfn.XLOOKUP(Tabla2[[#This Row],[Unidad de precio]],Tabla3[Medida],Tabla3[Equivalencia en Kg],"ELVIS",0)</f>
        <v>58.105380719674606</v>
      </c>
      <c r="M2959">
        <v>8997.8297362085195</v>
      </c>
      <c r="N2959" s="2">
        <f>(Tabla2[[#This Row],[Productividad (kg/TAS)]]*Tabla2[[#This Row],[Precio por kg]]-Tabla2[[#This Row],[Costos (En RD$/Tarea)]])</f>
        <v>15684.399177923171</v>
      </c>
      <c r="O2959" s="6">
        <f>IF(Tabla2[[#This Row],[Costos (En RD$/Tarea)]]=0,0,Tabla2[[#This Row],[Beneficio Neto  (En RD$/Tarea)]]/Tabla2[[#This Row],[Costos (En RD$/Tarea)]])</f>
        <v>1.7431313591995372</v>
      </c>
      <c r="P2959" s="4">
        <f>Tabla2[[#This Row],[Rentabilidad (%)]]/12</f>
        <v>0.14526094659996144</v>
      </c>
    </row>
    <row r="2960" spans="1:16" x14ac:dyDescent="0.35">
      <c r="A2960" s="1">
        <v>44013</v>
      </c>
      <c r="B2960" t="s">
        <v>25</v>
      </c>
      <c r="C2960" s="2">
        <v>30100</v>
      </c>
      <c r="D2960" s="5" t="s">
        <v>17</v>
      </c>
      <c r="E2960" s="2">
        <f>IF(Tabla2[[#This Row],[Frecuencia]]="Annual", Tabla2[[#This Row],[Cosecha/Tarea]]/12,Tabla2[[#This Row],[Cosecha/Tarea]])</f>
        <v>30100</v>
      </c>
      <c r="F2960" s="2">
        <v>301982</v>
      </c>
      <c r="G2960" t="s">
        <v>18</v>
      </c>
      <c r="H2960">
        <f>F2960/Tabla2[[#This Row],[Cosecha Mensual]]</f>
        <v>10.032624584717608</v>
      </c>
      <c r="I2960">
        <f>H2960*_xlfn.XLOOKUP(Tabla2[[#This Row],[Unidad de producción]],Tabla3[Medida],Tabla3[Equivalencia en Kg],"ELVIS",0)</f>
        <v>455.0798511627907</v>
      </c>
      <c r="J2960">
        <v>600.5078125</v>
      </c>
      <c r="K2960" t="s">
        <v>18</v>
      </c>
      <c r="L2960">
        <f>J2960/_xlfn.XLOOKUP(Tabla2[[#This Row],[Unidad de precio]],Tabla3[Medida],Tabla3[Equivalencia en Kg],"ELVIS",0)</f>
        <v>13.238708388447971</v>
      </c>
      <c r="M2960">
        <v>5060.8394523092302</v>
      </c>
      <c r="N2960" s="2">
        <f>(Tabla2[[#This Row],[Productividad (kg/TAS)]]*Tabla2[[#This Row],[Precio por kg]]-Tabla2[[#This Row],[Costos (En RD$/Tarea)]])</f>
        <v>963.82999069326161</v>
      </c>
      <c r="O2960" s="6">
        <f>IF(Tabla2[[#This Row],[Costos (En RD$/Tarea)]]=0,0,Tabla2[[#This Row],[Beneficio Neto  (En RD$/Tarea)]]/Tabla2[[#This Row],[Costos (En RD$/Tarea)]])</f>
        <v>0.1904486399491436</v>
      </c>
      <c r="P2960" s="4">
        <f>Tabla2[[#This Row],[Rentabilidad (%)]]/12</f>
        <v>1.5870719995761968E-2</v>
      </c>
    </row>
    <row r="2961" spans="1:16" x14ac:dyDescent="0.35">
      <c r="A2961" s="1">
        <v>44013</v>
      </c>
      <c r="B2961" t="s">
        <v>26</v>
      </c>
      <c r="C2961" s="2">
        <v>9541</v>
      </c>
      <c r="D2961" s="5" t="s">
        <v>17</v>
      </c>
      <c r="E2961" s="2">
        <f>IF(Tabla2[[#This Row],[Frecuencia]]="Annual", Tabla2[[#This Row],[Cosecha/Tarea]]/12,Tabla2[[#This Row],[Cosecha/Tarea]])</f>
        <v>9541</v>
      </c>
      <c r="F2961" s="2">
        <v>48958</v>
      </c>
      <c r="G2961" t="s">
        <v>18</v>
      </c>
      <c r="H2961">
        <f>F2961/Tabla2[[#This Row],[Cosecha Mensual]]</f>
        <v>5.131327953044754</v>
      </c>
      <c r="I2961">
        <f>H2961*_xlfn.XLOOKUP(Tabla2[[#This Row],[Unidad de producción]],Tabla3[Medida],Tabla3[Equivalencia en Kg],"ELVIS",0)</f>
        <v>232.75703595011004</v>
      </c>
      <c r="J2961">
        <v>1271.17881944444</v>
      </c>
      <c r="K2961" t="s">
        <v>18</v>
      </c>
      <c r="L2961">
        <f>J2961/_xlfn.XLOOKUP(Tabla2[[#This Row],[Unidad de precio]],Tabla3[Medida],Tabla3[Equivalencia en Kg],"ELVIS",0)</f>
        <v>28.024224414559967</v>
      </c>
      <c r="M2961">
        <v>1789.8439852691199</v>
      </c>
      <c r="N2961" s="2">
        <f>(Tabla2[[#This Row],[Productividad (kg/TAS)]]*Tabla2[[#This Row],[Precio por kg]]-Tabla2[[#This Row],[Costos (En RD$/Tarea)]])</f>
        <v>4732.9914242645655</v>
      </c>
      <c r="O2961" s="6">
        <f>IF(Tabla2[[#This Row],[Costos (En RD$/Tarea)]]=0,0,Tabla2[[#This Row],[Beneficio Neto  (En RD$/Tarea)]]/Tabla2[[#This Row],[Costos (En RD$/Tarea)]])</f>
        <v>2.6443597672301675</v>
      </c>
      <c r="P2961" s="4">
        <f>Tabla2[[#This Row],[Rentabilidad (%)]]/12</f>
        <v>0.22036331393584729</v>
      </c>
    </row>
    <row r="2962" spans="1:16" x14ac:dyDescent="0.35">
      <c r="A2962" s="1">
        <v>44013</v>
      </c>
      <c r="B2962" t="s">
        <v>27</v>
      </c>
      <c r="C2962" s="2">
        <v>4985</v>
      </c>
      <c r="D2962" s="5" t="s">
        <v>17</v>
      </c>
      <c r="E2962" s="2">
        <f>IF(Tabla2[[#This Row],[Frecuencia]]="Annual", Tabla2[[#This Row],[Cosecha/Tarea]]/12,Tabla2[[#This Row],[Cosecha/Tarea]])</f>
        <v>4985</v>
      </c>
      <c r="F2962" s="2">
        <v>50121</v>
      </c>
      <c r="G2962" t="s">
        <v>18</v>
      </c>
      <c r="H2962">
        <f>F2962/Tabla2[[#This Row],[Cosecha Mensual]]</f>
        <v>10.054363089267804</v>
      </c>
      <c r="I2962">
        <f>H2962*_xlfn.XLOOKUP(Tabla2[[#This Row],[Unidad de producción]],Tabla3[Medida],Tabla3[Equivalencia en Kg],"ELVIS",0)</f>
        <v>456.06590972918758</v>
      </c>
      <c r="J2962">
        <v>849.22619047619105</v>
      </c>
      <c r="K2962" t="s">
        <v>18</v>
      </c>
      <c r="L2962">
        <f>J2962/_xlfn.XLOOKUP(Tabla2[[#This Row],[Unidad de precio]],Tabla3[Medida],Tabla3[Equivalencia en Kg],"ELVIS",0)</f>
        <v>18.721917779457474</v>
      </c>
      <c r="M2962">
        <v>9891.7256609088799</v>
      </c>
      <c r="N2962" s="2">
        <f>(Tabla2[[#This Row],[Productividad (kg/TAS)]]*Tabla2[[#This Row],[Precio por kg]]-Tabla2[[#This Row],[Costos (En RD$/Tarea)]])</f>
        <v>-1353.2971969455557</v>
      </c>
      <c r="O2962" s="6">
        <f>IF(Tabla2[[#This Row],[Costos (En RD$/Tarea)]]=0,0,Tabla2[[#This Row],[Beneficio Neto  (En RD$/Tarea)]]/Tabla2[[#This Row],[Costos (En RD$/Tarea)]])</f>
        <v>-0.13681103210268478</v>
      </c>
      <c r="P2962" s="4">
        <f>Tabla2[[#This Row],[Rentabilidad (%)]]/12</f>
        <v>-1.1400919341890399E-2</v>
      </c>
    </row>
    <row r="2963" spans="1:16" x14ac:dyDescent="0.35">
      <c r="A2963" s="1">
        <v>44013</v>
      </c>
      <c r="B2963" t="s">
        <v>28</v>
      </c>
      <c r="C2963" s="2">
        <v>34521</v>
      </c>
      <c r="D2963" s="5" t="s">
        <v>17</v>
      </c>
      <c r="E2963" s="2">
        <f>IF(Tabla2[[#This Row],[Frecuencia]]="Annual", Tabla2[[#This Row],[Cosecha/Tarea]]/12,Tabla2[[#This Row],[Cosecha/Tarea]])</f>
        <v>34521</v>
      </c>
      <c r="F2963" s="2">
        <v>1272091.2</v>
      </c>
      <c r="G2963" t="s">
        <v>18</v>
      </c>
      <c r="H2963">
        <f>F2963/Tabla2[[#This Row],[Cosecha Mensual]]</f>
        <v>36.849778395759103</v>
      </c>
      <c r="I2963">
        <f>H2963*_xlfn.XLOOKUP(Tabla2[[#This Row],[Unidad de producción]],Tabla3[Medida],Tabla3[Equivalencia en Kg],"ELVIS",0)</f>
        <v>1671.5059480316329</v>
      </c>
      <c r="J2963">
        <v>4453.125</v>
      </c>
      <c r="K2963" t="s">
        <v>29</v>
      </c>
      <c r="L2963">
        <f>J2963/_xlfn.XLOOKUP(Tabla2[[#This Row],[Unidad de precio]],Tabla3[Medida],Tabla3[Equivalencia en Kg],"ELVIS",0)</f>
        <v>7.9189191592275128</v>
      </c>
      <c r="M2963">
        <v>13735.141908858301</v>
      </c>
      <c r="N2963" s="2">
        <f>(Tabla2[[#This Row],[Productividad (kg/TAS)]]*Tabla2[[#This Row],[Precio por kg]]-Tabla2[[#This Row],[Costos (En RD$/Tarea)]])</f>
        <v>-498.62143222785562</v>
      </c>
      <c r="O2963" s="6">
        <f>IF(Tabla2[[#This Row],[Costos (En RD$/Tarea)]]=0,0,Tabla2[[#This Row],[Beneficio Neto  (En RD$/Tarea)]]/Tabla2[[#This Row],[Costos (En RD$/Tarea)]])</f>
        <v>-3.6302605064915727E-2</v>
      </c>
      <c r="P2963" s="4">
        <f>Tabla2[[#This Row],[Rentabilidad (%)]]/12</f>
        <v>-3.0252170887429771E-3</v>
      </c>
    </row>
    <row r="2964" spans="1:16" x14ac:dyDescent="0.35">
      <c r="A2964" s="1">
        <v>44013</v>
      </c>
      <c r="B2964" t="s">
        <v>30</v>
      </c>
      <c r="C2964" s="2">
        <v>452012</v>
      </c>
      <c r="D2964" s="2" t="s">
        <v>31</v>
      </c>
      <c r="E2964" s="2">
        <f>IF(Tabla2[[#This Row],[Frecuencia]]="Annual", Tabla2[[#This Row],[Cosecha/Tarea]]/12,Tabla2[[#This Row],[Cosecha/Tarea]])</f>
        <v>37667.666666666664</v>
      </c>
      <c r="F2964" s="2">
        <v>2568846</v>
      </c>
      <c r="G2964" t="s">
        <v>18</v>
      </c>
      <c r="H2964">
        <f>F2964/Tabla2[[#This Row],[Cosecha Mensual]]</f>
        <v>68.197640770599008</v>
      </c>
      <c r="I2964">
        <f>H2964*_xlfn.XLOOKUP(Tabla2[[#This Row],[Unidad de producción]],Tabla3[Medida],Tabla3[Equivalencia en Kg],"ELVIS",0)</f>
        <v>3093.4449853543711</v>
      </c>
      <c r="J2964">
        <v>201.8828125</v>
      </c>
      <c r="K2964" t="s">
        <v>32</v>
      </c>
      <c r="L2964">
        <f>J2964/_xlfn.XLOOKUP(Tabla2[[#This Row],[Unidad de precio]],Tabla3[Medida],Tabla3[Equivalencia en Kg],"ELVIS",0)</f>
        <v>7.4194344909959575</v>
      </c>
      <c r="M2964" s="2">
        <v>38019.0770714752</v>
      </c>
      <c r="N2964" s="2">
        <f>(Tabla2[[#This Row],[Productividad (kg/TAS)]]*Tabla2[[#This Row],[Precio por kg]]-Tabla2[[#This Row],[Costos (En RD$/Tarea)]])</f>
        <v>-15067.464651138496</v>
      </c>
      <c r="O2964" s="6">
        <f>IF(Tabla2[[#This Row],[Costos (En RD$/Tarea)]]=0,0,Tabla2[[#This Row],[Beneficio Neto  (En RD$/Tarea)]]/Tabla2[[#This Row],[Costos (En RD$/Tarea)]])</f>
        <v>-0.39631326722665905</v>
      </c>
      <c r="P2964" s="4">
        <f>Tabla2[[#This Row],[Rentabilidad (%)]]/12</f>
        <v>-3.3026105602221585E-2</v>
      </c>
    </row>
    <row r="2965" spans="1:16" x14ac:dyDescent="0.35">
      <c r="A2965" s="1">
        <v>44013</v>
      </c>
      <c r="B2965" t="s">
        <v>33</v>
      </c>
      <c r="C2965" s="2">
        <v>740176.44628521695</v>
      </c>
      <c r="D2965" s="2" t="s">
        <v>31</v>
      </c>
      <c r="E2965" s="2">
        <f>IF(Tabla2[[#This Row],[Frecuencia]]="Annual", Tabla2[[#This Row],[Cosecha/Tarea]]/12,Tabla2[[#This Row],[Cosecha/Tarea]])</f>
        <v>61681.370523768077</v>
      </c>
      <c r="F2965" s="2">
        <v>2261196</v>
      </c>
      <c r="G2965" t="s">
        <v>18</v>
      </c>
      <c r="H2965">
        <f>F2965/Tabla2[[#This Row],[Cosecha Mensual]]</f>
        <v>36.659302165289581</v>
      </c>
      <c r="I2965">
        <f>H2965*_xlfn.XLOOKUP(Tabla2[[#This Row],[Unidad de producción]],Tabla3[Medida],Tabla3[Equivalencia en Kg],"ELVIS",0)</f>
        <v>1662.8659462175353</v>
      </c>
      <c r="J2965">
        <v>7621.71875</v>
      </c>
      <c r="K2965" t="s">
        <v>34</v>
      </c>
      <c r="L2965">
        <f>J2965/_xlfn.XLOOKUP(Tabla2[[#This Row],[Unidad de precio]],Tabla3[Medida],Tabla3[Equivalencia en Kg],"ELVIS",0)</f>
        <v>18.673817836579691</v>
      </c>
      <c r="M2965" s="2">
        <v>33327.4212424613</v>
      </c>
      <c r="N2965" s="2">
        <f>(Tabla2[[#This Row],[Productividad (kg/TAS)]]*Tabla2[[#This Row],[Precio por kg]]-Tabla2[[#This Row],[Costos (En RD$/Tarea)]])</f>
        <v>-2275.3654761433245</v>
      </c>
      <c r="O2965" s="6">
        <f>IF(Tabla2[[#This Row],[Costos (En RD$/Tarea)]]=0,0,Tabla2[[#This Row],[Beneficio Neto  (En RD$/Tarea)]]/Tabla2[[#This Row],[Costos (En RD$/Tarea)]])</f>
        <v>-6.8273073382718277E-2</v>
      </c>
      <c r="P2965" s="4">
        <f>Tabla2[[#This Row],[Rentabilidad (%)]]/12</f>
        <v>-5.6894227818931895E-3</v>
      </c>
    </row>
    <row r="2966" spans="1:16" x14ac:dyDescent="0.35">
      <c r="A2966" s="1">
        <v>44044</v>
      </c>
      <c r="B2966" t="s">
        <v>16</v>
      </c>
      <c r="C2966" s="2">
        <v>398193</v>
      </c>
      <c r="D2966" s="5" t="s">
        <v>17</v>
      </c>
      <c r="E2966" s="2">
        <f>IF(Tabla2[[#This Row],[Frecuencia]]="Annual", Tabla2[[#This Row],[Cosecha/Tarea]]/12,Tabla2[[#This Row],[Cosecha/Tarea]])</f>
        <v>398193</v>
      </c>
      <c r="F2966" s="2">
        <v>1753702</v>
      </c>
      <c r="G2966" t="s">
        <v>18</v>
      </c>
      <c r="H2966">
        <f>F2966/Tabla2[[#This Row],[Cosecha Mensual]]</f>
        <v>4.4041507510177222</v>
      </c>
      <c r="I2966">
        <f>H2966*_xlfn.XLOOKUP(Tabla2[[#This Row],[Unidad de producción]],Tabla3[Medida],Tabla3[Equivalencia en Kg],"ELVIS",0)</f>
        <v>199.77227806616389</v>
      </c>
      <c r="J2966">
        <v>2361.8018931059801</v>
      </c>
      <c r="K2966" t="s">
        <v>19</v>
      </c>
      <c r="L2966">
        <f>J2966/_xlfn.XLOOKUP(Tabla2[[#This Row],[Unidad de precio]],Tabla3[Medida],Tabla3[Equivalencia en Kg],"ELVIS",0)</f>
        <v>21.470926300963455</v>
      </c>
      <c r="M2966">
        <v>7092.5943689866499</v>
      </c>
      <c r="N2966" s="2">
        <f>(Tabla2[[#This Row],[Productividad (kg/TAS)]]*Tabla2[[#This Row],[Precio por kg]]-Tabla2[[#This Row],[Costos (En RD$/Tarea)]])</f>
        <v>-2803.2985096524671</v>
      </c>
      <c r="O2966" s="6">
        <f>IF(Tabla2[[#This Row],[Costos (En RD$/Tarea)]]=0,0,Tabla2[[#This Row],[Beneficio Neto  (En RD$/Tarea)]]/Tabla2[[#This Row],[Costos (En RD$/Tarea)]])</f>
        <v>-0.39524303291758484</v>
      </c>
      <c r="P2966" s="4">
        <f>Tabla2[[#This Row],[Rentabilidad (%)]]/12</f>
        <v>-3.2936919409798739E-2</v>
      </c>
    </row>
    <row r="2967" spans="1:16" x14ac:dyDescent="0.35">
      <c r="A2967" s="1">
        <v>44044</v>
      </c>
      <c r="B2967" t="s">
        <v>20</v>
      </c>
      <c r="C2967" s="2">
        <v>51244.787027833001</v>
      </c>
      <c r="D2967" s="5" t="s">
        <v>17</v>
      </c>
      <c r="E2967" s="2">
        <f>IF(Tabla2[[#This Row],[Frecuencia]]="Annual", Tabla2[[#This Row],[Cosecha/Tarea]]/12,Tabla2[[#This Row],[Cosecha/Tarea]])</f>
        <v>51244.787027833001</v>
      </c>
      <c r="F2967" s="2">
        <v>86988</v>
      </c>
      <c r="G2967" t="s">
        <v>18</v>
      </c>
      <c r="H2967">
        <f>F2967/Tabla2[[#This Row],[Cosecha Mensual]]</f>
        <v>1.697499493026549</v>
      </c>
      <c r="I2967">
        <f>H2967*_xlfn.XLOOKUP(Tabla2[[#This Row],[Unidad de producción]],Tabla3[Medida],Tabla3[Equivalencia en Kg],"ELVIS",0)</f>
        <v>76.998577003684261</v>
      </c>
      <c r="J2967">
        <v>934.91927083333303</v>
      </c>
      <c r="K2967" t="s">
        <v>18</v>
      </c>
      <c r="L2967">
        <f>J2967/_xlfn.XLOOKUP(Tabla2[[#This Row],[Unidad de precio]],Tabla3[Medida],Tabla3[Equivalencia en Kg],"ELVIS",0)</f>
        <v>20.611095036008223</v>
      </c>
      <c r="M2967">
        <v>2584.1546858372599</v>
      </c>
      <c r="N2967" s="2">
        <f>(Tabla2[[#This Row],[Productividad (kg/TAS)]]*Tabla2[[#This Row],[Precio por kg]]-Tabla2[[#This Row],[Costos (En RD$/Tarea)]])</f>
        <v>-997.12969757692622</v>
      </c>
      <c r="O2967" s="6">
        <f>IF(Tabla2[[#This Row],[Costos (En RD$/Tarea)]]=0,0,Tabla2[[#This Row],[Beneficio Neto  (En RD$/Tarea)]]/Tabla2[[#This Row],[Costos (En RD$/Tarea)]])</f>
        <v>-0.38586300697934367</v>
      </c>
      <c r="P2967" s="4">
        <f>Tabla2[[#This Row],[Rentabilidad (%)]]/12</f>
        <v>-3.215525058161197E-2</v>
      </c>
    </row>
    <row r="2968" spans="1:16" x14ac:dyDescent="0.35">
      <c r="A2968" s="1">
        <v>44044</v>
      </c>
      <c r="B2968" t="s">
        <v>21</v>
      </c>
      <c r="C2968" s="2">
        <v>7452</v>
      </c>
      <c r="D2968" s="5" t="s">
        <v>17</v>
      </c>
      <c r="E2968" s="2">
        <f>IF(Tabla2[[#This Row],[Frecuencia]]="Annual", Tabla2[[#This Row],[Cosecha/Tarea]]/12,Tabla2[[#This Row],[Cosecha/Tarea]])</f>
        <v>7452</v>
      </c>
      <c r="F2968" s="2">
        <v>89895</v>
      </c>
      <c r="G2968" t="s">
        <v>18</v>
      </c>
      <c r="H2968">
        <f>F2968/Tabla2[[#This Row],[Cosecha Mensual]]</f>
        <v>12.063204508856682</v>
      </c>
      <c r="I2968">
        <f>H2968*_xlfn.XLOOKUP(Tabla2[[#This Row],[Unidad de producción]],Tabla3[Medida],Tabla3[Equivalencia en Kg],"ELVIS",0)</f>
        <v>547.18695652173903</v>
      </c>
      <c r="J2968">
        <v>874.46329365079396</v>
      </c>
      <c r="K2968" t="s">
        <v>18</v>
      </c>
      <c r="L2968">
        <f>J2968/_xlfn.XLOOKUP(Tabla2[[#This Row],[Unidad de precio]],Tabla3[Medida],Tabla3[Equivalencia en Kg],"ELVIS",0)</f>
        <v>19.278291306234436</v>
      </c>
      <c r="M2968">
        <v>6271.4601073596496</v>
      </c>
      <c r="N2968" s="2">
        <f>(Tabla2[[#This Row],[Productividad (kg/TAS)]]*Tabla2[[#This Row],[Precio por kg]]-Tabla2[[#This Row],[Costos (En RD$/Tarea)]])</f>
        <v>4277.3694394382728</v>
      </c>
      <c r="O2968" s="6">
        <f>IF(Tabla2[[#This Row],[Costos (En RD$/Tarea)]]=0,0,Tabla2[[#This Row],[Beneficio Neto  (En RD$/Tarea)]]/Tabla2[[#This Row],[Costos (En RD$/Tarea)]])</f>
        <v>0.68203725547400318</v>
      </c>
      <c r="P2968" s="4">
        <f>Tabla2[[#This Row],[Rentabilidad (%)]]/12</f>
        <v>5.6836437956166934E-2</v>
      </c>
    </row>
    <row r="2969" spans="1:16" x14ac:dyDescent="0.35">
      <c r="A2969" s="1">
        <v>44044</v>
      </c>
      <c r="B2969" t="s">
        <v>22</v>
      </c>
      <c r="C2969" s="2">
        <v>3998</v>
      </c>
      <c r="D2969" s="5" t="s">
        <v>17</v>
      </c>
      <c r="E2969" s="2">
        <f>IF(Tabla2[[#This Row],[Frecuencia]]="Annual", Tabla2[[#This Row],[Cosecha/Tarea]]/12,Tabla2[[#This Row],[Cosecha/Tarea]])</f>
        <v>3998</v>
      </c>
      <c r="F2969" s="2">
        <v>33452</v>
      </c>
      <c r="G2969" t="s">
        <v>18</v>
      </c>
      <c r="H2969">
        <f>F2969/Tabla2[[#This Row],[Cosecha Mensual]]</f>
        <v>8.3671835917958983</v>
      </c>
      <c r="I2969">
        <f>H2969*_xlfn.XLOOKUP(Tabla2[[#This Row],[Unidad de producción]],Tabla3[Medida],Tabla3[Equivalencia en Kg],"ELVIS",0)</f>
        <v>379.53544772386192</v>
      </c>
      <c r="J2969">
        <v>2062.3541666666702</v>
      </c>
      <c r="K2969" t="s">
        <v>18</v>
      </c>
      <c r="L2969">
        <f>J2969/_xlfn.XLOOKUP(Tabla2[[#This Row],[Unidad de precio]],Tabla3[Medida],Tabla3[Equivalencia en Kg],"ELVIS",0)</f>
        <v>45.466361699000664</v>
      </c>
      <c r="M2969">
        <v>10873.3452772193</v>
      </c>
      <c r="N2969" s="2">
        <f>(Tabla2[[#This Row],[Productividad (kg/TAS)]]*Tabla2[[#This Row],[Precio por kg]]-Tabla2[[#This Row],[Costos (En RD$/Tarea)]])</f>
        <v>6382.7506665859637</v>
      </c>
      <c r="O2969" s="6">
        <f>IF(Tabla2[[#This Row],[Costos (En RD$/Tarea)]]=0,0,Tabla2[[#This Row],[Beneficio Neto  (En RD$/Tarea)]]/Tabla2[[#This Row],[Costos (En RD$/Tarea)]])</f>
        <v>0.58700891987293347</v>
      </c>
      <c r="P2969" s="4">
        <f>Tabla2[[#This Row],[Rentabilidad (%)]]/12</f>
        <v>4.8917409989411124E-2</v>
      </c>
    </row>
    <row r="2970" spans="1:16" x14ac:dyDescent="0.35">
      <c r="A2970" s="1">
        <v>44044</v>
      </c>
      <c r="B2970" t="s">
        <v>23</v>
      </c>
      <c r="C2970" s="2">
        <v>4225</v>
      </c>
      <c r="D2970" s="5" t="s">
        <v>17</v>
      </c>
      <c r="E2970" s="2">
        <f>IF(Tabla2[[#This Row],[Frecuencia]]="Annual", Tabla2[[#This Row],[Cosecha/Tarea]]/12,Tabla2[[#This Row],[Cosecha/Tarea]])</f>
        <v>4225</v>
      </c>
      <c r="F2970" s="2">
        <v>160154</v>
      </c>
      <c r="G2970" t="s">
        <v>18</v>
      </c>
      <c r="H2970">
        <f>F2970/Tabla2[[#This Row],[Cosecha Mensual]]</f>
        <v>37.90627218934911</v>
      </c>
      <c r="I2970">
        <f>H2970*_xlfn.XLOOKUP(Tabla2[[#This Row],[Unidad de producción]],Tabla3[Medida],Tabla3[Equivalencia en Kg],"ELVIS",0)</f>
        <v>1719.4285065088757</v>
      </c>
      <c r="J2970">
        <v>1230.1666666666699</v>
      </c>
      <c r="K2970" t="s">
        <v>18</v>
      </c>
      <c r="L2970">
        <f>J2970/_xlfn.XLOOKUP(Tabla2[[#This Row],[Unidad de precio]],Tabla3[Medida],Tabla3[Equivalencia en Kg],"ELVIS",0)</f>
        <v>27.120076425632053</v>
      </c>
      <c r="M2970">
        <v>28931.455637376999</v>
      </c>
      <c r="N2970" s="2">
        <f>(Tabla2[[#This Row],[Productividad (kg/TAS)]]*Tabla2[[#This Row],[Precio por kg]]-Tabla2[[#This Row],[Costos (En RD$/Tarea)]])</f>
        <v>17699.576867554086</v>
      </c>
      <c r="O2970" s="6">
        <f>IF(Tabla2[[#This Row],[Costos (En RD$/Tarea)]]=0,0,Tabla2[[#This Row],[Beneficio Neto  (En RD$/Tarea)]]/Tabla2[[#This Row],[Costos (En RD$/Tarea)]])</f>
        <v>0.61177623032170303</v>
      </c>
      <c r="P2970" s="4">
        <f>Tabla2[[#This Row],[Rentabilidad (%)]]/12</f>
        <v>5.0981352526808583E-2</v>
      </c>
    </row>
    <row r="2971" spans="1:16" x14ac:dyDescent="0.35">
      <c r="A2971" s="1">
        <v>44044</v>
      </c>
      <c r="B2971" t="s">
        <v>24</v>
      </c>
      <c r="C2971" s="2">
        <v>4878</v>
      </c>
      <c r="D2971" s="5" t="s">
        <v>17</v>
      </c>
      <c r="E2971" s="2">
        <f>IF(Tabla2[[#This Row],[Frecuencia]]="Annual", Tabla2[[#This Row],[Cosecha/Tarea]]/12,Tabla2[[#This Row],[Cosecha/Tarea]])</f>
        <v>4878</v>
      </c>
      <c r="F2971" s="2">
        <v>51241</v>
      </c>
      <c r="G2971" t="s">
        <v>18</v>
      </c>
      <c r="H2971">
        <f>F2971/Tabla2[[#This Row],[Cosecha Mensual]]</f>
        <v>10.504510045100451</v>
      </c>
      <c r="I2971">
        <f>H2971*_xlfn.XLOOKUP(Tabla2[[#This Row],[Unidad de producción]],Tabla3[Medida],Tabla3[Equivalencia en Kg],"ELVIS",0)</f>
        <v>476.48457564575648</v>
      </c>
      <c r="J2971">
        <v>2628.0793749999998</v>
      </c>
      <c r="K2971" t="s">
        <v>18</v>
      </c>
      <c r="L2971">
        <f>J2971/_xlfn.XLOOKUP(Tabla2[[#This Row],[Unidad de precio]],Tabla3[Medida],Tabla3[Equivalencia en Kg],"ELVIS",0)</f>
        <v>57.938257826278658</v>
      </c>
      <c r="M2971">
        <v>8997.8297362085195</v>
      </c>
      <c r="N2971" s="2">
        <f>(Tabla2[[#This Row],[Productividad (kg/TAS)]]*Tabla2[[#This Row],[Precio por kg]]-Tabla2[[#This Row],[Costos (En RD$/Tarea)]])</f>
        <v>18608.856457800299</v>
      </c>
      <c r="O2971" s="6">
        <f>IF(Tabla2[[#This Row],[Costos (En RD$/Tarea)]]=0,0,Tabla2[[#This Row],[Beneficio Neto  (En RD$/Tarea)]]/Tabla2[[#This Row],[Costos (En RD$/Tarea)]])</f>
        <v>2.0681494319586498</v>
      </c>
      <c r="P2971" s="4">
        <f>Tabla2[[#This Row],[Rentabilidad (%)]]/12</f>
        <v>0.17234578599655415</v>
      </c>
    </row>
    <row r="2972" spans="1:16" x14ac:dyDescent="0.35">
      <c r="A2972" s="1">
        <v>44044</v>
      </c>
      <c r="B2972" t="s">
        <v>25</v>
      </c>
      <c r="C2972" s="2">
        <v>32185</v>
      </c>
      <c r="D2972" s="5" t="s">
        <v>17</v>
      </c>
      <c r="E2972" s="2">
        <f>IF(Tabla2[[#This Row],[Frecuencia]]="Annual", Tabla2[[#This Row],[Cosecha/Tarea]]/12,Tabla2[[#This Row],[Cosecha/Tarea]])</f>
        <v>32185</v>
      </c>
      <c r="F2972" s="2">
        <v>333509</v>
      </c>
      <c r="G2972" t="s">
        <v>18</v>
      </c>
      <c r="H2972">
        <f>F2972/Tabla2[[#This Row],[Cosecha Mensual]]</f>
        <v>10.362249495106417</v>
      </c>
      <c r="I2972">
        <f>H2972*_xlfn.XLOOKUP(Tabla2[[#This Row],[Unidad de producción]],Tabla3[Medida],Tabla3[Equivalencia en Kg],"ELVIS",0)</f>
        <v>470.03163709802703</v>
      </c>
      <c r="J2972">
        <v>634.75773809523798</v>
      </c>
      <c r="K2972" t="s">
        <v>18</v>
      </c>
      <c r="L2972">
        <f>J2972/_xlfn.XLOOKUP(Tabla2[[#This Row],[Unidad de precio]],Tabla3[Medida],Tabla3[Equivalencia en Kg],"ELVIS",0)</f>
        <v>13.993777294868563</v>
      </c>
      <c r="M2972">
        <v>5060.8394523092302</v>
      </c>
      <c r="N2972" s="2">
        <f>(Tabla2[[#This Row],[Productividad (kg/TAS)]]*Tabla2[[#This Row],[Precio por kg]]-Tabla2[[#This Row],[Costos (En RD$/Tarea)]])</f>
        <v>1516.6785987830408</v>
      </c>
      <c r="O2972" s="6">
        <f>IF(Tabla2[[#This Row],[Costos (En RD$/Tarea)]]=0,0,Tabla2[[#This Row],[Beneficio Neto  (En RD$/Tarea)]]/Tabla2[[#This Row],[Costos (En RD$/Tarea)]])</f>
        <v>0.29968913518704682</v>
      </c>
      <c r="P2972" s="4">
        <f>Tabla2[[#This Row],[Rentabilidad (%)]]/12</f>
        <v>2.4974094598920568E-2</v>
      </c>
    </row>
    <row r="2973" spans="1:16" x14ac:dyDescent="0.35">
      <c r="A2973" s="1">
        <v>44044</v>
      </c>
      <c r="B2973" t="s">
        <v>26</v>
      </c>
      <c r="C2973" s="2">
        <v>9258</v>
      </c>
      <c r="D2973" s="5" t="s">
        <v>17</v>
      </c>
      <c r="E2973" s="2">
        <f>IF(Tabla2[[#This Row],[Frecuencia]]="Annual", Tabla2[[#This Row],[Cosecha/Tarea]]/12,Tabla2[[#This Row],[Cosecha/Tarea]])</f>
        <v>9258</v>
      </c>
      <c r="F2973" s="2">
        <v>80594</v>
      </c>
      <c r="G2973" t="s">
        <v>18</v>
      </c>
      <c r="H2973">
        <f>F2973/Tabla2[[#This Row],[Cosecha Mensual]]</f>
        <v>8.705335925685894</v>
      </c>
      <c r="I2973">
        <f>H2973*_xlfn.XLOOKUP(Tabla2[[#This Row],[Unidad de producción]],Tabla3[Medida],Tabla3[Equivalencia en Kg],"ELVIS",0)</f>
        <v>394.87403758911216</v>
      </c>
      <c r="J2973">
        <v>1363.4036458333301</v>
      </c>
      <c r="K2973" t="s">
        <v>18</v>
      </c>
      <c r="L2973">
        <f>J2973/_xlfn.XLOOKUP(Tabla2[[#This Row],[Unidad de precio]],Tabla3[Medida],Tabla3[Equivalencia en Kg],"ELVIS",0)</f>
        <v>30.057399599500222</v>
      </c>
      <c r="M2973">
        <v>1789.8439852691199</v>
      </c>
      <c r="N2973" s="2">
        <f>(Tabla2[[#This Row],[Productividad (kg/TAS)]]*Tabla2[[#This Row],[Precio por kg]]-Tabla2[[#This Row],[Costos (En RD$/Tarea)]])</f>
        <v>10079.042754014896</v>
      </c>
      <c r="O2973" s="6">
        <f>IF(Tabla2[[#This Row],[Costos (En RD$/Tarea)]]=0,0,Tabla2[[#This Row],[Beneficio Neto  (En RD$/Tarea)]]/Tabla2[[#This Row],[Costos (En RD$/Tarea)]])</f>
        <v>5.6312409556184955</v>
      </c>
      <c r="P2973" s="4">
        <f>Tabla2[[#This Row],[Rentabilidad (%)]]/12</f>
        <v>0.4692700796348746</v>
      </c>
    </row>
    <row r="2974" spans="1:16" x14ac:dyDescent="0.35">
      <c r="A2974" s="1">
        <v>44044</v>
      </c>
      <c r="B2974" t="s">
        <v>27</v>
      </c>
      <c r="C2974" s="2">
        <v>4865</v>
      </c>
      <c r="D2974" s="5" t="s">
        <v>17</v>
      </c>
      <c r="E2974" s="2">
        <f>IF(Tabla2[[#This Row],[Frecuencia]]="Annual", Tabla2[[#This Row],[Cosecha/Tarea]]/12,Tabla2[[#This Row],[Cosecha/Tarea]])</f>
        <v>4865</v>
      </c>
      <c r="F2974" s="2">
        <v>48788</v>
      </c>
      <c r="G2974" t="s">
        <v>18</v>
      </c>
      <c r="H2974">
        <f>F2974/Tabla2[[#This Row],[Cosecha Mensual]]</f>
        <v>10.028365878725591</v>
      </c>
      <c r="I2974">
        <f>H2974*_xlfn.XLOOKUP(Tabla2[[#This Row],[Unidad de producción]],Tabla3[Medida],Tabla3[Equivalencia en Kg],"ELVIS",0)</f>
        <v>454.88667625899279</v>
      </c>
      <c r="J2974">
        <v>986.46825396825398</v>
      </c>
      <c r="K2974" t="s">
        <v>18</v>
      </c>
      <c r="L2974">
        <f>J2974/_xlfn.XLOOKUP(Tabla2[[#This Row],[Unidad de precio]],Tabla3[Medida],Tabla3[Equivalencia en Kg],"ELVIS",0)</f>
        <v>21.747536463144929</v>
      </c>
      <c r="M2974">
        <v>9891.7256609088799</v>
      </c>
      <c r="N2974" s="2">
        <f>(Tabla2[[#This Row],[Productividad (kg/TAS)]]*Tabla2[[#This Row],[Precio por kg]]-Tabla2[[#This Row],[Costos (En RD$/Tarea)]])</f>
        <v>0.93891763236933912</v>
      </c>
      <c r="O2974" s="6">
        <f>IF(Tabla2[[#This Row],[Costos (En RD$/Tarea)]]=0,0,Tabla2[[#This Row],[Beneficio Neto  (En RD$/Tarea)]]/Tabla2[[#This Row],[Costos (En RD$/Tarea)]])</f>
        <v>9.4919497826334657E-5</v>
      </c>
      <c r="P2974" s="4">
        <f>Tabla2[[#This Row],[Rentabilidad (%)]]/12</f>
        <v>7.9099581521945553E-6</v>
      </c>
    </row>
    <row r="2975" spans="1:16" x14ac:dyDescent="0.35">
      <c r="A2975" s="1">
        <v>44044</v>
      </c>
      <c r="B2975" t="s">
        <v>28</v>
      </c>
      <c r="C2975" s="2">
        <v>54504.3</v>
      </c>
      <c r="D2975" s="5" t="s">
        <v>17</v>
      </c>
      <c r="E2975" s="2">
        <f>IF(Tabla2[[#This Row],[Frecuencia]]="Annual", Tabla2[[#This Row],[Cosecha/Tarea]]/12,Tabla2[[#This Row],[Cosecha/Tarea]])</f>
        <v>54504.3</v>
      </c>
      <c r="F2975" s="2">
        <v>1481105.6</v>
      </c>
      <c r="G2975" t="s">
        <v>18</v>
      </c>
      <c r="H2975">
        <f>F2975/Tabla2[[#This Row],[Cosecha Mensual]]</f>
        <v>27.174105529288514</v>
      </c>
      <c r="I2975">
        <f>H2975*_xlfn.XLOOKUP(Tabla2[[#This Row],[Unidad de producción]],Tabla3[Medida],Tabla3[Equivalencia en Kg],"ELVIS",0)</f>
        <v>1232.6174268085269</v>
      </c>
      <c r="J2975">
        <v>6857.9404761904798</v>
      </c>
      <c r="K2975" t="s">
        <v>29</v>
      </c>
      <c r="L2975">
        <f>J2975/_xlfn.XLOOKUP(Tabla2[[#This Row],[Unidad de precio]],Tabla3[Medida],Tabla3[Equivalencia en Kg],"ELVIS",0)</f>
        <v>12.195363083171177</v>
      </c>
      <c r="M2975">
        <v>13735.141908858301</v>
      </c>
      <c r="N2975" s="2">
        <f>(Tabla2[[#This Row],[Productividad (kg/TAS)]]*Tabla2[[#This Row],[Precio por kg]]-Tabla2[[#This Row],[Costos (En RD$/Tarea)]])</f>
        <v>1297.0751537158594</v>
      </c>
      <c r="O2975" s="6">
        <f>IF(Tabla2[[#This Row],[Costos (En RD$/Tarea)]]=0,0,Tabla2[[#This Row],[Beneficio Neto  (En RD$/Tarea)]]/Tabla2[[#This Row],[Costos (En RD$/Tarea)]])</f>
        <v>9.4434783588171575E-2</v>
      </c>
      <c r="P2975" s="4">
        <f>Tabla2[[#This Row],[Rentabilidad (%)]]/12</f>
        <v>7.8695652990142979E-3</v>
      </c>
    </row>
    <row r="2976" spans="1:16" x14ac:dyDescent="0.35">
      <c r="A2976" s="1">
        <v>44044</v>
      </c>
      <c r="B2976" t="s">
        <v>30</v>
      </c>
      <c r="C2976" s="2">
        <v>450456</v>
      </c>
      <c r="D2976" s="2" t="s">
        <v>31</v>
      </c>
      <c r="E2976" s="2">
        <f>IF(Tabla2[[#This Row],[Frecuencia]]="Annual", Tabla2[[#This Row],[Cosecha/Tarea]]/12,Tabla2[[#This Row],[Cosecha/Tarea]])</f>
        <v>37538</v>
      </c>
      <c r="F2976" s="2">
        <v>2525324.4</v>
      </c>
      <c r="G2976" t="s">
        <v>18</v>
      </c>
      <c r="H2976">
        <f>F2976/Tabla2[[#This Row],[Cosecha Mensual]]</f>
        <v>67.273813202621341</v>
      </c>
      <c r="I2976">
        <f>H2976*_xlfn.XLOOKUP(Tabla2[[#This Row],[Unidad de producción]],Tabla3[Medida],Tabla3[Equivalencia en Kg],"ELVIS",0)</f>
        <v>3051.5401668709042</v>
      </c>
      <c r="J2976">
        <v>192.897569444444</v>
      </c>
      <c r="K2976" t="s">
        <v>32</v>
      </c>
      <c r="L2976">
        <f>J2976/_xlfn.XLOOKUP(Tabla2[[#This Row],[Unidad de precio]],Tabla3[Medida],Tabla3[Equivalencia en Kg],"ELVIS",0)</f>
        <v>7.0892160766058065</v>
      </c>
      <c r="M2976" s="2">
        <v>38019.0770714752</v>
      </c>
      <c r="N2976" s="2">
        <f>(Tabla2[[#This Row],[Productividad (kg/TAS)]]*Tabla2[[#This Row],[Precio por kg]]-Tabla2[[#This Row],[Costos (En RD$/Tarea)]])</f>
        <v>-16386.049462085619</v>
      </c>
      <c r="O2976" s="6">
        <f>IF(Tabla2[[#This Row],[Costos (En RD$/Tarea)]]=0,0,Tabla2[[#This Row],[Beneficio Neto  (En RD$/Tarea)]]/Tabla2[[#This Row],[Costos (En RD$/Tarea)]])</f>
        <v>-0.43099545607801398</v>
      </c>
      <c r="P2976" s="4">
        <f>Tabla2[[#This Row],[Rentabilidad (%)]]/12</f>
        <v>-3.5916288006501165E-2</v>
      </c>
    </row>
    <row r="2977" spans="1:16" x14ac:dyDescent="0.35">
      <c r="A2977" s="1">
        <v>44044</v>
      </c>
      <c r="B2977" t="s">
        <v>33</v>
      </c>
      <c r="C2977" s="2">
        <v>740534.94286177505</v>
      </c>
      <c r="D2977" s="2" t="s">
        <v>31</v>
      </c>
      <c r="E2977" s="8">
        <f>IF(Tabla2[[#This Row],[Frecuencia]]="Annual", Tabla2[[#This Row],[Cosecha/Tarea]]/12,Tabla2[[#This Row],[Cosecha/Tarea]])</f>
        <v>61711.245238481257</v>
      </c>
      <c r="F2977" s="2">
        <v>4572135.1450990401</v>
      </c>
      <c r="G2977" t="s">
        <v>18</v>
      </c>
      <c r="H2977">
        <f>F2977/Tabla2[[#This Row],[Cosecha Mensual]]</f>
        <v>74.089173333485022</v>
      </c>
      <c r="I2977">
        <f>H2977*_xlfn.XLOOKUP(Tabla2[[#This Row],[Unidad de producción]],Tabla3[Medida],Tabla3[Equivalencia en Kg],"ELVIS",0)</f>
        <v>3360.6849024068806</v>
      </c>
      <c r="J2977">
        <v>9003.9375</v>
      </c>
      <c r="K2977" t="s">
        <v>34</v>
      </c>
      <c r="L2977">
        <f>J2977/_xlfn.XLOOKUP(Tabla2[[#This Row],[Unidad de precio]],Tabla3[Medida],Tabla3[Equivalencia en Kg],"ELVIS",0)</f>
        <v>22.060363836824699</v>
      </c>
      <c r="M2977" s="2">
        <v>33327.4212424613</v>
      </c>
      <c r="N2977" s="2">
        <f>(Tabla2[[#This Row],[Productividad (kg/TAS)]]*Tabla2[[#This Row],[Precio por kg]]-Tabla2[[#This Row],[Costos (En RD$/Tarea)]])</f>
        <v>40810.510445558197</v>
      </c>
      <c r="O2977" s="6">
        <f>IF(Tabla2[[#This Row],[Costos (En RD$/Tarea)]]=0,0,Tabla2[[#This Row],[Beneficio Neto  (En RD$/Tarea)]]/Tabla2[[#This Row],[Costos (En RD$/Tarea)]])</f>
        <v>1.2245324997891813</v>
      </c>
      <c r="P2977" s="4">
        <f>Tabla2[[#This Row],[Rentabilidad (%)]]/12</f>
        <v>0.10204437498243178</v>
      </c>
    </row>
    <row r="2978" spans="1:16" x14ac:dyDescent="0.35">
      <c r="A2978" s="1">
        <v>44075</v>
      </c>
      <c r="B2978" t="s">
        <v>16</v>
      </c>
      <c r="C2978" s="2">
        <v>454740</v>
      </c>
      <c r="D2978" s="5" t="s">
        <v>17</v>
      </c>
      <c r="E2978" s="2">
        <f>IF(Tabla2[[#This Row],[Frecuencia]]="Annual", Tabla2[[#This Row],[Cosecha/Tarea]]/12,Tabla2[[#This Row],[Cosecha/Tarea]])</f>
        <v>454740</v>
      </c>
      <c r="F2978" s="2">
        <v>1923976</v>
      </c>
      <c r="G2978" t="s">
        <v>18</v>
      </c>
      <c r="H2978">
        <f>F2978/Tabla2[[#This Row],[Cosecha Mensual]]</f>
        <v>4.2309363592382461</v>
      </c>
      <c r="I2978">
        <f>H2978*_xlfn.XLOOKUP(Tabla2[[#This Row],[Unidad de producción]],Tabla3[Medida],Tabla3[Equivalencia en Kg],"ELVIS",0)</f>
        <v>191.91527325504683</v>
      </c>
      <c r="J2978">
        <v>2421.3257727508899</v>
      </c>
      <c r="K2978" t="s">
        <v>19</v>
      </c>
      <c r="L2978">
        <f>J2978/_xlfn.XLOOKUP(Tabla2[[#This Row],[Unidad de precio]],Tabla3[Medida],Tabla3[Equivalencia en Kg],"ELVIS",0)</f>
        <v>22.012052479553546</v>
      </c>
      <c r="M2978">
        <v>7092.5943689866499</v>
      </c>
      <c r="N2978" s="2">
        <f>(Tabla2[[#This Row],[Productividad (kg/TAS)]]*Tabla2[[#This Row],[Precio por kg]]-Tabla2[[#This Row],[Costos (En RD$/Tarea)]])</f>
        <v>-2868.1453024686998</v>
      </c>
      <c r="O2978" s="6">
        <f>IF(Tabla2[[#This Row],[Costos (En RD$/Tarea)]]=0,0,Tabla2[[#This Row],[Beneficio Neto  (En RD$/Tarea)]]/Tabla2[[#This Row],[Costos (En RD$/Tarea)]])</f>
        <v>-0.40438592047644256</v>
      </c>
      <c r="P2978" s="4">
        <f>Tabla2[[#This Row],[Rentabilidad (%)]]/12</f>
        <v>-3.3698826706370213E-2</v>
      </c>
    </row>
    <row r="2979" spans="1:16" x14ac:dyDescent="0.35">
      <c r="A2979" s="1">
        <v>44075</v>
      </c>
      <c r="B2979" t="s">
        <v>20</v>
      </c>
      <c r="C2979" s="2">
        <v>60213.961408586598</v>
      </c>
      <c r="D2979" s="5" t="s">
        <v>17</v>
      </c>
      <c r="E2979" s="2">
        <f>IF(Tabla2[[#This Row],[Frecuencia]]="Annual", Tabla2[[#This Row],[Cosecha/Tarea]]/12,Tabla2[[#This Row],[Cosecha/Tarea]])</f>
        <v>60213.961408586598</v>
      </c>
      <c r="F2979" s="2">
        <v>126985</v>
      </c>
      <c r="G2979" t="s">
        <v>18</v>
      </c>
      <c r="H2979">
        <f>F2979/Tabla2[[#This Row],[Cosecha Mensual]]</f>
        <v>2.108896292976528</v>
      </c>
      <c r="I2979">
        <f>H2979*_xlfn.XLOOKUP(Tabla2[[#This Row],[Unidad de producción]],Tabla3[Medida],Tabla3[Equivalencia en Kg],"ELVIS",0)</f>
        <v>95.659535849415306</v>
      </c>
      <c r="J2979">
        <v>964.17296875</v>
      </c>
      <c r="K2979" t="s">
        <v>18</v>
      </c>
      <c r="L2979">
        <f>J2979/_xlfn.XLOOKUP(Tabla2[[#This Row],[Unidad de precio]],Tabla3[Medida],Tabla3[Equivalencia en Kg],"ELVIS",0)</f>
        <v>21.256017829585538</v>
      </c>
      <c r="M2979">
        <v>2584.1546858372599</v>
      </c>
      <c r="N2979" s="2">
        <f>(Tabla2[[#This Row],[Productividad (kg/TAS)]]*Tabla2[[#This Row],[Precio por kg]]-Tabla2[[#This Row],[Costos (En RD$/Tarea)]])</f>
        <v>-550.8138862522112</v>
      </c>
      <c r="O2979" s="6">
        <f>IF(Tabla2[[#This Row],[Costos (En RD$/Tarea)]]=0,0,Tabla2[[#This Row],[Beneficio Neto  (En RD$/Tarea)]]/Tabla2[[#This Row],[Costos (En RD$/Tarea)]])</f>
        <v>-0.21315050885730891</v>
      </c>
      <c r="P2979" s="4">
        <f>Tabla2[[#This Row],[Rentabilidad (%)]]/12</f>
        <v>-1.7762542404775743E-2</v>
      </c>
    </row>
    <row r="2980" spans="1:16" x14ac:dyDescent="0.35">
      <c r="A2980" s="1">
        <v>44075</v>
      </c>
      <c r="B2980" t="s">
        <v>21</v>
      </c>
      <c r="C2980" s="2">
        <v>8520.3937115516092</v>
      </c>
      <c r="D2980" s="5" t="s">
        <v>17</v>
      </c>
      <c r="E2980" s="2">
        <f>IF(Tabla2[[#This Row],[Frecuencia]]="Annual", Tabla2[[#This Row],[Cosecha/Tarea]]/12,Tabla2[[#This Row],[Cosecha/Tarea]])</f>
        <v>8520.3937115516092</v>
      </c>
      <c r="F2980" s="2">
        <v>76985</v>
      </c>
      <c r="G2980" t="s">
        <v>18</v>
      </c>
      <c r="H2980">
        <f>F2980/Tabla2[[#This Row],[Cosecha Mensual]]</f>
        <v>9.0353805946345904</v>
      </c>
      <c r="I2980">
        <f>H2980*_xlfn.XLOOKUP(Tabla2[[#This Row],[Unidad de producción]],Tabla3[Medida],Tabla3[Equivalencia en Kg],"ELVIS",0)</f>
        <v>409.84486377262499</v>
      </c>
      <c r="J2980">
        <v>1131.93154761905</v>
      </c>
      <c r="K2980" t="s">
        <v>18</v>
      </c>
      <c r="L2980">
        <f>J2980/_xlfn.XLOOKUP(Tabla2[[#This Row],[Unidad de precio]],Tabla3[Medida],Tabla3[Equivalencia en Kg],"ELVIS",0)</f>
        <v>24.954399197950838</v>
      </c>
      <c r="M2980">
        <v>6271.4601073596496</v>
      </c>
      <c r="N2980" s="2">
        <f>(Tabla2[[#This Row],[Productividad (kg/TAS)]]*Tabla2[[#This Row],[Precio por kg]]-Tabla2[[#This Row],[Costos (En RD$/Tarea)]])</f>
        <v>3955.9722324522136</v>
      </c>
      <c r="O2980" s="6">
        <f>IF(Tabla2[[#This Row],[Costos (En RD$/Tarea)]]=0,0,Tabla2[[#This Row],[Beneficio Neto  (En RD$/Tarea)]]/Tabla2[[#This Row],[Costos (En RD$/Tarea)]])</f>
        <v>0.6307896669564752</v>
      </c>
      <c r="P2980" s="4">
        <f>Tabla2[[#This Row],[Rentabilidad (%)]]/12</f>
        <v>5.2565805579706269E-2</v>
      </c>
    </row>
    <row r="2981" spans="1:16" x14ac:dyDescent="0.35">
      <c r="A2981" s="1">
        <v>44075</v>
      </c>
      <c r="B2981" t="s">
        <v>22</v>
      </c>
      <c r="C2981" s="2">
        <v>3596.02877697842</v>
      </c>
      <c r="D2981" s="5" t="s">
        <v>17</v>
      </c>
      <c r="E2981" s="2">
        <f>IF(Tabla2[[#This Row],[Frecuencia]]="Annual", Tabla2[[#This Row],[Cosecha/Tarea]]/12,Tabla2[[#This Row],[Cosecha/Tarea]])</f>
        <v>3596.02877697842</v>
      </c>
      <c r="F2981" s="2">
        <v>38745</v>
      </c>
      <c r="G2981" t="s">
        <v>18</v>
      </c>
      <c r="H2981">
        <f>F2981/Tabla2[[#This Row],[Cosecha Mensual]]</f>
        <v>10.774385413165595</v>
      </c>
      <c r="I2981">
        <f>H2981*_xlfn.XLOOKUP(Tabla2[[#This Row],[Unidad de producción]],Tabla3[Medida],Tabla3[Equivalencia en Kg],"ELVIS",0)</f>
        <v>488.7261223411914</v>
      </c>
      <c r="J2981">
        <v>2275.1</v>
      </c>
      <c r="K2981" t="s">
        <v>18</v>
      </c>
      <c r="L2981">
        <f>J2981/_xlfn.XLOOKUP(Tabla2[[#This Row],[Unidad de precio]],Tabla3[Medida],Tabla3[Equivalencia en Kg],"ELVIS",0)</f>
        <v>50.156525573192241</v>
      </c>
      <c r="M2981">
        <v>10873.3452772193</v>
      </c>
      <c r="N2981" s="2">
        <f>(Tabla2[[#This Row],[Productividad (kg/TAS)]]*Tabla2[[#This Row],[Precio por kg]]-Tabla2[[#This Row],[Costos (En RD$/Tarea)]])</f>
        <v>13639.458976273747</v>
      </c>
      <c r="O2981" s="6">
        <f>IF(Tabla2[[#This Row],[Costos (En RD$/Tarea)]]=0,0,Tabla2[[#This Row],[Beneficio Neto  (En RD$/Tarea)]]/Tabla2[[#This Row],[Costos (En RD$/Tarea)]])</f>
        <v>1.2543939908585191</v>
      </c>
      <c r="P2981" s="4">
        <f>Tabla2[[#This Row],[Rentabilidad (%)]]/12</f>
        <v>0.10453283257154326</v>
      </c>
    </row>
    <row r="2982" spans="1:16" x14ac:dyDescent="0.35">
      <c r="A2982" s="1">
        <v>44075</v>
      </c>
      <c r="B2982" t="s">
        <v>23</v>
      </c>
      <c r="C2982" s="2">
        <v>3652.3120622568099</v>
      </c>
      <c r="D2982" s="5" t="s">
        <v>17</v>
      </c>
      <c r="E2982" s="2">
        <f>IF(Tabla2[[#This Row],[Frecuencia]]="Annual", Tabla2[[#This Row],[Cosecha/Tarea]]/12,Tabla2[[#This Row],[Cosecha/Tarea]])</f>
        <v>3652.3120622568099</v>
      </c>
      <c r="F2982" s="2">
        <v>191254</v>
      </c>
      <c r="G2982" t="s">
        <v>18</v>
      </c>
      <c r="H2982">
        <f>F2982/Tabla2[[#This Row],[Cosecha Mensual]]</f>
        <v>52.365185871281142</v>
      </c>
      <c r="I2982">
        <f>H2982*_xlfn.XLOOKUP(Tabla2[[#This Row],[Unidad de producción]],Tabla3[Medida],Tabla3[Equivalencia en Kg],"ELVIS",0)</f>
        <v>2375.2848311213124</v>
      </c>
      <c r="J2982">
        <v>1209</v>
      </c>
      <c r="K2982" t="s">
        <v>18</v>
      </c>
      <c r="L2982">
        <f>J2982/_xlfn.XLOOKUP(Tabla2[[#This Row],[Unidad de precio]],Tabla3[Medida],Tabla3[Equivalencia en Kg],"ELVIS",0)</f>
        <v>26.653439153439155</v>
      </c>
      <c r="M2982">
        <v>28931.455637376999</v>
      </c>
      <c r="N2982" s="2">
        <f>(Tabla2[[#This Row],[Productividad (kg/TAS)]]*Tabla2[[#This Row],[Precio por kg]]-Tabla2[[#This Row],[Costos (En RD$/Tarea)]])</f>
        <v>34378.054081001901</v>
      </c>
      <c r="O2982" s="6">
        <f>IF(Tabla2[[#This Row],[Costos (En RD$/Tarea)]]=0,0,Tabla2[[#This Row],[Beneficio Neto  (En RD$/Tarea)]]/Tabla2[[#This Row],[Costos (En RD$/Tarea)]])</f>
        <v>1.1882587074736868</v>
      </c>
      <c r="P2982" s="4">
        <f>Tabla2[[#This Row],[Rentabilidad (%)]]/12</f>
        <v>9.9021558956140565E-2</v>
      </c>
    </row>
    <row r="2983" spans="1:16" x14ac:dyDescent="0.35">
      <c r="A2983" s="1">
        <v>44075</v>
      </c>
      <c r="B2983" t="s">
        <v>24</v>
      </c>
      <c r="C2983" s="2">
        <v>4489</v>
      </c>
      <c r="D2983" s="5" t="s">
        <v>17</v>
      </c>
      <c r="E2983" s="2">
        <f>IF(Tabla2[[#This Row],[Frecuencia]]="Annual", Tabla2[[#This Row],[Cosecha/Tarea]]/12,Tabla2[[#This Row],[Cosecha/Tarea]])</f>
        <v>4489</v>
      </c>
      <c r="F2983" s="2">
        <v>43998</v>
      </c>
      <c r="G2983" t="s">
        <v>18</v>
      </c>
      <c r="H2983">
        <f>F2983/Tabla2[[#This Row],[Cosecha Mensual]]</f>
        <v>9.8012920472265534</v>
      </c>
      <c r="I2983">
        <f>H2983*_xlfn.XLOOKUP(Tabla2[[#This Row],[Unidad de producción]],Tabla3[Medida],Tabla3[Equivalencia en Kg],"ELVIS",0)</f>
        <v>444.58660726219648</v>
      </c>
      <c r="J2983">
        <v>2710.6666666666702</v>
      </c>
      <c r="K2983" t="s">
        <v>18</v>
      </c>
      <c r="L2983">
        <f>J2983/_xlfn.XLOOKUP(Tabla2[[#This Row],[Unidad de precio]],Tabla3[Medida],Tabla3[Equivalencia en Kg],"ELVIS",0)</f>
        <v>59.75896531452095</v>
      </c>
      <c r="M2983">
        <v>8997.8297362085195</v>
      </c>
      <c r="N2983" s="2">
        <f>(Tabla2[[#This Row],[Productividad (kg/TAS)]]*Tabla2[[#This Row],[Precio por kg]]-Tabla2[[#This Row],[Costos (En RD$/Tarea)]])</f>
        <v>17570.205906473624</v>
      </c>
      <c r="O2983" s="6">
        <f>IF(Tabla2[[#This Row],[Costos (En RD$/Tarea)]]=0,0,Tabla2[[#This Row],[Beneficio Neto  (En RD$/Tarea)]]/Tabla2[[#This Row],[Costos (En RD$/Tarea)]])</f>
        <v>1.9527159794732134</v>
      </c>
      <c r="P2983" s="4">
        <f>Tabla2[[#This Row],[Rentabilidad (%)]]/12</f>
        <v>0.16272633162276778</v>
      </c>
    </row>
    <row r="2984" spans="1:16" x14ac:dyDescent="0.35">
      <c r="A2984" s="1">
        <v>44075</v>
      </c>
      <c r="B2984" t="s">
        <v>25</v>
      </c>
      <c r="C2984" s="2">
        <v>29145</v>
      </c>
      <c r="D2984" s="5" t="s">
        <v>17</v>
      </c>
      <c r="E2984" s="2">
        <f>IF(Tabla2[[#This Row],[Frecuencia]]="Annual", Tabla2[[#This Row],[Cosecha/Tarea]]/12,Tabla2[[#This Row],[Cosecha/Tarea]])</f>
        <v>29145</v>
      </c>
      <c r="F2984" s="2">
        <v>339854</v>
      </c>
      <c r="G2984" t="s">
        <v>18</v>
      </c>
      <c r="H2984">
        <f>F2984/Tabla2[[#This Row],[Cosecha Mensual]]</f>
        <v>11.660799451020758</v>
      </c>
      <c r="I2984">
        <f>H2984*_xlfn.XLOOKUP(Tabla2[[#This Row],[Unidad de producción]],Tabla3[Medida],Tabla3[Equivalencia en Kg],"ELVIS",0)</f>
        <v>528.93386309830157</v>
      </c>
      <c r="J2984">
        <v>664.65083333333303</v>
      </c>
      <c r="K2984" t="s">
        <v>18</v>
      </c>
      <c r="L2984">
        <f>J2984/_xlfn.XLOOKUP(Tabla2[[#This Row],[Unidad de precio]],Tabla3[Medida],Tabla3[Equivalencia en Kg],"ELVIS",0)</f>
        <v>14.652796149323921</v>
      </c>
      <c r="M2984">
        <v>5060.8394523092302</v>
      </c>
      <c r="N2984" s="2">
        <f>(Tabla2[[#This Row],[Productividad (kg/TAS)]]*Tabla2[[#This Row],[Precio por kg]]-Tabla2[[#This Row],[Costos (En RD$/Tarea)]])</f>
        <v>2689.520620144589</v>
      </c>
      <c r="O2984" s="6">
        <f>IF(Tabla2[[#This Row],[Costos (En RD$/Tarea)]]=0,0,Tabla2[[#This Row],[Beneficio Neto  (En RD$/Tarea)]]/Tabla2[[#This Row],[Costos (En RD$/Tarea)]])</f>
        <v>0.53143764892944334</v>
      </c>
      <c r="P2984" s="4">
        <f>Tabla2[[#This Row],[Rentabilidad (%)]]/12</f>
        <v>4.4286470744120281E-2</v>
      </c>
    </row>
    <row r="2985" spans="1:16" x14ac:dyDescent="0.35">
      <c r="A2985" s="1">
        <v>44075</v>
      </c>
      <c r="B2985" t="s">
        <v>26</v>
      </c>
      <c r="C2985" s="2">
        <v>10010.889221556899</v>
      </c>
      <c r="D2985" s="5" t="s">
        <v>17</v>
      </c>
      <c r="E2985" s="2">
        <f>IF(Tabla2[[#This Row],[Frecuencia]]="Annual", Tabla2[[#This Row],[Cosecha/Tarea]]/12,Tabla2[[#This Row],[Cosecha/Tarea]])</f>
        <v>10010.889221556899</v>
      </c>
      <c r="F2985" s="2">
        <v>68549</v>
      </c>
      <c r="G2985" t="s">
        <v>18</v>
      </c>
      <c r="H2985">
        <f>F2985/Tabla2[[#This Row],[Cosecha Mensual]]</f>
        <v>6.8474436668812944</v>
      </c>
      <c r="I2985">
        <f>H2985*_xlfn.XLOOKUP(Tabla2[[#This Row],[Unidad de producción]],Tabla3[Medida],Tabla3[Equivalencia en Kg],"ELVIS",0)</f>
        <v>310.60004472973549</v>
      </c>
      <c r="J2985">
        <v>1375.88975694444</v>
      </c>
      <c r="K2985" t="s">
        <v>18</v>
      </c>
      <c r="L2985">
        <f>J2985/_xlfn.XLOOKUP(Tabla2[[#This Row],[Unidad de precio]],Tabla3[Medida],Tabla3[Equivalencia en Kg],"ELVIS",0)</f>
        <v>30.332666599304233</v>
      </c>
      <c r="M2985">
        <v>1789.8439852691199</v>
      </c>
      <c r="N2985" s="2">
        <f>(Tabla2[[#This Row],[Productividad (kg/TAS)]]*Tabla2[[#This Row],[Precio por kg]]-Tabla2[[#This Row],[Costos (En RD$/Tarea)]])</f>
        <v>7631.4836172469286</v>
      </c>
      <c r="O2985" s="6">
        <f>IF(Tabla2[[#This Row],[Costos (En RD$/Tarea)]]=0,0,Tabla2[[#This Row],[Beneficio Neto  (En RD$/Tarea)]]/Tabla2[[#This Row],[Costos (En RD$/Tarea)]])</f>
        <v>4.2637702950961192</v>
      </c>
      <c r="P2985" s="4">
        <f>Tabla2[[#This Row],[Rentabilidad (%)]]/12</f>
        <v>0.35531419125800995</v>
      </c>
    </row>
    <row r="2986" spans="1:16" x14ac:dyDescent="0.35">
      <c r="A2986" s="1">
        <v>44075</v>
      </c>
      <c r="B2986" t="s">
        <v>27</v>
      </c>
      <c r="C2986" s="2">
        <v>4785</v>
      </c>
      <c r="D2986" s="5" t="s">
        <v>17</v>
      </c>
      <c r="E2986" s="2">
        <f>IF(Tabla2[[#This Row],[Frecuencia]]="Annual", Tabla2[[#This Row],[Cosecha/Tarea]]/12,Tabla2[[#This Row],[Cosecha/Tarea]])</f>
        <v>4785</v>
      </c>
      <c r="F2986" s="2">
        <v>43644</v>
      </c>
      <c r="G2986" t="s">
        <v>18</v>
      </c>
      <c r="H2986">
        <f>F2986/Tabla2[[#This Row],[Cosecha Mensual]]</f>
        <v>9.1210031347962381</v>
      </c>
      <c r="I2986">
        <f>H2986*_xlfn.XLOOKUP(Tabla2[[#This Row],[Unidad de producción]],Tabla3[Medida],Tabla3[Equivalencia en Kg],"ELVIS",0)</f>
        <v>413.72870219435737</v>
      </c>
      <c r="J2986">
        <v>957.16071428571399</v>
      </c>
      <c r="K2986" t="s">
        <v>18</v>
      </c>
      <c r="L2986">
        <f>J2986/_xlfn.XLOOKUP(Tabla2[[#This Row],[Unidad de precio]],Tabla3[Medida],Tabla3[Equivalencia en Kg],"ELVIS",0)</f>
        <v>21.101426681783817</v>
      </c>
      <c r="M2986">
        <v>9891.7256609088799</v>
      </c>
      <c r="N2986" s="2">
        <f>(Tabla2[[#This Row],[Productividad (kg/TAS)]]*Tabla2[[#This Row],[Precio por kg]]-Tabla2[[#This Row],[Costos (En RD$/Tarea)]])</f>
        <v>-1161.4597854050771</v>
      </c>
      <c r="O2986" s="6">
        <f>IF(Tabla2[[#This Row],[Costos (En RD$/Tarea)]]=0,0,Tabla2[[#This Row],[Beneficio Neto  (En RD$/Tarea)]]/Tabla2[[#This Row],[Costos (En RD$/Tarea)]])</f>
        <v>-0.11741730666824406</v>
      </c>
      <c r="P2986" s="4">
        <f>Tabla2[[#This Row],[Rentabilidad (%)]]/12</f>
        <v>-9.7847755556870041E-3</v>
      </c>
    </row>
    <row r="2987" spans="1:16" x14ac:dyDescent="0.35">
      <c r="A2987" s="1">
        <v>44075</v>
      </c>
      <c r="B2987" t="s">
        <v>28</v>
      </c>
      <c r="C2987" s="2">
        <v>76021</v>
      </c>
      <c r="D2987" s="5" t="s">
        <v>17</v>
      </c>
      <c r="E2987" s="2">
        <f>IF(Tabla2[[#This Row],[Frecuencia]]="Annual", Tabla2[[#This Row],[Cosecha/Tarea]]/12,Tabla2[[#This Row],[Cosecha/Tarea]])</f>
        <v>76021</v>
      </c>
      <c r="F2987" s="2">
        <v>1810238.8</v>
      </c>
      <c r="G2987" t="s">
        <v>18</v>
      </c>
      <c r="H2987">
        <f>F2987/Tabla2[[#This Row],[Cosecha Mensual]]</f>
        <v>23.812351850146669</v>
      </c>
      <c r="I2987">
        <f>H2987*_xlfn.XLOOKUP(Tabla2[[#This Row],[Unidad de producción]],Tabla3[Medida],Tabla3[Equivalencia en Kg],"ELVIS",0)</f>
        <v>1080.1282799226528</v>
      </c>
      <c r="J2987">
        <v>5694.4722222222199</v>
      </c>
      <c r="K2987" t="s">
        <v>29</v>
      </c>
      <c r="L2987">
        <f>J2987/_xlfn.XLOOKUP(Tabla2[[#This Row],[Unidad de precio]],Tabla3[Medida],Tabla3[Equivalencia en Kg],"ELVIS",0)</f>
        <v>10.12638656724085</v>
      </c>
      <c r="M2987">
        <v>13735.141908858301</v>
      </c>
      <c r="N2987" s="2">
        <f>(Tabla2[[#This Row],[Productividad (kg/TAS)]]*Tabla2[[#This Row],[Precio por kg]]-Tabla2[[#This Row],[Costos (En RD$/Tarea)]])</f>
        <v>-2797.3454041525838</v>
      </c>
      <c r="O2987" s="6">
        <f>IF(Tabla2[[#This Row],[Costos (En RD$/Tarea)]]=0,0,Tabla2[[#This Row],[Beneficio Neto  (En RD$/Tarea)]]/Tabla2[[#This Row],[Costos (En RD$/Tarea)]])</f>
        <v>-0.20366337841391158</v>
      </c>
      <c r="P2987" s="4">
        <f>Tabla2[[#This Row],[Rentabilidad (%)]]/12</f>
        <v>-1.6971948201159298E-2</v>
      </c>
    </row>
    <row r="2988" spans="1:16" x14ac:dyDescent="0.35">
      <c r="A2988" s="1">
        <v>44075</v>
      </c>
      <c r="B2988" t="s">
        <v>30</v>
      </c>
      <c r="C2988" s="2">
        <v>451024</v>
      </c>
      <c r="D2988" s="2" t="s">
        <v>31</v>
      </c>
      <c r="E2988" s="2">
        <f>IF(Tabla2[[#This Row],[Frecuencia]]="Annual", Tabla2[[#This Row],[Cosecha/Tarea]]/12,Tabla2[[#This Row],[Cosecha/Tarea]])</f>
        <v>37585.333333333336</v>
      </c>
      <c r="F2988" s="2">
        <v>2159528.4</v>
      </c>
      <c r="G2988" t="s">
        <v>18</v>
      </c>
      <c r="H2988">
        <f>F2988/Tabla2[[#This Row],[Cosecha Mensual]]</f>
        <v>57.456678136861889</v>
      </c>
      <c r="I2988">
        <f>H2988*_xlfn.XLOOKUP(Tabla2[[#This Row],[Unidad de producción]],Tabla3[Medida],Tabla3[Equivalencia en Kg],"ELVIS",0)</f>
        <v>2606.234920288055</v>
      </c>
      <c r="J2988">
        <v>211.020833333333</v>
      </c>
      <c r="K2988" t="s">
        <v>32</v>
      </c>
      <c r="L2988">
        <f>J2988/_xlfn.XLOOKUP(Tabla2[[#This Row],[Unidad de precio]],Tabla3[Medida],Tabla3[Equivalencia en Kg],"ELVIS",0)</f>
        <v>7.7552676711993014</v>
      </c>
      <c r="M2988" s="2">
        <v>38019.0770714752</v>
      </c>
      <c r="N2988" s="2">
        <f>(Tabla2[[#This Row],[Productividad (kg/TAS)]]*Tabla2[[#This Row],[Precio por kg]]-Tabla2[[#This Row],[Costos (En RD$/Tarea)]])</f>
        <v>-17807.02765061456</v>
      </c>
      <c r="O2988" s="6">
        <f>IF(Tabla2[[#This Row],[Costos (En RD$/Tarea)]]=0,0,Tabla2[[#This Row],[Beneficio Neto  (En RD$/Tarea)]]/Tabla2[[#This Row],[Costos (En RD$/Tarea)]])</f>
        <v>-0.46837085542970069</v>
      </c>
      <c r="P2988" s="4">
        <f>Tabla2[[#This Row],[Rentabilidad (%)]]/12</f>
        <v>-3.9030904619141722E-2</v>
      </c>
    </row>
    <row r="2989" spans="1:16" x14ac:dyDescent="0.35">
      <c r="A2989" s="1">
        <v>44075</v>
      </c>
      <c r="B2989" t="s">
        <v>33</v>
      </c>
      <c r="C2989" s="2">
        <v>726229.36763272202</v>
      </c>
      <c r="D2989" s="2" t="s">
        <v>31</v>
      </c>
      <c r="E2989" s="8">
        <f>IF(Tabla2[[#This Row],[Frecuencia]]="Annual", Tabla2[[#This Row],[Cosecha/Tarea]]/12,Tabla2[[#This Row],[Cosecha/Tarea]])</f>
        <v>60519.113969393504</v>
      </c>
      <c r="F2989" s="2">
        <v>1842561</v>
      </c>
      <c r="G2989" t="s">
        <v>18</v>
      </c>
      <c r="H2989">
        <f>F2989/Tabla2[[#This Row],[Cosecha Mensual]]</f>
        <v>30.445934831958105</v>
      </c>
      <c r="I2989">
        <f>H2989*_xlfn.XLOOKUP(Tabla2[[#This Row],[Unidad de producción]],Tabla3[Medida],Tabla3[Equivalencia en Kg],"ELVIS",0)</f>
        <v>1381.0276039776197</v>
      </c>
      <c r="J2989">
        <v>11153.0078125</v>
      </c>
      <c r="K2989" t="s">
        <v>34</v>
      </c>
      <c r="L2989">
        <f>J2989/_xlfn.XLOOKUP(Tabla2[[#This Row],[Unidad de precio]],Tabla3[Medida],Tabla3[Equivalencia en Kg],"ELVIS",0)</f>
        <v>27.325757227734904</v>
      </c>
      <c r="M2989" s="2">
        <v>33327.4212424613</v>
      </c>
      <c r="N2989" s="2">
        <f>(Tabla2[[#This Row],[Productividad (kg/TAS)]]*Tabla2[[#This Row],[Precio por kg]]-Tabla2[[#This Row],[Costos (En RD$/Tarea)]])</f>
        <v>4410.2037886315593</v>
      </c>
      <c r="O2989" s="6">
        <f>IF(Tabla2[[#This Row],[Costos (En RD$/Tarea)]]=0,0,Tabla2[[#This Row],[Beneficio Neto  (En RD$/Tarea)]]/Tabla2[[#This Row],[Costos (En RD$/Tarea)]])</f>
        <v>0.13232958399471584</v>
      </c>
      <c r="P2989" s="4">
        <f>Tabla2[[#This Row],[Rentabilidad (%)]]/12</f>
        <v>1.1027465332892986E-2</v>
      </c>
    </row>
    <row r="2990" spans="1:16" x14ac:dyDescent="0.35">
      <c r="A2990" s="1">
        <v>44105</v>
      </c>
      <c r="B2990" t="s">
        <v>16</v>
      </c>
      <c r="C2990" s="2">
        <v>246114</v>
      </c>
      <c r="D2990" s="5" t="s">
        <v>17</v>
      </c>
      <c r="E2990" s="2">
        <f>IF(Tabla2[[#This Row],[Frecuencia]]="Annual", Tabla2[[#This Row],[Cosecha/Tarea]]/12,Tabla2[[#This Row],[Cosecha/Tarea]])</f>
        <v>246114</v>
      </c>
      <c r="F2990" s="2">
        <v>817180</v>
      </c>
      <c r="G2990" t="s">
        <v>18</v>
      </c>
      <c r="H2990">
        <f>F2990/Tabla2[[#This Row],[Cosecha Mensual]]</f>
        <v>3.3203312286176323</v>
      </c>
      <c r="I2990">
        <f>H2990*_xlfn.XLOOKUP(Tabla2[[#This Row],[Unidad de producción]],Tabla3[Medida],Tabla3[Equivalencia en Kg],"ELVIS",0)</f>
        <v>150.61022453009579</v>
      </c>
      <c r="J2990">
        <v>2438.3384538106602</v>
      </c>
      <c r="K2990" t="s">
        <v>19</v>
      </c>
      <c r="L2990">
        <f>J2990/_xlfn.XLOOKUP(Tabla2[[#This Row],[Unidad de precio]],Tabla3[Medida],Tabla3[Equivalencia en Kg],"ELVIS",0)</f>
        <v>22.166713216460547</v>
      </c>
      <c r="M2990">
        <v>7092.5943689866499</v>
      </c>
      <c r="N2990" s="2">
        <f>(Tabla2[[#This Row],[Productividad (kg/TAS)]]*Tabla2[[#This Row],[Precio por kg]]-Tabla2[[#This Row],[Costos (En RD$/Tarea)]])</f>
        <v>-3754.0607143612851</v>
      </c>
      <c r="O2990" s="6">
        <f>IF(Tabla2[[#This Row],[Costos (En RD$/Tarea)]]=0,0,Tabla2[[#This Row],[Beneficio Neto  (En RD$/Tarea)]]/Tabla2[[#This Row],[Costos (En RD$/Tarea)]])</f>
        <v>-0.52929302298414738</v>
      </c>
      <c r="P2990" s="4">
        <f>Tabla2[[#This Row],[Rentabilidad (%)]]/12</f>
        <v>-4.4107751915345612E-2</v>
      </c>
    </row>
    <row r="2991" spans="1:16" x14ac:dyDescent="0.35">
      <c r="A2991" s="1">
        <v>44105</v>
      </c>
      <c r="B2991" t="s">
        <v>20</v>
      </c>
      <c r="C2991" s="2">
        <v>20145</v>
      </c>
      <c r="D2991" s="5" t="s">
        <v>17</v>
      </c>
      <c r="E2991" s="2">
        <f>IF(Tabla2[[#This Row],[Frecuencia]]="Annual", Tabla2[[#This Row],[Cosecha/Tarea]]/12,Tabla2[[#This Row],[Cosecha/Tarea]])</f>
        <v>20145</v>
      </c>
      <c r="F2991" s="2">
        <v>50769.5</v>
      </c>
      <c r="G2991" t="s">
        <v>18</v>
      </c>
      <c r="H2991">
        <f>F2991/Tabla2[[#This Row],[Cosecha Mensual]]</f>
        <v>2.5202035244477536</v>
      </c>
      <c r="I2991">
        <f>H2991*_xlfn.XLOOKUP(Tabla2[[#This Row],[Unidad de producción]],Tabla3[Medida],Tabla3[Equivalencia en Kg],"ELVIS",0)</f>
        <v>114.3164318689501</v>
      </c>
      <c r="J2991">
        <v>950.80989583333405</v>
      </c>
      <c r="K2991" t="s">
        <v>18</v>
      </c>
      <c r="L2991">
        <f>J2991/_xlfn.XLOOKUP(Tabla2[[#This Row],[Unidad de precio]],Tabla3[Medida],Tabla3[Equivalencia en Kg],"ELVIS",0)</f>
        <v>20.961417456643169</v>
      </c>
      <c r="M2991">
        <v>2584.1546858372599</v>
      </c>
      <c r="N2991" s="2">
        <f>(Tabla2[[#This Row],[Productividad (kg/TAS)]]*Tabla2[[#This Row],[Precio por kg]]-Tabla2[[#This Row],[Costos (En RD$/Tarea)]])</f>
        <v>-187.92023527828951</v>
      </c>
      <c r="O2991" s="6">
        <f>IF(Tabla2[[#This Row],[Costos (En RD$/Tarea)]]=0,0,Tabla2[[#This Row],[Beneficio Neto  (En RD$/Tarea)]]/Tabla2[[#This Row],[Costos (En RD$/Tarea)]])</f>
        <v>-7.2720196011564917E-2</v>
      </c>
      <c r="P2991" s="4">
        <f>Tabla2[[#This Row],[Rentabilidad (%)]]/12</f>
        <v>-6.0600163342970767E-3</v>
      </c>
    </row>
    <row r="2992" spans="1:16" x14ac:dyDescent="0.35">
      <c r="A2992" s="1">
        <v>44105</v>
      </c>
      <c r="B2992" t="s">
        <v>21</v>
      </c>
      <c r="C2992" s="2">
        <v>6645</v>
      </c>
      <c r="D2992" s="5" t="s">
        <v>17</v>
      </c>
      <c r="E2992" s="2">
        <f>IF(Tabla2[[#This Row],[Frecuencia]]="Annual", Tabla2[[#This Row],[Cosecha/Tarea]]/12,Tabla2[[#This Row],[Cosecha/Tarea]])</f>
        <v>6645</v>
      </c>
      <c r="F2992" s="2">
        <v>74121</v>
      </c>
      <c r="G2992" t="s">
        <v>18</v>
      </c>
      <c r="H2992">
        <f>F2992/Tabla2[[#This Row],[Cosecha Mensual]]</f>
        <v>11.154401805869075</v>
      </c>
      <c r="I2992">
        <f>H2992*_xlfn.XLOOKUP(Tabla2[[#This Row],[Unidad de producción]],Tabla3[Medida],Tabla3[Equivalencia en Kg],"ELVIS",0)</f>
        <v>505.96366591422122</v>
      </c>
      <c r="J2992">
        <v>1138.1458333333301</v>
      </c>
      <c r="K2992" t="s">
        <v>18</v>
      </c>
      <c r="L2992">
        <f>J2992/_xlfn.XLOOKUP(Tabla2[[#This Row],[Unidad de precio]],Tabla3[Medida],Tabla3[Equivalencia en Kg],"ELVIS",0)</f>
        <v>25.091398442092814</v>
      </c>
      <c r="M2992">
        <v>6271.4601073596496</v>
      </c>
      <c r="N2992" s="2">
        <f>(Tabla2[[#This Row],[Productividad (kg/TAS)]]*Tabla2[[#This Row],[Precio por kg]]-Tabla2[[#This Row],[Costos (En RD$/Tarea)]])</f>
        <v>6423.8758313160106</v>
      </c>
      <c r="O2992" s="6">
        <f>IF(Tabla2[[#This Row],[Costos (En RD$/Tarea)]]=0,0,Tabla2[[#This Row],[Beneficio Neto  (En RD$/Tarea)]]/Tabla2[[#This Row],[Costos (En RD$/Tarea)]])</f>
        <v>1.0243030683998928</v>
      </c>
      <c r="P2992" s="4">
        <f>Tabla2[[#This Row],[Rentabilidad (%)]]/12</f>
        <v>8.5358589033324397E-2</v>
      </c>
    </row>
    <row r="2993" spans="1:16" x14ac:dyDescent="0.35">
      <c r="A2993" s="1">
        <v>44105</v>
      </c>
      <c r="B2993" t="s">
        <v>22</v>
      </c>
      <c r="C2993" s="2">
        <v>1366</v>
      </c>
      <c r="D2993" s="5" t="s">
        <v>17</v>
      </c>
      <c r="E2993" s="2">
        <f>IF(Tabla2[[#This Row],[Frecuencia]]="Annual", Tabla2[[#This Row],[Cosecha/Tarea]]/12,Tabla2[[#This Row],[Cosecha/Tarea]])</f>
        <v>1366</v>
      </c>
      <c r="F2993" s="2">
        <v>19918</v>
      </c>
      <c r="G2993" t="s">
        <v>18</v>
      </c>
      <c r="H2993">
        <f>F2993/Tabla2[[#This Row],[Cosecha Mensual]]</f>
        <v>14.581259150805272</v>
      </c>
      <c r="I2993">
        <f>H2993*_xlfn.XLOOKUP(Tabla2[[#This Row],[Unidad de producción]],Tabla3[Medida],Tabla3[Equivalencia en Kg],"ELVIS",0)</f>
        <v>661.40591508052717</v>
      </c>
      <c r="J2993">
        <v>2224.0749999999998</v>
      </c>
      <c r="K2993" t="s">
        <v>18</v>
      </c>
      <c r="L2993">
        <f>J2993/_xlfn.XLOOKUP(Tabla2[[#This Row],[Unidad de precio]],Tabla3[Medida],Tabla3[Equivalencia en Kg],"ELVIS",0)</f>
        <v>49.031635802469133</v>
      </c>
      <c r="M2993">
        <v>10873.3452772193</v>
      </c>
      <c r="N2993" s="2">
        <f>(Tabla2[[#This Row],[Productividad (kg/TAS)]]*Tabla2[[#This Row],[Precio por kg]]-Tabla2[[#This Row],[Costos (En RD$/Tarea)]])</f>
        <v>21556.468668607937</v>
      </c>
      <c r="O2993" s="6">
        <f>IF(Tabla2[[#This Row],[Costos (En RD$/Tarea)]]=0,0,Tabla2[[#This Row],[Beneficio Neto  (En RD$/Tarea)]]/Tabla2[[#This Row],[Costos (En RD$/Tarea)]])</f>
        <v>1.9825056704279229</v>
      </c>
      <c r="P2993" s="4">
        <f>Tabla2[[#This Row],[Rentabilidad (%)]]/12</f>
        <v>0.16520880586899359</v>
      </c>
    </row>
    <row r="2994" spans="1:16" x14ac:dyDescent="0.35">
      <c r="A2994" s="1">
        <v>44105</v>
      </c>
      <c r="B2994" t="s">
        <v>23</v>
      </c>
      <c r="C2994" s="2">
        <v>2966</v>
      </c>
      <c r="D2994" s="5" t="s">
        <v>17</v>
      </c>
      <c r="E2994" s="2">
        <f>IF(Tabla2[[#This Row],[Frecuencia]]="Annual", Tabla2[[#This Row],[Cosecha/Tarea]]/12,Tabla2[[#This Row],[Cosecha/Tarea]])</f>
        <v>2966</v>
      </c>
      <c r="F2994" s="2">
        <v>148108</v>
      </c>
      <c r="G2994" t="s">
        <v>18</v>
      </c>
      <c r="H2994">
        <f>F2994/Tabla2[[#This Row],[Cosecha Mensual]]</f>
        <v>49.935266351989213</v>
      </c>
      <c r="I2994">
        <f>H2994*_xlfn.XLOOKUP(Tabla2[[#This Row],[Unidad de producción]],Tabla3[Medida],Tabla3[Equivalencia en Kg],"ELVIS",0)</f>
        <v>2265.0636817262307</v>
      </c>
      <c r="J2994">
        <v>1189.7222222222199</v>
      </c>
      <c r="K2994" t="s">
        <v>18</v>
      </c>
      <c r="L2994">
        <f>J2994/_xlfn.XLOOKUP(Tabla2[[#This Row],[Unidad de precio]],Tabla3[Medida],Tabla3[Equivalencia en Kg],"ELVIS",0)</f>
        <v>26.228444052518075</v>
      </c>
      <c r="M2994">
        <v>28931.455637376999</v>
      </c>
      <c r="N2994" s="2">
        <f>(Tabla2[[#This Row],[Productividad (kg/TAS)]]*Tabla2[[#This Row],[Precio por kg]]-Tabla2[[#This Row],[Costos (En RD$/Tarea)]])</f>
        <v>30477.640414170051</v>
      </c>
      <c r="O2994" s="6">
        <f>IF(Tabla2[[#This Row],[Costos (En RD$/Tarea)]]=0,0,Tabla2[[#This Row],[Beneficio Neto  (En RD$/Tarea)]]/Tabla2[[#This Row],[Costos (En RD$/Tarea)]])</f>
        <v>1.0534430343281971</v>
      </c>
      <c r="P2994" s="4">
        <f>Tabla2[[#This Row],[Rentabilidad (%)]]/12</f>
        <v>8.7786919527349752E-2</v>
      </c>
    </row>
    <row r="2995" spans="1:16" x14ac:dyDescent="0.35">
      <c r="A2995" s="1">
        <v>44105</v>
      </c>
      <c r="B2995" t="s">
        <v>24</v>
      </c>
      <c r="C2995" s="2">
        <v>5788</v>
      </c>
      <c r="D2995" s="5" t="s">
        <v>17</v>
      </c>
      <c r="E2995" s="2">
        <f>IF(Tabla2[[#This Row],[Frecuencia]]="Annual", Tabla2[[#This Row],[Cosecha/Tarea]]/12,Tabla2[[#This Row],[Cosecha/Tarea]])</f>
        <v>5788</v>
      </c>
      <c r="F2995" s="2">
        <v>60610</v>
      </c>
      <c r="G2995" t="s">
        <v>18</v>
      </c>
      <c r="H2995">
        <f>F2995/Tabla2[[#This Row],[Cosecha Mensual]]</f>
        <v>10.471665514858328</v>
      </c>
      <c r="I2995">
        <f>H2995*_xlfn.XLOOKUP(Tabla2[[#This Row],[Unidad de producción]],Tabla3[Medida],Tabla3[Equivalencia en Kg],"ELVIS",0)</f>
        <v>474.99474775397374</v>
      </c>
      <c r="J2995">
        <v>3134.9732142857101</v>
      </c>
      <c r="K2995" t="s">
        <v>18</v>
      </c>
      <c r="L2995">
        <f>J2995/_xlfn.XLOOKUP(Tabla2[[#This Row],[Unidad de precio]],Tabla3[Medida],Tabla3[Equivalencia en Kg],"ELVIS",0)</f>
        <v>69.113166099773153</v>
      </c>
      <c r="M2995">
        <v>8997.8297362085195</v>
      </c>
      <c r="N2995" s="2">
        <f>(Tabla2[[#This Row],[Productividad (kg/TAS)]]*Tabla2[[#This Row],[Precio por kg]]-Tabla2[[#This Row],[Costos (En RD$/Tarea)]])</f>
        <v>23830.56116183172</v>
      </c>
      <c r="O2995" s="6">
        <f>IF(Tabla2[[#This Row],[Costos (En RD$/Tarea)]]=0,0,Tabla2[[#This Row],[Beneficio Neto  (En RD$/Tarea)]]/Tabla2[[#This Row],[Costos (En RD$/Tarea)]])</f>
        <v>2.6484787843822186</v>
      </c>
      <c r="P2995" s="4">
        <f>Tabla2[[#This Row],[Rentabilidad (%)]]/12</f>
        <v>0.22070656536518488</v>
      </c>
    </row>
    <row r="2996" spans="1:16" x14ac:dyDescent="0.35">
      <c r="A2996" s="1">
        <v>44105</v>
      </c>
      <c r="B2996" t="s">
        <v>25</v>
      </c>
      <c r="C2996" s="2">
        <v>23496</v>
      </c>
      <c r="D2996" s="5" t="s">
        <v>17</v>
      </c>
      <c r="E2996" s="2">
        <f>IF(Tabla2[[#This Row],[Frecuencia]]="Annual", Tabla2[[#This Row],[Cosecha/Tarea]]/12,Tabla2[[#This Row],[Cosecha/Tarea]])</f>
        <v>23496</v>
      </c>
      <c r="F2996" s="2">
        <v>274814</v>
      </c>
      <c r="G2996" t="s">
        <v>18</v>
      </c>
      <c r="H2996">
        <f>F2996/Tabla2[[#This Row],[Cosecha Mensual]]</f>
        <v>11.696203609124957</v>
      </c>
      <c r="I2996">
        <f>H2996*_xlfn.XLOOKUP(Tabla2[[#This Row],[Unidad de producción]],Tabla3[Medida],Tabla3[Equivalencia en Kg],"ELVIS",0)</f>
        <v>530.53979570990805</v>
      </c>
      <c r="J2996">
        <v>605.513392857143</v>
      </c>
      <c r="K2996" t="s">
        <v>18</v>
      </c>
      <c r="L2996">
        <f>J2996/_xlfn.XLOOKUP(Tabla2[[#This Row],[Unidad de precio]],Tabla3[Medida],Tabla3[Equivalencia en Kg],"ELVIS",0)</f>
        <v>13.349060689090454</v>
      </c>
      <c r="M2996">
        <v>5060.8394523092302</v>
      </c>
      <c r="N2996" s="2">
        <f>(Tabla2[[#This Row],[Productividad (kg/TAS)]]*Tabla2[[#This Row],[Precio por kg]]-Tabla2[[#This Row],[Costos (En RD$/Tarea)]])</f>
        <v>2021.3684785999831</v>
      </c>
      <c r="O2996" s="6">
        <f>IF(Tabla2[[#This Row],[Costos (En RD$/Tarea)]]=0,0,Tabla2[[#This Row],[Beneficio Neto  (En RD$/Tarea)]]/Tabla2[[#This Row],[Costos (En RD$/Tarea)]])</f>
        <v>0.39941367388717397</v>
      </c>
      <c r="P2996" s="4">
        <f>Tabla2[[#This Row],[Rentabilidad (%)]]/12</f>
        <v>3.3284472823931162E-2</v>
      </c>
    </row>
    <row r="2997" spans="1:16" x14ac:dyDescent="0.35">
      <c r="A2997" s="1">
        <v>44105</v>
      </c>
      <c r="B2997" t="s">
        <v>26</v>
      </c>
      <c r="C2997" s="2">
        <v>4754</v>
      </c>
      <c r="D2997" s="5" t="s">
        <v>17</v>
      </c>
      <c r="E2997" s="2">
        <f>IF(Tabla2[[#This Row],[Frecuencia]]="Annual", Tabla2[[#This Row],[Cosecha/Tarea]]/12,Tabla2[[#This Row],[Cosecha/Tarea]])</f>
        <v>4754</v>
      </c>
      <c r="F2997" s="2">
        <v>49040</v>
      </c>
      <c r="G2997" t="s">
        <v>18</v>
      </c>
      <c r="H2997">
        <f>F2997/Tabla2[[#This Row],[Cosecha Mensual]]</f>
        <v>10.315523769457299</v>
      </c>
      <c r="I2997">
        <f>H2997*_xlfn.XLOOKUP(Tabla2[[#This Row],[Unidad de producción]],Tabla3[Medida],Tabla3[Equivalencia en Kg],"ELVIS",0)</f>
        <v>467.91215818258303</v>
      </c>
      <c r="J2997">
        <v>1197.234375</v>
      </c>
      <c r="K2997" t="s">
        <v>18</v>
      </c>
      <c r="L2997">
        <f>J2997/_xlfn.XLOOKUP(Tabla2[[#This Row],[Unidad de precio]],Tabla3[Medida],Tabla3[Equivalencia en Kg],"ELVIS",0)</f>
        <v>26.394055886243386</v>
      </c>
      <c r="M2997">
        <v>1789.8439852691199</v>
      </c>
      <c r="N2997" s="2">
        <f>(Tabla2[[#This Row],[Productividad (kg/TAS)]]*Tabla2[[#This Row],[Precio por kg]]-Tabla2[[#This Row],[Costos (En RD$/Tarea)]])</f>
        <v>10560.255667654732</v>
      </c>
      <c r="O2997" s="6">
        <f>IF(Tabla2[[#This Row],[Costos (En RD$/Tarea)]]=0,0,Tabla2[[#This Row],[Beneficio Neto  (En RD$/Tarea)]]/Tabla2[[#This Row],[Costos (En RD$/Tarea)]])</f>
        <v>5.9000984189506873</v>
      </c>
      <c r="P2997" s="4">
        <f>Tabla2[[#This Row],[Rentabilidad (%)]]/12</f>
        <v>0.49167486824589063</v>
      </c>
    </row>
    <row r="2998" spans="1:16" x14ac:dyDescent="0.35">
      <c r="A2998" s="1">
        <v>44105</v>
      </c>
      <c r="B2998" t="s">
        <v>27</v>
      </c>
      <c r="C2998" s="2">
        <v>1825</v>
      </c>
      <c r="D2998" s="5" t="s">
        <v>17</v>
      </c>
      <c r="E2998" s="2">
        <f>IF(Tabla2[[#This Row],[Frecuencia]]="Annual", Tabla2[[#This Row],[Cosecha/Tarea]]/12,Tabla2[[#This Row],[Cosecha/Tarea]])</f>
        <v>1825</v>
      </c>
      <c r="F2998" s="2">
        <v>13450</v>
      </c>
      <c r="G2998" t="s">
        <v>18</v>
      </c>
      <c r="H2998">
        <f>F2998/Tabla2[[#This Row],[Cosecha Mensual]]</f>
        <v>7.3698630136986303</v>
      </c>
      <c r="I2998">
        <f>H2998*_xlfn.XLOOKUP(Tabla2[[#This Row],[Unidad de producción]],Tabla3[Medida],Tabla3[Equivalencia en Kg],"ELVIS",0)</f>
        <v>334.29698630136988</v>
      </c>
      <c r="J2998">
        <v>934.17499999999995</v>
      </c>
      <c r="K2998" t="s">
        <v>18</v>
      </c>
      <c r="L2998">
        <f>J2998/_xlfn.XLOOKUP(Tabla2[[#This Row],[Unidad de precio]],Tabla3[Medida],Tabla3[Equivalencia en Kg],"ELVIS",0)</f>
        <v>20.594686948853614</v>
      </c>
      <c r="M2998">
        <v>9891.7256609088799</v>
      </c>
      <c r="N2998" s="2">
        <f>(Tabla2[[#This Row],[Productividad (kg/TAS)]]*Tabla2[[#This Row],[Precio por kg]]-Tabla2[[#This Row],[Costos (En RD$/Tarea)]])</f>
        <v>-3006.983880086962</v>
      </c>
      <c r="O2998" s="6">
        <f>IF(Tabla2[[#This Row],[Costos (En RD$/Tarea)]]=0,0,Tabla2[[#This Row],[Beneficio Neto  (En RD$/Tarea)]]/Tabla2[[#This Row],[Costos (En RD$/Tarea)]])</f>
        <v>-0.30398981766854538</v>
      </c>
      <c r="P2998" s="4">
        <f>Tabla2[[#This Row],[Rentabilidad (%)]]/12</f>
        <v>-2.5332484805712114E-2</v>
      </c>
    </row>
    <row r="2999" spans="1:16" x14ac:dyDescent="0.35">
      <c r="A2999" s="1">
        <v>44105</v>
      </c>
      <c r="B2999" t="s">
        <v>28</v>
      </c>
      <c r="C2999" s="2">
        <v>22687</v>
      </c>
      <c r="D2999" s="5" t="s">
        <v>17</v>
      </c>
      <c r="E2999" s="2">
        <f>IF(Tabla2[[#This Row],[Frecuencia]]="Annual", Tabla2[[#This Row],[Cosecha/Tarea]]/12,Tabla2[[#This Row],[Cosecha/Tarea]])</f>
        <v>22687</v>
      </c>
      <c r="F2999" s="2">
        <v>696656.8</v>
      </c>
      <c r="G2999" t="s">
        <v>18</v>
      </c>
      <c r="H2999">
        <f>F2999/Tabla2[[#This Row],[Cosecha Mensual]]</f>
        <v>30.707312557852518</v>
      </c>
      <c r="I2999">
        <f>H2999*_xlfn.XLOOKUP(Tabla2[[#This Row],[Unidad de producción]],Tabla3[Medida],Tabla3[Equivalencia en Kg],"ELVIS",0)</f>
        <v>1392.8836976241903</v>
      </c>
      <c r="J2999">
        <v>5490.5714285714303</v>
      </c>
      <c r="K2999" t="s">
        <v>29</v>
      </c>
      <c r="L2999">
        <f>J2999/_xlfn.XLOOKUP(Tabla2[[#This Row],[Unidad de precio]],Tabla3[Medida],Tabla3[Equivalencia en Kg],"ELVIS",0)</f>
        <v>9.7637931297283309</v>
      </c>
      <c r="M2999">
        <v>13735.141908858301</v>
      </c>
      <c r="N2999" s="2">
        <f>(Tabla2[[#This Row],[Productividad (kg/TAS)]]*Tabla2[[#This Row],[Precio por kg]]-Tabla2[[#This Row],[Costos (En RD$/Tarea)]])</f>
        <v>-135.31363148463788</v>
      </c>
      <c r="O2999" s="6">
        <f>IF(Tabla2[[#This Row],[Costos (En RD$/Tarea)]]=0,0,Tabla2[[#This Row],[Beneficio Neto  (En RD$/Tarea)]]/Tabla2[[#This Row],[Costos (En RD$/Tarea)]])</f>
        <v>-9.8516369457653085E-3</v>
      </c>
      <c r="P2999" s="4">
        <f>Tabla2[[#This Row],[Rentabilidad (%)]]/12</f>
        <v>-8.2096974548044241E-4</v>
      </c>
    </row>
    <row r="3000" spans="1:16" x14ac:dyDescent="0.35">
      <c r="A3000" s="1">
        <v>44105</v>
      </c>
      <c r="B3000" t="s">
        <v>30</v>
      </c>
      <c r="C3000" s="2">
        <v>444251</v>
      </c>
      <c r="D3000" s="2" t="s">
        <v>31</v>
      </c>
      <c r="E3000" s="2">
        <f>IF(Tabla2[[#This Row],[Frecuencia]]="Annual", Tabla2[[#This Row],[Cosecha/Tarea]]/12,Tabla2[[#This Row],[Cosecha/Tarea]])</f>
        <v>37020.916666666664</v>
      </c>
      <c r="F3000" s="2">
        <v>2071467</v>
      </c>
      <c r="G3000" t="s">
        <v>18</v>
      </c>
      <c r="H3000">
        <f>F3000/Tabla2[[#This Row],[Cosecha Mensual]]</f>
        <v>55.953962962379379</v>
      </c>
      <c r="I3000">
        <f>H3000*_xlfn.XLOOKUP(Tabla2[[#This Row],[Unidad de producción]],Tabla3[Medida],Tabla3[Equivalencia en Kg],"ELVIS",0)</f>
        <v>2538.0717599735285</v>
      </c>
      <c r="J3000">
        <v>219.77500000000001</v>
      </c>
      <c r="K3000" t="s">
        <v>32</v>
      </c>
      <c r="L3000">
        <f>J3000/_xlfn.XLOOKUP(Tabla2[[#This Row],[Unidad de precio]],Tabla3[Medida],Tabla3[Equivalencia en Kg],"ELVIS",0)</f>
        <v>8.0769937522969499</v>
      </c>
      <c r="M3000" s="2">
        <v>38019.0770714752</v>
      </c>
      <c r="N3000" s="2">
        <f>(Tabla2[[#This Row],[Productividad (kg/TAS)]]*Tabla2[[#This Row],[Precio por kg]]-Tabla2[[#This Row],[Costos (En RD$/Tarea)]])</f>
        <v>-17519.087323287687</v>
      </c>
      <c r="O3000" s="6">
        <f>IF(Tabla2[[#This Row],[Costos (En RD$/Tarea)]]=0,0,Tabla2[[#This Row],[Beneficio Neto  (En RD$/Tarea)]]/Tabla2[[#This Row],[Costos (En RD$/Tarea)]])</f>
        <v>-0.46079728054292612</v>
      </c>
      <c r="P3000" s="4">
        <f>Tabla2[[#This Row],[Rentabilidad (%)]]/12</f>
        <v>-3.8399773378577175E-2</v>
      </c>
    </row>
    <row r="3001" spans="1:16" x14ac:dyDescent="0.35">
      <c r="A3001" s="1">
        <v>44105</v>
      </c>
      <c r="B3001" t="s">
        <v>33</v>
      </c>
      <c r="C3001" s="2">
        <v>702067</v>
      </c>
      <c r="D3001" s="2" t="s">
        <v>31</v>
      </c>
      <c r="E3001" s="2">
        <f>IF(Tabla2[[#This Row],[Frecuencia]]="Annual", Tabla2[[#This Row],[Cosecha/Tarea]]/12,Tabla2[[#This Row],[Cosecha/Tarea]])</f>
        <v>58505.583333333336</v>
      </c>
      <c r="F3001" s="2">
        <v>1261952.1000000001</v>
      </c>
      <c r="G3001" t="s">
        <v>18</v>
      </c>
      <c r="H3001">
        <f>F3001/Tabla2[[#This Row],[Cosecha Mensual]]</f>
        <v>21.569772115766728</v>
      </c>
      <c r="I3001">
        <f>H3001*_xlfn.XLOOKUP(Tabla2[[#This Row],[Unidad de producción]],Tabla3[Medida],Tabla3[Equivalencia en Kg],"ELVIS",0)</f>
        <v>978.40486317117882</v>
      </c>
      <c r="J3001">
        <v>12479.375</v>
      </c>
      <c r="K3001" t="s">
        <v>34</v>
      </c>
      <c r="L3001">
        <f>J3001/_xlfn.XLOOKUP(Tabla2[[#This Row],[Unidad de precio]],Tabla3[Medida],Tabla3[Equivalencia en Kg],"ELVIS",0)</f>
        <v>30.57546245252971</v>
      </c>
      <c r="M3001" s="2">
        <v>33327.4212424613</v>
      </c>
      <c r="N3001" s="2">
        <f>(Tabla2[[#This Row],[Productividad (kg/TAS)]]*Tabla2[[#This Row],[Precio por kg]]-Tabla2[[#This Row],[Costos (En RD$/Tarea)]])</f>
        <v>-3412.240085198453</v>
      </c>
      <c r="O3001" s="6">
        <f>IF(Tabla2[[#This Row],[Costos (En RD$/Tarea)]]=0,0,Tabla2[[#This Row],[Beneficio Neto  (En RD$/Tarea)]]/Tabla2[[#This Row],[Costos (En RD$/Tarea)]])</f>
        <v>-0.10238536190285967</v>
      </c>
      <c r="P3001" s="4">
        <f>Tabla2[[#This Row],[Rentabilidad (%)]]/12</f>
        <v>-8.5321134919049725E-3</v>
      </c>
    </row>
    <row r="3002" spans="1:16" x14ac:dyDescent="0.35">
      <c r="A3002" s="1">
        <v>44136</v>
      </c>
      <c r="B3002" t="s">
        <v>16</v>
      </c>
      <c r="C3002" s="2">
        <v>229130</v>
      </c>
      <c r="D3002" s="5" t="s">
        <v>17</v>
      </c>
      <c r="E3002" s="2">
        <f>IF(Tabla2[[#This Row],[Frecuencia]]="Annual", Tabla2[[#This Row],[Cosecha/Tarea]]/12,Tabla2[[#This Row],[Cosecha/Tarea]])</f>
        <v>229130</v>
      </c>
      <c r="F3002" s="2">
        <v>785460</v>
      </c>
      <c r="G3002" t="s">
        <v>18</v>
      </c>
      <c r="H3002">
        <f>F3002/Tabla2[[#This Row],[Cosecha Mensual]]</f>
        <v>3.4280102998297908</v>
      </c>
      <c r="I3002">
        <f>H3002*_xlfn.XLOOKUP(Tabla2[[#This Row],[Unidad de producción]],Tabla3[Medida],Tabla3[Equivalencia en Kg],"ELVIS",0)</f>
        <v>155.4945472002793</v>
      </c>
      <c r="J3002">
        <v>2422.8676430143</v>
      </c>
      <c r="K3002" t="s">
        <v>19</v>
      </c>
      <c r="L3002">
        <f>J3002/_xlfn.XLOOKUP(Tabla2[[#This Row],[Unidad de precio]],Tabla3[Medida],Tabla3[Equivalencia en Kg],"ELVIS",0)</f>
        <v>22.026069481948181</v>
      </c>
      <c r="M3002">
        <v>7092.5943689866499</v>
      </c>
      <c r="N3002" s="2">
        <f>(Tabla2[[#This Row],[Productividad (kg/TAS)]]*Tabla2[[#This Row],[Precio por kg]]-Tabla2[[#This Row],[Costos (En RD$/Tarea)]])</f>
        <v>-3667.660668289227</v>
      </c>
      <c r="O3002" s="6">
        <f>IF(Tabla2[[#This Row],[Costos (En RD$/Tarea)]]=0,0,Tabla2[[#This Row],[Beneficio Neto  (En RD$/Tarea)]]/Tabla2[[#This Row],[Costos (En RD$/Tarea)]])</f>
        <v>-0.51711129630175678</v>
      </c>
      <c r="P3002" s="4">
        <f>Tabla2[[#This Row],[Rentabilidad (%)]]/12</f>
        <v>-4.3092608025146396E-2</v>
      </c>
    </row>
    <row r="3003" spans="1:16" x14ac:dyDescent="0.35">
      <c r="A3003" s="1">
        <v>44136</v>
      </c>
      <c r="B3003" t="s">
        <v>20</v>
      </c>
      <c r="C3003" s="2">
        <v>10974</v>
      </c>
      <c r="D3003" s="5" t="s">
        <v>17</v>
      </c>
      <c r="E3003" s="2">
        <f>IF(Tabla2[[#This Row],[Frecuencia]]="Annual", Tabla2[[#This Row],[Cosecha/Tarea]]/12,Tabla2[[#This Row],[Cosecha/Tarea]])</f>
        <v>10974</v>
      </c>
      <c r="F3003" s="2">
        <v>36492</v>
      </c>
      <c r="G3003" t="s">
        <v>18</v>
      </c>
      <c r="H3003">
        <f>F3003/Tabla2[[#This Row],[Cosecha Mensual]]</f>
        <v>3.3253143794423181</v>
      </c>
      <c r="I3003">
        <f>H3003*_xlfn.XLOOKUP(Tabla2[[#This Row],[Unidad de producción]],Tabla3[Medida],Tabla3[Equivalencia en Kg],"ELVIS",0)</f>
        <v>150.83626025150355</v>
      </c>
      <c r="J3003">
        <v>936.25520833333303</v>
      </c>
      <c r="K3003" t="s">
        <v>18</v>
      </c>
      <c r="L3003">
        <f>J3003/_xlfn.XLOOKUP(Tabla2[[#This Row],[Unidad de precio]],Tabla3[Medida],Tabla3[Equivalencia en Kg],"ELVIS",0)</f>
        <v>20.640546920928859</v>
      </c>
      <c r="M3003">
        <v>2584.1546858372599</v>
      </c>
      <c r="N3003" s="2">
        <f>(Tabla2[[#This Row],[Productividad (kg/TAS)]]*Tabla2[[#This Row],[Precio por kg]]-Tabla2[[#This Row],[Costos (En RD$/Tarea)]])</f>
        <v>529.18822126133591</v>
      </c>
      <c r="O3003" s="6">
        <f>IF(Tabla2[[#This Row],[Costos (En RD$/Tarea)]]=0,0,Tabla2[[#This Row],[Beneficio Neto  (En RD$/Tarea)]]/Tabla2[[#This Row],[Costos (En RD$/Tarea)]])</f>
        <v>0.20478194442523481</v>
      </c>
      <c r="P3003" s="4">
        <f>Tabla2[[#This Row],[Rentabilidad (%)]]/12</f>
        <v>1.7065162035436236E-2</v>
      </c>
    </row>
    <row r="3004" spans="1:16" x14ac:dyDescent="0.35">
      <c r="A3004" s="1">
        <v>44136</v>
      </c>
      <c r="B3004" t="s">
        <v>21</v>
      </c>
      <c r="C3004" s="2">
        <v>4820</v>
      </c>
      <c r="D3004" s="5" t="s">
        <v>17</v>
      </c>
      <c r="E3004" s="2">
        <f>IF(Tabla2[[#This Row],[Frecuencia]]="Annual", Tabla2[[#This Row],[Cosecha/Tarea]]/12,Tabla2[[#This Row],[Cosecha/Tarea]])</f>
        <v>4820</v>
      </c>
      <c r="F3004" s="2">
        <v>55181.599999999999</v>
      </c>
      <c r="G3004" t="s">
        <v>18</v>
      </c>
      <c r="H3004">
        <f>F3004/Tabla2[[#This Row],[Cosecha Mensual]]</f>
        <v>11.448464730290457</v>
      </c>
      <c r="I3004">
        <f>H3004*_xlfn.XLOOKUP(Tabla2[[#This Row],[Unidad de producción]],Tabla3[Medida],Tabla3[Equivalencia en Kg],"ELVIS",0)</f>
        <v>519.30236016597507</v>
      </c>
      <c r="J3004">
        <v>1132.9702380952399</v>
      </c>
      <c r="K3004" t="s">
        <v>18</v>
      </c>
      <c r="L3004">
        <f>J3004/_xlfn.XLOOKUP(Tabla2[[#This Row],[Unidad de precio]],Tabla3[Medida],Tabla3[Equivalencia en Kg],"ELVIS",0)</f>
        <v>24.977298017972661</v>
      </c>
      <c r="M3004">
        <v>6271.4601073596496</v>
      </c>
      <c r="N3004" s="2">
        <f>(Tabla2[[#This Row],[Productividad (kg/TAS)]]*Tabla2[[#This Row],[Precio por kg]]-Tabla2[[#This Row],[Costos (En RD$/Tarea)]])</f>
        <v>6699.3097039424847</v>
      </c>
      <c r="O3004" s="6">
        <f>IF(Tabla2[[#This Row],[Costos (En RD$/Tarea)]]=0,0,Tabla2[[#This Row],[Beneficio Neto  (En RD$/Tarea)]]/Tabla2[[#This Row],[Costos (En RD$/Tarea)]])</f>
        <v>1.0682216882924516</v>
      </c>
      <c r="P3004" s="4">
        <f>Tabla2[[#This Row],[Rentabilidad (%)]]/12</f>
        <v>8.9018474024370964E-2</v>
      </c>
    </row>
    <row r="3005" spans="1:16" x14ac:dyDescent="0.35">
      <c r="A3005" s="1">
        <v>44136</v>
      </c>
      <c r="B3005" t="s">
        <v>22</v>
      </c>
      <c r="C3005" s="2">
        <v>3770</v>
      </c>
      <c r="D3005" s="5" t="s">
        <v>17</v>
      </c>
      <c r="E3005" s="2">
        <f>IF(Tabla2[[#This Row],[Frecuencia]]="Annual", Tabla2[[#This Row],[Cosecha/Tarea]]/12,Tabla2[[#This Row],[Cosecha/Tarea]])</f>
        <v>3770</v>
      </c>
      <c r="F3005" s="2">
        <v>49224</v>
      </c>
      <c r="G3005" t="s">
        <v>18</v>
      </c>
      <c r="H3005">
        <f>F3005/Tabla2[[#This Row],[Cosecha Mensual]]</f>
        <v>13.056763925729443</v>
      </c>
      <c r="I3005">
        <f>H3005*_xlfn.XLOOKUP(Tabla2[[#This Row],[Unidad de producción]],Tabla3[Medida],Tabla3[Equivalencia en Kg],"ELVIS",0)</f>
        <v>592.25481167108751</v>
      </c>
      <c r="J3005">
        <v>2144.4895833333298</v>
      </c>
      <c r="K3005" t="s">
        <v>18</v>
      </c>
      <c r="L3005">
        <f>J3005/_xlfn.XLOOKUP(Tabla2[[#This Row],[Unidad de precio]],Tabla3[Medida],Tabla3[Equivalencia en Kg],"ELVIS",0)</f>
        <v>47.277107216343254</v>
      </c>
      <c r="M3005">
        <v>10873.3452772193</v>
      </c>
      <c r="N3005" s="2">
        <f>(Tabla2[[#This Row],[Productividad (kg/TAS)]]*Tabla2[[#This Row],[Precio por kg]]-Tabla2[[#This Row],[Costos (En RD$/Tarea)]])</f>
        <v>17126.74895354989</v>
      </c>
      <c r="O3005" s="6">
        <f>IF(Tabla2[[#This Row],[Costos (En RD$/Tarea)]]=0,0,Tabla2[[#This Row],[Beneficio Neto  (En RD$/Tarea)]]/Tabla2[[#This Row],[Costos (En RD$/Tarea)]])</f>
        <v>1.5751131337135105</v>
      </c>
      <c r="P3005" s="4">
        <f>Tabla2[[#This Row],[Rentabilidad (%)]]/12</f>
        <v>0.13125942780945921</v>
      </c>
    </row>
    <row r="3006" spans="1:16" x14ac:dyDescent="0.35">
      <c r="A3006" s="1">
        <v>44136</v>
      </c>
      <c r="B3006" t="s">
        <v>23</v>
      </c>
      <c r="C3006" s="2">
        <v>7638</v>
      </c>
      <c r="D3006" s="5" t="s">
        <v>17</v>
      </c>
      <c r="E3006" s="2">
        <f>IF(Tabla2[[#This Row],[Frecuencia]]="Annual", Tabla2[[#This Row],[Cosecha/Tarea]]/12,Tabla2[[#This Row],[Cosecha/Tarea]])</f>
        <v>7638</v>
      </c>
      <c r="F3006" s="2">
        <v>105020</v>
      </c>
      <c r="G3006" t="s">
        <v>18</v>
      </c>
      <c r="H3006">
        <f>F3006/Tabla2[[#This Row],[Cosecha Mensual]]</f>
        <v>13.749672689185651</v>
      </c>
      <c r="I3006">
        <f>H3006*_xlfn.XLOOKUP(Tabla2[[#This Row],[Unidad de producción]],Tabla3[Medida],Tabla3[Equivalencia en Kg],"ELVIS",0)</f>
        <v>623.68515318146115</v>
      </c>
      <c r="J3006">
        <v>1225</v>
      </c>
      <c r="K3006" t="s">
        <v>18</v>
      </c>
      <c r="L3006">
        <f>J3006/_xlfn.XLOOKUP(Tabla2[[#This Row],[Unidad de precio]],Tabla3[Medida],Tabla3[Equivalencia en Kg],"ELVIS",0)</f>
        <v>27.006172839506174</v>
      </c>
      <c r="M3006">
        <v>28931.455637376999</v>
      </c>
      <c r="N3006" s="2">
        <f>(Tabla2[[#This Row],[Productividad (kg/TAS)]]*Tabla2[[#This Row],[Precio por kg]]-Tabla2[[#This Row],[Costos (En RD$/Tarea)]])</f>
        <v>-12088.106593124576</v>
      </c>
      <c r="O3006" s="6">
        <f>IF(Tabla2[[#This Row],[Costos (En RD$/Tarea)]]=0,0,Tabla2[[#This Row],[Beneficio Neto  (En RD$/Tarea)]]/Tabla2[[#This Row],[Costos (En RD$/Tarea)]])</f>
        <v>-0.41781881785124431</v>
      </c>
      <c r="P3006" s="4">
        <f>Tabla2[[#This Row],[Rentabilidad (%)]]/12</f>
        <v>-3.4818234820937023E-2</v>
      </c>
    </row>
    <row r="3007" spans="1:16" x14ac:dyDescent="0.35">
      <c r="A3007" s="1">
        <v>44136</v>
      </c>
      <c r="B3007" t="s">
        <v>24</v>
      </c>
      <c r="C3007" s="2">
        <v>7761</v>
      </c>
      <c r="D3007" s="5" t="s">
        <v>17</v>
      </c>
      <c r="E3007" s="2">
        <f>IF(Tabla2[[#This Row],[Frecuencia]]="Annual", Tabla2[[#This Row],[Cosecha/Tarea]]/12,Tabla2[[#This Row],[Cosecha/Tarea]])</f>
        <v>7761</v>
      </c>
      <c r="F3007" s="2">
        <v>127544</v>
      </c>
      <c r="G3007" t="s">
        <v>18</v>
      </c>
      <c r="H3007">
        <f>F3007/Tabla2[[#This Row],[Cosecha Mensual]]</f>
        <v>16.433964695271229</v>
      </c>
      <c r="I3007">
        <f>H3007*_xlfn.XLOOKUP(Tabla2[[#This Row],[Unidad de producción]],Tabla3[Medida],Tabla3[Equivalencia en Kg],"ELVIS",0)</f>
        <v>745.44463857750293</v>
      </c>
      <c r="J3007">
        <v>3293.0416666666702</v>
      </c>
      <c r="K3007" t="s">
        <v>18</v>
      </c>
      <c r="L3007">
        <f>J3007/_xlfn.XLOOKUP(Tabla2[[#This Row],[Unidad de precio]],Tabla3[Medida],Tabla3[Equivalencia en Kg],"ELVIS",0)</f>
        <v>72.597920340975975</v>
      </c>
      <c r="M3007">
        <v>8997.8297362085195</v>
      </c>
      <c r="N3007" s="2">
        <f>(Tabla2[[#This Row],[Productividad (kg/TAS)]]*Tabla2[[#This Row],[Precio por kg]]-Tabla2[[#This Row],[Costos (En RD$/Tarea)]])</f>
        <v>45119.900753848662</v>
      </c>
      <c r="O3007" s="6">
        <f>IF(Tabla2[[#This Row],[Costos (En RD$/Tarea)]]=0,0,Tabla2[[#This Row],[Beneficio Neto  (En RD$/Tarea)]]/Tabla2[[#This Row],[Costos (En RD$/Tarea)]])</f>
        <v>5.0145315122245426</v>
      </c>
      <c r="P3007" s="4">
        <f>Tabla2[[#This Row],[Rentabilidad (%)]]/12</f>
        <v>0.41787762601871187</v>
      </c>
    </row>
    <row r="3008" spans="1:16" x14ac:dyDescent="0.35">
      <c r="A3008" s="1">
        <v>44136</v>
      </c>
      <c r="B3008" t="s">
        <v>25</v>
      </c>
      <c r="C3008" s="2">
        <v>23757</v>
      </c>
      <c r="D3008" s="5" t="s">
        <v>17</v>
      </c>
      <c r="E3008" s="2">
        <f>IF(Tabla2[[#This Row],[Frecuencia]]="Annual", Tabla2[[#This Row],[Cosecha/Tarea]]/12,Tabla2[[#This Row],[Cosecha/Tarea]])</f>
        <v>23757</v>
      </c>
      <c r="F3008" s="2">
        <v>283045</v>
      </c>
      <c r="G3008" t="s">
        <v>18</v>
      </c>
      <c r="H3008">
        <f>F3008/Tabla2[[#This Row],[Cosecha Mensual]]</f>
        <v>11.914172664898766</v>
      </c>
      <c r="I3008">
        <f>H3008*_xlfn.XLOOKUP(Tabla2[[#This Row],[Unidad de producción]],Tabla3[Medida],Tabla3[Equivalencia en Kg],"ELVIS",0)</f>
        <v>540.42687207980805</v>
      </c>
      <c r="J3008">
        <v>596.83604166666703</v>
      </c>
      <c r="K3008" t="s">
        <v>18</v>
      </c>
      <c r="L3008">
        <f>J3008/_xlfn.XLOOKUP(Tabla2[[#This Row],[Unidad de precio]],Tabla3[Medida],Tabla3[Equivalencia en Kg],"ELVIS",0)</f>
        <v>13.15776105967079</v>
      </c>
      <c r="M3008">
        <v>5060.8394523092302</v>
      </c>
      <c r="N3008" s="2">
        <f>(Tabla2[[#This Row],[Productividad (kg/TAS)]]*Tabla2[[#This Row],[Precio por kg]]-Tabla2[[#This Row],[Costos (En RD$/Tarea)]])</f>
        <v>2049.9682007421552</v>
      </c>
      <c r="O3008" s="6">
        <f>IF(Tabla2[[#This Row],[Costos (En RD$/Tarea)]]=0,0,Tabla2[[#This Row],[Beneficio Neto  (En RD$/Tarea)]]/Tabla2[[#This Row],[Costos (En RD$/Tarea)]])</f>
        <v>0.40506485535848546</v>
      </c>
      <c r="P3008" s="4">
        <f>Tabla2[[#This Row],[Rentabilidad (%)]]/12</f>
        <v>3.375540461320712E-2</v>
      </c>
    </row>
    <row r="3009" spans="1:16" x14ac:dyDescent="0.35">
      <c r="A3009" s="1">
        <v>44136</v>
      </c>
      <c r="B3009" t="s">
        <v>26</v>
      </c>
      <c r="C3009" s="2">
        <v>9888</v>
      </c>
      <c r="D3009" s="5" t="s">
        <v>17</v>
      </c>
      <c r="E3009" s="2">
        <f>IF(Tabla2[[#This Row],[Frecuencia]]="Annual", Tabla2[[#This Row],[Cosecha/Tarea]]/12,Tabla2[[#This Row],[Cosecha/Tarea]])</f>
        <v>9888</v>
      </c>
      <c r="F3009" s="2">
        <v>89899</v>
      </c>
      <c r="G3009" t="s">
        <v>18</v>
      </c>
      <c r="H3009">
        <f>F3009/Tabla2[[#This Row],[Cosecha Mensual]]</f>
        <v>9.0917273462783168</v>
      </c>
      <c r="I3009">
        <f>H3009*_xlfn.XLOOKUP(Tabla2[[#This Row],[Unidad de producción]],Tabla3[Medida],Tabla3[Equivalencia en Kg],"ELVIS",0)</f>
        <v>412.40075242718444</v>
      </c>
      <c r="J3009">
        <v>987.13541666666697</v>
      </c>
      <c r="K3009" t="s">
        <v>18</v>
      </c>
      <c r="L3009">
        <f>J3009/_xlfn.XLOOKUP(Tabla2[[#This Row],[Unidad de precio]],Tabla3[Medida],Tabla3[Equivalencia en Kg],"ELVIS",0)</f>
        <v>21.76224463550853</v>
      </c>
      <c r="M3009">
        <v>1789.8439852691199</v>
      </c>
      <c r="N3009" s="2">
        <f>(Tabla2[[#This Row],[Productividad (kg/TAS)]]*Tabla2[[#This Row],[Precio por kg]]-Tabla2[[#This Row],[Costos (En RD$/Tarea)]])</f>
        <v>7184.922076919057</v>
      </c>
      <c r="O3009" s="6">
        <f>IF(Tabla2[[#This Row],[Costos (En RD$/Tarea)]]=0,0,Tabla2[[#This Row],[Beneficio Neto  (En RD$/Tarea)]]/Tabla2[[#This Row],[Costos (En RD$/Tarea)]])</f>
        <v>4.0142728282759998</v>
      </c>
      <c r="P3009" s="4">
        <f>Tabla2[[#This Row],[Rentabilidad (%)]]/12</f>
        <v>0.33452273568966667</v>
      </c>
    </row>
    <row r="3010" spans="1:16" x14ac:dyDescent="0.35">
      <c r="A3010" s="1">
        <v>44136</v>
      </c>
      <c r="B3010" t="s">
        <v>27</v>
      </c>
      <c r="C3010" s="2">
        <v>1075</v>
      </c>
      <c r="D3010" s="5" t="s">
        <v>17</v>
      </c>
      <c r="E3010" s="2">
        <f>IF(Tabla2[[#This Row],[Frecuencia]]="Annual", Tabla2[[#This Row],[Cosecha/Tarea]]/12,Tabla2[[#This Row],[Cosecha/Tarea]])</f>
        <v>1075</v>
      </c>
      <c r="F3010" s="2">
        <v>16668.5</v>
      </c>
      <c r="G3010" t="s">
        <v>18</v>
      </c>
      <c r="H3010">
        <f>F3010/Tabla2[[#This Row],[Cosecha Mensual]]</f>
        <v>15.505581395348838</v>
      </c>
      <c r="I3010">
        <f>H3010*_xlfn.XLOOKUP(Tabla2[[#This Row],[Unidad de producción]],Tabla3[Medida],Tabla3[Equivalencia en Kg],"ELVIS",0)</f>
        <v>703.33317209302322</v>
      </c>
      <c r="J3010">
        <v>915.95238095238096</v>
      </c>
      <c r="K3010" t="s">
        <v>18</v>
      </c>
      <c r="L3010">
        <f>J3010/_xlfn.XLOOKUP(Tabla2[[#This Row],[Unidad de precio]],Tabla3[Medida],Tabla3[Equivalencia en Kg],"ELVIS",0)</f>
        <v>20.192953724699755</v>
      </c>
      <c r="M3010">
        <v>9891.7256609088799</v>
      </c>
      <c r="N3010" s="2">
        <f>(Tabla2[[#This Row],[Productividad (kg/TAS)]]*Tabla2[[#This Row],[Precio por kg]]-Tabla2[[#This Row],[Costos (En RD$/Tarea)]])</f>
        <v>4310.6485362118274</v>
      </c>
      <c r="O3010" s="6">
        <f>IF(Tabla2[[#This Row],[Costos (En RD$/Tarea)]]=0,0,Tabla2[[#This Row],[Beneficio Neto  (En RD$/Tarea)]]/Tabla2[[#This Row],[Costos (En RD$/Tarea)]])</f>
        <v>0.4357832681558369</v>
      </c>
      <c r="P3010" s="4">
        <f>Tabla2[[#This Row],[Rentabilidad (%)]]/12</f>
        <v>3.6315272346319739E-2</v>
      </c>
    </row>
    <row r="3011" spans="1:16" x14ac:dyDescent="0.35">
      <c r="A3011" s="1">
        <v>44136</v>
      </c>
      <c r="B3011" t="s">
        <v>28</v>
      </c>
      <c r="C3011" s="2">
        <v>23727</v>
      </c>
      <c r="D3011" s="5" t="s">
        <v>17</v>
      </c>
      <c r="E3011" s="2">
        <f>IF(Tabla2[[#This Row],[Frecuencia]]="Annual", Tabla2[[#This Row],[Cosecha/Tarea]]/12,Tabla2[[#This Row],[Cosecha/Tarea]])</f>
        <v>23727</v>
      </c>
      <c r="F3011" s="2">
        <v>697234.64</v>
      </c>
      <c r="G3011" t="s">
        <v>18</v>
      </c>
      <c r="H3011">
        <f>F3011/Tabla2[[#This Row],[Cosecha Mensual]]</f>
        <v>29.38570573608126</v>
      </c>
      <c r="I3011">
        <f>H3011*_xlfn.XLOOKUP(Tabla2[[#This Row],[Unidad de producción]],Tabla3[Medida],Tabla3[Equivalencia en Kg],"ELVIS",0)</f>
        <v>1332.935612188646</v>
      </c>
      <c r="J3011">
        <v>6565.578125</v>
      </c>
      <c r="K3011" t="s">
        <v>29</v>
      </c>
      <c r="L3011">
        <f>J3011/_xlfn.XLOOKUP(Tabla2[[#This Row],[Unidad de precio]],Tabla3[Medida],Tabla3[Equivalencia en Kg],"ELVIS",0)</f>
        <v>11.675459908596222</v>
      </c>
      <c r="M3011">
        <v>13735.141908858301</v>
      </c>
      <c r="N3011" s="2">
        <f>(Tabla2[[#This Row],[Productividad (kg/TAS)]]*Tabla2[[#This Row],[Precio por kg]]-Tabla2[[#This Row],[Costos (En RD$/Tarea)]])</f>
        <v>1827.4943919903981</v>
      </c>
      <c r="O3011" s="6">
        <f>IF(Tabla2[[#This Row],[Costos (En RD$/Tarea)]]=0,0,Tabla2[[#This Row],[Beneficio Neto  (En RD$/Tarea)]]/Tabla2[[#This Row],[Costos (En RD$/Tarea)]])</f>
        <v>0.13305245800276583</v>
      </c>
      <c r="P3011" s="4">
        <f>Tabla2[[#This Row],[Rentabilidad (%)]]/12</f>
        <v>1.1087704833563819E-2</v>
      </c>
    </row>
    <row r="3012" spans="1:16" x14ac:dyDescent="0.35">
      <c r="A3012" s="1">
        <v>44136</v>
      </c>
      <c r="B3012" t="s">
        <v>30</v>
      </c>
      <c r="C3012" s="2">
        <v>443215</v>
      </c>
      <c r="D3012" s="2" t="s">
        <v>31</v>
      </c>
      <c r="E3012" s="2">
        <f>IF(Tabla2[[#This Row],[Frecuencia]]="Annual", Tabla2[[#This Row],[Cosecha/Tarea]]/12,Tabla2[[#This Row],[Cosecha/Tarea]])</f>
        <v>36934.583333333336</v>
      </c>
      <c r="F3012" s="2">
        <v>1649556.6</v>
      </c>
      <c r="G3012" t="s">
        <v>18</v>
      </c>
      <c r="H3012">
        <f>F3012/Tabla2[[#This Row],[Cosecha Mensual]]</f>
        <v>44.661573277077714</v>
      </c>
      <c r="I3012">
        <f>H3012*_xlfn.XLOOKUP(Tabla2[[#This Row],[Unidad de producción]],Tabla3[Medida],Tabla3[Equivalencia en Kg],"ELVIS",0)</f>
        <v>2025.8489638482451</v>
      </c>
      <c r="J3012">
        <v>227.830729166667</v>
      </c>
      <c r="K3012" t="s">
        <v>32</v>
      </c>
      <c r="L3012">
        <f>J3012/_xlfn.XLOOKUP(Tabla2[[#This Row],[Unidad de precio]],Tabla3[Medida],Tabla3[Equivalencia en Kg],"ELVIS",0)</f>
        <v>8.3730514210461955</v>
      </c>
      <c r="M3012" s="2">
        <v>38019.0770714752</v>
      </c>
      <c r="N3012" s="2">
        <f>(Tabla2[[#This Row],[Productividad (kg/TAS)]]*Tabla2[[#This Row],[Precio por kg]]-Tabla2[[#This Row],[Costos (En RD$/Tarea)]])</f>
        <v>-21056.539525900687</v>
      </c>
      <c r="O3012" s="6">
        <f>IF(Tabla2[[#This Row],[Costos (En RD$/Tarea)]]=0,0,Tabla2[[#This Row],[Beneficio Neto  (En RD$/Tarea)]]/Tabla2[[#This Row],[Costos (En RD$/Tarea)]])</f>
        <v>-0.55384141719996938</v>
      </c>
      <c r="P3012" s="4">
        <f>Tabla2[[#This Row],[Rentabilidad (%)]]/12</f>
        <v>-4.6153451433330779E-2</v>
      </c>
    </row>
    <row r="3013" spans="1:16" x14ac:dyDescent="0.35">
      <c r="A3013" s="1">
        <v>44136</v>
      </c>
      <c r="B3013" t="s">
        <v>33</v>
      </c>
      <c r="C3013" s="2">
        <v>701469</v>
      </c>
      <c r="D3013" s="2" t="s">
        <v>31</v>
      </c>
      <c r="E3013" s="2">
        <f>IF(Tabla2[[#This Row],[Frecuencia]]="Annual", Tabla2[[#This Row],[Cosecha/Tarea]]/12,Tabla2[[#This Row],[Cosecha/Tarea]])</f>
        <v>58455.75</v>
      </c>
      <c r="F3013" s="2">
        <v>955700.55</v>
      </c>
      <c r="G3013" t="s">
        <v>18</v>
      </c>
      <c r="H3013">
        <f>F3013/Tabla2[[#This Row],[Cosecha Mensual]]</f>
        <v>16.349128186705329</v>
      </c>
      <c r="I3013">
        <f>H3013*_xlfn.XLOOKUP(Tabla2[[#This Row],[Unidad de producción]],Tabla3[Medida],Tabla3[Equivalencia en Kg],"ELVIS",0)</f>
        <v>741.59645454895372</v>
      </c>
      <c r="J3013">
        <v>12092.0694444444</v>
      </c>
      <c r="K3013" t="s">
        <v>34</v>
      </c>
      <c r="L3013">
        <f>J3013/_xlfn.XLOOKUP(Tabla2[[#This Row],[Unidad de precio]],Tabla3[Medida],Tabla3[Equivalencia en Kg],"ELVIS",0)</f>
        <v>29.626533001211321</v>
      </c>
      <c r="M3013" s="2">
        <v>33327.4212424613</v>
      </c>
      <c r="N3013" s="2">
        <f>(Tabla2[[#This Row],[Productividad (kg/TAS)]]*Tabla2[[#This Row],[Precio por kg]]-Tabla2[[#This Row],[Costos (En RD$/Tarea)]])</f>
        <v>-11356.489408185411</v>
      </c>
      <c r="O3013" s="6">
        <f>IF(Tabla2[[#This Row],[Costos (En RD$/Tarea)]]=0,0,Tabla2[[#This Row],[Beneficio Neto  (En RD$/Tarea)]]/Tabla2[[#This Row],[Costos (En RD$/Tarea)]])</f>
        <v>-0.34075511950251064</v>
      </c>
      <c r="P3013" s="4">
        <f>Tabla2[[#This Row],[Rentabilidad (%)]]/12</f>
        <v>-2.8396259958542554E-2</v>
      </c>
    </row>
    <row r="3014" spans="1:16" x14ac:dyDescent="0.35">
      <c r="A3014" s="1">
        <v>44166</v>
      </c>
      <c r="B3014" t="s">
        <v>16</v>
      </c>
      <c r="C3014" s="2">
        <v>182420</v>
      </c>
      <c r="D3014" s="5" t="s">
        <v>17</v>
      </c>
      <c r="E3014" s="2">
        <f>IF(Tabla2[[#This Row],[Frecuencia]]="Annual", Tabla2[[#This Row],[Cosecha/Tarea]]/12,Tabla2[[#This Row],[Cosecha/Tarea]])</f>
        <v>182420</v>
      </c>
      <c r="F3014" s="2">
        <v>601500</v>
      </c>
      <c r="G3014" t="s">
        <v>18</v>
      </c>
      <c r="H3014">
        <f>F3014/Tabla2[[#This Row],[Cosecha Mensual]]</f>
        <v>3.2973358184409602</v>
      </c>
      <c r="I3014">
        <f>H3014*_xlfn.XLOOKUP(Tabla2[[#This Row],[Unidad de producción]],Tabla3[Medida],Tabla3[Equivalencia en Kg],"ELVIS",0)</f>
        <v>149.56715272448196</v>
      </c>
      <c r="J3014">
        <v>2362.84378437844</v>
      </c>
      <c r="K3014" t="s">
        <v>19</v>
      </c>
      <c r="L3014">
        <f>J3014/_xlfn.XLOOKUP(Tabla2[[#This Row],[Unidad de precio]],Tabla3[Medida],Tabla3[Equivalencia en Kg],"ELVIS",0)</f>
        <v>21.480398039804001</v>
      </c>
      <c r="M3014">
        <v>7092.5943689866499</v>
      </c>
      <c r="N3014" s="2">
        <f>(Tabla2[[#This Row],[Productividad (kg/TAS)]]*Tabla2[[#This Row],[Precio por kg]]-Tabla2[[#This Row],[Costos (En RD$/Tarea)]])</f>
        <v>-3879.832394784622</v>
      </c>
      <c r="O3014" s="6">
        <f>IF(Tabla2[[#This Row],[Costos (En RD$/Tarea)]]=0,0,Tabla2[[#This Row],[Beneficio Neto  (En RD$/Tarea)]]/Tabla2[[#This Row],[Costos (En RD$/Tarea)]])</f>
        <v>-0.54702584032575241</v>
      </c>
      <c r="P3014" s="4">
        <f>Tabla2[[#This Row],[Rentabilidad (%)]]/12</f>
        <v>-4.5585486693812703E-2</v>
      </c>
    </row>
    <row r="3015" spans="1:16" x14ac:dyDescent="0.35">
      <c r="A3015" s="1">
        <v>44166</v>
      </c>
      <c r="B3015" t="s">
        <v>20</v>
      </c>
      <c r="C3015" s="2">
        <v>28985</v>
      </c>
      <c r="D3015" s="5" t="s">
        <v>17</v>
      </c>
      <c r="E3015" s="2">
        <f>IF(Tabla2[[#This Row],[Frecuencia]]="Annual", Tabla2[[#This Row],[Cosecha/Tarea]]/12,Tabla2[[#This Row],[Cosecha/Tarea]])</f>
        <v>28985</v>
      </c>
      <c r="F3015" s="2">
        <v>70214</v>
      </c>
      <c r="G3015" t="s">
        <v>18</v>
      </c>
      <c r="H3015">
        <f>F3015/Tabla2[[#This Row],[Cosecha Mensual]]</f>
        <v>2.4224253924443677</v>
      </c>
      <c r="I3015">
        <f>H3015*_xlfn.XLOOKUP(Tabla2[[#This Row],[Unidad de producción]],Tabla3[Medida],Tabla3[Equivalencia en Kg],"ELVIS",0)</f>
        <v>109.88121580127653</v>
      </c>
      <c r="J3015">
        <v>991.23802083333305</v>
      </c>
      <c r="K3015" t="s">
        <v>18</v>
      </c>
      <c r="L3015">
        <f>J3015/_xlfn.XLOOKUP(Tabla2[[#This Row],[Unidad de precio]],Tabla3[Medida],Tabla3[Equivalencia en Kg],"ELVIS",0)</f>
        <v>21.85269005364491</v>
      </c>
      <c r="M3015">
        <v>2584.1546858372599</v>
      </c>
      <c r="N3015" s="2">
        <f>(Tabla2[[#This Row],[Productividad (kg/TAS)]]*Tabla2[[#This Row],[Precio por kg]]-Tabla2[[#This Row],[Costos (En RD$/Tarea)]])</f>
        <v>-182.95453421429465</v>
      </c>
      <c r="O3015" s="6">
        <f>IF(Tabla2[[#This Row],[Costos (En RD$/Tarea)]]=0,0,Tabla2[[#This Row],[Beneficio Neto  (En RD$/Tarea)]]/Tabla2[[#This Row],[Costos (En RD$/Tarea)]])</f>
        <v>-7.0798600105867041E-2</v>
      </c>
      <c r="P3015" s="4">
        <f>Tabla2[[#This Row],[Rentabilidad (%)]]/12</f>
        <v>-5.8998833421555867E-3</v>
      </c>
    </row>
    <row r="3016" spans="1:16" x14ac:dyDescent="0.35">
      <c r="A3016" s="1">
        <v>44166</v>
      </c>
      <c r="B3016" t="s">
        <v>21</v>
      </c>
      <c r="C3016" s="2">
        <v>9421</v>
      </c>
      <c r="D3016" s="5" t="s">
        <v>17</v>
      </c>
      <c r="E3016" s="2">
        <f>IF(Tabla2[[#This Row],[Frecuencia]]="Annual", Tabla2[[#This Row],[Cosecha/Tarea]]/12,Tabla2[[#This Row],[Cosecha/Tarea]])</f>
        <v>9421</v>
      </c>
      <c r="F3016" s="2">
        <v>110241</v>
      </c>
      <c r="G3016" t="s">
        <v>18</v>
      </c>
      <c r="H3016">
        <f>F3016/Tabla2[[#This Row],[Cosecha Mensual]]</f>
        <v>11.70162403141917</v>
      </c>
      <c r="I3016">
        <f>H3016*_xlfn.XLOOKUP(Tabla2[[#This Row],[Unidad de producción]],Tabla3[Medida],Tabla3[Equivalencia en Kg],"ELVIS",0)</f>
        <v>530.78566606517359</v>
      </c>
      <c r="J3016">
        <v>1029.63194444444</v>
      </c>
      <c r="K3016" t="s">
        <v>18</v>
      </c>
      <c r="L3016">
        <f>J3016/_xlfn.XLOOKUP(Tabla2[[#This Row],[Unidad de precio]],Tabla3[Medida],Tabla3[Equivalencia en Kg],"ELVIS",0)</f>
        <v>22.699116941014992</v>
      </c>
      <c r="M3016">
        <v>6271.4601073596496</v>
      </c>
      <c r="N3016" s="2">
        <f>(Tabla2[[#This Row],[Productividad (kg/TAS)]]*Tabla2[[#This Row],[Precio por kg]]-Tabla2[[#This Row],[Costos (En RD$/Tarea)]])</f>
        <v>5776.9057972682585</v>
      </c>
      <c r="O3016" s="6">
        <f>IF(Tabla2[[#This Row],[Costos (En RD$/Tarea)]]=0,0,Tabla2[[#This Row],[Beneficio Neto  (En RD$/Tarea)]]/Tabla2[[#This Row],[Costos (En RD$/Tarea)]])</f>
        <v>0.92114207829991224</v>
      </c>
      <c r="P3016" s="4">
        <f>Tabla2[[#This Row],[Rentabilidad (%)]]/12</f>
        <v>7.676183985832602E-2</v>
      </c>
    </row>
    <row r="3017" spans="1:16" x14ac:dyDescent="0.35">
      <c r="A3017" s="1">
        <v>44166</v>
      </c>
      <c r="B3017" t="s">
        <v>22</v>
      </c>
      <c r="C3017" s="2">
        <v>2899</v>
      </c>
      <c r="D3017" s="5" t="s">
        <v>17</v>
      </c>
      <c r="E3017" s="2">
        <f>IF(Tabla2[[#This Row],[Frecuencia]]="Annual", Tabla2[[#This Row],[Cosecha/Tarea]]/12,Tabla2[[#This Row],[Cosecha/Tarea]])</f>
        <v>2899</v>
      </c>
      <c r="F3017" s="2">
        <v>33874</v>
      </c>
      <c r="G3017" t="s">
        <v>18</v>
      </c>
      <c r="H3017">
        <f>F3017/Tabla2[[#This Row],[Cosecha Mensual]]</f>
        <v>11.68471886857537</v>
      </c>
      <c r="I3017">
        <f>H3017*_xlfn.XLOOKUP(Tabla2[[#This Row],[Unidad de producción]],Tabla3[Medida],Tabla3[Equivalencia en Kg],"ELVIS",0)</f>
        <v>530.01884787857875</v>
      </c>
      <c r="J3017">
        <v>2148.625</v>
      </c>
      <c r="K3017" t="s">
        <v>18</v>
      </c>
      <c r="L3017">
        <f>J3017/_xlfn.XLOOKUP(Tabla2[[#This Row],[Unidad de precio]],Tabla3[Medida],Tabla3[Equivalencia en Kg],"ELVIS",0)</f>
        <v>47.368276014109348</v>
      </c>
      <c r="M3017">
        <v>10873.3452772193</v>
      </c>
      <c r="N3017" s="2">
        <f>(Tabla2[[#This Row],[Productividad (kg/TAS)]]*Tabla2[[#This Row],[Precio por kg]]-Tabla2[[#This Row],[Costos (En RD$/Tarea)]])</f>
        <v>14232.733801773453</v>
      </c>
      <c r="O3017" s="6">
        <f>IF(Tabla2[[#This Row],[Costos (En RD$/Tarea)]]=0,0,Tabla2[[#This Row],[Beneficio Neto  (En RD$/Tarea)]]/Tabla2[[#This Row],[Costos (En RD$/Tarea)]])</f>
        <v>1.3089562999155737</v>
      </c>
      <c r="P3017" s="4">
        <f>Tabla2[[#This Row],[Rentabilidad (%)]]/12</f>
        <v>0.10907969165963115</v>
      </c>
    </row>
    <row r="3018" spans="1:16" x14ac:dyDescent="0.35">
      <c r="A3018" s="1">
        <v>44166</v>
      </c>
      <c r="B3018" t="s">
        <v>23</v>
      </c>
      <c r="C3018" s="2">
        <v>2754</v>
      </c>
      <c r="D3018" s="5" t="s">
        <v>17</v>
      </c>
      <c r="E3018" s="2">
        <f>IF(Tabla2[[#This Row],[Frecuencia]]="Annual", Tabla2[[#This Row],[Cosecha/Tarea]]/12,Tabla2[[#This Row],[Cosecha/Tarea]])</f>
        <v>2754</v>
      </c>
      <c r="F3018" s="2">
        <v>145987</v>
      </c>
      <c r="G3018" t="s">
        <v>18</v>
      </c>
      <c r="H3018">
        <f>F3018/Tabla2[[#This Row],[Cosecha Mensual]]</f>
        <v>53.009077705156137</v>
      </c>
      <c r="I3018">
        <f>H3018*_xlfn.XLOOKUP(Tabla2[[#This Row],[Unidad de producción]],Tabla3[Medida],Tabla3[Equivalencia en Kg],"ELVIS",0)</f>
        <v>2404.4917647058824</v>
      </c>
      <c r="J3018">
        <v>1402.625</v>
      </c>
      <c r="K3018" t="s">
        <v>18</v>
      </c>
      <c r="L3018">
        <f>J3018/_xlfn.XLOOKUP(Tabla2[[#This Row],[Unidad de precio]],Tabla3[Medida],Tabla3[Equivalencia en Kg],"ELVIS",0)</f>
        <v>30.92206790123457</v>
      </c>
      <c r="M3018">
        <v>28931.455637376999</v>
      </c>
      <c r="N3018" s="2">
        <f>(Tabla2[[#This Row],[Productividad (kg/TAS)]]*Tabla2[[#This Row],[Precio por kg]]-Tabla2[[#This Row],[Costos (En RD$/Tarea)]])</f>
        <v>45420.401978817623</v>
      </c>
      <c r="O3018" s="6">
        <f>IF(Tabla2[[#This Row],[Costos (En RD$/Tarea)]]=0,0,Tabla2[[#This Row],[Beneficio Neto  (En RD$/Tarea)]]/Tabla2[[#This Row],[Costos (En RD$/Tarea)]])</f>
        <v>1.5699314458322069</v>
      </c>
      <c r="P3018" s="4">
        <f>Tabla2[[#This Row],[Rentabilidad (%)]]/12</f>
        <v>0.13082762048601723</v>
      </c>
    </row>
    <row r="3019" spans="1:16" x14ac:dyDescent="0.35">
      <c r="A3019" s="1">
        <v>44166</v>
      </c>
      <c r="B3019" t="s">
        <v>24</v>
      </c>
      <c r="C3019" s="2">
        <v>7899</v>
      </c>
      <c r="D3019" s="5" t="s">
        <v>17</v>
      </c>
      <c r="E3019" s="2">
        <f>IF(Tabla2[[#This Row],[Frecuencia]]="Annual", Tabla2[[#This Row],[Cosecha/Tarea]]/12,Tabla2[[#This Row],[Cosecha/Tarea]])</f>
        <v>7899</v>
      </c>
      <c r="F3019" s="2">
        <v>99899</v>
      </c>
      <c r="G3019" t="s">
        <v>18</v>
      </c>
      <c r="H3019">
        <f>F3019/Tabla2[[#This Row],[Cosecha Mensual]]</f>
        <v>12.647043929611343</v>
      </c>
      <c r="I3019">
        <f>H3019*_xlfn.XLOOKUP(Tabla2[[#This Row],[Unidad de producción]],Tabla3[Medida],Tabla3[Equivalencia en Kg],"ELVIS",0)</f>
        <v>573.66991264717046</v>
      </c>
      <c r="J3019">
        <v>3348.5803571428601</v>
      </c>
      <c r="K3019" t="s">
        <v>18</v>
      </c>
      <c r="L3019">
        <f>J3019/_xlfn.XLOOKUP(Tabla2[[#This Row],[Unidad de precio]],Tabla3[Medida],Tabla3[Equivalencia en Kg],"ELVIS",0)</f>
        <v>73.822318279163582</v>
      </c>
      <c r="M3019">
        <v>8997.8297362085195</v>
      </c>
      <c r="N3019" s="2">
        <f>(Tabla2[[#This Row],[Productividad (kg/TAS)]]*Tabla2[[#This Row],[Precio por kg]]-Tabla2[[#This Row],[Costos (En RD$/Tarea)]])</f>
        <v>33351.813142410865</v>
      </c>
      <c r="O3019" s="6">
        <f>IF(Tabla2[[#This Row],[Costos (En RD$/Tarea)]]=0,0,Tabla2[[#This Row],[Beneficio Neto  (En RD$/Tarea)]]/Tabla2[[#This Row],[Costos (En RD$/Tarea)]])</f>
        <v>3.706650839168308</v>
      </c>
      <c r="P3019" s="4">
        <f>Tabla2[[#This Row],[Rentabilidad (%)]]/12</f>
        <v>0.30888756993069233</v>
      </c>
    </row>
    <row r="3020" spans="1:16" x14ac:dyDescent="0.35">
      <c r="A3020" s="1">
        <v>44166</v>
      </c>
      <c r="B3020" t="s">
        <v>25</v>
      </c>
      <c r="C3020" s="2">
        <v>19685</v>
      </c>
      <c r="D3020" s="5" t="s">
        <v>17</v>
      </c>
      <c r="E3020" s="2">
        <f>IF(Tabla2[[#This Row],[Frecuencia]]="Annual", Tabla2[[#This Row],[Cosecha/Tarea]]/12,Tabla2[[#This Row],[Cosecha/Tarea]])</f>
        <v>19685</v>
      </c>
      <c r="F3020" s="2">
        <v>221118</v>
      </c>
      <c r="G3020" t="s">
        <v>18</v>
      </c>
      <c r="H3020">
        <f>F3020/Tabla2[[#This Row],[Cosecha Mensual]]</f>
        <v>11.232816865633731</v>
      </c>
      <c r="I3020">
        <f>H3020*_xlfn.XLOOKUP(Tabla2[[#This Row],[Unidad de producción]],Tabla3[Medida],Tabla3[Equivalencia en Kg],"ELVIS",0)</f>
        <v>509.52057302514606</v>
      </c>
      <c r="J3020">
        <v>614.22023809523796</v>
      </c>
      <c r="K3020" t="s">
        <v>18</v>
      </c>
      <c r="L3020">
        <f>J3020/_xlfn.XLOOKUP(Tabla2[[#This Row],[Unidad de precio]],Tabla3[Medida],Tabla3[Equivalencia en Kg],"ELVIS",0)</f>
        <v>13.541010540018474</v>
      </c>
      <c r="M3020">
        <v>5060.8394523092302</v>
      </c>
      <c r="N3020" s="2">
        <f>(Tabla2[[#This Row],[Productividad (kg/TAS)]]*Tabla2[[#This Row],[Precio por kg]]-Tabla2[[#This Row],[Costos (En RD$/Tarea)]])</f>
        <v>1838.583997380525</v>
      </c>
      <c r="O3020" s="6">
        <f>IF(Tabla2[[#This Row],[Costos (En RD$/Tarea)]]=0,0,Tabla2[[#This Row],[Beneficio Neto  (En RD$/Tarea)]]/Tabla2[[#This Row],[Costos (En RD$/Tarea)]])</f>
        <v>0.3632962504948839</v>
      </c>
      <c r="P3020" s="4">
        <f>Tabla2[[#This Row],[Rentabilidad (%)]]/12</f>
        <v>3.0274687541240325E-2</v>
      </c>
    </row>
    <row r="3021" spans="1:16" x14ac:dyDescent="0.35">
      <c r="A3021" s="1">
        <v>44166</v>
      </c>
      <c r="B3021" t="s">
        <v>26</v>
      </c>
      <c r="C3021" s="2">
        <v>9254</v>
      </c>
      <c r="D3021" s="5" t="s">
        <v>17</v>
      </c>
      <c r="E3021" s="2">
        <f>IF(Tabla2[[#This Row],[Frecuencia]]="Annual", Tabla2[[#This Row],[Cosecha/Tarea]]/12,Tabla2[[#This Row],[Cosecha/Tarea]])</f>
        <v>9254</v>
      </c>
      <c r="F3021" s="2">
        <v>85457</v>
      </c>
      <c r="G3021" t="s">
        <v>18</v>
      </c>
      <c r="H3021">
        <f>F3021/Tabla2[[#This Row],[Cosecha Mensual]]</f>
        <v>9.234601253511995</v>
      </c>
      <c r="I3021">
        <f>H3021*_xlfn.XLOOKUP(Tabla2[[#This Row],[Unidad de producción]],Tabla3[Medida],Tabla3[Equivalencia en Kg],"ELVIS",0)</f>
        <v>418.88151285930411</v>
      </c>
      <c r="J3021">
        <v>929.892857142857</v>
      </c>
      <c r="K3021" t="s">
        <v>18</v>
      </c>
      <c r="L3021">
        <f>J3021/_xlfn.XLOOKUP(Tabla2[[#This Row],[Unidad de precio]],Tabla3[Medida],Tabla3[Equivalencia en Kg],"ELVIS",0)</f>
        <v>20.500283446712015</v>
      </c>
      <c r="M3021">
        <v>1789.8439852691199</v>
      </c>
      <c r="N3021" s="2">
        <f>(Tabla2[[#This Row],[Productividad (kg/TAS)]]*Tabla2[[#This Row],[Precio por kg]]-Tabla2[[#This Row],[Costos (En RD$/Tarea)]])</f>
        <v>6797.3457589341588</v>
      </c>
      <c r="O3021" s="6">
        <f>IF(Tabla2[[#This Row],[Costos (En RD$/Tarea)]]=0,0,Tabla2[[#This Row],[Beneficio Neto  (En RD$/Tarea)]]/Tabla2[[#This Row],[Costos (En RD$/Tarea)]])</f>
        <v>3.7977308720078828</v>
      </c>
      <c r="P3021" s="4">
        <f>Tabla2[[#This Row],[Rentabilidad (%)]]/12</f>
        <v>0.31647757266732357</v>
      </c>
    </row>
    <row r="3022" spans="1:16" x14ac:dyDescent="0.35">
      <c r="A3022" s="1">
        <v>44166</v>
      </c>
      <c r="B3022" t="s">
        <v>27</v>
      </c>
      <c r="C3022" s="2">
        <v>2879</v>
      </c>
      <c r="D3022" s="5" t="s">
        <v>17</v>
      </c>
      <c r="E3022" s="2">
        <f>IF(Tabla2[[#This Row],[Frecuencia]]="Annual", Tabla2[[#This Row],[Cosecha/Tarea]]/12,Tabla2[[#This Row],[Cosecha/Tarea]])</f>
        <v>2879</v>
      </c>
      <c r="F3022" s="2">
        <v>37784</v>
      </c>
      <c r="G3022" t="s">
        <v>18</v>
      </c>
      <c r="H3022">
        <f>F3022/Tabla2[[#This Row],[Cosecha Mensual]]</f>
        <v>13.12400138937131</v>
      </c>
      <c r="I3022">
        <f>H3022*_xlfn.XLOOKUP(Tabla2[[#This Row],[Unidad de producción]],Tabla3[Medida],Tabla3[Equivalencia en Kg],"ELVIS",0)</f>
        <v>595.30470302188257</v>
      </c>
      <c r="J3022">
        <v>1105.30555555556</v>
      </c>
      <c r="K3022" t="s">
        <v>18</v>
      </c>
      <c r="L3022">
        <f>J3022/_xlfn.XLOOKUP(Tabla2[[#This Row],[Unidad de precio]],Tabla3[Medida],Tabla3[Equivalencia en Kg],"ELVIS",0)</f>
        <v>24.36740642759171</v>
      </c>
      <c r="M3022">
        <v>9891.7256609088799</v>
      </c>
      <c r="N3022" s="2">
        <f>(Tabla2[[#This Row],[Productividad (kg/TAS)]]*Tabla2[[#This Row],[Precio por kg]]-Tabla2[[#This Row],[Costos (En RD$/Tarea)]])</f>
        <v>4614.3059858821161</v>
      </c>
      <c r="O3022" s="6">
        <f>IF(Tabla2[[#This Row],[Costos (En RD$/Tarea)]]=0,0,Tabla2[[#This Row],[Beneficio Neto  (En RD$/Tarea)]]/Tabla2[[#This Row],[Costos (En RD$/Tarea)]])</f>
        <v>0.46648139506308756</v>
      </c>
      <c r="P3022" s="4">
        <f>Tabla2[[#This Row],[Rentabilidad (%)]]/12</f>
        <v>3.8873449588590632E-2</v>
      </c>
    </row>
    <row r="3023" spans="1:16" x14ac:dyDescent="0.35">
      <c r="A3023" s="1">
        <v>44166</v>
      </c>
      <c r="B3023" t="s">
        <v>28</v>
      </c>
      <c r="C3023" s="2">
        <v>53124</v>
      </c>
      <c r="D3023" s="5" t="s">
        <v>17</v>
      </c>
      <c r="E3023" s="2">
        <f>IF(Tabla2[[#This Row],[Frecuencia]]="Annual", Tabla2[[#This Row],[Cosecha/Tarea]]/12,Tabla2[[#This Row],[Cosecha/Tarea]])</f>
        <v>53124</v>
      </c>
      <c r="F3023" s="2">
        <v>1227773.6000000001</v>
      </c>
      <c r="G3023" t="s">
        <v>18</v>
      </c>
      <c r="H3023">
        <f>F3023/Tabla2[[#This Row],[Cosecha Mensual]]</f>
        <v>23.111467509976659</v>
      </c>
      <c r="I3023">
        <f>H3023*_xlfn.XLOOKUP(Tabla2[[#This Row],[Unidad de producción]],Tabla3[Medida],Tabla3[Equivalencia en Kg],"ELVIS",0)</f>
        <v>1048.3361662525413</v>
      </c>
      <c r="J3023">
        <v>8928.5714285714294</v>
      </c>
      <c r="K3023" t="s">
        <v>29</v>
      </c>
      <c r="L3023">
        <f>J3023/_xlfn.XLOOKUP(Tabla2[[#This Row],[Unidad de precio]],Tabla3[Medida],Tabla3[Equivalencia en Kg],"ELVIS",0)</f>
        <v>15.877532148827095</v>
      </c>
      <c r="M3023">
        <v>13735.141908858301</v>
      </c>
      <c r="N3023" s="2">
        <f>(Tabla2[[#This Row],[Productividad (kg/TAS)]]*Tabla2[[#This Row],[Precio por kg]]-Tabla2[[#This Row],[Costos (En RD$/Tarea)]])</f>
        <v>2909.8492735945711</v>
      </c>
      <c r="O3023" s="6">
        <f>IF(Tabla2[[#This Row],[Costos (En RD$/Tarea)]]=0,0,Tabla2[[#This Row],[Beneficio Neto  (En RD$/Tarea)]]/Tabla2[[#This Row],[Costos (En RD$/Tarea)]])</f>
        <v>0.2118543290563239</v>
      </c>
      <c r="P3023" s="4">
        <f>Tabla2[[#This Row],[Rentabilidad (%)]]/12</f>
        <v>1.7654527421360325E-2</v>
      </c>
    </row>
    <row r="3024" spans="1:16" x14ac:dyDescent="0.35">
      <c r="A3024" s="1">
        <v>44166</v>
      </c>
      <c r="B3024" t="s">
        <v>30</v>
      </c>
      <c r="C3024" s="2">
        <v>442101</v>
      </c>
      <c r="D3024" s="2" t="s">
        <v>31</v>
      </c>
      <c r="E3024" s="2">
        <f>IF(Tabla2[[#This Row],[Frecuencia]]="Annual", Tabla2[[#This Row],[Cosecha/Tarea]]/12,Tabla2[[#This Row],[Cosecha/Tarea]])</f>
        <v>36841.75</v>
      </c>
      <c r="F3024" s="2">
        <v>2324735.4</v>
      </c>
      <c r="G3024" t="s">
        <v>18</v>
      </c>
      <c r="H3024">
        <f>F3024/Tabla2[[#This Row],[Cosecha Mensual]]</f>
        <v>63.10056932691851</v>
      </c>
      <c r="I3024">
        <f>H3024*_xlfn.XLOOKUP(Tabla2[[#This Row],[Unidad de producción]],Tabla3[Medida],Tabla3[Equivalencia en Kg],"ELVIS",0)</f>
        <v>2862.2418246690236</v>
      </c>
      <c r="J3024">
        <v>221.567708333333</v>
      </c>
      <c r="K3024" t="s">
        <v>32</v>
      </c>
      <c r="L3024">
        <f>J3024/_xlfn.XLOOKUP(Tabla2[[#This Row],[Unidad de precio]],Tabla3[Medida],Tabla3[Equivalencia en Kg],"ELVIS",0)</f>
        <v>8.1428779247825425</v>
      </c>
      <c r="M3024" s="2">
        <v>38019.0770714752</v>
      </c>
      <c r="N3024" s="2">
        <f>(Tabla2[[#This Row],[Productividad (kg/TAS)]]*Tabla2[[#This Row],[Precio por kg]]-Tabla2[[#This Row],[Costos (En RD$/Tarea)]])</f>
        <v>-14712.191301988503</v>
      </c>
      <c r="O3024" s="6">
        <f>IF(Tabla2[[#This Row],[Costos (En RD$/Tarea)]]=0,0,Tabla2[[#This Row],[Beneficio Neto  (En RD$/Tarea)]]/Tabla2[[#This Row],[Costos (En RD$/Tarea)]])</f>
        <v>-0.38696865982122186</v>
      </c>
      <c r="P3024" s="4">
        <f>Tabla2[[#This Row],[Rentabilidad (%)]]/12</f>
        <v>-3.2247388318435155E-2</v>
      </c>
    </row>
    <row r="3025" spans="1:16" x14ac:dyDescent="0.35">
      <c r="A3025" s="1">
        <v>44166</v>
      </c>
      <c r="B3025" t="s">
        <v>33</v>
      </c>
      <c r="C3025" s="2">
        <v>636244</v>
      </c>
      <c r="D3025" s="2" t="s">
        <v>31</v>
      </c>
      <c r="E3025" s="8">
        <f>IF(Tabla2[[#This Row],[Frecuencia]]="Annual", Tabla2[[#This Row],[Cosecha/Tarea]]/12,Tabla2[[#This Row],[Cosecha/Tarea]])</f>
        <v>53020.333333333336</v>
      </c>
      <c r="F3025" s="2">
        <v>1610982</v>
      </c>
      <c r="G3025" t="s">
        <v>18</v>
      </c>
      <c r="H3025">
        <f>F3025/Tabla2[[#This Row],[Cosecha Mensual]]</f>
        <v>30.384229949516222</v>
      </c>
      <c r="I3025">
        <f>H3025*_xlfn.XLOOKUP(Tabla2[[#This Row],[Unidad de producción]],Tabla3[Medida],Tabla3[Equivalencia en Kg],"ELVIS",0)</f>
        <v>1378.2286705100557</v>
      </c>
      <c r="J3025">
        <v>10212.723958333299</v>
      </c>
      <c r="K3025" t="s">
        <v>34</v>
      </c>
      <c r="L3025">
        <f>J3025/_xlfn.XLOOKUP(Tabla2[[#This Row],[Unidad de precio]],Tabla3[Medida],Tabla3[Equivalencia en Kg],"ELVIS",0)</f>
        <v>25.02198691249124</v>
      </c>
      <c r="M3025" s="2">
        <v>33327.4212424613</v>
      </c>
      <c r="N3025" s="2">
        <f>(Tabla2[[#This Row],[Productividad (kg/TAS)]]*Tabla2[[#This Row],[Precio por kg]]-Tabla2[[#This Row],[Costos (En RD$/Tarea)]])</f>
        <v>1158.5985134615185</v>
      </c>
      <c r="O3025" s="6">
        <f>IF(Tabla2[[#This Row],[Costos (En RD$/Tarea)]]=0,0,Tabla2[[#This Row],[Beneficio Neto  (En RD$/Tarea)]]/Tabla2[[#This Row],[Costos (En RD$/Tarea)]])</f>
        <v>3.476412126316538E-2</v>
      </c>
      <c r="P3025" s="4">
        <f>Tabla2[[#This Row],[Rentabilidad (%)]]/12</f>
        <v>2.8970101052637818E-3</v>
      </c>
    </row>
    <row r="3026" spans="1:16" x14ac:dyDescent="0.35">
      <c r="A3026" s="1">
        <v>44197</v>
      </c>
      <c r="B3026" t="s">
        <v>16</v>
      </c>
      <c r="C3026" s="2">
        <v>66817</v>
      </c>
      <c r="D3026" s="5" t="s">
        <v>17</v>
      </c>
      <c r="E3026" s="2">
        <f>IF(Tabla2[[#This Row],[Frecuencia]]="Annual", Tabla2[[#This Row],[Cosecha/Tarea]]/12,Tabla2[[#This Row],[Cosecha/Tarea]])</f>
        <v>66817</v>
      </c>
      <c r="F3026" s="2">
        <v>260334</v>
      </c>
      <c r="G3026" t="s">
        <v>18</v>
      </c>
      <c r="H3026">
        <f>F3026/Tabla2[[#This Row],[Cosecha Mensual]]</f>
        <v>3.896224014846521</v>
      </c>
      <c r="I3026">
        <f>H3026*_xlfn.XLOOKUP(Tabla2[[#This Row],[Unidad de producción]],Tabla3[Medida],Tabla3[Equivalencia en Kg],"ELVIS",0)</f>
        <v>176.73272131343819</v>
      </c>
      <c r="J3026">
        <v>2300.8328520352002</v>
      </c>
      <c r="K3026" t="s">
        <v>19</v>
      </c>
      <c r="L3026">
        <f>J3026/_xlfn.XLOOKUP(Tabla2[[#This Row],[Unidad de precio]],Tabla3[Medida],Tabla3[Equivalencia en Kg],"ELVIS",0)</f>
        <v>20.916662291229091</v>
      </c>
      <c r="M3026">
        <v>7900.3979447716101</v>
      </c>
      <c r="N3026" s="2">
        <f>(Tabla2[[#This Row],[Productividad (kg/TAS)]]*Tabla2[[#This Row],[Precio por kg]]-Tabla2[[#This Row],[Costos (En RD$/Tarea)]])</f>
        <v>-4203.7392972485177</v>
      </c>
      <c r="O3026" s="6">
        <f>IF(Tabla2[[#This Row],[Costos (En RD$/Tarea)]]=0,0,Tabla2[[#This Row],[Beneficio Neto  (En RD$/Tarea)]]/Tabla2[[#This Row],[Costos (En RD$/Tarea)]])</f>
        <v>-0.53209209544064839</v>
      </c>
      <c r="P3026" s="4">
        <f>Tabla2[[#This Row],[Rentabilidad (%)]]/12</f>
        <v>-4.4341007953387364E-2</v>
      </c>
    </row>
    <row r="3027" spans="1:16" x14ac:dyDescent="0.35">
      <c r="A3027" s="1">
        <v>44197</v>
      </c>
      <c r="B3027" t="s">
        <v>20</v>
      </c>
      <c r="C3027" s="2">
        <v>53854</v>
      </c>
      <c r="D3027" s="5" t="s">
        <v>17</v>
      </c>
      <c r="E3027" s="2">
        <f>IF(Tabla2[[#This Row],[Frecuencia]]="Annual", Tabla2[[#This Row],[Cosecha/Tarea]]/12,Tabla2[[#This Row],[Cosecha/Tarea]])</f>
        <v>53854</v>
      </c>
      <c r="F3027" s="2">
        <v>99899</v>
      </c>
      <c r="G3027" t="s">
        <v>18</v>
      </c>
      <c r="H3027">
        <f>F3027/Tabla2[[#This Row],[Cosecha Mensual]]</f>
        <v>1.8549968433171167</v>
      </c>
      <c r="I3027">
        <f>H3027*_xlfn.XLOOKUP(Tabla2[[#This Row],[Unidad de producción]],Tabla3[Medida],Tabla3[Equivalencia en Kg],"ELVIS",0)</f>
        <v>84.142656812864416</v>
      </c>
      <c r="J3027">
        <v>990.8125</v>
      </c>
      <c r="K3027" t="s">
        <v>18</v>
      </c>
      <c r="L3027">
        <f>J3027/_xlfn.XLOOKUP(Tabla2[[#This Row],[Unidad de precio]],Tabla3[Medida],Tabla3[Equivalencia en Kg],"ELVIS",0)</f>
        <v>21.843309082892418</v>
      </c>
      <c r="M3027">
        <v>2759.0657712295701</v>
      </c>
      <c r="N3027" s="2">
        <f>(Tabla2[[#This Row],[Productividad (kg/TAS)]]*Tabla2[[#This Row],[Precio por kg]]-Tabla2[[#This Row],[Costos (En RD$/Tarea)]])</f>
        <v>-921.11171141042928</v>
      </c>
      <c r="O3027" s="6">
        <f>IF(Tabla2[[#This Row],[Costos (En RD$/Tarea)]]=0,0,Tabla2[[#This Row],[Beneficio Neto  (En RD$/Tarea)]]/Tabla2[[#This Row],[Costos (En RD$/Tarea)]])</f>
        <v>-0.33384913147610046</v>
      </c>
      <c r="P3027" s="4">
        <f>Tabla2[[#This Row],[Rentabilidad (%)]]/12</f>
        <v>-2.7820760956341704E-2</v>
      </c>
    </row>
    <row r="3028" spans="1:16" x14ac:dyDescent="0.35">
      <c r="A3028" s="1">
        <v>44197</v>
      </c>
      <c r="B3028" t="s">
        <v>21</v>
      </c>
      <c r="C3028" s="2">
        <v>5784</v>
      </c>
      <c r="D3028" s="5" t="s">
        <v>17</v>
      </c>
      <c r="E3028" s="2">
        <f>IF(Tabla2[[#This Row],[Frecuencia]]="Annual", Tabla2[[#This Row],[Cosecha/Tarea]]/12,Tabla2[[#This Row],[Cosecha/Tarea]])</f>
        <v>5784</v>
      </c>
      <c r="F3028" s="2">
        <v>78544</v>
      </c>
      <c r="G3028" t="s">
        <v>18</v>
      </c>
      <c r="H3028">
        <f>F3028/Tabla2[[#This Row],[Cosecha Mensual]]</f>
        <v>13.579529737206085</v>
      </c>
      <c r="I3028">
        <f>H3028*_xlfn.XLOOKUP(Tabla2[[#This Row],[Unidad de producción]],Tabla3[Medida],Tabla3[Equivalencia en Kg],"ELVIS",0)</f>
        <v>615.96746887966799</v>
      </c>
      <c r="J3028">
        <v>892.55357142857099</v>
      </c>
      <c r="K3028" t="s">
        <v>18</v>
      </c>
      <c r="L3028">
        <f>J3028/_xlfn.XLOOKUP(Tabla2[[#This Row],[Unidad de precio]],Tabla3[Medida],Tabla3[Equivalencia en Kg],"ELVIS",0)</f>
        <v>19.677106953892658</v>
      </c>
      <c r="M3028">
        <v>6695.9501351373101</v>
      </c>
      <c r="N3028" s="2">
        <f>(Tabla2[[#This Row],[Productividad (kg/TAS)]]*Tabla2[[#This Row],[Precio por kg]]-Tabla2[[#This Row],[Costos (En RD$/Tarea)]])</f>
        <v>5424.5076301264644</v>
      </c>
      <c r="O3028" s="6">
        <f>IF(Tabla2[[#This Row],[Costos (En RD$/Tarea)]]=0,0,Tabla2[[#This Row],[Beneficio Neto  (En RD$/Tarea)]]/Tabla2[[#This Row],[Costos (En RD$/Tarea)]])</f>
        <v>0.81011768616093904</v>
      </c>
      <c r="P3028" s="4">
        <f>Tabla2[[#This Row],[Rentabilidad (%)]]/12</f>
        <v>6.7509807180078249E-2</v>
      </c>
    </row>
    <row r="3029" spans="1:16" x14ac:dyDescent="0.35">
      <c r="A3029" s="1">
        <v>44197</v>
      </c>
      <c r="B3029" t="s">
        <v>22</v>
      </c>
      <c r="C3029" s="2">
        <v>9021</v>
      </c>
      <c r="D3029" s="5" t="s">
        <v>17</v>
      </c>
      <c r="E3029" s="2">
        <f>IF(Tabla2[[#This Row],[Frecuencia]]="Annual", Tabla2[[#This Row],[Cosecha/Tarea]]/12,Tabla2[[#This Row],[Cosecha/Tarea]])</f>
        <v>9021</v>
      </c>
      <c r="F3029" s="2">
        <v>75985</v>
      </c>
      <c r="G3029" t="s">
        <v>18</v>
      </c>
      <c r="H3029">
        <f>F3029/Tabla2[[#This Row],[Cosecha Mensual]]</f>
        <v>8.423123822192661</v>
      </c>
      <c r="I3029">
        <f>H3029*_xlfn.XLOOKUP(Tabla2[[#This Row],[Unidad de producción]],Tabla3[Medida],Tabla3[Equivalencia en Kg],"ELVIS",0)</f>
        <v>382.07289657465913</v>
      </c>
      <c r="J3029">
        <v>2024.2249999999999</v>
      </c>
      <c r="K3029" t="s">
        <v>18</v>
      </c>
      <c r="L3029">
        <f>J3029/_xlfn.XLOOKUP(Tabla2[[#This Row],[Unidad de precio]],Tabla3[Medida],Tabla3[Equivalencia en Kg],"ELVIS",0)</f>
        <v>44.625771604938272</v>
      </c>
      <c r="M3029">
        <v>11609.318489158701</v>
      </c>
      <c r="N3029" s="2">
        <f>(Tabla2[[#This Row],[Productividad (kg/TAS)]]*Tabla2[[#This Row],[Precio por kg]]-Tabla2[[#This Row],[Costos (En RD$/Tarea)]])</f>
        <v>5440.979329819238</v>
      </c>
      <c r="O3029" s="6">
        <f>IF(Tabla2[[#This Row],[Costos (En RD$/Tarea)]]=0,0,Tabla2[[#This Row],[Beneficio Neto  (En RD$/Tarea)]]/Tabla2[[#This Row],[Costos (En RD$/Tarea)]])</f>
        <v>0.46867344839408681</v>
      </c>
      <c r="P3029" s="4">
        <f>Tabla2[[#This Row],[Rentabilidad (%)]]/12</f>
        <v>3.9056120699507237E-2</v>
      </c>
    </row>
    <row r="3030" spans="1:16" x14ac:dyDescent="0.35">
      <c r="A3030" s="1">
        <v>44197</v>
      </c>
      <c r="B3030" t="s">
        <v>23</v>
      </c>
      <c r="C3030" s="2">
        <v>5204</v>
      </c>
      <c r="D3030" s="5" t="s">
        <v>17</v>
      </c>
      <c r="E3030" s="2">
        <f>IF(Tabla2[[#This Row],[Frecuencia]]="Annual", Tabla2[[#This Row],[Cosecha/Tarea]]/12,Tabla2[[#This Row],[Cosecha/Tarea]])</f>
        <v>5204</v>
      </c>
      <c r="F3030" s="2">
        <v>146989</v>
      </c>
      <c r="G3030" t="s">
        <v>18</v>
      </c>
      <c r="H3030">
        <f>F3030/Tabla2[[#This Row],[Cosecha Mensual]]</f>
        <v>28.245388162951574</v>
      </c>
      <c r="I3030">
        <f>H3030*_xlfn.XLOOKUP(Tabla2[[#This Row],[Unidad de producción]],Tabla3[Medida],Tabla3[Equivalencia en Kg],"ELVIS",0)</f>
        <v>1281.2108070714835</v>
      </c>
      <c r="J3030">
        <v>1194</v>
      </c>
      <c r="K3030" t="s">
        <v>18</v>
      </c>
      <c r="L3030">
        <f>J3030/_xlfn.XLOOKUP(Tabla2[[#This Row],[Unidad de precio]],Tabla3[Medida],Tabla3[Equivalencia en Kg],"ELVIS",0)</f>
        <v>26.322751322751323</v>
      </c>
      <c r="M3030">
        <v>31774.6512666667</v>
      </c>
      <c r="N3030" s="2">
        <f>(Tabla2[[#This Row],[Productividad (kg/TAS)]]*Tabla2[[#This Row],[Precio por kg]]-Tabla2[[#This Row],[Costos (En RD$/Tarea)]])</f>
        <v>1950.3421998974845</v>
      </c>
      <c r="O3030" s="6">
        <f>IF(Tabla2[[#This Row],[Costos (En RD$/Tarea)]]=0,0,Tabla2[[#This Row],[Beneficio Neto  (En RD$/Tarea)]]/Tabla2[[#This Row],[Costos (En RD$/Tarea)]])</f>
        <v>6.1380443912015401E-2</v>
      </c>
      <c r="P3030" s="4">
        <f>Tabla2[[#This Row],[Rentabilidad (%)]]/12</f>
        <v>5.1150369926679503E-3</v>
      </c>
    </row>
    <row r="3031" spans="1:16" x14ac:dyDescent="0.35">
      <c r="A3031" s="1">
        <v>44197</v>
      </c>
      <c r="B3031" t="s">
        <v>24</v>
      </c>
      <c r="C3031" s="2">
        <v>5998</v>
      </c>
      <c r="D3031" s="5" t="s">
        <v>17</v>
      </c>
      <c r="E3031" s="2">
        <f>IF(Tabla2[[#This Row],[Frecuencia]]="Annual", Tabla2[[#This Row],[Cosecha/Tarea]]/12,Tabla2[[#This Row],[Cosecha/Tarea]])</f>
        <v>5998</v>
      </c>
      <c r="F3031" s="2">
        <v>72141</v>
      </c>
      <c r="G3031" t="s">
        <v>18</v>
      </c>
      <c r="H3031">
        <f>F3031/Tabla2[[#This Row],[Cosecha Mensual]]</f>
        <v>12.027509169723242</v>
      </c>
      <c r="I3031">
        <f>H3031*_xlfn.XLOOKUP(Tabla2[[#This Row],[Unidad de producción]],Tabla3[Medida],Tabla3[Equivalencia en Kg],"ELVIS",0)</f>
        <v>545.56781593864628</v>
      </c>
      <c r="J3031">
        <v>3361.1011904761899</v>
      </c>
      <c r="K3031" t="s">
        <v>18</v>
      </c>
      <c r="L3031">
        <f>J3031/_xlfn.XLOOKUP(Tabla2[[#This Row],[Unidad de precio]],Tabla3[Medida],Tabla3[Equivalencia en Kg],"ELVIS",0)</f>
        <v>74.098350760057102</v>
      </c>
      <c r="M3031">
        <v>9606.8568095338396</v>
      </c>
      <c r="N3031" s="2">
        <f>(Tabla2[[#This Row],[Productividad (kg/TAS)]]*Tabla2[[#This Row],[Precio por kg]]-Tabla2[[#This Row],[Costos (En RD$/Tarea)]])</f>
        <v>30818.818579286242</v>
      </c>
      <c r="O3031" s="6">
        <f>IF(Tabla2[[#This Row],[Costos (En RD$/Tarea)]]=0,0,Tabla2[[#This Row],[Beneficio Neto  (En RD$/Tarea)]]/Tabla2[[#This Row],[Costos (En RD$/Tarea)]])</f>
        <v>3.2080022831923198</v>
      </c>
      <c r="P3031" s="4">
        <f>Tabla2[[#This Row],[Rentabilidad (%)]]/12</f>
        <v>0.26733352359935997</v>
      </c>
    </row>
    <row r="3032" spans="1:16" x14ac:dyDescent="0.35">
      <c r="A3032" s="1">
        <v>44197</v>
      </c>
      <c r="B3032" t="s">
        <v>25</v>
      </c>
      <c r="C3032" s="2">
        <v>27451</v>
      </c>
      <c r="D3032" s="5" t="s">
        <v>17</v>
      </c>
      <c r="E3032" s="2">
        <f>IF(Tabla2[[#This Row],[Frecuencia]]="Annual", Tabla2[[#This Row],[Cosecha/Tarea]]/12,Tabla2[[#This Row],[Cosecha/Tarea]])</f>
        <v>27451</v>
      </c>
      <c r="F3032" s="2">
        <v>289954</v>
      </c>
      <c r="G3032" t="s">
        <v>18</v>
      </c>
      <c r="H3032">
        <f>F3032/Tabla2[[#This Row],[Cosecha Mensual]]</f>
        <v>10.56260245528396</v>
      </c>
      <c r="I3032">
        <f>H3032*_xlfn.XLOOKUP(Tabla2[[#This Row],[Unidad de producción]],Tabla3[Medida],Tabla3[Equivalencia en Kg],"ELVIS",0)</f>
        <v>479.1196473716804</v>
      </c>
      <c r="J3032">
        <v>624.75520833333303</v>
      </c>
      <c r="K3032" t="s">
        <v>18</v>
      </c>
      <c r="L3032">
        <f>J3032/_xlfn.XLOOKUP(Tabla2[[#This Row],[Unidad de precio]],Tabla3[Medida],Tabla3[Equivalencia en Kg],"ELVIS",0)</f>
        <v>13.773262970311574</v>
      </c>
      <c r="M3032">
        <v>5403.3874144923902</v>
      </c>
      <c r="N3032" s="2">
        <f>(Tabla2[[#This Row],[Productividad (kg/TAS)]]*Tabla2[[#This Row],[Precio por kg]]-Tabla2[[#This Row],[Costos (En RD$/Tarea)]])</f>
        <v>1195.6534830007149</v>
      </c>
      <c r="O3032" s="6">
        <f>IF(Tabla2[[#This Row],[Costos (En RD$/Tarea)]]=0,0,Tabla2[[#This Row],[Beneficio Neto  (En RD$/Tarea)]]/Tabla2[[#This Row],[Costos (En RD$/Tarea)]])</f>
        <v>0.22127850388699882</v>
      </c>
      <c r="P3032" s="4">
        <f>Tabla2[[#This Row],[Rentabilidad (%)]]/12</f>
        <v>1.8439875323916569E-2</v>
      </c>
    </row>
    <row r="3033" spans="1:16" x14ac:dyDescent="0.35">
      <c r="A3033" s="1">
        <v>44197</v>
      </c>
      <c r="B3033" t="s">
        <v>26</v>
      </c>
      <c r="C3033" s="2">
        <v>13421</v>
      </c>
      <c r="D3033" s="5" t="s">
        <v>17</v>
      </c>
      <c r="E3033" s="2">
        <f>IF(Tabla2[[#This Row],[Frecuencia]]="Annual", Tabla2[[#This Row],[Cosecha/Tarea]]/12,Tabla2[[#This Row],[Cosecha/Tarea]])</f>
        <v>13421</v>
      </c>
      <c r="F3033" s="2">
        <v>86524</v>
      </c>
      <c r="G3033" t="s">
        <v>18</v>
      </c>
      <c r="H3033">
        <f>F3033/Tabla2[[#This Row],[Cosecha Mensual]]</f>
        <v>6.4469115565159081</v>
      </c>
      <c r="I3033">
        <f>H3033*_xlfn.XLOOKUP(Tabla2[[#This Row],[Unidad de producción]],Tabla3[Medida],Tabla3[Equivalencia en Kg],"ELVIS",0)</f>
        <v>292.43190820356159</v>
      </c>
      <c r="J3033">
        <v>879.97354861111103</v>
      </c>
      <c r="K3033" t="s">
        <v>18</v>
      </c>
      <c r="L3033">
        <f>J3033/_xlfn.XLOOKUP(Tabla2[[#This Row],[Unidad de precio]],Tabla3[Medida],Tabla3[Equivalencia en Kg],"ELVIS",0)</f>
        <v>19.399769590192044</v>
      </c>
      <c r="M3033">
        <v>1910.9913592487401</v>
      </c>
      <c r="N3033" s="2">
        <f>(Tabla2[[#This Row],[Productividad (kg/TAS)]]*Tabla2[[#This Row],[Precio por kg]]-Tabla2[[#This Row],[Costos (En RD$/Tarea)]])</f>
        <v>3762.1202807205455</v>
      </c>
      <c r="O3033" s="6">
        <f>IF(Tabla2[[#This Row],[Costos (En RD$/Tarea)]]=0,0,Tabla2[[#This Row],[Beneficio Neto  (En RD$/Tarea)]]/Tabla2[[#This Row],[Costos (En RD$/Tarea)]])</f>
        <v>1.9686746685236358</v>
      </c>
      <c r="P3033" s="4">
        <f>Tabla2[[#This Row],[Rentabilidad (%)]]/12</f>
        <v>0.16405622237696965</v>
      </c>
    </row>
    <row r="3034" spans="1:16" x14ac:dyDescent="0.35">
      <c r="A3034" s="1">
        <v>44197</v>
      </c>
      <c r="B3034" t="s">
        <v>27</v>
      </c>
      <c r="C3034" s="2">
        <v>6784</v>
      </c>
      <c r="D3034" s="5" t="s">
        <v>17</v>
      </c>
      <c r="E3034" s="2">
        <f>IF(Tabla2[[#This Row],[Frecuencia]]="Annual", Tabla2[[#This Row],[Cosecha/Tarea]]/12,Tabla2[[#This Row],[Cosecha/Tarea]])</f>
        <v>6784</v>
      </c>
      <c r="F3034" s="2">
        <v>57547</v>
      </c>
      <c r="G3034" t="s">
        <v>18</v>
      </c>
      <c r="H3034">
        <f>F3034/Tabla2[[#This Row],[Cosecha Mensual]]</f>
        <v>8.4827535377358494</v>
      </c>
      <c r="I3034">
        <f>H3034*_xlfn.XLOOKUP(Tabla2[[#This Row],[Unidad de producción]],Tabla3[Medida],Tabla3[Equivalencia en Kg],"ELVIS",0)</f>
        <v>384.7777004716981</v>
      </c>
      <c r="J3034">
        <v>809.03333333333296</v>
      </c>
      <c r="K3034" t="s">
        <v>18</v>
      </c>
      <c r="L3034">
        <f>J3034/_xlfn.XLOOKUP(Tabla2[[#This Row],[Unidad de precio]],Tabla3[Medida],Tabla3[Equivalencia en Kg],"ELVIS",0)</f>
        <v>17.835831863609634</v>
      </c>
      <c r="M3034">
        <v>10561.2569707933</v>
      </c>
      <c r="N3034" s="2">
        <f>(Tabla2[[#This Row],[Productividad (kg/TAS)]]*Tabla2[[#This Row],[Precio por kg]]-Tabla2[[#This Row],[Costos (En RD$/Tarea)]])</f>
        <v>-3698.4266003137427</v>
      </c>
      <c r="O3034" s="6">
        <f>IF(Tabla2[[#This Row],[Costos (En RD$/Tarea)]]=0,0,Tabla2[[#This Row],[Beneficio Neto  (En RD$/Tarea)]]/Tabla2[[#This Row],[Costos (En RD$/Tarea)]])</f>
        <v>-0.35018810834179886</v>
      </c>
      <c r="P3034" s="4">
        <f>Tabla2[[#This Row],[Rentabilidad (%)]]/12</f>
        <v>-2.9182342361816573E-2</v>
      </c>
    </row>
    <row r="3035" spans="1:16" x14ac:dyDescent="0.35">
      <c r="A3035" s="1">
        <v>44197</v>
      </c>
      <c r="B3035" t="s">
        <v>28</v>
      </c>
      <c r="C3035" s="2">
        <v>66441</v>
      </c>
      <c r="D3035" s="5" t="s">
        <v>17</v>
      </c>
      <c r="E3035" s="2">
        <f>IF(Tabla2[[#This Row],[Frecuencia]]="Annual", Tabla2[[#This Row],[Cosecha/Tarea]]/12,Tabla2[[#This Row],[Cosecha/Tarea]])</f>
        <v>66441</v>
      </c>
      <c r="F3035" s="2">
        <v>1226087</v>
      </c>
      <c r="G3035" t="s">
        <v>18</v>
      </c>
      <c r="H3035">
        <f>F3035/Tabla2[[#This Row],[Cosecha Mensual]]</f>
        <v>18.453771014885387</v>
      </c>
      <c r="I3035">
        <f>H3035*_xlfn.XLOOKUP(Tabla2[[#This Row],[Unidad de producción]],Tabla3[Medida],Tabla3[Equivalencia en Kg],"ELVIS",0)</f>
        <v>837.0630532352011</v>
      </c>
      <c r="J3035">
        <v>12062.5</v>
      </c>
      <c r="K3035" t="s">
        <v>29</v>
      </c>
      <c r="L3035">
        <f>J3035/_xlfn.XLOOKUP(Tabla2[[#This Row],[Unidad de precio]],Tabla3[Medida],Tabla3[Equivalencia en Kg],"ELVIS",0)</f>
        <v>21.450545933065403</v>
      </c>
      <c r="M3035">
        <v>20320.344000000001</v>
      </c>
      <c r="N3035" s="2">
        <f>(Tabla2[[#This Row],[Productividad (kg/TAS)]]*Tabla2[[#This Row],[Precio por kg]]-Tabla2[[#This Row],[Costos (En RD$/Tarea)]])</f>
        <v>-2364.8845277063483</v>
      </c>
      <c r="O3035" s="6">
        <f>IF(Tabla2[[#This Row],[Costos (En RD$/Tarea)]]=0,0,Tabla2[[#This Row],[Beneficio Neto  (En RD$/Tarea)]]/Tabla2[[#This Row],[Costos (En RD$/Tarea)]])</f>
        <v>-0.11638014236896523</v>
      </c>
      <c r="P3035" s="4">
        <f>Tabla2[[#This Row],[Rentabilidad (%)]]/12</f>
        <v>-9.6983451974137682E-3</v>
      </c>
    </row>
    <row r="3036" spans="1:16" x14ac:dyDescent="0.35">
      <c r="A3036" s="1">
        <v>44197</v>
      </c>
      <c r="B3036" t="s">
        <v>30</v>
      </c>
      <c r="C3036" s="2">
        <v>429547</v>
      </c>
      <c r="D3036" s="2" t="s">
        <v>31</v>
      </c>
      <c r="E3036" s="2">
        <f>IF(Tabla2[[#This Row],[Frecuencia]]="Annual", Tabla2[[#This Row],[Cosecha/Tarea]]/12,Tabla2[[#This Row],[Cosecha/Tarea]])</f>
        <v>35795.583333333336</v>
      </c>
      <c r="F3036" s="2">
        <v>1967392</v>
      </c>
      <c r="G3036" t="s">
        <v>18</v>
      </c>
      <c r="H3036">
        <f>F3036/Tabla2[[#This Row],[Cosecha Mensual]]</f>
        <v>54.961864475831511</v>
      </c>
      <c r="I3036">
        <f>H3036*_xlfn.XLOOKUP(Tabla2[[#This Row],[Unidad de producción]],Tabla3[Medida],Tabla3[Equivalencia en Kg],"ELVIS",0)</f>
        <v>2493.0701726237171</v>
      </c>
      <c r="J3036">
        <v>222.921875</v>
      </c>
      <c r="K3036" t="s">
        <v>32</v>
      </c>
      <c r="L3036">
        <f>J3036/_xlfn.XLOOKUP(Tabla2[[#This Row],[Unidad de precio]],Tabla3[Medida],Tabla3[Equivalencia en Kg],"ELVIS",0)</f>
        <v>8.1926451672179343</v>
      </c>
      <c r="M3036" s="2">
        <v>40592.436194530601</v>
      </c>
      <c r="N3036" s="2">
        <f>(Tabla2[[#This Row],[Productividad (kg/TAS)]]*Tabla2[[#This Row],[Precio por kg]]-Tabla2[[#This Row],[Costos (En RD$/Tarea)]])</f>
        <v>-20167.596893249724</v>
      </c>
      <c r="O3036" s="6">
        <f>IF(Tabla2[[#This Row],[Costos (En RD$/Tarea)]]=0,0,Tabla2[[#This Row],[Beneficio Neto  (En RD$/Tarea)]]/Tabla2[[#This Row],[Costos (En RD$/Tarea)]])</f>
        <v>-0.49683139973666063</v>
      </c>
      <c r="P3036" s="4">
        <f>Tabla2[[#This Row],[Rentabilidad (%)]]/12</f>
        <v>-4.1402616644721717E-2</v>
      </c>
    </row>
    <row r="3037" spans="1:16" x14ac:dyDescent="0.35">
      <c r="A3037" s="1">
        <v>44197</v>
      </c>
      <c r="B3037" t="s">
        <v>33</v>
      </c>
      <c r="C3037" s="2">
        <v>736584</v>
      </c>
      <c r="D3037" s="2" t="s">
        <v>31</v>
      </c>
      <c r="E3037" s="2">
        <f>IF(Tabla2[[#This Row],[Frecuencia]]="Annual", Tabla2[[#This Row],[Cosecha/Tarea]]/12,Tabla2[[#This Row],[Cosecha/Tarea]])</f>
        <v>61382</v>
      </c>
      <c r="F3037" s="2">
        <v>1368126</v>
      </c>
      <c r="G3037" t="s">
        <v>18</v>
      </c>
      <c r="H3037">
        <f>F3037/Tabla2[[#This Row],[Cosecha Mensual]]</f>
        <v>22.288716561858525</v>
      </c>
      <c r="I3037">
        <f>H3037*_xlfn.XLOOKUP(Tabla2[[#This Row],[Unidad de producción]],Tabla3[Medida],Tabla3[Equivalencia en Kg],"ELVIS",0)</f>
        <v>1011.0161832459027</v>
      </c>
      <c r="J3037">
        <v>9687.3229166666697</v>
      </c>
      <c r="K3037" t="s">
        <v>34</v>
      </c>
      <c r="L3037">
        <f>J3037/_xlfn.XLOOKUP(Tabla2[[#This Row],[Unidad de precio]],Tabla3[Medida],Tabla3[Equivalencia en Kg],"ELVIS",0)</f>
        <v>23.734712523990371</v>
      </c>
      <c r="M3037" s="2">
        <v>43963.444034400003</v>
      </c>
      <c r="N3037" s="2">
        <f>(Tabla2[[#This Row],[Productividad (kg/TAS)]]*Tabla2[[#This Row],[Precio por kg]]-Tabla2[[#This Row],[Costos (En RD$/Tarea)]])</f>
        <v>-19967.265567956532</v>
      </c>
      <c r="O3037" s="6">
        <f>IF(Tabla2[[#This Row],[Costos (En RD$/Tarea)]]=0,0,Tabla2[[#This Row],[Beneficio Neto  (En RD$/Tarea)]]/Tabla2[[#This Row],[Costos (En RD$/Tarea)]])</f>
        <v>-0.45417882985538577</v>
      </c>
      <c r="P3037" s="4">
        <f>Tabla2[[#This Row],[Rentabilidad (%)]]/12</f>
        <v>-3.7848235821282147E-2</v>
      </c>
    </row>
    <row r="3038" spans="1:16" x14ac:dyDescent="0.35">
      <c r="A3038" s="1">
        <v>44228</v>
      </c>
      <c r="B3038" t="s">
        <v>16</v>
      </c>
      <c r="C3038" s="2">
        <v>4493</v>
      </c>
      <c r="D3038" s="5" t="s">
        <v>17</v>
      </c>
      <c r="E3038" s="2">
        <f>IF(Tabla2[[#This Row],[Frecuencia]]="Annual", Tabla2[[#This Row],[Cosecha/Tarea]]/12,Tabla2[[#This Row],[Cosecha/Tarea]])</f>
        <v>4493</v>
      </c>
      <c r="F3038" s="2">
        <v>15964</v>
      </c>
      <c r="G3038" t="s">
        <v>18</v>
      </c>
      <c r="H3038">
        <f>F3038/Tabla2[[#This Row],[Cosecha Mensual]]</f>
        <v>3.5530825728911641</v>
      </c>
      <c r="I3038">
        <f>H3038*_xlfn.XLOOKUP(Tabla2[[#This Row],[Unidad de producción]],Tabla3[Medida],Tabla3[Equivalencia en Kg],"ELVIS",0)</f>
        <v>161.16782550634321</v>
      </c>
      <c r="J3038">
        <v>2336.9638797213101</v>
      </c>
      <c r="K3038" t="s">
        <v>19</v>
      </c>
      <c r="L3038">
        <f>J3038/_xlfn.XLOOKUP(Tabla2[[#This Row],[Unidad de precio]],Tabla3[Medida],Tabla3[Equivalencia en Kg],"ELVIS",0)</f>
        <v>21.245126179284636</v>
      </c>
      <c r="M3038">
        <v>7900.3979447716101</v>
      </c>
      <c r="N3038" s="2">
        <f>(Tabla2[[#This Row],[Productividad (kg/TAS)]]*Tabla2[[#This Row],[Precio por kg]]-Tabla2[[#This Row],[Costos (En RD$/Tarea)]])</f>
        <v>-4476.3671558484202</v>
      </c>
      <c r="O3038" s="6">
        <f>IF(Tabla2[[#This Row],[Costos (En RD$/Tarea)]]=0,0,Tabla2[[#This Row],[Beneficio Neto  (En RD$/Tarea)]]/Tabla2[[#This Row],[Costos (En RD$/Tarea)]])</f>
        <v>-0.56660021269065652</v>
      </c>
      <c r="P3038" s="4">
        <f>Tabla2[[#This Row],[Rentabilidad (%)]]/12</f>
        <v>-4.7216684390888046E-2</v>
      </c>
    </row>
    <row r="3039" spans="1:16" x14ac:dyDescent="0.35">
      <c r="A3039" s="1">
        <v>44228</v>
      </c>
      <c r="B3039" t="s">
        <v>20</v>
      </c>
      <c r="C3039" s="2">
        <v>32154</v>
      </c>
      <c r="D3039" s="5" t="s">
        <v>17</v>
      </c>
      <c r="E3039" s="2">
        <f>IF(Tabla2[[#This Row],[Frecuencia]]="Annual", Tabla2[[#This Row],[Cosecha/Tarea]]/12,Tabla2[[#This Row],[Cosecha/Tarea]])</f>
        <v>32154</v>
      </c>
      <c r="F3039" s="2">
        <v>79854</v>
      </c>
      <c r="G3039" t="s">
        <v>18</v>
      </c>
      <c r="H3039">
        <f>F3039/Tabla2[[#This Row],[Cosecha Mensual]]</f>
        <v>2.4834857249486846</v>
      </c>
      <c r="I3039">
        <f>H3039*_xlfn.XLOOKUP(Tabla2[[#This Row],[Unidad de producción]],Tabla3[Medida],Tabla3[Equivalencia en Kg],"ELVIS",0)</f>
        <v>112.65091248367233</v>
      </c>
      <c r="J3039">
        <v>982.61631944444503</v>
      </c>
      <c r="K3039" t="s">
        <v>18</v>
      </c>
      <c r="L3039">
        <f>J3039/_xlfn.XLOOKUP(Tabla2[[#This Row],[Unidad de precio]],Tabla3[Medida],Tabla3[Equivalencia en Kg],"ELVIS",0)</f>
        <v>21.662617271702931</v>
      </c>
      <c r="M3039">
        <v>2759.0657712295701</v>
      </c>
      <c r="N3039" s="2">
        <f>(Tabla2[[#This Row],[Productividad (kg/TAS)]]*Tabla2[[#This Row],[Precio por kg]]-Tabla2[[#This Row],[Costos (En RD$/Tarea)]])</f>
        <v>-318.75216878767469</v>
      </c>
      <c r="O3039" s="6">
        <f>IF(Tabla2[[#This Row],[Costos (En RD$/Tarea)]]=0,0,Tabla2[[#This Row],[Beneficio Neto  (En RD$/Tarea)]]/Tabla2[[#This Row],[Costos (En RD$/Tarea)]])</f>
        <v>-0.11552902149397608</v>
      </c>
      <c r="P3039" s="4">
        <f>Tabla2[[#This Row],[Rentabilidad (%)]]/12</f>
        <v>-9.6274184578313392E-3</v>
      </c>
    </row>
    <row r="3040" spans="1:16" x14ac:dyDescent="0.35">
      <c r="A3040" s="1">
        <v>44228</v>
      </c>
      <c r="B3040" t="s">
        <v>21</v>
      </c>
      <c r="C3040" s="2">
        <v>11452</v>
      </c>
      <c r="D3040" s="5" t="s">
        <v>17</v>
      </c>
      <c r="E3040" s="2">
        <f>IF(Tabla2[[#This Row],[Frecuencia]]="Annual", Tabla2[[#This Row],[Cosecha/Tarea]]/12,Tabla2[[#This Row],[Cosecha/Tarea]])</f>
        <v>11452</v>
      </c>
      <c r="F3040" s="2">
        <v>110249</v>
      </c>
      <c r="G3040" t="s">
        <v>18</v>
      </c>
      <c r="H3040">
        <f>F3040/Tabla2[[#This Row],[Cosecha Mensual]]</f>
        <v>9.6270520433112114</v>
      </c>
      <c r="I3040">
        <f>H3040*_xlfn.XLOOKUP(Tabla2[[#This Row],[Unidad de producción]],Tabla3[Medida],Tabla3[Equivalencia en Kg],"ELVIS",0)</f>
        <v>436.68308068459652</v>
      </c>
      <c r="J3040">
        <v>792.484375</v>
      </c>
      <c r="K3040" t="s">
        <v>18</v>
      </c>
      <c r="L3040">
        <f>J3040/_xlfn.XLOOKUP(Tabla2[[#This Row],[Unidad de precio]],Tabla3[Medida],Tabla3[Equivalencia en Kg],"ELVIS",0)</f>
        <v>17.470995921516757</v>
      </c>
      <c r="M3040">
        <v>6695.9501351373101</v>
      </c>
      <c r="N3040" s="2">
        <f>(Tabla2[[#This Row],[Productividad (kg/TAS)]]*Tabla2[[#This Row],[Precio por kg]]-Tabla2[[#This Row],[Costos (En RD$/Tarea)]])</f>
        <v>933.33818649864861</v>
      </c>
      <c r="O3040" s="6">
        <f>IF(Tabla2[[#This Row],[Costos (En RD$/Tarea)]]=0,0,Tabla2[[#This Row],[Beneficio Neto  (En RD$/Tarea)]]/Tabla2[[#This Row],[Costos (En RD$/Tarea)]])</f>
        <v>0.13938846133290525</v>
      </c>
      <c r="P3040" s="4">
        <f>Tabla2[[#This Row],[Rentabilidad (%)]]/12</f>
        <v>1.1615705111075438E-2</v>
      </c>
    </row>
    <row r="3041" spans="1:16" x14ac:dyDescent="0.35">
      <c r="A3041" s="1">
        <v>44228</v>
      </c>
      <c r="B3041" t="s">
        <v>22</v>
      </c>
      <c r="C3041" s="2">
        <v>9534</v>
      </c>
      <c r="D3041" s="5" t="s">
        <v>17</v>
      </c>
      <c r="E3041" s="2">
        <f>IF(Tabla2[[#This Row],[Frecuencia]]="Annual", Tabla2[[#This Row],[Cosecha/Tarea]]/12,Tabla2[[#This Row],[Cosecha/Tarea]])</f>
        <v>9534</v>
      </c>
      <c r="F3041" s="2">
        <v>82014</v>
      </c>
      <c r="G3041" t="s">
        <v>18</v>
      </c>
      <c r="H3041">
        <f>F3041/Tabla2[[#This Row],[Cosecha Mensual]]</f>
        <v>8.602265575833858</v>
      </c>
      <c r="I3041">
        <f>H3041*_xlfn.XLOOKUP(Tabla2[[#This Row],[Unidad de producción]],Tabla3[Medida],Tabla3[Equivalencia en Kg],"ELVIS",0)</f>
        <v>390.19876651982378</v>
      </c>
      <c r="J3041">
        <v>1870.671875</v>
      </c>
      <c r="K3041" t="s">
        <v>18</v>
      </c>
      <c r="L3041">
        <f>J3041/_xlfn.XLOOKUP(Tabla2[[#This Row],[Unidad de precio]],Tabla3[Medida],Tabla3[Equivalencia en Kg],"ELVIS",0)</f>
        <v>41.240561618165785</v>
      </c>
      <c r="M3041">
        <v>11609.318489158701</v>
      </c>
      <c r="N3041" s="2">
        <f>(Tabla2[[#This Row],[Productividad (kg/TAS)]]*Tabla2[[#This Row],[Precio por kg]]-Tabla2[[#This Row],[Costos (En RD$/Tarea)]])</f>
        <v>4482.6977848343759</v>
      </c>
      <c r="O3041" s="6">
        <f>IF(Tabla2[[#This Row],[Costos (En RD$/Tarea)]]=0,0,Tabla2[[#This Row],[Beneficio Neto  (En RD$/Tarea)]]/Tabla2[[#This Row],[Costos (En RD$/Tarea)]])</f>
        <v>0.38612927959729237</v>
      </c>
      <c r="P3041" s="4">
        <f>Tabla2[[#This Row],[Rentabilidad (%)]]/12</f>
        <v>3.2177439966441033E-2</v>
      </c>
    </row>
    <row r="3042" spans="1:16" x14ac:dyDescent="0.35">
      <c r="A3042" s="1">
        <v>44228</v>
      </c>
      <c r="B3042" t="s">
        <v>23</v>
      </c>
      <c r="C3042" s="2">
        <v>5589</v>
      </c>
      <c r="D3042" s="5" t="s">
        <v>17</v>
      </c>
      <c r="E3042" s="2">
        <f>IF(Tabla2[[#This Row],[Frecuencia]]="Annual", Tabla2[[#This Row],[Cosecha/Tarea]]/12,Tabla2[[#This Row],[Cosecha/Tarea]])</f>
        <v>5589</v>
      </c>
      <c r="F3042" s="2">
        <v>190299</v>
      </c>
      <c r="G3042" t="s">
        <v>18</v>
      </c>
      <c r="H3042">
        <f>F3042/Tabla2[[#This Row],[Cosecha Mensual]]</f>
        <v>34.048845947396671</v>
      </c>
      <c r="I3042">
        <f>H3042*_xlfn.XLOOKUP(Tabla2[[#This Row],[Unidad de producción]],Tabla3[Medida],Tabla3[Equivalencia en Kg],"ELVIS",0)</f>
        <v>1544.455652173913</v>
      </c>
      <c r="J3042">
        <v>1196.6666666666699</v>
      </c>
      <c r="K3042" t="s">
        <v>18</v>
      </c>
      <c r="L3042">
        <f>J3042/_xlfn.XLOOKUP(Tabla2[[#This Row],[Unidad de precio]],Tabla3[Medida],Tabla3[Equivalencia en Kg],"ELVIS",0)</f>
        <v>26.38154027042923</v>
      </c>
      <c r="M3042">
        <v>31774.6512666667</v>
      </c>
      <c r="N3042" s="2">
        <f>(Tabla2[[#This Row],[Productividad (kg/TAS)]]*Tabla2[[#This Row],[Precio por kg]]-Tabla2[[#This Row],[Costos (En RD$/Tarea)]])</f>
        <v>8970.4677170514224</v>
      </c>
      <c r="O3042" s="6">
        <f>IF(Tabla2[[#This Row],[Costos (En RD$/Tarea)]]=0,0,Tabla2[[#This Row],[Beneficio Neto  (En RD$/Tarea)]]/Tabla2[[#This Row],[Costos (En RD$/Tarea)]])</f>
        <v>0.28231522170825268</v>
      </c>
      <c r="P3042" s="4">
        <f>Tabla2[[#This Row],[Rentabilidad (%)]]/12</f>
        <v>2.3526268475687725E-2</v>
      </c>
    </row>
    <row r="3043" spans="1:16" x14ac:dyDescent="0.35">
      <c r="A3043" s="1">
        <v>44228</v>
      </c>
      <c r="B3043" t="s">
        <v>24</v>
      </c>
      <c r="C3043" s="2">
        <v>7629</v>
      </c>
      <c r="D3043" s="5" t="s">
        <v>17</v>
      </c>
      <c r="E3043" s="2">
        <f>IF(Tabla2[[#This Row],[Frecuencia]]="Annual", Tabla2[[#This Row],[Cosecha/Tarea]]/12,Tabla2[[#This Row],[Cosecha/Tarea]])</f>
        <v>7629</v>
      </c>
      <c r="F3043" s="2">
        <v>67524</v>
      </c>
      <c r="G3043" t="s">
        <v>18</v>
      </c>
      <c r="H3043">
        <f>F3043/Tabla2[[#This Row],[Cosecha Mensual]]</f>
        <v>8.8509634290208421</v>
      </c>
      <c r="I3043">
        <f>H3043*_xlfn.XLOOKUP(Tabla2[[#This Row],[Unidad de producción]],Tabla3[Medida],Tabla3[Equivalencia en Kg],"ELVIS",0)</f>
        <v>401.47970114038537</v>
      </c>
      <c r="J3043">
        <v>2929.7332407407398</v>
      </c>
      <c r="K3043" t="s">
        <v>18</v>
      </c>
      <c r="L3043">
        <f>J3043/_xlfn.XLOOKUP(Tabla2[[#This Row],[Unidad de precio]],Tabla3[Medida],Tabla3[Equivalencia en Kg],"ELVIS",0)</f>
        <v>64.588475324972222</v>
      </c>
      <c r="M3043">
        <v>9606.8568095338396</v>
      </c>
      <c r="N3043" s="2">
        <f>(Tabla2[[#This Row],[Productividad (kg/TAS)]]*Tabla2[[#This Row],[Precio por kg]]-Tabla2[[#This Row],[Costos (En RD$/Tarea)]])</f>
        <v>16324.104961049163</v>
      </c>
      <c r="O3043" s="6">
        <f>IF(Tabla2[[#This Row],[Costos (En RD$/Tarea)]]=0,0,Tabla2[[#This Row],[Beneficio Neto  (En RD$/Tarea)]]/Tabla2[[#This Row],[Costos (En RD$/Tarea)]])</f>
        <v>1.6992139348688042</v>
      </c>
      <c r="P3043" s="4">
        <f>Tabla2[[#This Row],[Rentabilidad (%)]]/12</f>
        <v>0.14160116123906702</v>
      </c>
    </row>
    <row r="3044" spans="1:16" x14ac:dyDescent="0.35">
      <c r="A3044" s="1">
        <v>44228</v>
      </c>
      <c r="B3044" t="s">
        <v>25</v>
      </c>
      <c r="C3044" s="2">
        <v>37214</v>
      </c>
      <c r="D3044" s="5" t="s">
        <v>17</v>
      </c>
      <c r="E3044" s="2">
        <f>IF(Tabla2[[#This Row],[Frecuencia]]="Annual", Tabla2[[#This Row],[Cosecha/Tarea]]/12,Tabla2[[#This Row],[Cosecha/Tarea]])</f>
        <v>37214</v>
      </c>
      <c r="F3044" s="2">
        <v>425789</v>
      </c>
      <c r="G3044" t="s">
        <v>18</v>
      </c>
      <c r="H3044">
        <f>F3044/Tabla2[[#This Row],[Cosecha Mensual]]</f>
        <v>11.44163486859784</v>
      </c>
      <c r="I3044">
        <f>H3044*_xlfn.XLOOKUP(Tabla2[[#This Row],[Unidad de producción]],Tabla3[Medida],Tabla3[Equivalencia en Kg],"ELVIS",0)</f>
        <v>518.99255763959798</v>
      </c>
      <c r="J3044">
        <v>637.16937499999995</v>
      </c>
      <c r="K3044" t="s">
        <v>18</v>
      </c>
      <c r="L3044">
        <f>J3044/_xlfn.XLOOKUP(Tabla2[[#This Row],[Unidad de precio]],Tabla3[Medida],Tabla3[Equivalencia en Kg],"ELVIS",0)</f>
        <v>14.046943893298058</v>
      </c>
      <c r="M3044">
        <v>5403.3874144923902</v>
      </c>
      <c r="N3044" s="2">
        <f>(Tabla2[[#This Row],[Productividad (kg/TAS)]]*Tabla2[[#This Row],[Precio por kg]]-Tabla2[[#This Row],[Costos (En RD$/Tarea)]])</f>
        <v>1886.8719237103014</v>
      </c>
      <c r="O3044" s="6">
        <f>IF(Tabla2[[#This Row],[Costos (En RD$/Tarea)]]=0,0,Tabla2[[#This Row],[Beneficio Neto  (En RD$/Tarea)]]/Tabla2[[#This Row],[Costos (En RD$/Tarea)]])</f>
        <v>0.34920167275985697</v>
      </c>
      <c r="P3044" s="4">
        <f>Tabla2[[#This Row],[Rentabilidad (%)]]/12</f>
        <v>2.9100139396654748E-2</v>
      </c>
    </row>
    <row r="3045" spans="1:16" x14ac:dyDescent="0.35">
      <c r="A3045" s="1">
        <v>44228</v>
      </c>
      <c r="B3045" t="s">
        <v>26</v>
      </c>
      <c r="C3045" s="2">
        <v>14201</v>
      </c>
      <c r="D3045" s="5" t="s">
        <v>17</v>
      </c>
      <c r="E3045" s="2">
        <f>IF(Tabla2[[#This Row],[Frecuencia]]="Annual", Tabla2[[#This Row],[Cosecha/Tarea]]/12,Tabla2[[#This Row],[Cosecha/Tarea]])</f>
        <v>14201</v>
      </c>
      <c r="F3045" s="2">
        <v>93254</v>
      </c>
      <c r="G3045" t="s">
        <v>18</v>
      </c>
      <c r="H3045">
        <f>F3045/Tabla2[[#This Row],[Cosecha Mensual]]</f>
        <v>6.566720653475107</v>
      </c>
      <c r="I3045">
        <f>H3045*_xlfn.XLOOKUP(Tabla2[[#This Row],[Unidad de producción]],Tabla3[Medida],Tabla3[Equivalencia en Kg],"ELVIS",0)</f>
        <v>297.86644884163087</v>
      </c>
      <c r="J3045">
        <v>834.30312500000002</v>
      </c>
      <c r="K3045" t="s">
        <v>18</v>
      </c>
      <c r="L3045">
        <f>J3045/_xlfn.XLOOKUP(Tabla2[[#This Row],[Unidad de precio]],Tabla3[Medida],Tabla3[Equivalencia en Kg],"ELVIS",0)</f>
        <v>18.392926036155202</v>
      </c>
      <c r="M3045">
        <v>1910.9913592487401</v>
      </c>
      <c r="N3045" s="2">
        <f>(Tabla2[[#This Row],[Productividad (kg/TAS)]]*Tabla2[[#This Row],[Precio por kg]]-Tabla2[[#This Row],[Costos (En RD$/Tarea)]])</f>
        <v>3567.6442029475838</v>
      </c>
      <c r="O3045" s="6">
        <f>IF(Tabla2[[#This Row],[Costos (En RD$/Tarea)]]=0,0,Tabla2[[#This Row],[Beneficio Neto  (En RD$/Tarea)]]/Tabla2[[#This Row],[Costos (En RD$/Tarea)]])</f>
        <v>1.8669075533392869</v>
      </c>
      <c r="P3045" s="4">
        <f>Tabla2[[#This Row],[Rentabilidad (%)]]/12</f>
        <v>0.15557562944494058</v>
      </c>
    </row>
    <row r="3046" spans="1:16" x14ac:dyDescent="0.35">
      <c r="A3046" s="1">
        <v>44228</v>
      </c>
      <c r="B3046" t="s">
        <v>27</v>
      </c>
      <c r="C3046" s="2">
        <v>6824</v>
      </c>
      <c r="D3046" s="5" t="s">
        <v>17</v>
      </c>
      <c r="E3046" s="2">
        <f>IF(Tabla2[[#This Row],[Frecuencia]]="Annual", Tabla2[[#This Row],[Cosecha/Tarea]]/12,Tabla2[[#This Row],[Cosecha/Tarea]])</f>
        <v>6824</v>
      </c>
      <c r="F3046" s="2">
        <v>63994</v>
      </c>
      <c r="G3046" t="s">
        <v>18</v>
      </c>
      <c r="H3046">
        <f>F3046/Tabla2[[#This Row],[Cosecha Mensual]]</f>
        <v>9.3777842907385693</v>
      </c>
      <c r="I3046">
        <f>H3046*_xlfn.XLOOKUP(Tabla2[[#This Row],[Unidad de producción]],Tabla3[Medida],Tabla3[Equivalencia en Kg],"ELVIS",0)</f>
        <v>425.37629542790148</v>
      </c>
      <c r="J3046">
        <v>682.338425925926</v>
      </c>
      <c r="K3046" t="s">
        <v>18</v>
      </c>
      <c r="L3046">
        <f>J3046/_xlfn.XLOOKUP(Tabla2[[#This Row],[Unidad de precio]],Tabla3[Medida],Tabla3[Equivalencia en Kg],"ELVIS",0)</f>
        <v>15.042734257626234</v>
      </c>
      <c r="M3046">
        <v>10561.2569707933</v>
      </c>
      <c r="N3046" s="2">
        <f>(Tabla2[[#This Row],[Productividad (kg/TAS)]]*Tabla2[[#This Row],[Precio por kg]]-Tabla2[[#This Row],[Costos (En RD$/Tarea)]])</f>
        <v>-4162.4343991778687</v>
      </c>
      <c r="O3046" s="6">
        <f>IF(Tabla2[[#This Row],[Costos (En RD$/Tarea)]]=0,0,Tabla2[[#This Row],[Beneficio Neto  (En RD$/Tarea)]]/Tabla2[[#This Row],[Costos (En RD$/Tarea)]])</f>
        <v>-0.39412301118028858</v>
      </c>
      <c r="P3046" s="4">
        <f>Tabla2[[#This Row],[Rentabilidad (%)]]/12</f>
        <v>-3.2843584265024046E-2</v>
      </c>
    </row>
    <row r="3047" spans="1:16" x14ac:dyDescent="0.35">
      <c r="A3047" s="1">
        <v>44228</v>
      </c>
      <c r="B3047" t="s">
        <v>28</v>
      </c>
      <c r="C3047" s="2">
        <v>90154</v>
      </c>
      <c r="D3047" s="5" t="s">
        <v>17</v>
      </c>
      <c r="E3047" s="2">
        <f>IF(Tabla2[[#This Row],[Frecuencia]]="Annual", Tabla2[[#This Row],[Cosecha/Tarea]]/12,Tabla2[[#This Row],[Cosecha/Tarea]])</f>
        <v>90154</v>
      </c>
      <c r="F3047" s="2">
        <v>1916060</v>
      </c>
      <c r="G3047" t="s">
        <v>18</v>
      </c>
      <c r="H3047">
        <f>F3047/Tabla2[[#This Row],[Cosecha Mensual]]</f>
        <v>21.253188987732102</v>
      </c>
      <c r="I3047">
        <f>H3047*_xlfn.XLOOKUP(Tabla2[[#This Row],[Unidad de producción]],Tabla3[Medida],Tabla3[Equivalencia en Kg],"ELVIS",0)</f>
        <v>964.04465248352813</v>
      </c>
      <c r="J3047">
        <v>12055.5555555556</v>
      </c>
      <c r="K3047" t="s">
        <v>29</v>
      </c>
      <c r="L3047">
        <f>J3047/_xlfn.XLOOKUP(Tabla2[[#This Row],[Unidad de precio]],Tabla3[Medida],Tabla3[Equivalencia en Kg],"ELVIS",0)</f>
        <v>21.438196741394172</v>
      </c>
      <c r="M3047">
        <v>20320.344000000001</v>
      </c>
      <c r="N3047" s="2">
        <f>(Tabla2[[#This Row],[Productividad (kg/TAS)]]*Tabla2[[#This Row],[Precio por kg]]-Tabla2[[#This Row],[Costos (En RD$/Tarea)]])</f>
        <v>347.03492743085008</v>
      </c>
      <c r="O3047" s="6">
        <f>IF(Tabla2[[#This Row],[Costos (En RD$/Tarea)]]=0,0,Tabla2[[#This Row],[Beneficio Neto  (En RD$/Tarea)]]/Tabla2[[#This Row],[Costos (En RD$/Tarea)]])</f>
        <v>1.7078201404014129E-2</v>
      </c>
      <c r="P3047" s="4">
        <f>Tabla2[[#This Row],[Rentabilidad (%)]]/12</f>
        <v>1.4231834503345107E-3</v>
      </c>
    </row>
    <row r="3048" spans="1:16" x14ac:dyDescent="0.35">
      <c r="A3048" s="1">
        <v>44228</v>
      </c>
      <c r="B3048" t="s">
        <v>30</v>
      </c>
      <c r="C3048" s="2">
        <v>495219</v>
      </c>
      <c r="D3048" s="2" t="s">
        <v>31</v>
      </c>
      <c r="E3048" s="2">
        <f>IF(Tabla2[[#This Row],[Frecuencia]]="Annual", Tabla2[[#This Row],[Cosecha/Tarea]]/12,Tabla2[[#This Row],[Cosecha/Tarea]])</f>
        <v>41268.25</v>
      </c>
      <c r="F3048" s="2">
        <v>2235248</v>
      </c>
      <c r="G3048" t="s">
        <v>18</v>
      </c>
      <c r="H3048">
        <f>F3048/Tabla2[[#This Row],[Cosecha Mensual]]</f>
        <v>54.163866895252404</v>
      </c>
      <c r="I3048">
        <f>H3048*_xlfn.XLOOKUP(Tabla2[[#This Row],[Unidad de producción]],Tabla3[Medida],Tabla3[Equivalencia en Kg],"ELVIS",0)</f>
        <v>2456.8730023686489</v>
      </c>
      <c r="J3048">
        <v>225.674479166667</v>
      </c>
      <c r="K3048" t="s">
        <v>32</v>
      </c>
      <c r="L3048">
        <f>J3048/_xlfn.XLOOKUP(Tabla2[[#This Row],[Unidad de precio]],Tabla3[Medida],Tabla3[Equivalencia en Kg],"ELVIS",0)</f>
        <v>8.2938066580914001</v>
      </c>
      <c r="M3048" s="2">
        <v>40592.436194530601</v>
      </c>
      <c r="N3048" s="2">
        <f>(Tabla2[[#This Row],[Productividad (kg/TAS)]]*Tabla2[[#This Row],[Precio por kg]]-Tabla2[[#This Row],[Costos (En RD$/Tarea)]])</f>
        <v>-20215.606529400491</v>
      </c>
      <c r="O3048" s="6">
        <f>IF(Tabla2[[#This Row],[Costos (En RD$/Tarea)]]=0,0,Tabla2[[#This Row],[Beneficio Neto  (En RD$/Tarea)]]/Tabla2[[#This Row],[Costos (En RD$/Tarea)]])</f>
        <v>-0.49801412343229423</v>
      </c>
      <c r="P3048" s="4">
        <f>Tabla2[[#This Row],[Rentabilidad (%)]]/12</f>
        <v>-4.1501176952691184E-2</v>
      </c>
    </row>
    <row r="3049" spans="1:16" x14ac:dyDescent="0.35">
      <c r="A3049" s="1">
        <v>44228</v>
      </c>
      <c r="B3049" t="s">
        <v>33</v>
      </c>
      <c r="C3049" s="2">
        <v>788458</v>
      </c>
      <c r="D3049" s="2" t="s">
        <v>31</v>
      </c>
      <c r="E3049" s="2">
        <f>IF(Tabla2[[#This Row],[Frecuencia]]="Annual", Tabla2[[#This Row],[Cosecha/Tarea]]/12,Tabla2[[#This Row],[Cosecha/Tarea]])</f>
        <v>65704.833333333328</v>
      </c>
      <c r="F3049" s="2">
        <v>1472301</v>
      </c>
      <c r="G3049" t="s">
        <v>18</v>
      </c>
      <c r="H3049">
        <f>F3049/Tabla2[[#This Row],[Cosecha Mensual]]</f>
        <v>22.407803586240487</v>
      </c>
      <c r="I3049">
        <f>H3049*_xlfn.XLOOKUP(Tabla2[[#This Row],[Unidad de producción]],Tabla3[Medida],Tabla3[Equivalencia en Kg],"ELVIS",0)</f>
        <v>1016.4179706718685</v>
      </c>
      <c r="J3049">
        <v>8810.546875</v>
      </c>
      <c r="K3049" t="s">
        <v>34</v>
      </c>
      <c r="L3049">
        <f>J3049/_xlfn.XLOOKUP(Tabla2[[#This Row],[Unidad de precio]],Tabla3[Medida],Tabla3[Equivalencia en Kg],"ELVIS",0)</f>
        <v>21.586541406345706</v>
      </c>
      <c r="M3049" s="2">
        <v>43963.444034400003</v>
      </c>
      <c r="N3049" s="2">
        <f>(Tabla2[[#This Row],[Productividad (kg/TAS)]]*Tabla2[[#This Row],[Precio por kg]]-Tabla2[[#This Row],[Costos (En RD$/Tarea)]])</f>
        <v>-22022.495424337838</v>
      </c>
      <c r="O3049" s="6">
        <f>IF(Tabla2[[#This Row],[Costos (En RD$/Tarea)]]=0,0,Tabla2[[#This Row],[Beneficio Neto  (En RD$/Tarea)]]/Tabla2[[#This Row],[Costos (En RD$/Tarea)]])</f>
        <v>-0.50092743887639768</v>
      </c>
      <c r="P3049" s="4">
        <f>Tabla2[[#This Row],[Rentabilidad (%)]]/12</f>
        <v>-4.1743953239699809E-2</v>
      </c>
    </row>
    <row r="3050" spans="1:16" x14ac:dyDescent="0.35">
      <c r="A3050" s="1">
        <v>44256</v>
      </c>
      <c r="B3050" t="s">
        <v>16</v>
      </c>
      <c r="C3050" s="2">
        <v>140220</v>
      </c>
      <c r="D3050" s="5" t="s">
        <v>17</v>
      </c>
      <c r="E3050" s="2">
        <f>IF(Tabla2[[#This Row],[Frecuencia]]="Annual", Tabla2[[#This Row],[Cosecha/Tarea]]/12,Tabla2[[#This Row],[Cosecha/Tarea]])</f>
        <v>140220</v>
      </c>
      <c r="F3050" s="2">
        <v>742789</v>
      </c>
      <c r="G3050" t="s">
        <v>18</v>
      </c>
      <c r="H3050">
        <f>F3050/Tabla2[[#This Row],[Cosecha Mensual]]</f>
        <v>5.2973113678505204</v>
      </c>
      <c r="I3050">
        <f>H3050*_xlfn.XLOOKUP(Tabla2[[#This Row],[Unidad de producción]],Tabla3[Medida],Tabla3[Equivalencia en Kg],"ELVIS",0)</f>
        <v>240.28604364569961</v>
      </c>
      <c r="J3050">
        <v>2352.1666666666702</v>
      </c>
      <c r="K3050" t="s">
        <v>19</v>
      </c>
      <c r="L3050">
        <f>J3050/_xlfn.XLOOKUP(Tabla2[[#This Row],[Unidad de precio]],Tabla3[Medida],Tabla3[Equivalencia en Kg],"ELVIS",0)</f>
        <v>21.383333333333365</v>
      </c>
      <c r="M3050">
        <v>7900.3979447716101</v>
      </c>
      <c r="N3050" s="2">
        <f>(Tabla2[[#This Row],[Productividad (kg/TAS)]]*Tabla2[[#This Row],[Precio por kg]]-Tabla2[[#This Row],[Costos (En RD$/Tarea)]])</f>
        <v>-2762.2813781477262</v>
      </c>
      <c r="O3050" s="6">
        <f>IF(Tabla2[[#This Row],[Costos (En RD$/Tarea)]]=0,0,Tabla2[[#This Row],[Beneficio Neto  (En RD$/Tarea)]]/Tabla2[[#This Row],[Costos (En RD$/Tarea)]])</f>
        <v>-0.34963825840896678</v>
      </c>
      <c r="P3050" s="4">
        <f>Tabla2[[#This Row],[Rentabilidad (%)]]/12</f>
        <v>-2.9136521534080567E-2</v>
      </c>
    </row>
    <row r="3051" spans="1:16" x14ac:dyDescent="0.35">
      <c r="A3051" s="1">
        <v>44256</v>
      </c>
      <c r="B3051" t="s">
        <v>20</v>
      </c>
      <c r="C3051" s="2">
        <v>34784</v>
      </c>
      <c r="D3051" s="5" t="s">
        <v>17</v>
      </c>
      <c r="E3051" s="2">
        <f>IF(Tabla2[[#This Row],[Frecuencia]]="Annual", Tabla2[[#This Row],[Cosecha/Tarea]]/12,Tabla2[[#This Row],[Cosecha/Tarea]])</f>
        <v>34784</v>
      </c>
      <c r="F3051" s="2">
        <v>85421</v>
      </c>
      <c r="G3051" t="s">
        <v>18</v>
      </c>
      <c r="H3051">
        <f>F3051/Tabla2[[#This Row],[Cosecha Mensual]]</f>
        <v>2.4557555197792089</v>
      </c>
      <c r="I3051">
        <f>H3051*_xlfn.XLOOKUP(Tabla2[[#This Row],[Unidad de producción]],Tabla3[Medida],Tabla3[Equivalencia en Kg],"ELVIS",0)</f>
        <v>111.39307037718491</v>
      </c>
      <c r="J3051">
        <v>1005.484375</v>
      </c>
      <c r="K3051" t="s">
        <v>18</v>
      </c>
      <c r="L3051">
        <f>J3051/_xlfn.XLOOKUP(Tabla2[[#This Row],[Unidad de precio]],Tabla3[Medida],Tabla3[Equivalencia en Kg],"ELVIS",0)</f>
        <v>22.166763117283949</v>
      </c>
      <c r="M3051">
        <v>2759.0657712295701</v>
      </c>
      <c r="N3051" s="2">
        <f>(Tabla2[[#This Row],[Productividad (kg/TAS)]]*Tabla2[[#This Row],[Precio por kg]]-Tabla2[[#This Row],[Costos (En RD$/Tarea)]])</f>
        <v>-289.84196727157223</v>
      </c>
      <c r="O3051" s="6">
        <f>IF(Tabla2[[#This Row],[Costos (En RD$/Tarea)]]=0,0,Tabla2[[#This Row],[Beneficio Neto  (En RD$/Tarea)]]/Tabla2[[#This Row],[Costos (En RD$/Tarea)]])</f>
        <v>-0.105050764028146</v>
      </c>
      <c r="P3051" s="4">
        <f>Tabla2[[#This Row],[Rentabilidad (%)]]/12</f>
        <v>-8.7542303356788337E-3</v>
      </c>
    </row>
    <row r="3052" spans="1:16" x14ac:dyDescent="0.35">
      <c r="A3052" s="1">
        <v>44256</v>
      </c>
      <c r="B3052" t="s">
        <v>21</v>
      </c>
      <c r="C3052" s="2">
        <v>10754</v>
      </c>
      <c r="D3052" s="5" t="s">
        <v>17</v>
      </c>
      <c r="E3052" s="2">
        <f>IF(Tabla2[[#This Row],[Frecuencia]]="Annual", Tabla2[[#This Row],[Cosecha/Tarea]]/12,Tabla2[[#This Row],[Cosecha/Tarea]])</f>
        <v>10754</v>
      </c>
      <c r="F3052" s="2">
        <v>128744</v>
      </c>
      <c r="G3052" t="s">
        <v>18</v>
      </c>
      <c r="H3052">
        <f>F3052/Tabla2[[#This Row],[Cosecha Mensual]]</f>
        <v>11.971731448763251</v>
      </c>
      <c r="I3052">
        <f>H3052*_xlfn.XLOOKUP(Tabla2[[#This Row],[Unidad de producción]],Tabla3[Medida],Tabla3[Equivalencia en Kg],"ELVIS",0)</f>
        <v>543.03773851590108</v>
      </c>
      <c r="J3052">
        <v>823.03125</v>
      </c>
      <c r="K3052" t="s">
        <v>18</v>
      </c>
      <c r="L3052">
        <f>J3052/_xlfn.XLOOKUP(Tabla2[[#This Row],[Unidad de precio]],Tabla3[Medida],Tabla3[Equivalencia en Kg],"ELVIS",0)</f>
        <v>18.144427910052912</v>
      </c>
      <c r="M3052">
        <v>6695.9501351373101</v>
      </c>
      <c r="N3052" s="2">
        <f>(Tabla2[[#This Row],[Productividad (kg/TAS)]]*Tabla2[[#This Row],[Precio por kg]]-Tabla2[[#This Row],[Costos (En RD$/Tarea)]])</f>
        <v>3157.1589638026207</v>
      </c>
      <c r="O3052" s="6">
        <f>IF(Tabla2[[#This Row],[Costos (En RD$/Tarea)]]=0,0,Tabla2[[#This Row],[Beneficio Neto  (En RD$/Tarea)]]/Tabla2[[#This Row],[Costos (En RD$/Tarea)]])</f>
        <v>0.47150275914321438</v>
      </c>
      <c r="P3052" s="4">
        <f>Tabla2[[#This Row],[Rentabilidad (%)]]/12</f>
        <v>3.9291896595267863E-2</v>
      </c>
    </row>
    <row r="3053" spans="1:16" x14ac:dyDescent="0.35">
      <c r="A3053" s="1">
        <v>44256</v>
      </c>
      <c r="B3053" t="s">
        <v>22</v>
      </c>
      <c r="C3053" s="2">
        <v>7014</v>
      </c>
      <c r="D3053" s="5" t="s">
        <v>17</v>
      </c>
      <c r="E3053" s="2">
        <f>IF(Tabla2[[#This Row],[Frecuencia]]="Annual", Tabla2[[#This Row],[Cosecha/Tarea]]/12,Tabla2[[#This Row],[Cosecha/Tarea]])</f>
        <v>7014</v>
      </c>
      <c r="F3053" s="2">
        <v>72145</v>
      </c>
      <c r="G3053" t="s">
        <v>18</v>
      </c>
      <c r="H3053">
        <f>F3053/Tabla2[[#This Row],[Cosecha Mensual]]</f>
        <v>10.285856857713146</v>
      </c>
      <c r="I3053">
        <f>H3053*_xlfn.XLOOKUP(Tabla2[[#This Row],[Unidad de producción]],Tabla3[Medida],Tabla3[Equivalencia en Kg],"ELVIS",0)</f>
        <v>466.56646706586827</v>
      </c>
      <c r="J3053">
        <v>2072.8095238095202</v>
      </c>
      <c r="K3053" t="s">
        <v>18</v>
      </c>
      <c r="L3053">
        <f>J3053/_xlfn.XLOOKUP(Tabla2[[#This Row],[Unidad de precio]],Tabla3[Medida],Tabla3[Equivalencia en Kg],"ELVIS",0)</f>
        <v>45.696858990509703</v>
      </c>
      <c r="M3053">
        <v>11609.318489158701</v>
      </c>
      <c r="N3053" s="2">
        <f>(Tabla2[[#This Row],[Productividad (kg/TAS)]]*Tabla2[[#This Row],[Precio por kg]]-Tabla2[[#This Row],[Costos (En RD$/Tarea)]])</f>
        <v>9711.3035660505702</v>
      </c>
      <c r="O3053" s="6">
        <f>IF(Tabla2[[#This Row],[Costos (En RD$/Tarea)]]=0,0,Tabla2[[#This Row],[Beneficio Neto  (En RD$/Tarea)]]/Tabla2[[#This Row],[Costos (En RD$/Tarea)]])</f>
        <v>0.83650935884991173</v>
      </c>
      <c r="P3053" s="4">
        <f>Tabla2[[#This Row],[Rentabilidad (%)]]/12</f>
        <v>6.970911323749264E-2</v>
      </c>
    </row>
    <row r="3054" spans="1:16" x14ac:dyDescent="0.35">
      <c r="A3054" s="1">
        <v>44256</v>
      </c>
      <c r="B3054" t="s">
        <v>23</v>
      </c>
      <c r="C3054" s="2">
        <v>4852</v>
      </c>
      <c r="D3054" s="5" t="s">
        <v>17</v>
      </c>
      <c r="E3054" s="2">
        <f>IF(Tabla2[[#This Row],[Frecuencia]]="Annual", Tabla2[[#This Row],[Cosecha/Tarea]]/12,Tabla2[[#This Row],[Cosecha/Tarea]])</f>
        <v>4852</v>
      </c>
      <c r="F3054" s="2">
        <v>220145</v>
      </c>
      <c r="G3054" t="s">
        <v>18</v>
      </c>
      <c r="H3054">
        <f>F3054/Tabla2[[#This Row],[Cosecha Mensual]]</f>
        <v>45.372011541632318</v>
      </c>
      <c r="I3054">
        <f>H3054*_xlfn.XLOOKUP(Tabla2[[#This Row],[Unidad de producción]],Tabla3[Medida],Tabla3[Equivalencia en Kg],"ELVIS",0)</f>
        <v>2058.0744435284419</v>
      </c>
      <c r="J3054">
        <v>1250</v>
      </c>
      <c r="K3054" t="s">
        <v>18</v>
      </c>
      <c r="L3054">
        <f>J3054/_xlfn.XLOOKUP(Tabla2[[#This Row],[Unidad de precio]],Tabla3[Medida],Tabla3[Equivalencia en Kg],"ELVIS",0)</f>
        <v>27.557319223985893</v>
      </c>
      <c r="M3054">
        <v>31774.6512666667</v>
      </c>
      <c r="N3054" s="2">
        <f>(Tabla2[[#This Row],[Productividad (kg/TAS)]]*Tabla2[[#This Row],[Precio por kg]]-Tabla2[[#This Row],[Costos (En RD$/Tarea)]])</f>
        <v>24940.363160373698</v>
      </c>
      <c r="O3054" s="6">
        <f>IF(Tabla2[[#This Row],[Costos (En RD$/Tarea)]]=0,0,Tabla2[[#This Row],[Beneficio Neto  (En RD$/Tarea)]]/Tabla2[[#This Row],[Costos (En RD$/Tarea)]])</f>
        <v>0.78491382804057608</v>
      </c>
      <c r="P3054" s="4">
        <f>Tabla2[[#This Row],[Rentabilidad (%)]]/12</f>
        <v>6.5409485670048007E-2</v>
      </c>
    </row>
    <row r="3055" spans="1:16" x14ac:dyDescent="0.35">
      <c r="A3055" s="1">
        <v>44256</v>
      </c>
      <c r="B3055" t="s">
        <v>24</v>
      </c>
      <c r="C3055" s="2">
        <v>6324</v>
      </c>
      <c r="D3055" s="5" t="s">
        <v>17</v>
      </c>
      <c r="E3055" s="2">
        <f>IF(Tabla2[[#This Row],[Frecuencia]]="Annual", Tabla2[[#This Row],[Cosecha/Tarea]]/12,Tabla2[[#This Row],[Cosecha/Tarea]])</f>
        <v>6324</v>
      </c>
      <c r="F3055" s="2">
        <v>53547</v>
      </c>
      <c r="G3055" t="s">
        <v>18</v>
      </c>
      <c r="H3055">
        <f>F3055/Tabla2[[#This Row],[Cosecha Mensual]]</f>
        <v>8.4672675521821628</v>
      </c>
      <c r="I3055">
        <f>H3055*_xlfn.XLOOKUP(Tabla2[[#This Row],[Unidad de producción]],Tabla3[Medida],Tabla3[Equivalencia en Kg],"ELVIS",0)</f>
        <v>384.07525616698291</v>
      </c>
      <c r="J3055">
        <v>2748.9732142857101</v>
      </c>
      <c r="K3055" t="s">
        <v>18</v>
      </c>
      <c r="L3055">
        <f>J3055/_xlfn.XLOOKUP(Tabla2[[#This Row],[Unidad de precio]],Tabla3[Medida],Tabla3[Equivalencia en Kg],"ELVIS",0)</f>
        <v>60.603465923406311</v>
      </c>
      <c r="M3055">
        <v>9606.8568095338396</v>
      </c>
      <c r="N3055" s="2">
        <f>(Tabla2[[#This Row],[Productividad (kg/TAS)]]*Tabla2[[#This Row],[Precio por kg]]-Tabla2[[#This Row],[Costos (En RD$/Tarea)]])</f>
        <v>13669.43488960546</v>
      </c>
      <c r="O3055" s="6">
        <f>IF(Tabla2[[#This Row],[Costos (En RD$/Tarea)]]=0,0,Tabla2[[#This Row],[Beneficio Neto  (En RD$/Tarea)]]/Tabla2[[#This Row],[Costos (En RD$/Tarea)]])</f>
        <v>1.4228831719485939</v>
      </c>
      <c r="P3055" s="4">
        <f>Tabla2[[#This Row],[Rentabilidad (%)]]/12</f>
        <v>0.11857359766238283</v>
      </c>
    </row>
    <row r="3056" spans="1:16" x14ac:dyDescent="0.35">
      <c r="A3056" s="1">
        <v>44256</v>
      </c>
      <c r="B3056" t="s">
        <v>25</v>
      </c>
      <c r="C3056" s="2">
        <v>29668</v>
      </c>
      <c r="D3056" s="5" t="s">
        <v>17</v>
      </c>
      <c r="E3056" s="2">
        <f>IF(Tabla2[[#This Row],[Frecuencia]]="Annual", Tabla2[[#This Row],[Cosecha/Tarea]]/12,Tabla2[[#This Row],[Cosecha/Tarea]])</f>
        <v>29668</v>
      </c>
      <c r="F3056" s="2">
        <v>295411</v>
      </c>
      <c r="G3056" t="s">
        <v>18</v>
      </c>
      <c r="H3056">
        <f>F3056/Tabla2[[#This Row],[Cosecha Mensual]]</f>
        <v>9.9572266414992576</v>
      </c>
      <c r="I3056">
        <f>H3056*_xlfn.XLOOKUP(Tabla2[[#This Row],[Unidad de producción]],Tabla3[Medida],Tabla3[Equivalencia en Kg],"ELVIS",0)</f>
        <v>451.65980045840632</v>
      </c>
      <c r="J3056">
        <v>654.39781249999999</v>
      </c>
      <c r="K3056" t="s">
        <v>18</v>
      </c>
      <c r="L3056">
        <f>J3056/_xlfn.XLOOKUP(Tabla2[[#This Row],[Unidad de precio]],Tabla3[Medida],Tabla3[Equivalencia en Kg],"ELVIS",0)</f>
        <v>14.426759534832451</v>
      </c>
      <c r="M3056">
        <v>5403.3874144923902</v>
      </c>
      <c r="N3056" s="2">
        <f>(Tabla2[[#This Row],[Productividad (kg/TAS)]]*Tabla2[[#This Row],[Precio por kg]]-Tabla2[[#This Row],[Costos (En RD$/Tarea)]])</f>
        <v>1112.5999182714449</v>
      </c>
      <c r="O3056" s="6">
        <f>IF(Tabla2[[#This Row],[Costos (En RD$/Tarea)]]=0,0,Tabla2[[#This Row],[Beneficio Neto  (En RD$/Tarea)]]/Tabla2[[#This Row],[Costos (En RD$/Tarea)]])</f>
        <v>0.20590785611399026</v>
      </c>
      <c r="P3056" s="4">
        <f>Tabla2[[#This Row],[Rentabilidad (%)]]/12</f>
        <v>1.715898800949919E-2</v>
      </c>
    </row>
    <row r="3057" spans="1:16" x14ac:dyDescent="0.35">
      <c r="A3057" s="1">
        <v>44256</v>
      </c>
      <c r="B3057" t="s">
        <v>26</v>
      </c>
      <c r="C3057" s="2">
        <v>14812</v>
      </c>
      <c r="D3057" s="5" t="s">
        <v>17</v>
      </c>
      <c r="E3057" s="2">
        <f>IF(Tabla2[[#This Row],[Frecuencia]]="Annual", Tabla2[[#This Row],[Cosecha/Tarea]]/12,Tabla2[[#This Row],[Cosecha/Tarea]])</f>
        <v>14812</v>
      </c>
      <c r="F3057" s="2">
        <v>83995</v>
      </c>
      <c r="G3057" t="s">
        <v>18</v>
      </c>
      <c r="H3057">
        <f>F3057/Tabla2[[#This Row],[Cosecha Mensual]]</f>
        <v>5.670739940588712</v>
      </c>
      <c r="I3057">
        <f>H3057*_xlfn.XLOOKUP(Tabla2[[#This Row],[Unidad de producción]],Tabla3[Medida],Tabla3[Equivalencia en Kg],"ELVIS",0)</f>
        <v>257.22476370510395</v>
      </c>
      <c r="J3057">
        <v>902.37152777777806</v>
      </c>
      <c r="K3057" t="s">
        <v>18</v>
      </c>
      <c r="L3057">
        <f>J3057/_xlfn.XLOOKUP(Tabla2[[#This Row],[Unidad de precio]],Tabla3[Medida],Tabla3[Equivalencia en Kg],"ELVIS",0)</f>
        <v>19.893552199686464</v>
      </c>
      <c r="M3057">
        <v>1910.9913592487401</v>
      </c>
      <c r="N3057" s="2">
        <f>(Tabla2[[#This Row],[Productividad (kg/TAS)]]*Tabla2[[#This Row],[Precio por kg]]-Tabla2[[#This Row],[Costos (En RD$/Tarea)]])</f>
        <v>3206.1229045707614</v>
      </c>
      <c r="O3057" s="6">
        <f>IF(Tabla2[[#This Row],[Costos (En RD$/Tarea)]]=0,0,Tabla2[[#This Row],[Beneficio Neto  (En RD$/Tarea)]]/Tabla2[[#This Row],[Costos (En RD$/Tarea)]])</f>
        <v>1.6777275779159833</v>
      </c>
      <c r="P3057" s="4">
        <f>Tabla2[[#This Row],[Rentabilidad (%)]]/12</f>
        <v>0.1398106314929986</v>
      </c>
    </row>
    <row r="3058" spans="1:16" x14ac:dyDescent="0.35">
      <c r="A3058" s="1">
        <v>44256</v>
      </c>
      <c r="B3058" t="s">
        <v>27</v>
      </c>
      <c r="C3058" s="2">
        <v>5954</v>
      </c>
      <c r="D3058" s="5" t="s">
        <v>17</v>
      </c>
      <c r="E3058" s="2">
        <f>IF(Tabla2[[#This Row],[Frecuencia]]="Annual", Tabla2[[#This Row],[Cosecha/Tarea]]/12,Tabla2[[#This Row],[Cosecha/Tarea]])</f>
        <v>5954</v>
      </c>
      <c r="F3058" s="2">
        <v>55989</v>
      </c>
      <c r="G3058" t="s">
        <v>18</v>
      </c>
      <c r="H3058">
        <f>F3058/Tabla2[[#This Row],[Cosecha Mensual]]</f>
        <v>9.403594222371515</v>
      </c>
      <c r="I3058">
        <f>H3058*_xlfn.XLOOKUP(Tabla2[[#This Row],[Unidad de producción]],Tabla3[Medida],Tabla3[Equivalencia en Kg],"ELVIS",0)</f>
        <v>426.54703392677192</v>
      </c>
      <c r="J3058">
        <v>839.453125</v>
      </c>
      <c r="K3058" t="s">
        <v>18</v>
      </c>
      <c r="L3058">
        <f>J3058/_xlfn.XLOOKUP(Tabla2[[#This Row],[Unidad de precio]],Tabla3[Medida],Tabla3[Equivalencia en Kg],"ELVIS",0)</f>
        <v>18.506462191358025</v>
      </c>
      <c r="M3058">
        <v>10561.2569707933</v>
      </c>
      <c r="N3058" s="2">
        <f>(Tabla2[[#This Row],[Productividad (kg/TAS)]]*Tabla2[[#This Row],[Precio por kg]]-Tabla2[[#This Row],[Costos (En RD$/Tarea)]])</f>
        <v>-2667.3804145915865</v>
      </c>
      <c r="O3058" s="6">
        <f>IF(Tabla2[[#This Row],[Costos (En RD$/Tarea)]]=0,0,Tabla2[[#This Row],[Beneficio Neto  (En RD$/Tarea)]]/Tabla2[[#This Row],[Costos (En RD$/Tarea)]])</f>
        <v>-0.25256277940856015</v>
      </c>
      <c r="P3058" s="4">
        <f>Tabla2[[#This Row],[Rentabilidad (%)]]/12</f>
        <v>-2.104689828404668E-2</v>
      </c>
    </row>
    <row r="3059" spans="1:16" x14ac:dyDescent="0.35">
      <c r="A3059" s="1">
        <v>44256</v>
      </c>
      <c r="B3059" t="s">
        <v>28</v>
      </c>
      <c r="C3059" s="2">
        <v>76547</v>
      </c>
      <c r="D3059" s="5" t="s">
        <v>17</v>
      </c>
      <c r="E3059" s="2">
        <f>IF(Tabla2[[#This Row],[Frecuencia]]="Annual", Tabla2[[#This Row],[Cosecha/Tarea]]/12,Tabla2[[#This Row],[Cosecha/Tarea]])</f>
        <v>76547</v>
      </c>
      <c r="F3059" s="2">
        <v>1270395</v>
      </c>
      <c r="G3059" t="s">
        <v>18</v>
      </c>
      <c r="H3059">
        <f>F3059/Tabla2[[#This Row],[Cosecha Mensual]]</f>
        <v>16.59627418448796</v>
      </c>
      <c r="I3059">
        <f>H3059*_xlfn.XLOOKUP(Tabla2[[#This Row],[Unidad de producción]],Tabla3[Medida],Tabla3[Equivalencia en Kg],"ELVIS",0)</f>
        <v>752.80699700837386</v>
      </c>
      <c r="J3059">
        <v>12333.333333333299</v>
      </c>
      <c r="K3059" t="s">
        <v>29</v>
      </c>
      <c r="L3059">
        <f>J3059/_xlfn.XLOOKUP(Tabla2[[#This Row],[Unidad de precio]],Tabla3[Medida],Tabla3[Equivalencia en Kg],"ELVIS",0)</f>
        <v>21.932164408246432</v>
      </c>
      <c r="M3059">
        <v>20320.344000000001</v>
      </c>
      <c r="N3059" s="2">
        <f>(Tabla2[[#This Row],[Productividad (kg/TAS)]]*Tabla2[[#This Row],[Precio por kg]]-Tabla2[[#This Row],[Costos (En RD$/Tarea)]])</f>
        <v>-3809.6571739340652</v>
      </c>
      <c r="O3059" s="6">
        <f>IF(Tabla2[[#This Row],[Costos (En RD$/Tarea)]]=0,0,Tabla2[[#This Row],[Beneficio Neto  (En RD$/Tarea)]]/Tabla2[[#This Row],[Costos (En RD$/Tarea)]])</f>
        <v>-0.18747995476523749</v>
      </c>
      <c r="P3059" s="4">
        <f>Tabla2[[#This Row],[Rentabilidad (%)]]/12</f>
        <v>-1.5623329563769791E-2</v>
      </c>
    </row>
    <row r="3060" spans="1:16" x14ac:dyDescent="0.35">
      <c r="A3060" s="1">
        <v>44256</v>
      </c>
      <c r="B3060" t="s">
        <v>30</v>
      </c>
      <c r="C3060" s="2">
        <v>490124</v>
      </c>
      <c r="D3060" s="2" t="s">
        <v>31</v>
      </c>
      <c r="E3060" s="2">
        <f>IF(Tabla2[[#This Row],[Frecuencia]]="Annual", Tabla2[[#This Row],[Cosecha/Tarea]]/12,Tabla2[[#This Row],[Cosecha/Tarea]])</f>
        <v>40843.666666666664</v>
      </c>
      <c r="F3060" s="2">
        <v>2279939</v>
      </c>
      <c r="G3060" t="s">
        <v>18</v>
      </c>
      <c r="H3060">
        <f>F3060/Tabla2[[#This Row],[Cosecha Mensual]]</f>
        <v>55.821114656699123</v>
      </c>
      <c r="I3060">
        <f>H3060*_xlfn.XLOOKUP(Tabla2[[#This Row],[Unidad de producción]],Tabla3[Medida],Tabla3[Equivalencia en Kg],"ELVIS",0)</f>
        <v>2532.0457608278721</v>
      </c>
      <c r="J3060">
        <v>255.0625</v>
      </c>
      <c r="K3060" t="s">
        <v>32</v>
      </c>
      <c r="L3060">
        <f>J3060/_xlfn.XLOOKUP(Tabla2[[#This Row],[Unidad de precio]],Tabla3[Medida],Tabla3[Equivalencia en Kg],"ELVIS",0)</f>
        <v>9.3738515251745671</v>
      </c>
      <c r="M3060" s="2">
        <v>40592.436194530601</v>
      </c>
      <c r="N3060" s="2">
        <f>(Tabla2[[#This Row],[Productividad (kg/TAS)]]*Tabla2[[#This Row],[Precio por kg]]-Tabla2[[#This Row],[Costos (En RD$/Tarea)]])</f>
        <v>-16857.415177582454</v>
      </c>
      <c r="O3060" s="6">
        <f>IF(Tabla2[[#This Row],[Costos (En RD$/Tarea)]]=0,0,Tabla2[[#This Row],[Beneficio Neto  (En RD$/Tarea)]]/Tabla2[[#This Row],[Costos (En RD$/Tarea)]])</f>
        <v>-0.41528463817241429</v>
      </c>
      <c r="P3060" s="4">
        <f>Tabla2[[#This Row],[Rentabilidad (%)]]/12</f>
        <v>-3.4607053181034526E-2</v>
      </c>
    </row>
    <row r="3061" spans="1:16" x14ac:dyDescent="0.35">
      <c r="A3061" s="1">
        <v>44256</v>
      </c>
      <c r="B3061" t="s">
        <v>33</v>
      </c>
      <c r="C3061" s="2">
        <v>765241</v>
      </c>
      <c r="D3061" s="2" t="s">
        <v>31</v>
      </c>
      <c r="E3061" s="2">
        <f>IF(Tabla2[[#This Row],[Frecuencia]]="Annual", Tabla2[[#This Row],[Cosecha/Tarea]]/12,Tabla2[[#This Row],[Cosecha/Tarea]])</f>
        <v>63770.083333333336</v>
      </c>
      <c r="F3061" s="2">
        <v>1787166</v>
      </c>
      <c r="G3061" t="s">
        <v>18</v>
      </c>
      <c r="H3061">
        <f>F3061/Tabla2[[#This Row],[Cosecha Mensual]]</f>
        <v>28.02514763322927</v>
      </c>
      <c r="I3061">
        <f>H3061*_xlfn.XLOOKUP(Tabla2[[#This Row],[Unidad de producción]],Tabla3[Medida],Tabla3[Equivalencia en Kg],"ELVIS",0)</f>
        <v>1271.2206966432798</v>
      </c>
      <c r="J3061">
        <v>7782.5677083333303</v>
      </c>
      <c r="K3061" t="s">
        <v>34</v>
      </c>
      <c r="L3061">
        <f>J3061/_xlfn.XLOOKUP(Tabla2[[#This Row],[Unidad de precio]],Tabla3[Medida],Tabla3[Equivalencia en Kg],"ELVIS",0)</f>
        <v>19.067910592510916</v>
      </c>
      <c r="M3061" s="2">
        <v>43963.444034400003</v>
      </c>
      <c r="N3061" s="2">
        <f>(Tabla2[[#This Row],[Productividad (kg/TAS)]]*Tabla2[[#This Row],[Precio por kg]]-Tabla2[[#This Row],[Costos (En RD$/Tarea)]])</f>
        <v>-19723.921447456501</v>
      </c>
      <c r="O3061" s="6">
        <f>IF(Tabla2[[#This Row],[Costos (En RD$/Tarea)]]=0,0,Tabla2[[#This Row],[Beneficio Neto  (En RD$/Tarea)]]/Tabla2[[#This Row],[Costos (En RD$/Tarea)]])</f>
        <v>-0.44864368296585583</v>
      </c>
      <c r="P3061" s="4">
        <f>Tabla2[[#This Row],[Rentabilidad (%)]]/12</f>
        <v>-3.7386973580487988E-2</v>
      </c>
    </row>
    <row r="3062" spans="1:16" x14ac:dyDescent="0.35">
      <c r="A3062" s="1">
        <v>44287</v>
      </c>
      <c r="B3062" t="s">
        <v>16</v>
      </c>
      <c r="C3062" s="2">
        <v>558329</v>
      </c>
      <c r="D3062" s="5" t="s">
        <v>17</v>
      </c>
      <c r="E3062" s="2">
        <f>IF(Tabla2[[#This Row],[Frecuencia]]="Annual", Tabla2[[#This Row],[Cosecha/Tarea]]/12,Tabla2[[#This Row],[Cosecha/Tarea]])</f>
        <v>558329</v>
      </c>
      <c r="F3062" s="2">
        <v>3132098</v>
      </c>
      <c r="G3062" t="s">
        <v>18</v>
      </c>
      <c r="H3062">
        <f>F3062/Tabla2[[#This Row],[Cosecha Mensual]]</f>
        <v>5.6097712997175497</v>
      </c>
      <c r="I3062">
        <f>H3062*_xlfn.XLOOKUP(Tabla2[[#This Row],[Unidad de producción]],Tabla3[Medida],Tabla3[Equivalencia en Kg],"ELVIS",0)</f>
        <v>254.45922615518805</v>
      </c>
      <c r="J3062">
        <v>2499.90525703612</v>
      </c>
      <c r="K3062" t="s">
        <v>19</v>
      </c>
      <c r="L3062">
        <f>J3062/_xlfn.XLOOKUP(Tabla2[[#This Row],[Unidad de precio]],Tabla3[Medida],Tabla3[Equivalencia en Kg],"ELVIS",0)</f>
        <v>22.726411427601089</v>
      </c>
      <c r="M3062">
        <v>7900.3979447716101</v>
      </c>
      <c r="N3062" s="2">
        <f>(Tabla2[[#This Row],[Productividad (kg/TAS)]]*Tabla2[[#This Row],[Precio por kg]]-Tabla2[[#This Row],[Costos (En RD$/Tarea)]])</f>
        <v>-2117.4528796198147</v>
      </c>
      <c r="O3062" s="6">
        <f>IF(Tabla2[[#This Row],[Costos (En RD$/Tarea)]]=0,0,Tabla2[[#This Row],[Beneficio Neto  (En RD$/Tarea)]]/Tabla2[[#This Row],[Costos (En RD$/Tarea)]])</f>
        <v>-0.26801850924751452</v>
      </c>
      <c r="P3062" s="4">
        <f>Tabla2[[#This Row],[Rentabilidad (%)]]/12</f>
        <v>-2.2334875770626209E-2</v>
      </c>
    </row>
    <row r="3063" spans="1:16" x14ac:dyDescent="0.35">
      <c r="A3063" s="1">
        <v>44287</v>
      </c>
      <c r="B3063" t="s">
        <v>20</v>
      </c>
      <c r="C3063" s="2">
        <v>29524</v>
      </c>
      <c r="D3063" s="5" t="s">
        <v>17</v>
      </c>
      <c r="E3063" s="2">
        <f>IF(Tabla2[[#This Row],[Frecuencia]]="Annual", Tabla2[[#This Row],[Cosecha/Tarea]]/12,Tabla2[[#This Row],[Cosecha/Tarea]])</f>
        <v>29524</v>
      </c>
      <c r="F3063" s="2">
        <v>73854</v>
      </c>
      <c r="G3063" t="s">
        <v>18</v>
      </c>
      <c r="H3063">
        <f>F3063/Tabla2[[#This Row],[Cosecha Mensual]]</f>
        <v>2.5014903129657227</v>
      </c>
      <c r="I3063">
        <f>H3063*_xlfn.XLOOKUP(Tabla2[[#This Row],[Unidad de producción]],Tabla3[Medida],Tabla3[Equivalencia en Kg],"ELVIS",0)</f>
        <v>113.46760059612518</v>
      </c>
      <c r="J3063">
        <v>1057.3359375</v>
      </c>
      <c r="K3063" t="s">
        <v>18</v>
      </c>
      <c r="L3063">
        <f>J3063/_xlfn.XLOOKUP(Tabla2[[#This Row],[Unidad de precio]],Tabla3[Medida],Tabla3[Equivalencia en Kg],"ELVIS",0)</f>
        <v>23.309875165343914</v>
      </c>
      <c r="M3063">
        <v>2759.0657712295701</v>
      </c>
      <c r="N3063" s="2">
        <f>(Tabla2[[#This Row],[Productividad (kg/TAS)]]*Tabla2[[#This Row],[Precio por kg]]-Tabla2[[#This Row],[Costos (En RD$/Tarea)]])</f>
        <v>-114.15016602278956</v>
      </c>
      <c r="O3063" s="6">
        <f>IF(Tabla2[[#This Row],[Costos (En RD$/Tarea)]]=0,0,Tabla2[[#This Row],[Beneficio Neto  (En RD$/Tarea)]]/Tabla2[[#This Row],[Costos (En RD$/Tarea)]])</f>
        <v>-4.1372760016488791E-2</v>
      </c>
      <c r="P3063" s="4">
        <f>Tabla2[[#This Row],[Rentabilidad (%)]]/12</f>
        <v>-3.4477300013740658E-3</v>
      </c>
    </row>
    <row r="3064" spans="1:16" x14ac:dyDescent="0.35">
      <c r="A3064" s="1">
        <v>44287</v>
      </c>
      <c r="B3064" t="s">
        <v>21</v>
      </c>
      <c r="C3064" s="2">
        <v>12420</v>
      </c>
      <c r="D3064" s="5" t="s">
        <v>17</v>
      </c>
      <c r="E3064" s="2">
        <f>IF(Tabla2[[#This Row],[Frecuencia]]="Annual", Tabla2[[#This Row],[Cosecha/Tarea]]/12,Tabla2[[#This Row],[Cosecha/Tarea]])</f>
        <v>12420</v>
      </c>
      <c r="F3064" s="2">
        <v>145301</v>
      </c>
      <c r="G3064" t="s">
        <v>18</v>
      </c>
      <c r="H3064">
        <f>F3064/Tabla2[[#This Row],[Cosecha Mensual]]</f>
        <v>11.698953301127213</v>
      </c>
      <c r="I3064">
        <f>H3064*_xlfn.XLOOKUP(Tabla2[[#This Row],[Unidad de producción]],Tabla3[Medida],Tabla3[Equivalencia en Kg],"ELVIS",0)</f>
        <v>530.66452173913035</v>
      </c>
      <c r="J3064">
        <v>836.74479166666697</v>
      </c>
      <c r="K3064" t="s">
        <v>18</v>
      </c>
      <c r="L3064">
        <f>J3064/_xlfn.XLOOKUP(Tabla2[[#This Row],[Unidad de precio]],Tabla3[Medida],Tabla3[Equivalencia en Kg],"ELVIS",0)</f>
        <v>18.44675466637273</v>
      </c>
      <c r="M3064">
        <v>6695.9501351373101</v>
      </c>
      <c r="N3064" s="2">
        <f>(Tabla2[[#This Row],[Productividad (kg/TAS)]]*Tabla2[[#This Row],[Precio por kg]]-Tabla2[[#This Row],[Costos (En RD$/Tarea)]])</f>
        <v>3093.088107532446</v>
      </c>
      <c r="O3064" s="6">
        <f>IF(Tabla2[[#This Row],[Costos (En RD$/Tarea)]]=0,0,Tabla2[[#This Row],[Beneficio Neto  (En RD$/Tarea)]]/Tabla2[[#This Row],[Costos (En RD$/Tarea)]])</f>
        <v>0.46193416096415085</v>
      </c>
      <c r="P3064" s="4">
        <f>Tabla2[[#This Row],[Rentabilidad (%)]]/12</f>
        <v>3.8494513413679238E-2</v>
      </c>
    </row>
    <row r="3065" spans="1:16" x14ac:dyDescent="0.35">
      <c r="A3065" s="1">
        <v>44287</v>
      </c>
      <c r="B3065" t="s">
        <v>22</v>
      </c>
      <c r="C3065" s="2">
        <v>9124</v>
      </c>
      <c r="D3065" s="5" t="s">
        <v>17</v>
      </c>
      <c r="E3065" s="2">
        <f>IF(Tabla2[[#This Row],[Frecuencia]]="Annual", Tabla2[[#This Row],[Cosecha/Tarea]]/12,Tabla2[[#This Row],[Cosecha/Tarea]])</f>
        <v>9124</v>
      </c>
      <c r="F3065" s="2">
        <v>88544</v>
      </c>
      <c r="G3065" t="s">
        <v>18</v>
      </c>
      <c r="H3065">
        <f>F3065/Tabla2[[#This Row],[Cosecha Mensual]]</f>
        <v>9.7045155633494087</v>
      </c>
      <c r="I3065">
        <f>H3065*_xlfn.XLOOKUP(Tabla2[[#This Row],[Unidad de producción]],Tabla3[Medida],Tabla3[Equivalencia en Kg],"ELVIS",0)</f>
        <v>440.19682595352918</v>
      </c>
      <c r="J3065">
        <v>1880.7222222222199</v>
      </c>
      <c r="K3065" t="s">
        <v>18</v>
      </c>
      <c r="L3065">
        <f>J3065/_xlfn.XLOOKUP(Tabla2[[#This Row],[Unidad de precio]],Tabla3[Medida],Tabla3[Equivalencia en Kg],"ELVIS",0)</f>
        <v>41.462130119537477</v>
      </c>
      <c r="M3065">
        <v>11609.318489158701</v>
      </c>
      <c r="N3065" s="2">
        <f>(Tabla2[[#This Row],[Productividad (kg/TAS)]]*Tabla2[[#This Row],[Precio por kg]]-Tabla2[[#This Row],[Costos (En RD$/Tarea)]])</f>
        <v>6642.1795867339169</v>
      </c>
      <c r="O3065" s="6">
        <f>IF(Tabla2[[#This Row],[Costos (En RD$/Tarea)]]=0,0,Tabla2[[#This Row],[Beneficio Neto  (En RD$/Tarea)]]/Tabla2[[#This Row],[Costos (En RD$/Tarea)]])</f>
        <v>0.5721420764652706</v>
      </c>
      <c r="P3065" s="4">
        <f>Tabla2[[#This Row],[Rentabilidad (%)]]/12</f>
        <v>4.7678506372105883E-2</v>
      </c>
    </row>
    <row r="3066" spans="1:16" x14ac:dyDescent="0.35">
      <c r="A3066" s="1">
        <v>44287</v>
      </c>
      <c r="B3066" t="s">
        <v>23</v>
      </c>
      <c r="C3066" s="2">
        <v>4561</v>
      </c>
      <c r="D3066" s="5" t="s">
        <v>17</v>
      </c>
      <c r="E3066" s="2">
        <f>IF(Tabla2[[#This Row],[Frecuencia]]="Annual", Tabla2[[#This Row],[Cosecha/Tarea]]/12,Tabla2[[#This Row],[Cosecha/Tarea]])</f>
        <v>4561</v>
      </c>
      <c r="F3066" s="2">
        <v>175425</v>
      </c>
      <c r="G3066" t="s">
        <v>18</v>
      </c>
      <c r="H3066">
        <f>F3066/Tabla2[[#This Row],[Cosecha Mensual]]</f>
        <v>38.461960096470072</v>
      </c>
      <c r="I3066">
        <f>H3066*_xlfn.XLOOKUP(Tabla2[[#This Row],[Unidad de producción]],Tabla3[Medida],Tabla3[Equivalencia en Kg],"ELVIS",0)</f>
        <v>1744.6345099758826</v>
      </c>
      <c r="J3066">
        <v>1037.3333333333301</v>
      </c>
      <c r="K3066" t="s">
        <v>18</v>
      </c>
      <c r="L3066">
        <f>J3066/_xlfn.XLOOKUP(Tabla2[[#This Row],[Unidad de precio]],Tabla3[Medida],Tabla3[Equivalencia en Kg],"ELVIS",0)</f>
        <v>22.868900646678352</v>
      </c>
      <c r="M3066">
        <v>31774.6512666667</v>
      </c>
      <c r="N3066" s="2">
        <f>(Tabla2[[#This Row],[Productividad (kg/TAS)]]*Tabla2[[#This Row],[Precio por kg]]-Tabla2[[#This Row],[Costos (En RD$/Tarea)]])</f>
        <v>8123.2220067381313</v>
      </c>
      <c r="O3066" s="6">
        <f>IF(Tabla2[[#This Row],[Costos (En RD$/Tarea)]]=0,0,Tabla2[[#This Row],[Beneficio Neto  (En RD$/Tarea)]]/Tabla2[[#This Row],[Costos (En RD$/Tarea)]])</f>
        <v>0.25565102000851297</v>
      </c>
      <c r="P3066" s="4">
        <f>Tabla2[[#This Row],[Rentabilidad (%)]]/12</f>
        <v>2.1304251667376081E-2</v>
      </c>
    </row>
    <row r="3067" spans="1:16" x14ac:dyDescent="0.35">
      <c r="A3067" s="1">
        <v>44287</v>
      </c>
      <c r="B3067" t="s">
        <v>24</v>
      </c>
      <c r="C3067" s="2">
        <v>7124</v>
      </c>
      <c r="D3067" s="5" t="s">
        <v>17</v>
      </c>
      <c r="E3067" s="2">
        <f>IF(Tabla2[[#This Row],[Frecuencia]]="Annual", Tabla2[[#This Row],[Cosecha/Tarea]]/12,Tabla2[[#This Row],[Cosecha/Tarea]])</f>
        <v>7124</v>
      </c>
      <c r="F3067" s="2">
        <v>68544</v>
      </c>
      <c r="G3067" t="s">
        <v>18</v>
      </c>
      <c r="H3067">
        <f>F3067/Tabla2[[#This Row],[Cosecha Mensual]]</f>
        <v>9.6215609208309942</v>
      </c>
      <c r="I3067">
        <f>H3067*_xlfn.XLOOKUP(Tabla2[[#This Row],[Unidad de producción]],Tabla3[Medida],Tabla3[Equivalencia en Kg],"ELVIS",0)</f>
        <v>436.43400336889391</v>
      </c>
      <c r="J3067">
        <v>2603.00595238095</v>
      </c>
      <c r="K3067" t="s">
        <v>18</v>
      </c>
      <c r="L3067">
        <f>J3067/_xlfn.XLOOKUP(Tabla2[[#This Row],[Unidad de precio]],Tabla3[Medida],Tabla3[Equivalencia en Kg],"ELVIS",0)</f>
        <v>57.385492777357804</v>
      </c>
      <c r="M3067">
        <v>9606.8568095338396</v>
      </c>
      <c r="N3067" s="2">
        <f>(Tabla2[[#This Row],[Productividad (kg/TAS)]]*Tabla2[[#This Row],[Precio por kg]]-Tabla2[[#This Row],[Costos (En RD$/Tarea)]])</f>
        <v>15438.123538585174</v>
      </c>
      <c r="O3067" s="6">
        <f>IF(Tabla2[[#This Row],[Costos (En RD$/Tarea)]]=0,0,Tabla2[[#This Row],[Beneficio Neto  (En RD$/Tarea)]]/Tabla2[[#This Row],[Costos (En RD$/Tarea)]])</f>
        <v>1.6069900743461054</v>
      </c>
      <c r="P3067" s="4">
        <f>Tabla2[[#This Row],[Rentabilidad (%)]]/12</f>
        <v>0.13391583952884212</v>
      </c>
    </row>
    <row r="3068" spans="1:16" x14ac:dyDescent="0.35">
      <c r="A3068" s="1">
        <v>44287</v>
      </c>
      <c r="B3068" t="s">
        <v>25</v>
      </c>
      <c r="C3068" s="2">
        <v>30102</v>
      </c>
      <c r="D3068" s="5" t="s">
        <v>17</v>
      </c>
      <c r="E3068" s="2">
        <f>IF(Tabla2[[#This Row],[Frecuencia]]="Annual", Tabla2[[#This Row],[Cosecha/Tarea]]/12,Tabla2[[#This Row],[Cosecha/Tarea]])</f>
        <v>30102</v>
      </c>
      <c r="F3068" s="2">
        <v>292140</v>
      </c>
      <c r="G3068" t="s">
        <v>18</v>
      </c>
      <c r="H3068">
        <f>F3068/Tabla2[[#This Row],[Cosecha Mensual]]</f>
        <v>9.7050029898345631</v>
      </c>
      <c r="I3068">
        <f>H3068*_xlfn.XLOOKUP(Tabla2[[#This Row],[Unidad de producción]],Tabla3[Medida],Tabla3[Equivalencia en Kg],"ELVIS",0)</f>
        <v>440.21893561889578</v>
      </c>
      <c r="J3068">
        <v>757.80989583333303</v>
      </c>
      <c r="K3068" t="s">
        <v>18</v>
      </c>
      <c r="L3068">
        <f>J3068/_xlfn.XLOOKUP(Tabla2[[#This Row],[Unidad de precio]],Tabla3[Medida],Tabla3[Equivalencia en Kg],"ELVIS",0)</f>
        <v>16.706567368459723</v>
      </c>
      <c r="M3068">
        <v>5403.3874144923902</v>
      </c>
      <c r="N3068" s="2">
        <f>(Tabla2[[#This Row],[Productividad (kg/TAS)]]*Tabla2[[#This Row],[Precio por kg]]-Tabla2[[#This Row],[Costos (En RD$/Tarea)]])</f>
        <v>1951.159890296326</v>
      </c>
      <c r="O3068" s="6">
        <f>IF(Tabla2[[#This Row],[Costos (En RD$/Tarea)]]=0,0,Tabla2[[#This Row],[Beneficio Neto  (En RD$/Tarea)]]/Tabla2[[#This Row],[Costos (En RD$/Tarea)]])</f>
        <v>0.36109938833242511</v>
      </c>
      <c r="P3068" s="4">
        <f>Tabla2[[#This Row],[Rentabilidad (%)]]/12</f>
        <v>3.0091615694368759E-2</v>
      </c>
    </row>
    <row r="3069" spans="1:16" x14ac:dyDescent="0.35">
      <c r="A3069" s="1">
        <v>44287</v>
      </c>
      <c r="B3069" t="s">
        <v>26</v>
      </c>
      <c r="C3069" s="2">
        <v>9214</v>
      </c>
      <c r="D3069" s="5" t="s">
        <v>17</v>
      </c>
      <c r="E3069" s="2">
        <f>IF(Tabla2[[#This Row],[Frecuencia]]="Annual", Tabla2[[#This Row],[Cosecha/Tarea]]/12,Tabla2[[#This Row],[Cosecha/Tarea]])</f>
        <v>9214</v>
      </c>
      <c r="F3069" s="2">
        <v>74547</v>
      </c>
      <c r="G3069" t="s">
        <v>18</v>
      </c>
      <c r="H3069">
        <f>F3069/Tabla2[[#This Row],[Cosecha Mensual]]</f>
        <v>8.0906229650531802</v>
      </c>
      <c r="I3069">
        <f>H3069*_xlfn.XLOOKUP(Tabla2[[#This Row],[Unidad de producción]],Tabla3[Medida],Tabla3[Equivalencia en Kg],"ELVIS",0)</f>
        <v>366.99065769481223</v>
      </c>
      <c r="J3069">
        <v>1049.6284722222199</v>
      </c>
      <c r="K3069" t="s">
        <v>18</v>
      </c>
      <c r="L3069">
        <f>J3069/_xlfn.XLOOKUP(Tabla2[[#This Row],[Unidad de precio]],Tabla3[Medida],Tabla3[Equivalencia en Kg],"ELVIS",0)</f>
        <v>23.139957500489857</v>
      </c>
      <c r="M3069">
        <v>1910.9913592487401</v>
      </c>
      <c r="N3069" s="2">
        <f>(Tabla2[[#This Row],[Productividad (kg/TAS)]]*Tabla2[[#This Row],[Precio por kg]]-Tabla2[[#This Row],[Costos (En RD$/Tarea)]])</f>
        <v>6581.1568628860359</v>
      </c>
      <c r="O3069" s="6">
        <f>IF(Tabla2[[#This Row],[Costos (En RD$/Tarea)]]=0,0,Tabla2[[#This Row],[Beneficio Neto  (En RD$/Tarea)]]/Tabla2[[#This Row],[Costos (En RD$/Tarea)]])</f>
        <v>3.4438443852897684</v>
      </c>
      <c r="P3069" s="4">
        <f>Tabla2[[#This Row],[Rentabilidad (%)]]/12</f>
        <v>0.28698703210748072</v>
      </c>
    </row>
    <row r="3070" spans="1:16" x14ac:dyDescent="0.35">
      <c r="A3070" s="1">
        <v>44287</v>
      </c>
      <c r="B3070" t="s">
        <v>27</v>
      </c>
      <c r="C3070" s="2">
        <v>2014</v>
      </c>
      <c r="D3070" s="5" t="s">
        <v>17</v>
      </c>
      <c r="E3070" s="2">
        <f>IF(Tabla2[[#This Row],[Frecuencia]]="Annual", Tabla2[[#This Row],[Cosecha/Tarea]]/12,Tabla2[[#This Row],[Cosecha/Tarea]])</f>
        <v>2014</v>
      </c>
      <c r="F3070" s="2">
        <v>49857</v>
      </c>
      <c r="G3070" t="s">
        <v>18</v>
      </c>
      <c r="H3070">
        <f>F3070/Tabla2[[#This Row],[Cosecha Mensual]]</f>
        <v>24.755213505461768</v>
      </c>
      <c r="I3070">
        <f>H3070*_xlfn.XLOOKUP(Tabla2[[#This Row],[Unidad de producción]],Tabla3[Medida],Tabla3[Equivalencia en Kg],"ELVIS",0)</f>
        <v>1122.8964846077458</v>
      </c>
      <c r="J3070">
        <v>667.37160714285699</v>
      </c>
      <c r="K3070" t="s">
        <v>18</v>
      </c>
      <c r="L3070">
        <f>J3070/_xlfn.XLOOKUP(Tabla2[[#This Row],[Unidad de precio]],Tabla3[Medida],Tabla3[Equivalencia en Kg],"ELVIS",0)</f>
        <v>14.71277793524817</v>
      </c>
      <c r="M3070">
        <v>10561.2569707933</v>
      </c>
      <c r="N3070" s="2">
        <f>(Tabla2[[#This Row],[Productividad (kg/TAS)]]*Tabla2[[#This Row],[Precio por kg]]-Tabla2[[#This Row],[Costos (En RD$/Tarea)]])</f>
        <v>5959.6696515112781</v>
      </c>
      <c r="O3070" s="6">
        <f>IF(Tabla2[[#This Row],[Costos (En RD$/Tarea)]]=0,0,Tabla2[[#This Row],[Beneficio Neto  (En RD$/Tarea)]]/Tabla2[[#This Row],[Costos (En RD$/Tarea)]])</f>
        <v>0.56429548755346903</v>
      </c>
      <c r="P3070" s="4">
        <f>Tabla2[[#This Row],[Rentabilidad (%)]]/12</f>
        <v>4.7024623962789086E-2</v>
      </c>
    </row>
    <row r="3071" spans="1:16" x14ac:dyDescent="0.35">
      <c r="A3071" s="1">
        <v>44287</v>
      </c>
      <c r="B3071" t="s">
        <v>28</v>
      </c>
      <c r="C3071" s="2">
        <v>12301</v>
      </c>
      <c r="D3071" s="5" t="s">
        <v>17</v>
      </c>
      <c r="E3071" s="2">
        <f>IF(Tabla2[[#This Row],[Frecuencia]]="Annual", Tabla2[[#This Row],[Cosecha/Tarea]]/12,Tabla2[[#This Row],[Cosecha/Tarea]])</f>
        <v>12301</v>
      </c>
      <c r="F3071" s="2">
        <v>173749</v>
      </c>
      <c r="G3071" t="s">
        <v>18</v>
      </c>
      <c r="H3071">
        <f>F3071/Tabla2[[#This Row],[Cosecha Mensual]]</f>
        <v>14.124786602715226</v>
      </c>
      <c r="I3071">
        <f>H3071*_xlfn.XLOOKUP(Tabla2[[#This Row],[Unidad de producción]],Tabla3[Medida],Tabla3[Equivalencia en Kg],"ELVIS",0)</f>
        <v>640.70032029916263</v>
      </c>
      <c r="J3071">
        <v>9888.2591170634896</v>
      </c>
      <c r="K3071" t="s">
        <v>29</v>
      </c>
      <c r="L3071">
        <f>J3071/_xlfn.XLOOKUP(Tabla2[[#This Row],[Unidad de precio]],Tabla3[Medida],Tabla3[Equivalencia en Kg],"ELVIS",0)</f>
        <v>17.584129027036116</v>
      </c>
      <c r="M3071">
        <v>20320.344000000001</v>
      </c>
      <c r="N3071" s="2">
        <f>(Tabla2[[#This Row],[Productividad (kg/TAS)]]*Tabla2[[#This Row],[Precio por kg]]-Tabla2[[#This Row],[Costos (En RD$/Tarea)]])</f>
        <v>-9054.1869001961586</v>
      </c>
      <c r="O3071" s="6">
        <f>IF(Tabla2[[#This Row],[Costos (En RD$/Tarea)]]=0,0,Tabla2[[#This Row],[Beneficio Neto  (En RD$/Tarea)]]/Tabla2[[#This Row],[Costos (En RD$/Tarea)]])</f>
        <v>-0.44557252082918275</v>
      </c>
      <c r="P3071" s="4">
        <f>Tabla2[[#This Row],[Rentabilidad (%)]]/12</f>
        <v>-3.7131043402431896E-2</v>
      </c>
    </row>
    <row r="3072" spans="1:16" x14ac:dyDescent="0.35">
      <c r="A3072" s="1">
        <v>44287</v>
      </c>
      <c r="B3072" t="s">
        <v>30</v>
      </c>
      <c r="C3072" s="2">
        <v>498978</v>
      </c>
      <c r="D3072" s="2" t="s">
        <v>31</v>
      </c>
      <c r="E3072" s="2">
        <f>IF(Tabla2[[#This Row],[Frecuencia]]="Annual", Tabla2[[#This Row],[Cosecha/Tarea]]/12,Tabla2[[#This Row],[Cosecha/Tarea]])</f>
        <v>41581.5</v>
      </c>
      <c r="F3072" s="2">
        <v>2529269</v>
      </c>
      <c r="G3072" t="s">
        <v>18</v>
      </c>
      <c r="H3072">
        <f>F3072/Tabla2[[#This Row],[Cosecha Mensual]]</f>
        <v>60.826785950482787</v>
      </c>
      <c r="I3072">
        <f>H3072*_xlfn.XLOOKUP(Tabla2[[#This Row],[Unidad de producción]],Tabla3[Medida],Tabla3[Equivalencia en Kg],"ELVIS",0)</f>
        <v>2759.103010713899</v>
      </c>
      <c r="J3072">
        <v>221.7109375</v>
      </c>
      <c r="K3072" t="s">
        <v>32</v>
      </c>
      <c r="L3072">
        <f>J3072/_xlfn.XLOOKUP(Tabla2[[#This Row],[Unidad de precio]],Tabla3[Medida],Tabla3[Equivalencia en Kg],"ELVIS",0)</f>
        <v>8.1481417677324508</v>
      </c>
      <c r="M3072" s="2">
        <v>40592.436194530601</v>
      </c>
      <c r="N3072" s="2">
        <f>(Tabla2[[#This Row],[Productividad (kg/TAS)]]*Tabla2[[#This Row],[Precio por kg]]-Tabla2[[#This Row],[Costos (En RD$/Tarea)]])</f>
        <v>-18110.873711456323</v>
      </c>
      <c r="O3072" s="6">
        <f>IF(Tabla2[[#This Row],[Costos (En RD$/Tarea)]]=0,0,Tabla2[[#This Row],[Beneficio Neto  (En RD$/Tarea)]]/Tabla2[[#This Row],[Costos (En RD$/Tarea)]])</f>
        <v>-0.44616375387433804</v>
      </c>
      <c r="P3072" s="4">
        <f>Tabla2[[#This Row],[Rentabilidad (%)]]/12</f>
        <v>-3.7180312822861501E-2</v>
      </c>
    </row>
    <row r="3073" spans="1:16" x14ac:dyDescent="0.35">
      <c r="A3073" s="1">
        <v>44287</v>
      </c>
      <c r="B3073" t="s">
        <v>33</v>
      </c>
      <c r="C3073" s="2">
        <v>810219</v>
      </c>
      <c r="D3073" s="2" t="s">
        <v>31</v>
      </c>
      <c r="E3073" s="2">
        <f>IF(Tabla2[[#This Row],[Frecuencia]]="Annual", Tabla2[[#This Row],[Cosecha/Tarea]]/12,Tabla2[[#This Row],[Cosecha/Tarea]])</f>
        <v>67518.25</v>
      </c>
      <c r="F3073" s="2">
        <v>3379266</v>
      </c>
      <c r="G3073" t="s">
        <v>18</v>
      </c>
      <c r="H3073">
        <f>F3073/Tabla2[[#This Row],[Cosecha Mensual]]</f>
        <v>50.049668052711674</v>
      </c>
      <c r="I3073">
        <f>H3073*_xlfn.XLOOKUP(Tabla2[[#This Row],[Unidad de producción]],Tabla3[Medida],Tabla3[Equivalencia en Kg],"ELVIS",0)</f>
        <v>2270.2529428710013</v>
      </c>
      <c r="J3073">
        <v>7716.9505208333303</v>
      </c>
      <c r="K3073" t="s">
        <v>34</v>
      </c>
      <c r="L3073">
        <f>J3073/_xlfn.XLOOKUP(Tabla2[[#This Row],[Unidad de precio]],Tabla3[Medida],Tabla3[Equivalencia en Kg],"ELVIS",0)</f>
        <v>18.90714325819755</v>
      </c>
      <c r="M3073" s="2">
        <v>43963.444034400003</v>
      </c>
      <c r="N3073" s="2">
        <f>(Tabla2[[#This Row],[Productividad (kg/TAS)]]*Tabla2[[#This Row],[Precio por kg]]-Tabla2[[#This Row],[Costos (En RD$/Tarea)]])</f>
        <v>-1039.4464111933994</v>
      </c>
      <c r="O3073" s="6">
        <f>IF(Tabla2[[#This Row],[Costos (En RD$/Tarea)]]=0,0,Tabla2[[#This Row],[Beneficio Neto  (En RD$/Tarea)]]/Tabla2[[#This Row],[Costos (En RD$/Tarea)]])</f>
        <v>-2.3643425441829933E-2</v>
      </c>
      <c r="P3073" s="4">
        <f>Tabla2[[#This Row],[Rentabilidad (%)]]/12</f>
        <v>-1.9702854534858279E-3</v>
      </c>
    </row>
    <row r="3074" spans="1:16" x14ac:dyDescent="0.35">
      <c r="A3074" s="1">
        <v>44317</v>
      </c>
      <c r="B3074" t="s">
        <v>16</v>
      </c>
      <c r="C3074" s="2">
        <v>413027</v>
      </c>
      <c r="D3074" s="5" t="s">
        <v>17</v>
      </c>
      <c r="E3074" s="2">
        <f>IF(Tabla2[[#This Row],[Frecuencia]]="Annual", Tabla2[[#This Row],[Cosecha/Tarea]]/12,Tabla2[[#This Row],[Cosecha/Tarea]])</f>
        <v>413027</v>
      </c>
      <c r="F3074" s="2">
        <v>2458225</v>
      </c>
      <c r="G3074" t="s">
        <v>18</v>
      </c>
      <c r="H3074">
        <f>F3074/Tabla2[[#This Row],[Cosecha Mensual]]</f>
        <v>5.9517295479472283</v>
      </c>
      <c r="I3074">
        <f>H3074*_xlfn.XLOOKUP(Tabla2[[#This Row],[Unidad de producción]],Tabla3[Medida],Tabla3[Equivalencia en Kg],"ELVIS",0)</f>
        <v>269.97045229488629</v>
      </c>
      <c r="J3074">
        <v>2567.9919248869301</v>
      </c>
      <c r="K3074" t="s">
        <v>19</v>
      </c>
      <c r="L3074">
        <f>J3074/_xlfn.XLOOKUP(Tabla2[[#This Row],[Unidad de precio]],Tabla3[Medida],Tabla3[Equivalencia en Kg],"ELVIS",0)</f>
        <v>23.345381135335728</v>
      </c>
      <c r="M3074">
        <v>7900.3979447716101</v>
      </c>
      <c r="N3074" s="2">
        <f>(Tabla2[[#This Row],[Productividad (kg/TAS)]]*Tabla2[[#This Row],[Precio por kg]]-Tabla2[[#This Row],[Costos (En RD$/Tarea)]])</f>
        <v>-1597.8348406685172</v>
      </c>
      <c r="O3074" s="6">
        <f>IF(Tabla2[[#This Row],[Costos (En RD$/Tarea)]]=0,0,Tabla2[[#This Row],[Beneficio Neto  (En RD$/Tarea)]]/Tabla2[[#This Row],[Costos (En RD$/Tarea)]])</f>
        <v>-0.20224738700990946</v>
      </c>
      <c r="P3074" s="4">
        <f>Tabla2[[#This Row],[Rentabilidad (%)]]/12</f>
        <v>-1.6853948917492454E-2</v>
      </c>
    </row>
    <row r="3075" spans="1:16" x14ac:dyDescent="0.35">
      <c r="A3075" s="1">
        <v>44317</v>
      </c>
      <c r="B3075" t="s">
        <v>20</v>
      </c>
      <c r="C3075" s="2">
        <v>23654</v>
      </c>
      <c r="D3075" s="5" t="s">
        <v>17</v>
      </c>
      <c r="E3075" s="2">
        <f>IF(Tabla2[[#This Row],[Frecuencia]]="Annual", Tabla2[[#This Row],[Cosecha/Tarea]]/12,Tabla2[[#This Row],[Cosecha/Tarea]])</f>
        <v>23654</v>
      </c>
      <c r="F3075" s="2">
        <v>86241</v>
      </c>
      <c r="G3075" t="s">
        <v>18</v>
      </c>
      <c r="H3075">
        <f>F3075/Tabla2[[#This Row],[Cosecha Mensual]]</f>
        <v>3.6459372621966688</v>
      </c>
      <c r="I3075">
        <f>H3075*_xlfn.XLOOKUP(Tabla2[[#This Row],[Unidad de producción]],Tabla3[Medida],Tabla3[Equivalencia en Kg],"ELVIS",0)</f>
        <v>165.3797142132409</v>
      </c>
      <c r="J3075">
        <v>1063.3359375</v>
      </c>
      <c r="K3075" t="s">
        <v>18</v>
      </c>
      <c r="L3075">
        <f>J3075/_xlfn.XLOOKUP(Tabla2[[#This Row],[Unidad de precio]],Tabla3[Medida],Tabla3[Equivalencia en Kg],"ELVIS",0)</f>
        <v>23.442150297619047</v>
      </c>
      <c r="M3075">
        <v>2759.0657712295701</v>
      </c>
      <c r="N3075" s="2">
        <f>(Tabla2[[#This Row],[Productividad (kg/TAS)]]*Tabla2[[#This Row],[Precio por kg]]-Tabla2[[#This Row],[Costos (En RD$/Tarea)]])</f>
        <v>1117.7903455345081</v>
      </c>
      <c r="O3075" s="6">
        <f>IF(Tabla2[[#This Row],[Costos (En RD$/Tarea)]]=0,0,Tabla2[[#This Row],[Beneficio Neto  (En RD$/Tarea)]]/Tabla2[[#This Row],[Costos (En RD$/Tarea)]])</f>
        <v>0.40513363515664502</v>
      </c>
      <c r="P3075" s="4">
        <f>Tabla2[[#This Row],[Rentabilidad (%)]]/12</f>
        <v>3.376113626305375E-2</v>
      </c>
    </row>
    <row r="3076" spans="1:16" x14ac:dyDescent="0.35">
      <c r="A3076" s="1">
        <v>44317</v>
      </c>
      <c r="B3076" t="s">
        <v>21</v>
      </c>
      <c r="C3076" s="2">
        <v>10821</v>
      </c>
      <c r="D3076" s="5" t="s">
        <v>17</v>
      </c>
      <c r="E3076" s="2">
        <f>IF(Tabla2[[#This Row],[Frecuencia]]="Annual", Tabla2[[#This Row],[Cosecha/Tarea]]/12,Tabla2[[#This Row],[Cosecha/Tarea]])</f>
        <v>10821</v>
      </c>
      <c r="F3076" s="2">
        <v>125471</v>
      </c>
      <c r="G3076" t="s">
        <v>18</v>
      </c>
      <c r="H3076">
        <f>F3076/Tabla2[[#This Row],[Cosecha Mensual]]</f>
        <v>11.595139081415766</v>
      </c>
      <c r="I3076">
        <f>H3076*_xlfn.XLOOKUP(Tabla2[[#This Row],[Unidad de producción]],Tabla3[Medida],Tabla3[Equivalencia en Kg],"ELVIS",0)</f>
        <v>525.9555087330192</v>
      </c>
      <c r="J3076">
        <v>752.33072916666697</v>
      </c>
      <c r="K3076" t="s">
        <v>18</v>
      </c>
      <c r="L3076">
        <f>J3076/_xlfn.XLOOKUP(Tabla2[[#This Row],[Unidad de precio]],Tabla3[Medida],Tabla3[Equivalencia en Kg],"ELVIS",0)</f>
        <v>16.585774452527932</v>
      </c>
      <c r="M3076">
        <v>6695.9501351373101</v>
      </c>
      <c r="N3076" s="2">
        <f>(Tabla2[[#This Row],[Productividad (kg/TAS)]]*Tabla2[[#This Row],[Precio por kg]]-Tabla2[[#This Row],[Costos (En RD$/Tarea)]])</f>
        <v>2027.4293047731308</v>
      </c>
      <c r="O3076" s="6">
        <f>IF(Tabla2[[#This Row],[Costos (En RD$/Tarea)]]=0,0,Tabla2[[#This Row],[Beneficio Neto  (En RD$/Tarea)]]/Tabla2[[#This Row],[Costos (En RD$/Tarea)]])</f>
        <v>0.30278440906154619</v>
      </c>
      <c r="P3076" s="4">
        <f>Tabla2[[#This Row],[Rentabilidad (%)]]/12</f>
        <v>2.5232034088462182E-2</v>
      </c>
    </row>
    <row r="3077" spans="1:16" x14ac:dyDescent="0.35">
      <c r="A3077" s="1">
        <v>44317</v>
      </c>
      <c r="B3077" t="s">
        <v>22</v>
      </c>
      <c r="C3077" s="2">
        <v>5498</v>
      </c>
      <c r="D3077" s="5" t="s">
        <v>17</v>
      </c>
      <c r="E3077" s="2">
        <f>IF(Tabla2[[#This Row],[Frecuencia]]="Annual", Tabla2[[#This Row],[Cosecha/Tarea]]/12,Tabla2[[#This Row],[Cosecha/Tarea]])</f>
        <v>5498</v>
      </c>
      <c r="F3077" s="2">
        <v>56988</v>
      </c>
      <c r="G3077" t="s">
        <v>18</v>
      </c>
      <c r="H3077">
        <f>F3077/Tabla2[[#This Row],[Cosecha Mensual]]</f>
        <v>10.365223717715534</v>
      </c>
      <c r="I3077">
        <f>H3077*_xlfn.XLOOKUP(Tabla2[[#This Row],[Unidad de producción]],Tabla3[Medida],Tabla3[Equivalencia en Kg],"ELVIS",0)</f>
        <v>470.16654783557658</v>
      </c>
      <c r="J3077">
        <v>1683.46875</v>
      </c>
      <c r="K3077" t="s">
        <v>18</v>
      </c>
      <c r="L3077">
        <f>J3077/_xlfn.XLOOKUP(Tabla2[[#This Row],[Unidad de precio]],Tabla3[Medida],Tabla3[Equivalencia en Kg],"ELVIS",0)</f>
        <v>37.113508597883602</v>
      </c>
      <c r="M3077">
        <v>11609.318489158701</v>
      </c>
      <c r="N3077" s="2">
        <f>(Tabla2[[#This Row],[Productividad (kg/TAS)]]*Tabla2[[#This Row],[Precio por kg]]-Tabla2[[#This Row],[Costos (En RD$/Tarea)]])</f>
        <v>5840.2117263742221</v>
      </c>
      <c r="O3077" s="6">
        <f>IF(Tabla2[[#This Row],[Costos (En RD$/Tarea)]]=0,0,Tabla2[[#This Row],[Beneficio Neto  (En RD$/Tarea)]]/Tabla2[[#This Row],[Costos (En RD$/Tarea)]])</f>
        <v>0.50306240903185417</v>
      </c>
      <c r="P3077" s="4">
        <f>Tabla2[[#This Row],[Rentabilidad (%)]]/12</f>
        <v>4.1921867419321183E-2</v>
      </c>
    </row>
    <row r="3078" spans="1:16" x14ac:dyDescent="0.35">
      <c r="A3078" s="1">
        <v>44317</v>
      </c>
      <c r="B3078" t="s">
        <v>23</v>
      </c>
      <c r="C3078" s="2">
        <v>4945</v>
      </c>
      <c r="D3078" s="5" t="s">
        <v>17</v>
      </c>
      <c r="E3078" s="2">
        <f>IF(Tabla2[[#This Row],[Frecuencia]]="Annual", Tabla2[[#This Row],[Cosecha/Tarea]]/12,Tabla2[[#This Row],[Cosecha/Tarea]])</f>
        <v>4945</v>
      </c>
      <c r="F3078" s="2">
        <v>190144</v>
      </c>
      <c r="G3078" t="s">
        <v>18</v>
      </c>
      <c r="H3078">
        <f>F3078/Tabla2[[#This Row],[Cosecha Mensual]]</f>
        <v>38.451769464105155</v>
      </c>
      <c r="I3078">
        <f>H3078*_xlfn.XLOOKUP(Tabla2[[#This Row],[Unidad de producción]],Tabla3[Medida],Tabla3[Equivalencia en Kg],"ELVIS",0)</f>
        <v>1744.1722628918099</v>
      </c>
      <c r="J3078">
        <v>884.75</v>
      </c>
      <c r="K3078" t="s">
        <v>18</v>
      </c>
      <c r="L3078">
        <f>J3078/_xlfn.XLOOKUP(Tabla2[[#This Row],[Unidad de precio]],Tabla3[Medida],Tabla3[Equivalencia en Kg],"ELVIS",0)</f>
        <v>19.505070546737215</v>
      </c>
      <c r="M3078">
        <v>31774.6512666667</v>
      </c>
      <c r="N3078" s="2">
        <f>(Tabla2[[#This Row],[Productividad (kg/TAS)]]*Tabla2[[#This Row],[Precio por kg]]-Tabla2[[#This Row],[Costos (En RD$/Tarea)]])</f>
        <v>2245.5517667003405</v>
      </c>
      <c r="O3078" s="6">
        <f>IF(Tabla2[[#This Row],[Costos (En RD$/Tarea)]]=0,0,Tabla2[[#This Row],[Beneficio Neto  (En RD$/Tarea)]]/Tabla2[[#This Row],[Costos (En RD$/Tarea)]])</f>
        <v>7.0671169538721074E-2</v>
      </c>
      <c r="P3078" s="4">
        <f>Tabla2[[#This Row],[Rentabilidad (%)]]/12</f>
        <v>5.8892641282267564E-3</v>
      </c>
    </row>
    <row r="3079" spans="1:16" x14ac:dyDescent="0.35">
      <c r="A3079" s="1">
        <v>44317</v>
      </c>
      <c r="B3079" t="s">
        <v>24</v>
      </c>
      <c r="C3079" s="2">
        <v>6524</v>
      </c>
      <c r="D3079" s="5" t="s">
        <v>17</v>
      </c>
      <c r="E3079" s="2">
        <f>IF(Tabla2[[#This Row],[Frecuencia]]="Annual", Tabla2[[#This Row],[Cosecha/Tarea]]/12,Tabla2[[#This Row],[Cosecha/Tarea]])</f>
        <v>6524</v>
      </c>
      <c r="F3079" s="2">
        <v>43214</v>
      </c>
      <c r="G3079" t="s">
        <v>18</v>
      </c>
      <c r="H3079">
        <f>F3079/Tabla2[[#This Row],[Cosecha Mensual]]</f>
        <v>6.6238503985285098</v>
      </c>
      <c r="I3079">
        <f>H3079*_xlfn.XLOOKUP(Tabla2[[#This Row],[Unidad de producción]],Tabla3[Medida],Tabla3[Equivalencia en Kg],"ELVIS",0)</f>
        <v>300.45785407725322</v>
      </c>
      <c r="J3079">
        <v>2295.0620535714302</v>
      </c>
      <c r="K3079" t="s">
        <v>18</v>
      </c>
      <c r="L3079">
        <f>J3079/_xlfn.XLOOKUP(Tabla2[[#This Row],[Unidad de precio]],Tabla3[Medida],Tabla3[Equivalencia en Kg],"ELVIS",0)</f>
        <v>50.596606119299608</v>
      </c>
      <c r="M3079">
        <v>9606.8568095338396</v>
      </c>
      <c r="N3079" s="2">
        <f>(Tabla2[[#This Row],[Productividad (kg/TAS)]]*Tabla2[[#This Row],[Precio por kg]]-Tabla2[[#This Row],[Costos (En RD$/Tarea)]])</f>
        <v>5595.2908886629393</v>
      </c>
      <c r="O3079" s="6">
        <f>IF(Tabla2[[#This Row],[Costos (En RD$/Tarea)]]=0,0,Tabla2[[#This Row],[Beneficio Neto  (En RD$/Tarea)]]/Tabla2[[#This Row],[Costos (En RD$/Tarea)]])</f>
        <v>0.58242680198066199</v>
      </c>
      <c r="P3079" s="4">
        <f>Tabla2[[#This Row],[Rentabilidad (%)]]/12</f>
        <v>4.8535566831721833E-2</v>
      </c>
    </row>
    <row r="3080" spans="1:16" x14ac:dyDescent="0.35">
      <c r="A3080" s="1">
        <v>44317</v>
      </c>
      <c r="B3080" t="s">
        <v>25</v>
      </c>
      <c r="C3080" s="2">
        <v>26887</v>
      </c>
      <c r="D3080" s="5" t="s">
        <v>17</v>
      </c>
      <c r="E3080" s="2">
        <f>IF(Tabla2[[#This Row],[Frecuencia]]="Annual", Tabla2[[#This Row],[Cosecha/Tarea]]/12,Tabla2[[#This Row],[Cosecha/Tarea]])</f>
        <v>26887</v>
      </c>
      <c r="F3080" s="2">
        <v>295999</v>
      </c>
      <c r="G3080" t="s">
        <v>18</v>
      </c>
      <c r="H3080">
        <f>F3080/Tabla2[[#This Row],[Cosecha Mensual]]</f>
        <v>11.009000632275821</v>
      </c>
      <c r="I3080">
        <f>H3080*_xlfn.XLOOKUP(Tabla2[[#This Row],[Unidad de producción]],Tabla3[Medida],Tabla3[Equivalencia en Kg],"ELVIS",0)</f>
        <v>499.36826868003124</v>
      </c>
      <c r="J3080">
        <v>756.49937499999999</v>
      </c>
      <c r="K3080" t="s">
        <v>18</v>
      </c>
      <c r="L3080">
        <f>J3080/_xlfn.XLOOKUP(Tabla2[[#This Row],[Unidad de precio]],Tabla3[Medida],Tabla3[Equivalencia en Kg],"ELVIS",0)</f>
        <v>16.677675815696649</v>
      </c>
      <c r="M3080">
        <v>5403.3874144923902</v>
      </c>
      <c r="N3080" s="2">
        <f>(Tabla2[[#This Row],[Productividad (kg/TAS)]]*Tabla2[[#This Row],[Precio por kg]]-Tabla2[[#This Row],[Costos (En RD$/Tarea)]])</f>
        <v>2924.9146831988728</v>
      </c>
      <c r="O3080" s="6">
        <f>IF(Tabla2[[#This Row],[Costos (En RD$/Tarea)]]=0,0,Tabla2[[#This Row],[Beneficio Neto  (En RD$/Tarea)]]/Tabla2[[#This Row],[Costos (En RD$/Tarea)]])</f>
        <v>0.54131130323063237</v>
      </c>
      <c r="P3080" s="4">
        <f>Tabla2[[#This Row],[Rentabilidad (%)]]/12</f>
        <v>4.5109275269219366E-2</v>
      </c>
    </row>
    <row r="3081" spans="1:16" x14ac:dyDescent="0.35">
      <c r="A3081" s="1">
        <v>44317</v>
      </c>
      <c r="B3081" t="s">
        <v>26</v>
      </c>
      <c r="C3081" s="2">
        <v>11120</v>
      </c>
      <c r="D3081" s="5" t="s">
        <v>17</v>
      </c>
      <c r="E3081" s="2">
        <f>IF(Tabla2[[#This Row],[Frecuencia]]="Annual", Tabla2[[#This Row],[Cosecha/Tarea]]/12,Tabla2[[#This Row],[Cosecha/Tarea]])</f>
        <v>11120</v>
      </c>
      <c r="F3081" s="2">
        <v>76584</v>
      </c>
      <c r="G3081" t="s">
        <v>18</v>
      </c>
      <c r="H3081">
        <f>F3081/Tabla2[[#This Row],[Cosecha Mensual]]</f>
        <v>6.8870503597122301</v>
      </c>
      <c r="I3081">
        <f>H3081*_xlfn.XLOOKUP(Tabla2[[#This Row],[Unidad de producción]],Tabla3[Medida],Tabla3[Equivalencia en Kg],"ELVIS",0)</f>
        <v>312.39660431654676</v>
      </c>
      <c r="J3081">
        <v>979.16840277777806</v>
      </c>
      <c r="K3081" t="s">
        <v>18</v>
      </c>
      <c r="L3081">
        <f>J3081/_xlfn.XLOOKUP(Tabla2[[#This Row],[Unidad de precio]],Tabla3[Medida],Tabla3[Equivalencia en Kg],"ELVIS",0)</f>
        <v>21.586604999510097</v>
      </c>
      <c r="M3081">
        <v>1910.9913592487401</v>
      </c>
      <c r="N3081" s="2">
        <f>(Tabla2[[#This Row],[Productividad (kg/TAS)]]*Tabla2[[#This Row],[Precio por kg]]-Tabla2[[#This Row],[Costos (En RD$/Tarea)]])</f>
        <v>4832.590741320806</v>
      </c>
      <c r="O3081" s="6">
        <f>IF(Tabla2[[#This Row],[Costos (En RD$/Tarea)]]=0,0,Tabla2[[#This Row],[Beneficio Neto  (En RD$/Tarea)]]/Tabla2[[#This Row],[Costos (En RD$/Tarea)]])</f>
        <v>2.5288396611173698</v>
      </c>
      <c r="P3081" s="4">
        <f>Tabla2[[#This Row],[Rentabilidad (%)]]/12</f>
        <v>0.21073663842644749</v>
      </c>
    </row>
    <row r="3082" spans="1:16" x14ac:dyDescent="0.35">
      <c r="A3082" s="1">
        <v>44317</v>
      </c>
      <c r="B3082" t="s">
        <v>27</v>
      </c>
      <c r="C3082" s="2">
        <v>4520</v>
      </c>
      <c r="D3082" s="5" t="s">
        <v>17</v>
      </c>
      <c r="E3082" s="2">
        <f>IF(Tabla2[[#This Row],[Frecuencia]]="Annual", Tabla2[[#This Row],[Cosecha/Tarea]]/12,Tabla2[[#This Row],[Cosecha/Tarea]])</f>
        <v>4520</v>
      </c>
      <c r="F3082" s="2">
        <v>48755</v>
      </c>
      <c r="G3082" t="s">
        <v>18</v>
      </c>
      <c r="H3082">
        <f>F3082/Tabla2[[#This Row],[Cosecha Mensual]]</f>
        <v>10.78650442477876</v>
      </c>
      <c r="I3082">
        <f>H3082*_xlfn.XLOOKUP(Tabla2[[#This Row],[Unidad de producción]],Tabla3[Medida],Tabla3[Equivalencia en Kg],"ELVIS",0)</f>
        <v>489.27584070796456</v>
      </c>
      <c r="J3082">
        <v>668.54583333333301</v>
      </c>
      <c r="K3082" t="s">
        <v>18</v>
      </c>
      <c r="L3082">
        <f>J3082/_xlfn.XLOOKUP(Tabla2[[#This Row],[Unidad de precio]],Tabla3[Medida],Tabla3[Equivalencia en Kg],"ELVIS",0)</f>
        <v>14.738664756025861</v>
      </c>
      <c r="M3082">
        <v>10561.2569707933</v>
      </c>
      <c r="N3082" s="2">
        <f>(Tabla2[[#This Row],[Productividad (kg/TAS)]]*Tabla2[[#This Row],[Precio por kg]]-Tabla2[[#This Row],[Costos (En RD$/Tarea)]])</f>
        <v>-3349.9843813758998</v>
      </c>
      <c r="O3082" s="6">
        <f>IF(Tabla2[[#This Row],[Costos (En RD$/Tarea)]]=0,0,Tabla2[[#This Row],[Beneficio Neto  (En RD$/Tarea)]]/Tabla2[[#This Row],[Costos (En RD$/Tarea)]])</f>
        <v>-0.31719561323430884</v>
      </c>
      <c r="P3082" s="4">
        <f>Tabla2[[#This Row],[Rentabilidad (%)]]/12</f>
        <v>-2.6432967769525736E-2</v>
      </c>
    </row>
    <row r="3083" spans="1:16" x14ac:dyDescent="0.35">
      <c r="A3083" s="1">
        <v>44317</v>
      </c>
      <c r="B3083" t="s">
        <v>28</v>
      </c>
      <c r="C3083" s="2">
        <v>10878</v>
      </c>
      <c r="D3083" s="5" t="s">
        <v>17</v>
      </c>
      <c r="E3083" s="2">
        <f>IF(Tabla2[[#This Row],[Frecuencia]]="Annual", Tabla2[[#This Row],[Cosecha/Tarea]]/12,Tabla2[[#This Row],[Cosecha/Tarea]])</f>
        <v>10878</v>
      </c>
      <c r="F3083" s="2">
        <v>322375</v>
      </c>
      <c r="G3083" t="s">
        <v>18</v>
      </c>
      <c r="H3083">
        <f>F3083/Tabla2[[#This Row],[Cosecha Mensual]]</f>
        <v>29.635502849788566</v>
      </c>
      <c r="I3083">
        <f>H3083*_xlfn.XLOOKUP(Tabla2[[#This Row],[Unidad de producción]],Tabla3[Medida],Tabla3[Equivalencia en Kg],"ELVIS",0)</f>
        <v>1344.2664092664093</v>
      </c>
      <c r="J3083">
        <v>9888.2591170634896</v>
      </c>
      <c r="K3083" t="s">
        <v>29</v>
      </c>
      <c r="L3083">
        <f>J3083/_xlfn.XLOOKUP(Tabla2[[#This Row],[Unidad de precio]],Tabla3[Medida],Tabla3[Equivalencia en Kg],"ELVIS",0)</f>
        <v>17.584129027036116</v>
      </c>
      <c r="M3083">
        <v>20320.344000000001</v>
      </c>
      <c r="N3083" s="2">
        <f>(Tabla2[[#This Row],[Productividad (kg/TAS)]]*Tabla2[[#This Row],[Precio por kg]]-Tabla2[[#This Row],[Costos (En RD$/Tarea)]])</f>
        <v>3317.4099872510778</v>
      </c>
      <c r="O3083" s="6">
        <f>IF(Tabla2[[#This Row],[Costos (En RD$/Tarea)]]=0,0,Tabla2[[#This Row],[Beneficio Neto  (En RD$/Tarea)]]/Tabla2[[#This Row],[Costos (En RD$/Tarea)]])</f>
        <v>0.16325560173838974</v>
      </c>
      <c r="P3083" s="4">
        <f>Tabla2[[#This Row],[Rentabilidad (%)]]/12</f>
        <v>1.3604633478199145E-2</v>
      </c>
    </row>
    <row r="3084" spans="1:16" x14ac:dyDescent="0.35">
      <c r="A3084" s="1">
        <v>44317</v>
      </c>
      <c r="B3084" t="s">
        <v>30</v>
      </c>
      <c r="C3084" s="2">
        <v>520145</v>
      </c>
      <c r="D3084" s="2" t="s">
        <v>31</v>
      </c>
      <c r="E3084" s="2">
        <f>IF(Tabla2[[#This Row],[Frecuencia]]="Annual", Tabla2[[#This Row],[Cosecha/Tarea]]/12,Tabla2[[#This Row],[Cosecha/Tarea]])</f>
        <v>43345.416666666664</v>
      </c>
      <c r="F3084" s="2">
        <v>2461295</v>
      </c>
      <c r="G3084" t="s">
        <v>18</v>
      </c>
      <c r="H3084">
        <f>F3084/Tabla2[[#This Row],[Cosecha Mensual]]</f>
        <v>56.783281584942664</v>
      </c>
      <c r="I3084">
        <f>H3084*_xlfn.XLOOKUP(Tabla2[[#This Row],[Unidad de producción]],Tabla3[Medida],Tabla3[Equivalencia en Kg],"ELVIS",0)</f>
        <v>2575.6896526929991</v>
      </c>
      <c r="J3084">
        <v>217.36770833333301</v>
      </c>
      <c r="K3084" t="s">
        <v>32</v>
      </c>
      <c r="L3084">
        <f>J3084/_xlfn.XLOOKUP(Tabla2[[#This Row],[Unidad de precio]],Tabla3[Medida],Tabla3[Equivalencia en Kg],"ELVIS",0)</f>
        <v>7.9885229082445059</v>
      </c>
      <c r="M3084" s="2">
        <v>40592.436194530601</v>
      </c>
      <c r="N3084" s="2">
        <f>(Tabla2[[#This Row],[Productividad (kg/TAS)]]*Tabla2[[#This Row],[Precio por kg]]-Tabla2[[#This Row],[Costos (En RD$/Tarea)]])</f>
        <v>-20016.480399464243</v>
      </c>
      <c r="O3084" s="6">
        <f>IF(Tabla2[[#This Row],[Costos (En RD$/Tarea)]]=0,0,Tabla2[[#This Row],[Beneficio Neto  (En RD$/Tarea)]]/Tabla2[[#This Row],[Costos (En RD$/Tarea)]])</f>
        <v>-0.49310862505368058</v>
      </c>
      <c r="P3084" s="4">
        <f>Tabla2[[#This Row],[Rentabilidad (%)]]/12</f>
        <v>-4.1092385421140049E-2</v>
      </c>
    </row>
    <row r="3085" spans="1:16" x14ac:dyDescent="0.35">
      <c r="A3085" s="1">
        <v>44317</v>
      </c>
      <c r="B3085" t="s">
        <v>33</v>
      </c>
      <c r="C3085" s="2">
        <v>852414</v>
      </c>
      <c r="D3085" s="2" t="s">
        <v>31</v>
      </c>
      <c r="E3085" s="2">
        <f>IF(Tabla2[[#This Row],[Frecuencia]]="Annual", Tabla2[[#This Row],[Cosecha/Tarea]]/12,Tabla2[[#This Row],[Cosecha/Tarea]])</f>
        <v>71034.5</v>
      </c>
      <c r="F3085" s="2">
        <v>3079296</v>
      </c>
      <c r="G3085" t="s">
        <v>18</v>
      </c>
      <c r="H3085">
        <f>F3085/Tabla2[[#This Row],[Cosecha Mensual]]</f>
        <v>43.349302099683953</v>
      </c>
      <c r="I3085">
        <f>H3085*_xlfn.XLOOKUP(Tabla2[[#This Row],[Unidad de producción]],Tabla3[Medida],Tabla3[Equivalencia en Kg],"ELVIS",0)</f>
        <v>1966.3243432416641</v>
      </c>
      <c r="J3085">
        <v>7609.2916666666697</v>
      </c>
      <c r="K3085" t="s">
        <v>34</v>
      </c>
      <c r="L3085">
        <f>J3085/_xlfn.XLOOKUP(Tabla2[[#This Row],[Unidad de precio]],Tabla3[Medida],Tabla3[Equivalencia en Kg],"ELVIS",0)</f>
        <v>18.643370492874361</v>
      </c>
      <c r="M3085" s="2">
        <v>43963.444034400003</v>
      </c>
      <c r="N3085" s="2">
        <f>(Tabla2[[#This Row],[Productividad (kg/TAS)]]*Tabla2[[#This Row],[Precio por kg]]-Tabla2[[#This Row],[Costos (En RD$/Tarea)]])</f>
        <v>-7304.5307941878054</v>
      </c>
      <c r="O3085" s="6">
        <f>IF(Tabla2[[#This Row],[Costos (En RD$/Tarea)]]=0,0,Tabla2[[#This Row],[Beneficio Neto  (En RD$/Tarea)]]/Tabla2[[#This Row],[Costos (En RD$/Tarea)]])</f>
        <v>-0.16615010390160156</v>
      </c>
      <c r="P3085" s="4">
        <f>Tabla2[[#This Row],[Rentabilidad (%)]]/12</f>
        <v>-1.3845841991800131E-2</v>
      </c>
    </row>
    <row r="3086" spans="1:16" x14ac:dyDescent="0.35">
      <c r="A3086" s="1">
        <v>44348</v>
      </c>
      <c r="B3086" t="s">
        <v>16</v>
      </c>
      <c r="C3086" s="2">
        <v>190891</v>
      </c>
      <c r="D3086" s="5" t="s">
        <v>17</v>
      </c>
      <c r="E3086" s="2">
        <f>IF(Tabla2[[#This Row],[Frecuencia]]="Annual", Tabla2[[#This Row],[Cosecha/Tarea]]/12,Tabla2[[#This Row],[Cosecha/Tarea]])</f>
        <v>190891</v>
      </c>
      <c r="F3086" s="2">
        <v>945181</v>
      </c>
      <c r="G3086" t="s">
        <v>18</v>
      </c>
      <c r="H3086">
        <f>F3086/Tabla2[[#This Row],[Cosecha Mensual]]</f>
        <v>4.9514173009728069</v>
      </c>
      <c r="I3086">
        <f>H3086*_xlfn.XLOOKUP(Tabla2[[#This Row],[Unidad de producción]],Tabla3[Medida],Tabla3[Equivalencia en Kg],"ELVIS",0)</f>
        <v>224.59628877212651</v>
      </c>
      <c r="J3086">
        <v>2529.3333638919498</v>
      </c>
      <c r="K3086" t="s">
        <v>19</v>
      </c>
      <c r="L3086">
        <f>J3086/_xlfn.XLOOKUP(Tabla2[[#This Row],[Unidad de precio]],Tabla3[Medida],Tabla3[Equivalencia en Kg],"ELVIS",0)</f>
        <v>22.993939671745</v>
      </c>
      <c r="M3086">
        <v>7900.3979447716101</v>
      </c>
      <c r="N3086" s="2">
        <f>(Tabla2[[#This Row],[Productividad (kg/TAS)]]*Tabla2[[#This Row],[Precio por kg]]-Tabla2[[#This Row],[Costos (En RD$/Tarea)]])</f>
        <v>-2736.0444302475144</v>
      </c>
      <c r="O3086" s="6">
        <f>IF(Tabla2[[#This Row],[Costos (En RD$/Tarea)]]=0,0,Tabla2[[#This Row],[Beneficio Neto  (En RD$/Tarea)]]/Tabla2[[#This Row],[Costos (En RD$/Tarea)]])</f>
        <v>-0.34631729304954773</v>
      </c>
      <c r="P3086" s="4">
        <f>Tabla2[[#This Row],[Rentabilidad (%)]]/12</f>
        <v>-2.8859774420795643E-2</v>
      </c>
    </row>
    <row r="3087" spans="1:16" x14ac:dyDescent="0.35">
      <c r="A3087" s="1">
        <v>44348</v>
      </c>
      <c r="B3087" t="s">
        <v>20</v>
      </c>
      <c r="C3087" s="2">
        <v>40145</v>
      </c>
      <c r="D3087" s="5" t="s">
        <v>17</v>
      </c>
      <c r="E3087" s="2">
        <f>IF(Tabla2[[#This Row],[Frecuencia]]="Annual", Tabla2[[#This Row],[Cosecha/Tarea]]/12,Tabla2[[#This Row],[Cosecha/Tarea]])</f>
        <v>40145</v>
      </c>
      <c r="F3087" s="2">
        <v>101012</v>
      </c>
      <c r="G3087" t="s">
        <v>18</v>
      </c>
      <c r="H3087">
        <f>F3087/Tabla2[[#This Row],[Cosecha Mensual]]</f>
        <v>2.5161788516627226</v>
      </c>
      <c r="I3087">
        <f>H3087*_xlfn.XLOOKUP(Tabla2[[#This Row],[Unidad de producción]],Tabla3[Medida],Tabla3[Equivalencia en Kg],"ELVIS",0)</f>
        <v>114.13387271142109</v>
      </c>
      <c r="J3087">
        <v>1101.1619791666701</v>
      </c>
      <c r="K3087" t="s">
        <v>18</v>
      </c>
      <c r="L3087">
        <f>J3087/_xlfn.XLOOKUP(Tabla2[[#This Row],[Unidad de precio]],Tabla3[Medida],Tabla3[Equivalencia en Kg],"ELVIS",0)</f>
        <v>24.276057741769623</v>
      </c>
      <c r="M3087">
        <v>2759.0657712295701</v>
      </c>
      <c r="N3087" s="2">
        <f>(Tabla2[[#This Row],[Productividad (kg/TAS)]]*Tabla2[[#This Row],[Precio por kg]]-Tabla2[[#This Row],[Costos (En RD$/Tarea)]])</f>
        <v>11.654713004672431</v>
      </c>
      <c r="O3087" s="6">
        <f>IF(Tabla2[[#This Row],[Costos (En RD$/Tarea)]]=0,0,Tabla2[[#This Row],[Beneficio Neto  (En RD$/Tarea)]]/Tabla2[[#This Row],[Costos (En RD$/Tarea)]])</f>
        <v>4.2241519307742127E-3</v>
      </c>
      <c r="P3087" s="4">
        <f>Tabla2[[#This Row],[Rentabilidad (%)]]/12</f>
        <v>3.5201266089785106E-4</v>
      </c>
    </row>
    <row r="3088" spans="1:16" x14ac:dyDescent="0.35">
      <c r="A3088" s="1">
        <v>44348</v>
      </c>
      <c r="B3088" t="s">
        <v>21</v>
      </c>
      <c r="C3088" s="2">
        <v>9821</v>
      </c>
      <c r="D3088" s="5" t="s">
        <v>17</v>
      </c>
      <c r="E3088" s="2">
        <f>IF(Tabla2[[#This Row],[Frecuencia]]="Annual", Tabla2[[#This Row],[Cosecha/Tarea]]/12,Tabla2[[#This Row],[Cosecha/Tarea]])</f>
        <v>9821</v>
      </c>
      <c r="F3088" s="2">
        <v>114210</v>
      </c>
      <c r="G3088" t="s">
        <v>18</v>
      </c>
      <c r="H3088">
        <f>F3088/Tabla2[[#This Row],[Cosecha Mensual]]</f>
        <v>11.629161999796354</v>
      </c>
      <c r="I3088">
        <f>H3088*_xlfn.XLOOKUP(Tabla2[[#This Row],[Unidad de producción]],Tabla3[Medida],Tabla3[Equivalencia en Kg],"ELVIS",0)</f>
        <v>527.49878831076262</v>
      </c>
      <c r="J3088">
        <v>826.17708333333303</v>
      </c>
      <c r="K3088" t="s">
        <v>18</v>
      </c>
      <c r="L3088">
        <f>J3088/_xlfn.XLOOKUP(Tabla2[[#This Row],[Unidad de precio]],Tabla3[Medida],Tabla3[Equivalencia en Kg],"ELVIS",0)</f>
        <v>18.213780496766603</v>
      </c>
      <c r="M3088">
        <v>6695.9501351373101</v>
      </c>
      <c r="N3088" s="2">
        <f>(Tabla2[[#This Row],[Productividad (kg/TAS)]]*Tabla2[[#This Row],[Precio por kg]]-Tabla2[[#This Row],[Costos (En RD$/Tarea)]])</f>
        <v>2911.7970074652721</v>
      </c>
      <c r="O3088" s="6">
        <f>IF(Tabla2[[#This Row],[Costos (En RD$/Tarea)]]=0,0,Tabla2[[#This Row],[Beneficio Neto  (En RD$/Tarea)]]/Tabla2[[#This Row],[Costos (En RD$/Tarea)]])</f>
        <v>0.43485942229251107</v>
      </c>
      <c r="P3088" s="4">
        <f>Tabla2[[#This Row],[Rentabilidad (%)]]/12</f>
        <v>3.6238285191042587E-2</v>
      </c>
    </row>
    <row r="3089" spans="1:16" x14ac:dyDescent="0.35">
      <c r="A3089" s="1">
        <v>44348</v>
      </c>
      <c r="B3089" t="s">
        <v>22</v>
      </c>
      <c r="C3089" s="2">
        <v>6785</v>
      </c>
      <c r="D3089" s="5" t="s">
        <v>17</v>
      </c>
      <c r="E3089" s="2">
        <f>IF(Tabla2[[#This Row],[Frecuencia]]="Annual", Tabla2[[#This Row],[Cosecha/Tarea]]/12,Tabla2[[#This Row],[Cosecha/Tarea]])</f>
        <v>6785</v>
      </c>
      <c r="F3089" s="2">
        <v>49244</v>
      </c>
      <c r="G3089" t="s">
        <v>18</v>
      </c>
      <c r="H3089">
        <f>F3089/Tabla2[[#This Row],[Cosecha Mensual]]</f>
        <v>7.2577745025792186</v>
      </c>
      <c r="I3089">
        <f>H3089*_xlfn.XLOOKUP(Tabla2[[#This Row],[Unidad de producción]],Tabla3[Medida],Tabla3[Equivalencia en Kg],"ELVIS",0)</f>
        <v>329.21265143699333</v>
      </c>
      <c r="J3089">
        <v>1962.3976190476201</v>
      </c>
      <c r="K3089" t="s">
        <v>18</v>
      </c>
      <c r="L3089">
        <f>J3089/_xlfn.XLOOKUP(Tabla2[[#This Row],[Unidad de precio]],Tabla3[Medida],Tabla3[Equivalencia en Kg],"ELVIS",0)</f>
        <v>43.262734105988095</v>
      </c>
      <c r="M3089">
        <v>11609.318489158701</v>
      </c>
      <c r="N3089" s="2">
        <f>(Tabla2[[#This Row],[Productividad (kg/TAS)]]*Tabla2[[#This Row],[Precio por kg]]-Tabla2[[#This Row],[Costos (En RD$/Tarea)]])</f>
        <v>2633.3209142872802</v>
      </c>
      <c r="O3089" s="6">
        <f>IF(Tabla2[[#This Row],[Costos (En RD$/Tarea)]]=0,0,Tabla2[[#This Row],[Beneficio Neto  (En RD$/Tarea)]]/Tabla2[[#This Row],[Costos (En RD$/Tarea)]])</f>
        <v>0.22682820845568089</v>
      </c>
      <c r="P3089" s="4">
        <f>Tabla2[[#This Row],[Rentabilidad (%)]]/12</f>
        <v>1.8902350704640074E-2</v>
      </c>
    </row>
    <row r="3090" spans="1:16" x14ac:dyDescent="0.35">
      <c r="A3090" s="1">
        <v>44348</v>
      </c>
      <c r="B3090" t="s">
        <v>23</v>
      </c>
      <c r="C3090" s="2">
        <v>4277</v>
      </c>
      <c r="D3090" s="5" t="s">
        <v>17</v>
      </c>
      <c r="E3090" s="2">
        <f>IF(Tabla2[[#This Row],[Frecuencia]]="Annual", Tabla2[[#This Row],[Cosecha/Tarea]]/12,Tabla2[[#This Row],[Cosecha/Tarea]])</f>
        <v>4277</v>
      </c>
      <c r="F3090" s="2">
        <v>163878</v>
      </c>
      <c r="G3090" t="s">
        <v>18</v>
      </c>
      <c r="H3090">
        <f>F3090/Tabla2[[#This Row],[Cosecha Mensual]]</f>
        <v>38.316109422492403</v>
      </c>
      <c r="I3090">
        <f>H3090*_xlfn.XLOOKUP(Tabla2[[#This Row],[Unidad de producción]],Tabla3[Medida],Tabla3[Equivalencia en Kg],"ELVIS",0)</f>
        <v>1738.0187234042553</v>
      </c>
      <c r="J3090">
        <v>1003.9375</v>
      </c>
      <c r="K3090" t="s">
        <v>18</v>
      </c>
      <c r="L3090">
        <f>J3090/_xlfn.XLOOKUP(Tabla2[[#This Row],[Unidad de precio]],Tabla3[Medida],Tabla3[Equivalencia en Kg],"ELVIS",0)</f>
        <v>22.132660934744269</v>
      </c>
      <c r="M3090">
        <v>31774.6512666667</v>
      </c>
      <c r="N3090" s="2">
        <f>(Tabla2[[#This Row],[Productividad (kg/TAS)]]*Tabla2[[#This Row],[Precio por kg]]-Tabla2[[#This Row],[Costos (En RD$/Tarea)]])</f>
        <v>6692.3278366767663</v>
      </c>
      <c r="O3090" s="6">
        <f>IF(Tabla2[[#This Row],[Costos (En RD$/Tarea)]]=0,0,Tabla2[[#This Row],[Beneficio Neto  (En RD$/Tarea)]]/Tabla2[[#This Row],[Costos (En RD$/Tarea)]])</f>
        <v>0.2106184511833612</v>
      </c>
      <c r="P3090" s="4">
        <f>Tabla2[[#This Row],[Rentabilidad (%)]]/12</f>
        <v>1.7551537598613432E-2</v>
      </c>
    </row>
    <row r="3091" spans="1:16" x14ac:dyDescent="0.35">
      <c r="A3091" s="1">
        <v>44348</v>
      </c>
      <c r="B3091" t="s">
        <v>24</v>
      </c>
      <c r="C3091" s="2">
        <v>6352</v>
      </c>
      <c r="D3091" s="5" t="s">
        <v>17</v>
      </c>
      <c r="E3091" s="2">
        <f>IF(Tabla2[[#This Row],[Frecuencia]]="Annual", Tabla2[[#This Row],[Cosecha/Tarea]]/12,Tabla2[[#This Row],[Cosecha/Tarea]])</f>
        <v>6352</v>
      </c>
      <c r="F3091" s="2">
        <v>61647</v>
      </c>
      <c r="G3091" t="s">
        <v>18</v>
      </c>
      <c r="H3091">
        <f>F3091/Tabla2[[#This Row],[Cosecha Mensual]]</f>
        <v>9.7051322418136028</v>
      </c>
      <c r="I3091">
        <f>H3091*_xlfn.XLOOKUP(Tabla2[[#This Row],[Unidad de producción]],Tabla3[Medida],Tabla3[Equivalencia en Kg],"ELVIS",0)</f>
        <v>440.22479848866504</v>
      </c>
      <c r="J3091">
        <v>2330.93035714286</v>
      </c>
      <c r="K3091" t="s">
        <v>18</v>
      </c>
      <c r="L3091">
        <f>J3091/_xlfn.XLOOKUP(Tabla2[[#This Row],[Unidad de precio]],Tabla3[Medida],Tabla3[Equivalencia en Kg],"ELVIS",0)</f>
        <v>51.38735355253219</v>
      </c>
      <c r="M3091">
        <v>9606.8568095338396</v>
      </c>
      <c r="N3091" s="2">
        <f>(Tabla2[[#This Row],[Productividad (kg/TAS)]]*Tabla2[[#This Row],[Precio por kg]]-Tabla2[[#This Row],[Costos (En RD$/Tarea)]])</f>
        <v>13015.130552995428</v>
      </c>
      <c r="O3091" s="6">
        <f>IF(Tabla2[[#This Row],[Costos (En RD$/Tarea)]]=0,0,Tabla2[[#This Row],[Beneficio Neto  (En RD$/Tarea)]]/Tabla2[[#This Row],[Costos (En RD$/Tarea)]])</f>
        <v>1.3547751164646504</v>
      </c>
      <c r="P3091" s="4">
        <f>Tabla2[[#This Row],[Rentabilidad (%)]]/12</f>
        <v>0.1128979263720542</v>
      </c>
    </row>
    <row r="3092" spans="1:16" x14ac:dyDescent="0.35">
      <c r="A3092" s="1">
        <v>44348</v>
      </c>
      <c r="B3092" t="s">
        <v>25</v>
      </c>
      <c r="C3092" s="2">
        <v>40210</v>
      </c>
      <c r="D3092" s="5" t="s">
        <v>17</v>
      </c>
      <c r="E3092" s="2">
        <f>IF(Tabla2[[#This Row],[Frecuencia]]="Annual", Tabla2[[#This Row],[Cosecha/Tarea]]/12,Tabla2[[#This Row],[Cosecha/Tarea]])</f>
        <v>40210</v>
      </c>
      <c r="F3092" s="2">
        <v>389898</v>
      </c>
      <c r="G3092" t="s">
        <v>18</v>
      </c>
      <c r="H3092">
        <f>F3092/Tabla2[[#This Row],[Cosecha Mensual]]</f>
        <v>9.6965431484705302</v>
      </c>
      <c r="I3092">
        <f>H3092*_xlfn.XLOOKUP(Tabla2[[#This Row],[Unidad de producción]],Tabla3[Medida],Tabla3[Equivalencia en Kg],"ELVIS",0)</f>
        <v>439.83519721462324</v>
      </c>
      <c r="J3092">
        <v>776.44143750000001</v>
      </c>
      <c r="K3092" t="s">
        <v>18</v>
      </c>
      <c r="L3092">
        <f>J3092/_xlfn.XLOOKUP(Tabla2[[#This Row],[Unidad de precio]],Tabla3[Medida],Tabla3[Equivalencia en Kg],"ELVIS",0)</f>
        <v>17.117315641534393</v>
      </c>
      <c r="M3092">
        <v>5403.3874144923902</v>
      </c>
      <c r="N3092" s="2">
        <f>(Tabla2[[#This Row],[Productividad (kg/TAS)]]*Tabla2[[#This Row],[Precio por kg]]-Tabla2[[#This Row],[Costos (En RD$/Tarea)]])</f>
        <v>2125.410486486845</v>
      </c>
      <c r="O3092" s="6">
        <f>IF(Tabla2[[#This Row],[Costos (En RD$/Tarea)]]=0,0,Tabla2[[#This Row],[Beneficio Neto  (En RD$/Tarea)]]/Tabla2[[#This Row],[Costos (En RD$/Tarea)]])</f>
        <v>0.39334778786845737</v>
      </c>
      <c r="P3092" s="4">
        <f>Tabla2[[#This Row],[Rentabilidad (%)]]/12</f>
        <v>3.2778982322371447E-2</v>
      </c>
    </row>
    <row r="3093" spans="1:16" x14ac:dyDescent="0.35">
      <c r="A3093" s="1">
        <v>44348</v>
      </c>
      <c r="B3093" t="s">
        <v>26</v>
      </c>
      <c r="C3093" s="2">
        <v>11201</v>
      </c>
      <c r="D3093" s="5" t="s">
        <v>17</v>
      </c>
      <c r="E3093" s="2">
        <f>IF(Tabla2[[#This Row],[Frecuencia]]="Annual", Tabla2[[#This Row],[Cosecha/Tarea]]/12,Tabla2[[#This Row],[Cosecha/Tarea]])</f>
        <v>11201</v>
      </c>
      <c r="F3093" s="2">
        <v>68254</v>
      </c>
      <c r="G3093" t="s">
        <v>18</v>
      </c>
      <c r="H3093">
        <f>F3093/Tabla2[[#This Row],[Cosecha Mensual]]</f>
        <v>6.0935630747254708</v>
      </c>
      <c r="I3093">
        <f>H3093*_xlfn.XLOOKUP(Tabla2[[#This Row],[Unidad de producción]],Tabla3[Medida],Tabla3[Equivalencia en Kg],"ELVIS",0)</f>
        <v>276.40402106954735</v>
      </c>
      <c r="J3093">
        <v>999.35868055555602</v>
      </c>
      <c r="K3093" t="s">
        <v>18</v>
      </c>
      <c r="L3093">
        <f>J3093/_xlfn.XLOOKUP(Tabla2[[#This Row],[Unidad de precio]],Tabla3[Medida],Tabla3[Equivalencia en Kg],"ELVIS",0)</f>
        <v>22.031716943464641</v>
      </c>
      <c r="M3093">
        <v>1910.9913592487401</v>
      </c>
      <c r="N3093" s="2">
        <f>(Tabla2[[#This Row],[Productividad (kg/TAS)]]*Tabla2[[#This Row],[Precio por kg]]-Tabla2[[#This Row],[Costos (En RD$/Tarea)]])</f>
        <v>4178.6637949909637</v>
      </c>
      <c r="O3093" s="6">
        <f>IF(Tabla2[[#This Row],[Costos (En RD$/Tarea)]]=0,0,Tabla2[[#This Row],[Beneficio Neto  (En RD$/Tarea)]]/Tabla2[[#This Row],[Costos (En RD$/Tarea)]])</f>
        <v>2.1866471424725353</v>
      </c>
      <c r="P3093" s="4">
        <f>Tabla2[[#This Row],[Rentabilidad (%)]]/12</f>
        <v>0.18222059520604461</v>
      </c>
    </row>
    <row r="3094" spans="1:16" x14ac:dyDescent="0.35">
      <c r="A3094" s="1">
        <v>44348</v>
      </c>
      <c r="B3094" t="s">
        <v>27</v>
      </c>
      <c r="C3094" s="2">
        <v>8365</v>
      </c>
      <c r="D3094" s="5" t="s">
        <v>17</v>
      </c>
      <c r="E3094" s="2">
        <f>IF(Tabla2[[#This Row],[Frecuencia]]="Annual", Tabla2[[#This Row],[Cosecha/Tarea]]/12,Tabla2[[#This Row],[Cosecha/Tarea]])</f>
        <v>8365</v>
      </c>
      <c r="F3094" s="2">
        <v>58241</v>
      </c>
      <c r="G3094" t="s">
        <v>18</v>
      </c>
      <c r="H3094">
        <f>F3094/Tabla2[[#This Row],[Cosecha Mensual]]</f>
        <v>6.96246264196055</v>
      </c>
      <c r="I3094">
        <f>H3094*_xlfn.XLOOKUP(Tabla2[[#This Row],[Unidad de producción]],Tabla3[Medida],Tabla3[Equivalencia en Kg],"ELVIS",0)</f>
        <v>315.81730543933054</v>
      </c>
      <c r="J3094">
        <v>748.21666666666704</v>
      </c>
      <c r="K3094" t="s">
        <v>18</v>
      </c>
      <c r="L3094">
        <f>J3094/_xlfn.XLOOKUP(Tabla2[[#This Row],[Unidad de precio]],Tabla3[Medida],Tabla3[Equivalencia en Kg],"ELVIS",0)</f>
        <v>16.495076425631989</v>
      </c>
      <c r="M3094">
        <v>10561.2569707933</v>
      </c>
      <c r="N3094" s="2">
        <f>(Tabla2[[#This Row],[Productividad (kg/TAS)]]*Tabla2[[#This Row],[Precio por kg]]-Tabla2[[#This Row],[Costos (En RD$/Tarea)]])</f>
        <v>-5351.8263810343815</v>
      </c>
      <c r="O3094" s="6">
        <f>IF(Tabla2[[#This Row],[Costos (En RD$/Tarea)]]=0,0,Tabla2[[#This Row],[Beneficio Neto  (En RD$/Tarea)]]/Tabla2[[#This Row],[Costos (En RD$/Tarea)]])</f>
        <v>-0.50674142252523791</v>
      </c>
      <c r="P3094" s="4">
        <f>Tabla2[[#This Row],[Rentabilidad (%)]]/12</f>
        <v>-4.2228451877103161E-2</v>
      </c>
    </row>
    <row r="3095" spans="1:16" x14ac:dyDescent="0.35">
      <c r="A3095" s="1">
        <v>44348</v>
      </c>
      <c r="B3095" t="s">
        <v>28</v>
      </c>
      <c r="C3095" s="2">
        <v>46255</v>
      </c>
      <c r="D3095" s="5" t="s">
        <v>17</v>
      </c>
      <c r="E3095" s="2">
        <f>IF(Tabla2[[#This Row],[Frecuencia]]="Annual", Tabla2[[#This Row],[Cosecha/Tarea]]/12,Tabla2[[#This Row],[Cosecha/Tarea]])</f>
        <v>46255</v>
      </c>
      <c r="F3095" s="2">
        <v>1362748</v>
      </c>
      <c r="G3095" t="s">
        <v>18</v>
      </c>
      <c r="H3095">
        <f>F3095/Tabla2[[#This Row],[Cosecha Mensual]]</f>
        <v>29.461636579829207</v>
      </c>
      <c r="I3095">
        <f>H3095*_xlfn.XLOOKUP(Tabla2[[#This Row],[Unidad de producción]],Tabla3[Medida],Tabla3[Equivalencia en Kg],"ELVIS",0)</f>
        <v>1336.3798352610529</v>
      </c>
      <c r="J3095">
        <v>15333.333333333299</v>
      </c>
      <c r="K3095" t="s">
        <v>29</v>
      </c>
      <c r="L3095">
        <f>J3095/_xlfn.XLOOKUP(Tabla2[[#This Row],[Unidad de precio]],Tabla3[Medida],Tabla3[Equivalencia en Kg],"ELVIS",0)</f>
        <v>27.267015210252335</v>
      </c>
      <c r="M3095">
        <v>20320.344000000001</v>
      </c>
      <c r="N3095" s="2">
        <f>(Tabla2[[#This Row],[Productividad (kg/TAS)]]*Tabla2[[#This Row],[Precio por kg]]-Tabla2[[#This Row],[Costos (En RD$/Tarea)]])</f>
        <v>16118.745294737641</v>
      </c>
      <c r="O3095" s="6">
        <f>IF(Tabla2[[#This Row],[Costos (En RD$/Tarea)]]=0,0,Tabla2[[#This Row],[Beneficio Neto  (En RD$/Tarea)]]/Tabla2[[#This Row],[Costos (En RD$/Tarea)]])</f>
        <v>0.79323191057875986</v>
      </c>
      <c r="P3095" s="4">
        <f>Tabla2[[#This Row],[Rentabilidad (%)]]/12</f>
        <v>6.610265921489665E-2</v>
      </c>
    </row>
    <row r="3096" spans="1:16" x14ac:dyDescent="0.35">
      <c r="A3096" s="1">
        <v>44348</v>
      </c>
      <c r="B3096" t="s">
        <v>30</v>
      </c>
      <c r="C3096" s="2">
        <v>501756</v>
      </c>
      <c r="D3096" s="2" t="s">
        <v>31</v>
      </c>
      <c r="E3096" s="2">
        <f>IF(Tabla2[[#This Row],[Frecuencia]]="Annual", Tabla2[[#This Row],[Cosecha/Tarea]]/12,Tabla2[[#This Row],[Cosecha/Tarea]])</f>
        <v>41813</v>
      </c>
      <c r="F3096" s="2">
        <v>2547089</v>
      </c>
      <c r="G3096" t="s">
        <v>18</v>
      </c>
      <c r="H3096">
        <f>F3096/Tabla2[[#This Row],[Cosecha Mensual]]</f>
        <v>60.916198311529904</v>
      </c>
      <c r="I3096">
        <f>H3096*_xlfn.XLOOKUP(Tabla2[[#This Row],[Unidad de producción]],Tabla3[Medida],Tabla3[Equivalencia en Kg],"ELVIS",0)</f>
        <v>2763.1587554109965</v>
      </c>
      <c r="J3096">
        <v>216.38708333333301</v>
      </c>
      <c r="K3096" t="s">
        <v>32</v>
      </c>
      <c r="L3096">
        <f>J3096/_xlfn.XLOOKUP(Tabla2[[#This Row],[Unidad de precio]],Tabla3[Medida],Tabla3[Equivalencia en Kg],"ELVIS",0)</f>
        <v>7.9524837682224554</v>
      </c>
      <c r="M3096" s="2">
        <v>40592.436194530601</v>
      </c>
      <c r="N3096" s="2">
        <f>(Tabla2[[#This Row],[Productividad (kg/TAS)]]*Tabla2[[#This Row],[Precio por kg]]-Tabla2[[#This Row],[Costos (En RD$/Tarea)]])</f>
        <v>-18618.461043102889</v>
      </c>
      <c r="O3096" s="6">
        <f>IF(Tabla2[[#This Row],[Costos (En RD$/Tarea)]]=0,0,Tabla2[[#This Row],[Beneficio Neto  (En RD$/Tarea)]]/Tabla2[[#This Row],[Costos (En RD$/Tarea)]])</f>
        <v>-0.45866823449269911</v>
      </c>
      <c r="P3096" s="4">
        <f>Tabla2[[#This Row],[Rentabilidad (%)]]/12</f>
        <v>-3.8222352874391595E-2</v>
      </c>
    </row>
    <row r="3097" spans="1:16" x14ac:dyDescent="0.35">
      <c r="A3097" s="1">
        <v>44348</v>
      </c>
      <c r="B3097" t="s">
        <v>33</v>
      </c>
      <c r="C3097" s="2">
        <v>865475</v>
      </c>
      <c r="D3097" s="2" t="s">
        <v>31</v>
      </c>
      <c r="E3097" s="2">
        <f>IF(Tabla2[[#This Row],[Frecuencia]]="Annual", Tabla2[[#This Row],[Cosecha/Tarea]]/12,Tabla2[[#This Row],[Cosecha/Tarea]])</f>
        <v>72122.916666666672</v>
      </c>
      <c r="F3097" s="2">
        <v>2028735</v>
      </c>
      <c r="G3097" t="s">
        <v>18</v>
      </c>
      <c r="H3097">
        <f>F3097/Tabla2[[#This Row],[Cosecha Mensual]]</f>
        <v>28.12885409746093</v>
      </c>
      <c r="I3097">
        <f>H3097*_xlfn.XLOOKUP(Tabla2[[#This Row],[Unidad de producción]],Tabla3[Medida],Tabla3[Equivalencia en Kg],"ELVIS",0)</f>
        <v>1275.9248218608277</v>
      </c>
      <c r="J3097">
        <v>6871.8322916666702</v>
      </c>
      <c r="K3097" t="s">
        <v>34</v>
      </c>
      <c r="L3097">
        <f>J3097/_xlfn.XLOOKUP(Tabla2[[#This Row],[Unidad de precio]],Tabla3[Medida],Tabla3[Equivalencia en Kg],"ELVIS",0)</f>
        <v>16.836536302013158</v>
      </c>
      <c r="M3097" s="2">
        <v>43963.444034400003</v>
      </c>
      <c r="N3097" s="2">
        <f>(Tabla2[[#This Row],[Productividad (kg/TAS)]]*Tabla2[[#This Row],[Precio por kg]]-Tabla2[[#This Row],[Costos (En RD$/Tarea)]])</f>
        <v>-22481.289452500507</v>
      </c>
      <c r="O3097" s="6">
        <f>IF(Tabla2[[#This Row],[Costos (En RD$/Tarea)]]=0,0,Tabla2[[#This Row],[Beneficio Neto  (En RD$/Tarea)]]/Tabla2[[#This Row],[Costos (En RD$/Tarea)]])</f>
        <v>-0.51136324613034434</v>
      </c>
      <c r="P3097" s="4">
        <f>Tabla2[[#This Row],[Rentabilidad (%)]]/12</f>
        <v>-4.2613603844195359E-2</v>
      </c>
    </row>
    <row r="3098" spans="1:16" x14ac:dyDescent="0.35">
      <c r="A3098" s="1">
        <v>44378</v>
      </c>
      <c r="B3098" t="s">
        <v>16</v>
      </c>
      <c r="C3098" s="2">
        <v>153807</v>
      </c>
      <c r="D3098" s="5" t="s">
        <v>17</v>
      </c>
      <c r="E3098" s="2">
        <f>IF(Tabla2[[#This Row],[Frecuencia]]="Annual", Tabla2[[#This Row],[Cosecha/Tarea]]/12,Tabla2[[#This Row],[Cosecha/Tarea]])</f>
        <v>153807</v>
      </c>
      <c r="F3098" s="2">
        <v>744331</v>
      </c>
      <c r="G3098" t="s">
        <v>18</v>
      </c>
      <c r="H3098">
        <f>F3098/Tabla2[[#This Row],[Cosecha Mensual]]</f>
        <v>4.8393831230048043</v>
      </c>
      <c r="I3098">
        <f>H3098*_xlfn.XLOOKUP(Tabla2[[#This Row],[Unidad de producción]],Tabla3[Medida],Tabla3[Equivalencia en Kg],"ELVIS",0)</f>
        <v>219.51441845949793</v>
      </c>
      <c r="J3098">
        <v>2527.85</v>
      </c>
      <c r="K3098" t="s">
        <v>19</v>
      </c>
      <c r="L3098">
        <f>J3098/_xlfn.XLOOKUP(Tabla2[[#This Row],[Unidad de precio]],Tabla3[Medida],Tabla3[Equivalencia en Kg],"ELVIS",0)</f>
        <v>22.980454545454545</v>
      </c>
      <c r="M3098">
        <v>7900.3979447716101</v>
      </c>
      <c r="N3098" s="2">
        <f>(Tabla2[[#This Row],[Productividad (kg/TAS)]]*Tabla2[[#This Row],[Precio por kg]]-Tabla2[[#This Row],[Costos (En RD$/Tarea)]])</f>
        <v>-2855.8568292912296</v>
      </c>
      <c r="O3098" s="6">
        <f>IF(Tabla2[[#This Row],[Costos (En RD$/Tarea)]]=0,0,Tabla2[[#This Row],[Beneficio Neto  (En RD$/Tarea)]]/Tabla2[[#This Row],[Costos (En RD$/Tarea)]])</f>
        <v>-0.36148265558967213</v>
      </c>
      <c r="P3098" s="4">
        <f>Tabla2[[#This Row],[Rentabilidad (%)]]/12</f>
        <v>-3.0123554632472679E-2</v>
      </c>
    </row>
    <row r="3099" spans="1:16" x14ac:dyDescent="0.35">
      <c r="A3099" s="1">
        <v>44378</v>
      </c>
      <c r="B3099" t="s">
        <v>20</v>
      </c>
      <c r="C3099" s="2">
        <v>36998</v>
      </c>
      <c r="D3099" s="5" t="s">
        <v>17</v>
      </c>
      <c r="E3099" s="2">
        <f>IF(Tabla2[[#This Row],[Frecuencia]]="Annual", Tabla2[[#This Row],[Cosecha/Tarea]]/12,Tabla2[[#This Row],[Cosecha/Tarea]])</f>
        <v>36998</v>
      </c>
      <c r="F3099" s="2">
        <v>116789</v>
      </c>
      <c r="G3099" t="s">
        <v>18</v>
      </c>
      <c r="H3099">
        <f>F3099/Tabla2[[#This Row],[Cosecha Mensual]]</f>
        <v>3.156630088112871</v>
      </c>
      <c r="I3099">
        <f>H3099*_xlfn.XLOOKUP(Tabla2[[#This Row],[Unidad de producción]],Tabla3[Medida],Tabla3[Equivalencia en Kg],"ELVIS",0)</f>
        <v>143.18474079679982</v>
      </c>
      <c r="J3099">
        <v>1118.9869791666699</v>
      </c>
      <c r="K3099" t="s">
        <v>18</v>
      </c>
      <c r="L3099">
        <f>J3099/_xlfn.XLOOKUP(Tabla2[[#This Row],[Unidad de precio]],Tabla3[Medida],Tabla3[Equivalencia en Kg],"ELVIS",0)</f>
        <v>24.669025113903658</v>
      </c>
      <c r="M3099">
        <v>2759.0657712295701</v>
      </c>
      <c r="N3099" s="2">
        <f>(Tabla2[[#This Row],[Productividad (kg/TAS)]]*Tabla2[[#This Row],[Precio por kg]]-Tabla2[[#This Row],[Costos (En RD$/Tarea)]])</f>
        <v>773.16219541447026</v>
      </c>
      <c r="O3099" s="6">
        <f>IF(Tabla2[[#This Row],[Costos (En RD$/Tarea)]]=0,0,Tabla2[[#This Row],[Beneficio Neto  (En RD$/Tarea)]]/Tabla2[[#This Row],[Costos (En RD$/Tarea)]])</f>
        <v>0.28022608358115098</v>
      </c>
      <c r="P3099" s="4">
        <f>Tabla2[[#This Row],[Rentabilidad (%)]]/12</f>
        <v>2.335217363176258E-2</v>
      </c>
    </row>
    <row r="3100" spans="1:16" x14ac:dyDescent="0.35">
      <c r="A3100" s="1">
        <v>44378</v>
      </c>
      <c r="B3100" t="s">
        <v>21</v>
      </c>
      <c r="C3100" s="2">
        <v>7599</v>
      </c>
      <c r="D3100" s="5" t="s">
        <v>17</v>
      </c>
      <c r="E3100" s="2">
        <f>IF(Tabla2[[#This Row],[Frecuencia]]="Annual", Tabla2[[#This Row],[Cosecha/Tarea]]/12,Tabla2[[#This Row],[Cosecha/Tarea]])</f>
        <v>7599</v>
      </c>
      <c r="F3100" s="2">
        <v>92788</v>
      </c>
      <c r="G3100" t="s">
        <v>18</v>
      </c>
      <c r="H3100">
        <f>F3100/Tabla2[[#This Row],[Cosecha Mensual]]</f>
        <v>12.210554020265825</v>
      </c>
      <c r="I3100">
        <f>H3100*_xlfn.XLOOKUP(Tabla2[[#This Row],[Unidad de producción]],Tabla3[Medida],Tabla3[Equivalencia en Kg],"ELVIS",0)</f>
        <v>553.87073035925778</v>
      </c>
      <c r="J3100">
        <v>804.03645833333303</v>
      </c>
      <c r="K3100" t="s">
        <v>18</v>
      </c>
      <c r="L3100">
        <f>J3100/_xlfn.XLOOKUP(Tabla2[[#This Row],[Unidad de precio]],Tabla3[Medida],Tabla3[Equivalencia en Kg],"ELVIS",0)</f>
        <v>17.725671480011751</v>
      </c>
      <c r="M3100">
        <v>6695.9501351373101</v>
      </c>
      <c r="N3100" s="2">
        <f>(Tabla2[[#This Row],[Productividad (kg/TAS)]]*Tabla2[[#This Row],[Precio por kg]]-Tabla2[[#This Row],[Costos (En RD$/Tarea)]])</f>
        <v>3121.7804736050648</v>
      </c>
      <c r="O3100" s="6">
        <f>IF(Tabla2[[#This Row],[Costos (En RD$/Tarea)]]=0,0,Tabla2[[#This Row],[Beneficio Neto  (En RD$/Tarea)]]/Tabla2[[#This Row],[Costos (En RD$/Tarea)]])</f>
        <v>0.46621919378153315</v>
      </c>
      <c r="P3100" s="4">
        <f>Tabla2[[#This Row],[Rentabilidad (%)]]/12</f>
        <v>3.8851599481794431E-2</v>
      </c>
    </row>
    <row r="3101" spans="1:16" x14ac:dyDescent="0.35">
      <c r="A3101" s="1">
        <v>44378</v>
      </c>
      <c r="B3101" t="s">
        <v>22</v>
      </c>
      <c r="C3101" s="2">
        <v>4300</v>
      </c>
      <c r="D3101" s="5" t="s">
        <v>17</v>
      </c>
      <c r="E3101" s="2">
        <f>IF(Tabla2[[#This Row],[Frecuencia]]="Annual", Tabla2[[#This Row],[Cosecha/Tarea]]/12,Tabla2[[#This Row],[Cosecha/Tarea]])</f>
        <v>4300</v>
      </c>
      <c r="F3101" s="2">
        <v>42155</v>
      </c>
      <c r="G3101" t="s">
        <v>18</v>
      </c>
      <c r="H3101">
        <f>F3101/Tabla2[[#This Row],[Cosecha Mensual]]</f>
        <v>9.8034883720930228</v>
      </c>
      <c r="I3101">
        <f>H3101*_xlfn.XLOOKUP(Tabla2[[#This Row],[Unidad de producción]],Tabla3[Medida],Tabla3[Equivalencia en Kg],"ELVIS",0)</f>
        <v>444.68623255813952</v>
      </c>
      <c r="J3101">
        <v>2054.0625</v>
      </c>
      <c r="K3101" t="s">
        <v>18</v>
      </c>
      <c r="L3101">
        <f>J3101/_xlfn.XLOOKUP(Tabla2[[#This Row],[Unidad de precio]],Tabla3[Medida],Tabla3[Equivalencia en Kg],"ELVIS",0)</f>
        <v>45.283564814814817</v>
      </c>
      <c r="M3101">
        <v>11609.318489158701</v>
      </c>
      <c r="N3101" s="2">
        <f>(Tabla2[[#This Row],[Productividad (kg/TAS)]]*Tabla2[[#This Row],[Precio por kg]]-Tabla2[[#This Row],[Costos (En RD$/Tarea)]])</f>
        <v>8527.6593451436238</v>
      </c>
      <c r="O3101" s="6">
        <f>IF(Tabla2[[#This Row],[Costos (En RD$/Tarea)]]=0,0,Tabla2[[#This Row],[Beneficio Neto  (En RD$/Tarea)]]/Tabla2[[#This Row],[Costos (En RD$/Tarea)]])</f>
        <v>0.73455296735179865</v>
      </c>
      <c r="P3101" s="4">
        <f>Tabla2[[#This Row],[Rentabilidad (%)]]/12</f>
        <v>6.1212747279316554E-2</v>
      </c>
    </row>
    <row r="3102" spans="1:16" x14ac:dyDescent="0.35">
      <c r="A3102" s="1">
        <v>44378</v>
      </c>
      <c r="B3102" t="s">
        <v>23</v>
      </c>
      <c r="C3102" s="2">
        <v>3501</v>
      </c>
      <c r="D3102" s="5" t="s">
        <v>17</v>
      </c>
      <c r="E3102" s="2">
        <f>IF(Tabla2[[#This Row],[Frecuencia]]="Annual", Tabla2[[#This Row],[Cosecha/Tarea]]/12,Tabla2[[#This Row],[Cosecha/Tarea]])</f>
        <v>3501</v>
      </c>
      <c r="F3102" s="2">
        <v>122899</v>
      </c>
      <c r="G3102" t="s">
        <v>18</v>
      </c>
      <c r="H3102">
        <f>F3102/Tabla2[[#This Row],[Cosecha Mensual]]</f>
        <v>35.103970294201659</v>
      </c>
      <c r="I3102">
        <f>H3102*_xlfn.XLOOKUP(Tabla2[[#This Row],[Unidad de producción]],Tabla3[Medida],Tabla3[Equivalencia en Kg],"ELVIS",0)</f>
        <v>1592.3160925449872</v>
      </c>
      <c r="J3102">
        <v>953.125</v>
      </c>
      <c r="K3102" t="s">
        <v>18</v>
      </c>
      <c r="L3102">
        <f>J3102/_xlfn.XLOOKUP(Tabla2[[#This Row],[Unidad de precio]],Tabla3[Medida],Tabla3[Equivalencia en Kg],"ELVIS",0)</f>
        <v>21.01245590828924</v>
      </c>
      <c r="M3102">
        <v>31774.6512666667</v>
      </c>
      <c r="N3102" s="2">
        <f>(Tabla2[[#This Row],[Productividad (kg/TAS)]]*Tabla2[[#This Row],[Precio por kg]]-Tabla2[[#This Row],[Costos (En RD$/Tarea)]])</f>
        <v>1683.820419994252</v>
      </c>
      <c r="O3102" s="6">
        <f>IF(Tabla2[[#This Row],[Costos (En RD$/Tarea)]]=0,0,Tabla2[[#This Row],[Beneficio Neto  (En RD$/Tarea)]]/Tabla2[[#This Row],[Costos (En RD$/Tarea)]])</f>
        <v>5.2992569638700304E-2</v>
      </c>
      <c r="P3102" s="4">
        <f>Tabla2[[#This Row],[Rentabilidad (%)]]/12</f>
        <v>4.4160474698916917E-3</v>
      </c>
    </row>
    <row r="3103" spans="1:16" x14ac:dyDescent="0.35">
      <c r="A3103" s="1">
        <v>44378</v>
      </c>
      <c r="B3103" t="s">
        <v>24</v>
      </c>
      <c r="C3103" s="2">
        <v>6599</v>
      </c>
      <c r="D3103" s="5" t="s">
        <v>17</v>
      </c>
      <c r="E3103" s="2">
        <f>IF(Tabla2[[#This Row],[Frecuencia]]="Annual", Tabla2[[#This Row],[Cosecha/Tarea]]/12,Tabla2[[#This Row],[Cosecha/Tarea]])</f>
        <v>6599</v>
      </c>
      <c r="F3103" s="2">
        <v>61898</v>
      </c>
      <c r="G3103" t="s">
        <v>18</v>
      </c>
      <c r="H3103">
        <f>F3103/Tabla2[[#This Row],[Cosecha Mensual]]</f>
        <v>9.3799060463706621</v>
      </c>
      <c r="I3103">
        <f>H3103*_xlfn.XLOOKUP(Tabla2[[#This Row],[Unidad de producción]],Tabla3[Medida],Tabla3[Equivalencia en Kg],"ELVIS",0)</f>
        <v>425.47253826337322</v>
      </c>
      <c r="J3103">
        <v>2193.223125</v>
      </c>
      <c r="K3103" t="s">
        <v>18</v>
      </c>
      <c r="L3103">
        <f>J3103/_xlfn.XLOOKUP(Tabla2[[#This Row],[Unidad de precio]],Tabla3[Medida],Tabla3[Equivalencia en Kg],"ELVIS",0)</f>
        <v>48.351479828042329</v>
      </c>
      <c r="M3103">
        <v>9606.8568095338396</v>
      </c>
      <c r="N3103" s="2">
        <f>(Tabla2[[#This Row],[Productividad (kg/TAS)]]*Tabla2[[#This Row],[Precio por kg]]-Tabla2[[#This Row],[Costos (En RD$/Tarea)]])</f>
        <v>10965.370041693617</v>
      </c>
      <c r="O3103" s="6">
        <f>IF(Tabla2[[#This Row],[Costos (En RD$/Tarea)]]=0,0,Tabla2[[#This Row],[Beneficio Neto  (En RD$/Tarea)]]/Tabla2[[#This Row],[Costos (En RD$/Tarea)]])</f>
        <v>1.1414107922178656</v>
      </c>
      <c r="P3103" s="4">
        <f>Tabla2[[#This Row],[Rentabilidad (%)]]/12</f>
        <v>9.5117566018155464E-2</v>
      </c>
    </row>
    <row r="3104" spans="1:16" x14ac:dyDescent="0.35">
      <c r="A3104" s="1">
        <v>44378</v>
      </c>
      <c r="B3104" t="s">
        <v>25</v>
      </c>
      <c r="C3104" s="2">
        <v>30324</v>
      </c>
      <c r="D3104" s="5" t="s">
        <v>17</v>
      </c>
      <c r="E3104" s="2">
        <f>IF(Tabla2[[#This Row],[Frecuencia]]="Annual", Tabla2[[#This Row],[Cosecha/Tarea]]/12,Tabla2[[#This Row],[Cosecha/Tarea]])</f>
        <v>30324</v>
      </c>
      <c r="F3104" s="2">
        <v>304251</v>
      </c>
      <c r="G3104" t="s">
        <v>18</v>
      </c>
      <c r="H3104">
        <f>F3104/Tabla2[[#This Row],[Cosecha Mensual]]</f>
        <v>10.033339928769292</v>
      </c>
      <c r="I3104">
        <f>H3104*_xlfn.XLOOKUP(Tabla2[[#This Row],[Unidad de producción]],Tabla3[Medida],Tabla3[Equivalencia en Kg],"ELVIS",0)</f>
        <v>455.11229916897508</v>
      </c>
      <c r="J3104">
        <v>746.823125</v>
      </c>
      <c r="K3104" t="s">
        <v>18</v>
      </c>
      <c r="L3104">
        <f>J3104/_xlfn.XLOOKUP(Tabla2[[#This Row],[Unidad de precio]],Tabla3[Medida],Tabla3[Equivalencia en Kg],"ELVIS",0)</f>
        <v>16.464354607583775</v>
      </c>
      <c r="M3104">
        <v>5403.3874144923902</v>
      </c>
      <c r="N3104" s="2">
        <f>(Tabla2[[#This Row],[Productividad (kg/TAS)]]*Tabla2[[#This Row],[Precio por kg]]-Tabla2[[#This Row],[Costos (En RD$/Tarea)]])</f>
        <v>2089.7428652983699</v>
      </c>
      <c r="O3104" s="6">
        <f>IF(Tabla2[[#This Row],[Costos (En RD$/Tarea)]]=0,0,Tabla2[[#This Row],[Beneficio Neto  (En RD$/Tarea)]]/Tabla2[[#This Row],[Costos (En RD$/Tarea)]])</f>
        <v>0.38674681361796936</v>
      </c>
      <c r="P3104" s="4">
        <f>Tabla2[[#This Row],[Rentabilidad (%)]]/12</f>
        <v>3.2228901134830783E-2</v>
      </c>
    </row>
    <row r="3105" spans="1:16" x14ac:dyDescent="0.35">
      <c r="A3105" s="1">
        <v>44378</v>
      </c>
      <c r="B3105" t="s">
        <v>26</v>
      </c>
      <c r="C3105" s="2">
        <v>9214</v>
      </c>
      <c r="D3105" s="5" t="s">
        <v>17</v>
      </c>
      <c r="E3105" s="2">
        <f>IF(Tabla2[[#This Row],[Frecuencia]]="Annual", Tabla2[[#This Row],[Cosecha/Tarea]]/12,Tabla2[[#This Row],[Cosecha/Tarea]])</f>
        <v>9214</v>
      </c>
      <c r="F3105" s="2">
        <v>52147</v>
      </c>
      <c r="G3105" t="s">
        <v>18</v>
      </c>
      <c r="H3105">
        <f>F3105/Tabla2[[#This Row],[Cosecha Mensual]]</f>
        <v>5.6595398306924247</v>
      </c>
      <c r="I3105">
        <f>H3105*_xlfn.XLOOKUP(Tabla2[[#This Row],[Unidad de producción]],Tabla3[Medida],Tabla3[Equivalencia en Kg],"ELVIS",0)</f>
        <v>256.71672672020838</v>
      </c>
      <c r="J3105">
        <v>1031.8463541666699</v>
      </c>
      <c r="K3105" t="s">
        <v>18</v>
      </c>
      <c r="L3105">
        <f>J3105/_xlfn.XLOOKUP(Tabla2[[#This Row],[Unidad de precio]],Tabla3[Medida],Tabla3[Equivalencia en Kg],"ELVIS",0)</f>
        <v>22.74793549750154</v>
      </c>
      <c r="M3105">
        <v>1910.9913592487401</v>
      </c>
      <c r="N3105" s="2">
        <f>(Tabla2[[#This Row],[Productividad (kg/TAS)]]*Tabla2[[#This Row],[Precio por kg]]-Tabla2[[#This Row],[Costos (En RD$/Tarea)]])</f>
        <v>3928.7841813122905</v>
      </c>
      <c r="O3105" s="6">
        <f>IF(Tabla2[[#This Row],[Costos (En RD$/Tarea)]]=0,0,Tabla2[[#This Row],[Beneficio Neto  (En RD$/Tarea)]]/Tabla2[[#This Row],[Costos (En RD$/Tarea)]])</f>
        <v>2.0558879883459005</v>
      </c>
      <c r="P3105" s="4">
        <f>Tabla2[[#This Row],[Rentabilidad (%)]]/12</f>
        <v>0.17132399902882503</v>
      </c>
    </row>
    <row r="3106" spans="1:16" x14ac:dyDescent="0.35">
      <c r="A3106" s="1">
        <v>44378</v>
      </c>
      <c r="B3106" t="s">
        <v>27</v>
      </c>
      <c r="C3106" s="2">
        <v>5077</v>
      </c>
      <c r="D3106" s="5" t="s">
        <v>17</v>
      </c>
      <c r="E3106" s="2">
        <f>IF(Tabla2[[#This Row],[Frecuencia]]="Annual", Tabla2[[#This Row],[Cosecha/Tarea]]/12,Tabla2[[#This Row],[Cosecha/Tarea]])</f>
        <v>5077</v>
      </c>
      <c r="F3106" s="2">
        <v>51044</v>
      </c>
      <c r="G3106" t="s">
        <v>18</v>
      </c>
      <c r="H3106">
        <f>F3106/Tabla2[[#This Row],[Cosecha Mensual]]</f>
        <v>10.053968879259406</v>
      </c>
      <c r="I3106">
        <f>H3106*_xlfn.XLOOKUP(Tabla2[[#This Row],[Unidad de producción]],Tabla3[Medida],Tabla3[Equivalencia en Kg],"ELVIS",0)</f>
        <v>456.04802836320664</v>
      </c>
      <c r="J3106">
        <v>862.21875</v>
      </c>
      <c r="K3106" t="s">
        <v>18</v>
      </c>
      <c r="L3106">
        <f>J3106/_xlfn.XLOOKUP(Tabla2[[#This Row],[Unidad de precio]],Tabla3[Medida],Tabla3[Equivalencia en Kg],"ELVIS",0)</f>
        <v>19.008349867724867</v>
      </c>
      <c r="M3106">
        <v>10561.2569707933</v>
      </c>
      <c r="N3106" s="2">
        <f>(Tabla2[[#This Row],[Productividad (kg/TAS)]]*Tabla2[[#This Row],[Precio por kg]]-Tabla2[[#This Row],[Costos (En RD$/Tarea)]])</f>
        <v>-1892.5364911793549</v>
      </c>
      <c r="O3106" s="6">
        <f>IF(Tabla2[[#This Row],[Costos (En RD$/Tarea)]]=0,0,Tabla2[[#This Row],[Beneficio Neto  (En RD$/Tarea)]]/Tabla2[[#This Row],[Costos (En RD$/Tarea)]])</f>
        <v>-0.17919614080152418</v>
      </c>
      <c r="P3106" s="4">
        <f>Tabla2[[#This Row],[Rentabilidad (%)]]/12</f>
        <v>-1.4933011733460349E-2</v>
      </c>
    </row>
    <row r="3107" spans="1:16" x14ac:dyDescent="0.35">
      <c r="A3107" s="1">
        <v>44378</v>
      </c>
      <c r="B3107" t="s">
        <v>28</v>
      </c>
      <c r="C3107" s="2">
        <v>34401</v>
      </c>
      <c r="D3107" s="5" t="s">
        <v>17</v>
      </c>
      <c r="E3107" s="2">
        <f>IF(Tabla2[[#This Row],[Frecuencia]]="Annual", Tabla2[[#This Row],[Cosecha/Tarea]]/12,Tabla2[[#This Row],[Cosecha/Tarea]])</f>
        <v>34401</v>
      </c>
      <c r="F3107" s="2">
        <v>1264775</v>
      </c>
      <c r="G3107" t="s">
        <v>18</v>
      </c>
      <c r="H3107">
        <f>F3107/Tabla2[[#This Row],[Cosecha Mensual]]</f>
        <v>36.765646347489898</v>
      </c>
      <c r="I3107">
        <f>H3107*_xlfn.XLOOKUP(Tabla2[[#This Row],[Unidad de producción]],Tabla3[Medida],Tabla3[Equivalencia en Kg],"ELVIS",0)</f>
        <v>1667.6897183221417</v>
      </c>
      <c r="J3107">
        <v>8600</v>
      </c>
      <c r="K3107" t="s">
        <v>29</v>
      </c>
      <c r="L3107">
        <f>J3107/_xlfn.XLOOKUP(Tabla2[[#This Row],[Unidad de precio]],Tabla3[Medida],Tabla3[Equivalencia en Kg],"ELVIS",0)</f>
        <v>15.293238965750257</v>
      </c>
      <c r="M3107">
        <v>20320.344000000001</v>
      </c>
      <c r="N3107" s="2">
        <f>(Tabla2[[#This Row],[Productividad (kg/TAS)]]*Tabla2[[#This Row],[Precio por kg]]-Tabla2[[#This Row],[Costos (En RD$/Tarea)]])</f>
        <v>5184.0333830252493</v>
      </c>
      <c r="O3107" s="6">
        <f>IF(Tabla2[[#This Row],[Costos (En RD$/Tarea)]]=0,0,Tabla2[[#This Row],[Beneficio Neto  (En RD$/Tarea)]]/Tabla2[[#This Row],[Costos (En RD$/Tarea)]])</f>
        <v>0.25511543421830107</v>
      </c>
      <c r="P3107" s="4">
        <f>Tabla2[[#This Row],[Rentabilidad (%)]]/12</f>
        <v>2.1259619518191757E-2</v>
      </c>
    </row>
    <row r="3108" spans="1:16" x14ac:dyDescent="0.35">
      <c r="A3108" s="1">
        <v>44378</v>
      </c>
      <c r="B3108" t="s">
        <v>30</v>
      </c>
      <c r="C3108" s="2">
        <v>477888</v>
      </c>
      <c r="D3108" s="2" t="s">
        <v>31</v>
      </c>
      <c r="E3108" s="2">
        <f>IF(Tabla2[[#This Row],[Frecuencia]]="Annual", Tabla2[[#This Row],[Cosecha/Tarea]]/12,Tabla2[[#This Row],[Cosecha/Tarea]])</f>
        <v>39824</v>
      </c>
      <c r="F3108" s="2">
        <v>2573753</v>
      </c>
      <c r="G3108" t="s">
        <v>18</v>
      </c>
      <c r="H3108">
        <f>F3108/Tabla2[[#This Row],[Cosecha Mensual]]</f>
        <v>64.628189031739652</v>
      </c>
      <c r="I3108">
        <f>H3108*_xlfn.XLOOKUP(Tabla2[[#This Row],[Unidad de producción]],Tabla3[Medida],Tabla3[Equivalencia en Kg],"ELVIS",0)</f>
        <v>2931.5346544797108</v>
      </c>
      <c r="J3108">
        <v>404.22395833333297</v>
      </c>
      <c r="K3108" t="s">
        <v>32</v>
      </c>
      <c r="L3108">
        <f>J3108/_xlfn.XLOOKUP(Tabla2[[#This Row],[Unidad de precio]],Tabla3[Medida],Tabla3[Equivalencia en Kg],"ELVIS",0)</f>
        <v>14.855713279431567</v>
      </c>
      <c r="M3108" s="2">
        <v>40592.436194530601</v>
      </c>
      <c r="N3108" s="2">
        <f>(Tabla2[[#This Row],[Productividad (kg/TAS)]]*Tabla2[[#This Row],[Precio por kg]]-Tabla2[[#This Row],[Costos (En RD$/Tarea)]])</f>
        <v>2957.6021011374687</v>
      </c>
      <c r="O3108" s="6">
        <f>IF(Tabla2[[#This Row],[Costos (En RD$/Tarea)]]=0,0,Tabla2[[#This Row],[Beneficio Neto  (En RD$/Tarea)]]/Tabla2[[#This Row],[Costos (En RD$/Tarea)]])</f>
        <v>7.2860916426986319E-2</v>
      </c>
      <c r="P3108" s="4">
        <f>Tabla2[[#This Row],[Rentabilidad (%)]]/12</f>
        <v>6.0717430355821935E-3</v>
      </c>
    </row>
    <row r="3109" spans="1:16" x14ac:dyDescent="0.35">
      <c r="A3109" s="1">
        <v>44378</v>
      </c>
      <c r="B3109" t="s">
        <v>33</v>
      </c>
      <c r="C3109" s="2">
        <v>831998</v>
      </c>
      <c r="D3109" s="2" t="s">
        <v>31</v>
      </c>
      <c r="E3109" s="2">
        <f>IF(Tabla2[[#This Row],[Frecuencia]]="Annual", Tabla2[[#This Row],[Cosecha/Tarea]]/12,Tabla2[[#This Row],[Cosecha/Tarea]])</f>
        <v>69333.166666666672</v>
      </c>
      <c r="F3109" s="2">
        <v>2268441</v>
      </c>
      <c r="G3109" t="s">
        <v>18</v>
      </c>
      <c r="H3109">
        <f>F3109/Tabla2[[#This Row],[Cosecha Mensual]]</f>
        <v>32.717977687446364</v>
      </c>
      <c r="I3109">
        <f>H3109*_xlfn.XLOOKUP(Tabla2[[#This Row],[Unidad de producción]],Tabla3[Medida],Tabla3[Equivalencia en Kg],"ELVIS",0)</f>
        <v>1484.0874679025671</v>
      </c>
      <c r="J3109">
        <v>6441.6770833333303</v>
      </c>
      <c r="K3109" t="s">
        <v>34</v>
      </c>
      <c r="L3109">
        <f>J3109/_xlfn.XLOOKUP(Tabla2[[#This Row],[Unidad de precio]],Tabla3[Medida],Tabla3[Equivalencia en Kg],"ELVIS",0)</f>
        <v>15.782621789374815</v>
      </c>
      <c r="M3109" s="2">
        <v>43963.444034400003</v>
      </c>
      <c r="N3109" s="2">
        <f>(Tabla2[[#This Row],[Productividad (kg/TAS)]]*Tabla2[[#This Row],[Precio por kg]]-Tabla2[[#This Row],[Costos (En RD$/Tarea)]])</f>
        <v>-20540.65282614285</v>
      </c>
      <c r="O3109" s="6">
        <f>IF(Tabla2[[#This Row],[Costos (En RD$/Tarea)]]=0,0,Tabla2[[#This Row],[Beneficio Neto  (En RD$/Tarea)]]/Tabla2[[#This Row],[Costos (En RD$/Tarea)]])</f>
        <v>-0.4672211942738253</v>
      </c>
      <c r="P3109" s="4">
        <f>Tabla2[[#This Row],[Rentabilidad (%)]]/12</f>
        <v>-3.8935099522818775E-2</v>
      </c>
    </row>
    <row r="3110" spans="1:16" x14ac:dyDescent="0.35">
      <c r="A3110" s="1">
        <v>44409</v>
      </c>
      <c r="B3110" t="s">
        <v>16</v>
      </c>
      <c r="C3110" s="2">
        <v>387733</v>
      </c>
      <c r="D3110" s="5" t="s">
        <v>17</v>
      </c>
      <c r="E3110" s="2">
        <f>IF(Tabla2[[#This Row],[Frecuencia]]="Annual", Tabla2[[#This Row],[Cosecha/Tarea]]/12,Tabla2[[#This Row],[Cosecha/Tarea]])</f>
        <v>387733</v>
      </c>
      <c r="F3110" s="2">
        <v>1639575</v>
      </c>
      <c r="G3110" t="s">
        <v>18</v>
      </c>
      <c r="H3110">
        <f>F3110/Tabla2[[#This Row],[Cosecha Mensual]]</f>
        <v>4.2286186628427291</v>
      </c>
      <c r="I3110">
        <f>H3110*_xlfn.XLOOKUP(Tabla2[[#This Row],[Unidad de producción]],Tabla3[Medida],Tabla3[Equivalencia en Kg],"ELVIS",0)</f>
        <v>191.81014254654619</v>
      </c>
      <c r="J3110">
        <v>2605.9731891840001</v>
      </c>
      <c r="K3110" t="s">
        <v>19</v>
      </c>
      <c r="L3110">
        <f>J3110/_xlfn.XLOOKUP(Tabla2[[#This Row],[Unidad de precio]],Tabla3[Medida],Tabla3[Equivalencia en Kg],"ELVIS",0)</f>
        <v>23.690665356218183</v>
      </c>
      <c r="M3110">
        <v>7900.3979447716101</v>
      </c>
      <c r="N3110" s="2">
        <f>(Tabla2[[#This Row],[Productividad (kg/TAS)]]*Tabla2[[#This Row],[Precio por kg]]-Tabla2[[#This Row],[Costos (En RD$/Tarea)]])</f>
        <v>-3356.288045772877</v>
      </c>
      <c r="O3110" s="6">
        <f>IF(Tabla2[[#This Row],[Costos (En RD$/Tarea)]]=0,0,Tabla2[[#This Row],[Beneficio Neto  (En RD$/Tarea)]]/Tabla2[[#This Row],[Costos (En RD$/Tarea)]])</f>
        <v>-0.42482518845699774</v>
      </c>
      <c r="P3110" s="4">
        <f>Tabla2[[#This Row],[Rentabilidad (%)]]/12</f>
        <v>-3.5402099038083147E-2</v>
      </c>
    </row>
    <row r="3111" spans="1:16" x14ac:dyDescent="0.35">
      <c r="A3111" s="1">
        <v>44409</v>
      </c>
      <c r="B3111" t="s">
        <v>20</v>
      </c>
      <c r="C3111" s="2">
        <v>42767</v>
      </c>
      <c r="D3111" s="5" t="s">
        <v>17</v>
      </c>
      <c r="E3111" s="2">
        <f>IF(Tabla2[[#This Row],[Frecuencia]]="Annual", Tabla2[[#This Row],[Cosecha/Tarea]]/12,Tabla2[[#This Row],[Cosecha/Tarea]])</f>
        <v>42767</v>
      </c>
      <c r="F3111" s="2">
        <v>90245</v>
      </c>
      <c r="G3111" t="s">
        <v>18</v>
      </c>
      <c r="H3111">
        <f>F3111/Tabla2[[#This Row],[Cosecha Mensual]]</f>
        <v>2.1101550260715038</v>
      </c>
      <c r="I3111">
        <f>H3111*_xlfn.XLOOKUP(Tabla2[[#This Row],[Unidad de producción]],Tabla3[Medida],Tabla3[Equivalencia en Kg],"ELVIS",0)</f>
        <v>95.716631982603417</v>
      </c>
      <c r="J3111">
        <v>1108.1848958333301</v>
      </c>
      <c r="K3111" t="s">
        <v>18</v>
      </c>
      <c r="L3111">
        <f>J3111/_xlfn.XLOOKUP(Tabla2[[#This Row],[Unidad de precio]],Tabla3[Medida],Tabla3[Equivalencia en Kg],"ELVIS",0)</f>
        <v>24.430883946942902</v>
      </c>
      <c r="M3111">
        <v>2759.0657712295701</v>
      </c>
      <c r="N3111" s="2">
        <f>(Tabla2[[#This Row],[Productividad (kg/TAS)]]*Tabla2[[#This Row],[Precio por kg]]-Tabla2[[#This Row],[Costos (En RD$/Tarea)]])</f>
        <v>-420.62384347034276</v>
      </c>
      <c r="O3111" s="6">
        <f>IF(Tabla2[[#This Row],[Costos (En RD$/Tarea)]]=0,0,Tabla2[[#This Row],[Beneficio Neto  (En RD$/Tarea)]]/Tabla2[[#This Row],[Costos (En RD$/Tarea)]])</f>
        <v>-0.15245154640981715</v>
      </c>
      <c r="P3111" s="4">
        <f>Tabla2[[#This Row],[Rentabilidad (%)]]/12</f>
        <v>-1.2704295534151429E-2</v>
      </c>
    </row>
    <row r="3112" spans="1:16" x14ac:dyDescent="0.35">
      <c r="A3112" s="1">
        <v>44409</v>
      </c>
      <c r="B3112" t="s">
        <v>21</v>
      </c>
      <c r="C3112" s="2">
        <v>7101</v>
      </c>
      <c r="D3112" s="5" t="s">
        <v>17</v>
      </c>
      <c r="E3112" s="2">
        <f>IF(Tabla2[[#This Row],[Frecuencia]]="Annual", Tabla2[[#This Row],[Cosecha/Tarea]]/12,Tabla2[[#This Row],[Cosecha/Tarea]])</f>
        <v>7101</v>
      </c>
      <c r="F3112" s="2">
        <v>85885</v>
      </c>
      <c r="G3112" t="s">
        <v>18</v>
      </c>
      <c r="H3112">
        <f>F3112/Tabla2[[#This Row],[Cosecha Mensual]]</f>
        <v>12.094775383748768</v>
      </c>
      <c r="I3112">
        <f>H3112*_xlfn.XLOOKUP(Tabla2[[#This Row],[Unidad de producción]],Tabla3[Medida],Tabla3[Equivalencia en Kg],"ELVIS",0)</f>
        <v>548.61901140684415</v>
      </c>
      <c r="J3112">
        <v>679.70508958333301</v>
      </c>
      <c r="K3112" t="s">
        <v>18</v>
      </c>
      <c r="L3112">
        <f>J3112/_xlfn.XLOOKUP(Tabla2[[#This Row],[Unidad de precio]],Tabla3[Medida],Tabla3[Equivalencia en Kg],"ELVIS",0)</f>
        <v>14.984680105452668</v>
      </c>
      <c r="M3112">
        <v>6695.9501351373101</v>
      </c>
      <c r="N3112" s="2">
        <f>(Tabla2[[#This Row],[Productividad (kg/TAS)]]*Tabla2[[#This Row],[Precio por kg]]-Tabla2[[#This Row],[Costos (En RD$/Tarea)]])</f>
        <v>1524.930250563938</v>
      </c>
      <c r="O3112" s="6">
        <f>IF(Tabla2[[#This Row],[Costos (En RD$/Tarea)]]=0,0,Tabla2[[#This Row],[Beneficio Neto  (En RD$/Tarea)]]/Tabla2[[#This Row],[Costos (En RD$/Tarea)]])</f>
        <v>0.22773918858233361</v>
      </c>
      <c r="P3112" s="4">
        <f>Tabla2[[#This Row],[Rentabilidad (%)]]/12</f>
        <v>1.8978265715194467E-2</v>
      </c>
    </row>
    <row r="3113" spans="1:16" x14ac:dyDescent="0.35">
      <c r="A3113" s="1">
        <v>44409</v>
      </c>
      <c r="B3113" t="s">
        <v>22</v>
      </c>
      <c r="C3113" s="2">
        <v>3978</v>
      </c>
      <c r="D3113" s="5" t="s">
        <v>17</v>
      </c>
      <c r="E3113" s="2">
        <f>IF(Tabla2[[#This Row],[Frecuencia]]="Annual", Tabla2[[#This Row],[Cosecha/Tarea]]/12,Tabla2[[#This Row],[Cosecha/Tarea]])</f>
        <v>3978</v>
      </c>
      <c r="F3113" s="2">
        <v>33345</v>
      </c>
      <c r="G3113" t="s">
        <v>18</v>
      </c>
      <c r="H3113">
        <f>F3113/Tabla2[[#This Row],[Cosecha Mensual]]</f>
        <v>8.382352941176471</v>
      </c>
      <c r="I3113">
        <f>H3113*_xlfn.XLOOKUP(Tabla2[[#This Row],[Unidad de producción]],Tabla3[Medida],Tabla3[Equivalencia en Kg],"ELVIS",0)</f>
        <v>380.22352941176473</v>
      </c>
      <c r="J3113">
        <v>1943.7833333333299</v>
      </c>
      <c r="K3113" t="s">
        <v>18</v>
      </c>
      <c r="L3113">
        <f>J3113/_xlfn.XLOOKUP(Tabla2[[#This Row],[Unidad de precio]],Tabla3[Medida],Tabla3[Equivalencia en Kg],"ELVIS",0)</f>
        <v>42.852366255143956</v>
      </c>
      <c r="M3113">
        <v>11609.318489158701</v>
      </c>
      <c r="N3113" s="2">
        <f>(Tabla2[[#This Row],[Productividad (kg/TAS)]]*Tabla2[[#This Row],[Precio por kg]]-Tabla2[[#This Row],[Costos (En RD$/Tarea)]])</f>
        <v>4684.1594520177423</v>
      </c>
      <c r="O3113" s="6">
        <f>IF(Tabla2[[#This Row],[Costos (En RD$/Tarea)]]=0,0,Tabla2[[#This Row],[Beneficio Neto  (En RD$/Tarea)]]/Tabla2[[#This Row],[Costos (En RD$/Tarea)]])</f>
        <v>0.40348272436422683</v>
      </c>
      <c r="P3113" s="4">
        <f>Tabla2[[#This Row],[Rentabilidad (%)]]/12</f>
        <v>3.3623560363685571E-2</v>
      </c>
    </row>
    <row r="3114" spans="1:16" x14ac:dyDescent="0.35">
      <c r="A3114" s="1">
        <v>44409</v>
      </c>
      <c r="B3114" t="s">
        <v>23</v>
      </c>
      <c r="C3114" s="2">
        <v>4359</v>
      </c>
      <c r="D3114" s="5" t="s">
        <v>17</v>
      </c>
      <c r="E3114" s="2">
        <f>IF(Tabla2[[#This Row],[Frecuencia]]="Annual", Tabla2[[#This Row],[Cosecha/Tarea]]/12,Tabla2[[#This Row],[Cosecha/Tarea]])</f>
        <v>4359</v>
      </c>
      <c r="F3114" s="2">
        <v>165478</v>
      </c>
      <c r="G3114" t="s">
        <v>18</v>
      </c>
      <c r="H3114">
        <f>F3114/Tabla2[[#This Row],[Cosecha Mensual]]</f>
        <v>37.96237669190181</v>
      </c>
      <c r="I3114">
        <f>H3114*_xlfn.XLOOKUP(Tabla2[[#This Row],[Unidad de producción]],Tabla3[Medida],Tabla3[Equivalencia en Kg],"ELVIS",0)</f>
        <v>1721.9734067446661</v>
      </c>
      <c r="J3114">
        <v>955</v>
      </c>
      <c r="K3114" t="s">
        <v>18</v>
      </c>
      <c r="L3114">
        <f>J3114/_xlfn.XLOOKUP(Tabla2[[#This Row],[Unidad de precio]],Tabla3[Medida],Tabla3[Equivalencia en Kg],"ELVIS",0)</f>
        <v>21.053791887125222</v>
      </c>
      <c r="M3114">
        <v>31774.6512666667</v>
      </c>
      <c r="N3114" s="2">
        <f>(Tabla2[[#This Row],[Productividad (kg/TAS)]]*Tabla2[[#This Row],[Precio por kg]]-Tabla2[[#This Row],[Costos (En RD$/Tarea)]])</f>
        <v>4479.4184740995297</v>
      </c>
      <c r="O3114" s="6">
        <f>IF(Tabla2[[#This Row],[Costos (En RD$/Tarea)]]=0,0,Tabla2[[#This Row],[Beneficio Neto  (En RD$/Tarea)]]/Tabla2[[#This Row],[Costos (En RD$/Tarea)]])</f>
        <v>0.14097459123961112</v>
      </c>
      <c r="P3114" s="4">
        <f>Tabla2[[#This Row],[Rentabilidad (%)]]/12</f>
        <v>1.1747882603300926E-2</v>
      </c>
    </row>
    <row r="3115" spans="1:16" x14ac:dyDescent="0.35">
      <c r="A3115" s="1">
        <v>44409</v>
      </c>
      <c r="B3115" t="s">
        <v>24</v>
      </c>
      <c r="C3115" s="2">
        <v>4945</v>
      </c>
      <c r="D3115" s="5" t="s">
        <v>17</v>
      </c>
      <c r="E3115" s="2">
        <f>IF(Tabla2[[#This Row],[Frecuencia]]="Annual", Tabla2[[#This Row],[Cosecha/Tarea]]/12,Tabla2[[#This Row],[Cosecha/Tarea]])</f>
        <v>4945</v>
      </c>
      <c r="F3115" s="2">
        <v>52141</v>
      </c>
      <c r="G3115" t="s">
        <v>18</v>
      </c>
      <c r="H3115">
        <f>F3115/Tabla2[[#This Row],[Cosecha Mensual]]</f>
        <v>10.544186046511628</v>
      </c>
      <c r="I3115">
        <f>H3115*_xlfn.XLOOKUP(Tabla2[[#This Row],[Unidad de producción]],Tabla3[Medida],Tabla3[Equivalencia en Kg],"ELVIS",0)</f>
        <v>478.28427906976742</v>
      </c>
      <c r="J3115">
        <v>2228.75</v>
      </c>
      <c r="K3115" t="s">
        <v>18</v>
      </c>
      <c r="L3115">
        <f>J3115/_xlfn.XLOOKUP(Tabla2[[#This Row],[Unidad de precio]],Tabla3[Medida],Tabla3[Equivalencia en Kg],"ELVIS",0)</f>
        <v>49.134700176366842</v>
      </c>
      <c r="M3115">
        <v>9606.8568095338396</v>
      </c>
      <c r="N3115" s="2">
        <f>(Tabla2[[#This Row],[Productividad (kg/TAS)]]*Tabla2[[#This Row],[Precio por kg]]-Tabla2[[#This Row],[Costos (En RD$/Tarea)]])</f>
        <v>13893.49784162895</v>
      </c>
      <c r="O3115" s="6">
        <f>IF(Tabla2[[#This Row],[Costos (En RD$/Tarea)]]=0,0,Tabla2[[#This Row],[Beneficio Neto  (En RD$/Tarea)]]/Tabla2[[#This Row],[Costos (En RD$/Tarea)]])</f>
        <v>1.4462064041426173</v>
      </c>
      <c r="P3115" s="4">
        <f>Tabla2[[#This Row],[Rentabilidad (%)]]/12</f>
        <v>0.12051720034521811</v>
      </c>
    </row>
    <row r="3116" spans="1:16" x14ac:dyDescent="0.35">
      <c r="A3116" s="1">
        <v>44409</v>
      </c>
      <c r="B3116" t="s">
        <v>25</v>
      </c>
      <c r="C3116" s="2">
        <v>32477</v>
      </c>
      <c r="D3116" s="5" t="s">
        <v>17</v>
      </c>
      <c r="E3116" s="2">
        <f>IF(Tabla2[[#This Row],[Frecuencia]]="Annual", Tabla2[[#This Row],[Cosecha/Tarea]]/12,Tabla2[[#This Row],[Cosecha/Tarea]])</f>
        <v>32477</v>
      </c>
      <c r="F3116" s="2">
        <v>347145</v>
      </c>
      <c r="G3116" t="s">
        <v>18</v>
      </c>
      <c r="H3116">
        <f>F3116/Tabla2[[#This Row],[Cosecha Mensual]]</f>
        <v>10.688949102441727</v>
      </c>
      <c r="I3116">
        <f>H3116*_xlfn.XLOOKUP(Tabla2[[#This Row],[Unidad de producción]],Tabla3[Medida],Tabla3[Equivalencia en Kg],"ELVIS",0)</f>
        <v>484.85073128675674</v>
      </c>
      <c r="J3116">
        <v>723.44791666666697</v>
      </c>
      <c r="K3116" t="s">
        <v>18</v>
      </c>
      <c r="L3116">
        <f>J3116/_xlfn.XLOOKUP(Tabla2[[#This Row],[Unidad de precio]],Tabla3[Medida],Tabla3[Equivalencia en Kg],"ELVIS",0)</f>
        <v>15.949028145208707</v>
      </c>
      <c r="M3116">
        <v>5403.3874144923902</v>
      </c>
      <c r="N3116" s="2">
        <f>(Tabla2[[#This Row],[Productividad (kg/TAS)]]*Tabla2[[#This Row],[Precio por kg]]-Tabla2[[#This Row],[Costos (En RD$/Tarea)]])</f>
        <v>2329.5105450251167</v>
      </c>
      <c r="O3116" s="6">
        <f>IF(Tabla2[[#This Row],[Costos (En RD$/Tarea)]]=0,0,Tabla2[[#This Row],[Beneficio Neto  (En RD$/Tarea)]]/Tabla2[[#This Row],[Costos (En RD$/Tarea)]])</f>
        <v>0.43112040028393145</v>
      </c>
      <c r="P3116" s="4">
        <f>Tabla2[[#This Row],[Rentabilidad (%)]]/12</f>
        <v>3.5926700023660954E-2</v>
      </c>
    </row>
    <row r="3117" spans="1:16" x14ac:dyDescent="0.35">
      <c r="A3117" s="1">
        <v>44409</v>
      </c>
      <c r="B3117" t="s">
        <v>26</v>
      </c>
      <c r="C3117" s="2">
        <v>9324</v>
      </c>
      <c r="D3117" s="5" t="s">
        <v>17</v>
      </c>
      <c r="E3117" s="2">
        <f>IF(Tabla2[[#This Row],[Frecuencia]]="Annual", Tabla2[[#This Row],[Cosecha/Tarea]]/12,Tabla2[[#This Row],[Cosecha/Tarea]])</f>
        <v>9324</v>
      </c>
      <c r="F3117" s="2">
        <v>81254</v>
      </c>
      <c r="G3117" t="s">
        <v>18</v>
      </c>
      <c r="H3117">
        <f>F3117/Tabla2[[#This Row],[Cosecha Mensual]]</f>
        <v>8.7145002145002142</v>
      </c>
      <c r="I3117">
        <f>H3117*_xlfn.XLOOKUP(Tabla2[[#This Row],[Unidad de producción]],Tabla3[Medida],Tabla3[Equivalencia en Kg],"ELVIS",0)</f>
        <v>395.28972972972969</v>
      </c>
      <c r="J3117">
        <v>1260.6468430555601</v>
      </c>
      <c r="K3117" t="s">
        <v>18</v>
      </c>
      <c r="L3117">
        <f>J3117/_xlfn.XLOOKUP(Tabla2[[#This Row],[Unidad de precio]],Tabla3[Medida],Tabla3[Equivalencia en Kg],"ELVIS",0)</f>
        <v>27.792037986233687</v>
      </c>
      <c r="M3117">
        <v>1910.9913592487401</v>
      </c>
      <c r="N3117" s="2">
        <f>(Tabla2[[#This Row],[Productividad (kg/TAS)]]*Tabla2[[#This Row],[Precio por kg]]-Tabla2[[#This Row],[Costos (En RD$/Tarea)]])</f>
        <v>9074.9158249679567</v>
      </c>
      <c r="O3117" s="6">
        <f>IF(Tabla2[[#This Row],[Costos (En RD$/Tarea)]]=0,0,Tabla2[[#This Row],[Beneficio Neto  (En RD$/Tarea)]]/Tabla2[[#This Row],[Costos (En RD$/Tarea)]])</f>
        <v>4.748800030438411</v>
      </c>
      <c r="P3117" s="4">
        <f>Tabla2[[#This Row],[Rentabilidad (%)]]/12</f>
        <v>0.39573333586986759</v>
      </c>
    </row>
    <row r="3118" spans="1:16" x14ac:dyDescent="0.35">
      <c r="A3118" s="1">
        <v>44409</v>
      </c>
      <c r="B3118" t="s">
        <v>27</v>
      </c>
      <c r="C3118" s="2">
        <v>4788</v>
      </c>
      <c r="D3118" s="5" t="s">
        <v>17</v>
      </c>
      <c r="E3118" s="2">
        <f>IF(Tabla2[[#This Row],[Frecuencia]]="Annual", Tabla2[[#This Row],[Cosecha/Tarea]]/12,Tabla2[[#This Row],[Cosecha/Tarea]])</f>
        <v>4788</v>
      </c>
      <c r="F3118" s="2">
        <v>47889</v>
      </c>
      <c r="G3118" t="s">
        <v>18</v>
      </c>
      <c r="H3118">
        <f>F3118/Tabla2[[#This Row],[Cosecha Mensual]]</f>
        <v>10.00187969924812</v>
      </c>
      <c r="I3118">
        <f>H3118*_xlfn.XLOOKUP(Tabla2[[#This Row],[Unidad de producción]],Tabla3[Medida],Tabla3[Equivalencia en Kg],"ELVIS",0)</f>
        <v>453.68526315789472</v>
      </c>
      <c r="J3118">
        <v>1119.6071428571399</v>
      </c>
      <c r="K3118" t="s">
        <v>18</v>
      </c>
      <c r="L3118">
        <f>J3118/_xlfn.XLOOKUP(Tabla2[[#This Row],[Unidad de precio]],Tabla3[Medida],Tabla3[Equivalencia en Kg],"ELVIS",0)</f>
        <v>24.682697152935184</v>
      </c>
      <c r="M3118">
        <v>10561.2569707933</v>
      </c>
      <c r="N3118" s="2">
        <f>(Tabla2[[#This Row],[Productividad (kg/TAS)]]*Tabla2[[#This Row],[Precio por kg]]-Tabla2[[#This Row],[Costos (En RD$/Tarea)]])</f>
        <v>636.91898248271718</v>
      </c>
      <c r="O3118" s="6">
        <f>IF(Tabla2[[#This Row],[Costos (En RD$/Tarea)]]=0,0,Tabla2[[#This Row],[Beneficio Neto  (En RD$/Tarea)]]/Tabla2[[#This Row],[Costos (En RD$/Tarea)]])</f>
        <v>6.0307119147284184E-2</v>
      </c>
      <c r="P3118" s="4">
        <f>Tabla2[[#This Row],[Rentabilidad (%)]]/12</f>
        <v>5.025593262273682E-3</v>
      </c>
    </row>
    <row r="3119" spans="1:16" x14ac:dyDescent="0.35">
      <c r="A3119" s="1">
        <v>44409</v>
      </c>
      <c r="B3119" t="s">
        <v>28</v>
      </c>
      <c r="C3119" s="2">
        <v>54352</v>
      </c>
      <c r="D3119" s="5" t="s">
        <v>17</v>
      </c>
      <c r="E3119" s="2">
        <f>IF(Tabla2[[#This Row],[Frecuencia]]="Annual", Tabla2[[#This Row],[Cosecha/Tarea]]/12,Tabla2[[#This Row],[Cosecha/Tarea]])</f>
        <v>54352</v>
      </c>
      <c r="F3119" s="2">
        <v>1475451</v>
      </c>
      <c r="G3119" t="s">
        <v>18</v>
      </c>
      <c r="H3119">
        <f>F3119/Tabla2[[#This Row],[Cosecha Mensual]]</f>
        <v>27.146213570797762</v>
      </c>
      <c r="I3119">
        <f>H3119*_xlfn.XLOOKUP(Tabla2[[#This Row],[Unidad de producción]],Tabla3[Medida],Tabla3[Equivalencia en Kg],"ELVIS",0)</f>
        <v>1231.3522475713864</v>
      </c>
      <c r="J3119">
        <v>5916.1750000000002</v>
      </c>
      <c r="K3119" t="s">
        <v>29</v>
      </c>
      <c r="L3119">
        <f>J3119/_xlfn.XLOOKUP(Tabla2[[#This Row],[Unidad de precio]],Tabla3[Medida],Tabla3[Equivalencia en Kg],"ELVIS",0)</f>
        <v>10.52063698118576</v>
      </c>
      <c r="M3119">
        <v>20320.344000000001</v>
      </c>
      <c r="N3119" s="2">
        <f>(Tabla2[[#This Row],[Productividad (kg/TAS)]]*Tabla2[[#This Row],[Precio por kg]]-Tabla2[[#This Row],[Costos (En RD$/Tarea)]])</f>
        <v>-7365.7340073342693</v>
      </c>
      <c r="O3119" s="6">
        <f>IF(Tabla2[[#This Row],[Costos (En RD$/Tarea)]]=0,0,Tabla2[[#This Row],[Beneficio Neto  (En RD$/Tarea)]]/Tabla2[[#This Row],[Costos (En RD$/Tarea)]])</f>
        <v>-0.36248077332422468</v>
      </c>
      <c r="P3119" s="4">
        <f>Tabla2[[#This Row],[Rentabilidad (%)]]/12</f>
        <v>-3.0206731110352058E-2</v>
      </c>
    </row>
    <row r="3120" spans="1:16" x14ac:dyDescent="0.35">
      <c r="A3120" s="1">
        <v>44409</v>
      </c>
      <c r="B3120" t="s">
        <v>30</v>
      </c>
      <c r="C3120" s="2">
        <v>490899</v>
      </c>
      <c r="D3120" s="2" t="s">
        <v>31</v>
      </c>
      <c r="E3120" s="2">
        <f>IF(Tabla2[[#This Row],[Frecuencia]]="Annual", Tabla2[[#This Row],[Cosecha/Tarea]]/12,Tabla2[[#This Row],[Cosecha/Tarea]])</f>
        <v>40908.25</v>
      </c>
      <c r="F3120" s="2">
        <v>2595001</v>
      </c>
      <c r="G3120" t="s">
        <v>18</v>
      </c>
      <c r="H3120">
        <f>F3120/Tabla2[[#This Row],[Cosecha Mensual]]</f>
        <v>63.434661712490758</v>
      </c>
      <c r="I3120">
        <f>H3120*_xlfn.XLOOKUP(Tabla2[[#This Row],[Unidad de producción]],Tabla3[Medida],Tabla3[Equivalencia en Kg],"ELVIS",0)</f>
        <v>2877.3962552785806</v>
      </c>
      <c r="J3120">
        <v>204.36328125</v>
      </c>
      <c r="K3120" t="s">
        <v>32</v>
      </c>
      <c r="L3120">
        <f>J3120/_xlfn.XLOOKUP(Tabla2[[#This Row],[Unidad de precio]],Tabla3[Medida],Tabla3[Equivalencia en Kg],"ELVIS",0)</f>
        <v>7.5105946802646084</v>
      </c>
      <c r="M3120" s="2">
        <v>40592.436194530601</v>
      </c>
      <c r="N3120" s="2">
        <f>(Tabla2[[#This Row],[Productividad (kg/TAS)]]*Tabla2[[#This Row],[Precio por kg]]-Tabla2[[#This Row],[Costos (En RD$/Tarea)]])</f>
        <v>-18981.479186621989</v>
      </c>
      <c r="O3120" s="6">
        <f>IF(Tabla2[[#This Row],[Costos (En RD$/Tarea)]]=0,0,Tabla2[[#This Row],[Beneficio Neto  (En RD$/Tarea)]]/Tabla2[[#This Row],[Costos (En RD$/Tarea)]])</f>
        <v>-0.46761123416336225</v>
      </c>
      <c r="P3120" s="4">
        <f>Tabla2[[#This Row],[Rentabilidad (%)]]/12</f>
        <v>-3.8967602846946857E-2</v>
      </c>
    </row>
    <row r="3121" spans="1:16" x14ac:dyDescent="0.35">
      <c r="A3121" s="1">
        <v>44409</v>
      </c>
      <c r="B3121" t="s">
        <v>33</v>
      </c>
      <c r="C3121" s="2">
        <v>778541</v>
      </c>
      <c r="D3121" s="2" t="s">
        <v>31</v>
      </c>
      <c r="E3121" s="2">
        <f>IF(Tabla2[[#This Row],[Frecuencia]]="Annual", Tabla2[[#This Row],[Cosecha/Tarea]]/12,Tabla2[[#This Row],[Cosecha/Tarea]])</f>
        <v>64878.416666666664</v>
      </c>
      <c r="F3121" s="2">
        <v>2325726</v>
      </c>
      <c r="G3121" t="s">
        <v>18</v>
      </c>
      <c r="H3121">
        <f>F3121/Tabla2[[#This Row],[Cosecha Mensual]]</f>
        <v>35.8474531206449</v>
      </c>
      <c r="I3121">
        <f>H3121*_xlfn.XLOOKUP(Tabla2[[#This Row],[Unidad de producción]],Tabla3[Medida],Tabla3[Equivalencia en Kg],"ELVIS",0)</f>
        <v>1626.0404735524526</v>
      </c>
      <c r="J3121">
        <v>6394.1909722222199</v>
      </c>
      <c r="K3121" t="s">
        <v>34</v>
      </c>
      <c r="L3121">
        <f>J3121/_xlfn.XLOOKUP(Tabla2[[#This Row],[Unidad de precio]],Tabla3[Medida],Tabla3[Equivalencia en Kg],"ELVIS",0)</f>
        <v>15.666277035948108</v>
      </c>
      <c r="M3121" s="2">
        <v>43963.444034400003</v>
      </c>
      <c r="N3121" s="2">
        <f>(Tabla2[[#This Row],[Productividad (kg/TAS)]]*Tabla2[[#This Row],[Precio por kg]]-Tabla2[[#This Row],[Costos (En RD$/Tarea)]])</f>
        <v>-18489.443504063031</v>
      </c>
      <c r="O3121" s="6">
        <f>IF(Tabla2[[#This Row],[Costos (En RD$/Tarea)]]=0,0,Tabla2[[#This Row],[Beneficio Neto  (En RD$/Tarea)]]/Tabla2[[#This Row],[Costos (En RD$/Tarea)]])</f>
        <v>-0.42056403701210548</v>
      </c>
      <c r="P3121" s="4">
        <f>Tabla2[[#This Row],[Rentabilidad (%)]]/12</f>
        <v>-3.5047003084342124E-2</v>
      </c>
    </row>
    <row r="3122" spans="1:16" x14ac:dyDescent="0.35">
      <c r="A3122" s="1">
        <v>44440</v>
      </c>
      <c r="B3122" t="s">
        <v>16</v>
      </c>
      <c r="C3122" s="2">
        <v>417433</v>
      </c>
      <c r="D3122" s="5" t="s">
        <v>17</v>
      </c>
      <c r="E3122" s="2">
        <f>IF(Tabla2[[#This Row],[Frecuencia]]="Annual", Tabla2[[#This Row],[Cosecha/Tarea]]/12,Tabla2[[#This Row],[Cosecha/Tarea]])</f>
        <v>417433</v>
      </c>
      <c r="F3122" s="2">
        <v>1651300</v>
      </c>
      <c r="G3122" t="s">
        <v>18</v>
      </c>
      <c r="H3122">
        <f>F3122/Tabla2[[#This Row],[Cosecha Mensual]]</f>
        <v>3.9558444109593633</v>
      </c>
      <c r="I3122">
        <f>H3122*_xlfn.XLOOKUP(Tabla2[[#This Row],[Unidad de producción]],Tabla3[Medida],Tabla3[Equivalencia en Kg],"ELVIS",0)</f>
        <v>179.43710248111671</v>
      </c>
      <c r="J3122">
        <v>2545.4444444444498</v>
      </c>
      <c r="K3122" t="s">
        <v>19</v>
      </c>
      <c r="L3122">
        <f>J3122/_xlfn.XLOOKUP(Tabla2[[#This Row],[Unidad de precio]],Tabla3[Medida],Tabla3[Equivalencia en Kg],"ELVIS",0)</f>
        <v>23.140404040404089</v>
      </c>
      <c r="M3122">
        <v>7900.3979447716101</v>
      </c>
      <c r="N3122" s="2">
        <f>(Tabla2[[#This Row],[Productividad (kg/TAS)]]*Tabla2[[#This Row],[Precio por kg]]-Tabla2[[#This Row],[Costos (En RD$/Tarea)]])</f>
        <v>-3748.1508935191741</v>
      </c>
      <c r="O3122" s="6">
        <f>IF(Tabla2[[#This Row],[Costos (En RD$/Tarea)]]=0,0,Tabla2[[#This Row],[Beneficio Neto  (En RD$/Tarea)]]/Tabla2[[#This Row],[Costos (En RD$/Tarea)]])</f>
        <v>-0.4744255820682623</v>
      </c>
      <c r="P3122" s="4">
        <f>Tabla2[[#This Row],[Rentabilidad (%)]]/12</f>
        <v>-3.9535465172355191E-2</v>
      </c>
    </row>
    <row r="3123" spans="1:16" x14ac:dyDescent="0.35">
      <c r="A3123" s="1">
        <v>44440</v>
      </c>
      <c r="B3123" t="s">
        <v>20</v>
      </c>
      <c r="C3123" s="2">
        <v>52457</v>
      </c>
      <c r="D3123" s="5" t="s">
        <v>17</v>
      </c>
      <c r="E3123" s="2">
        <f>IF(Tabla2[[#This Row],[Frecuencia]]="Annual", Tabla2[[#This Row],[Cosecha/Tarea]]/12,Tabla2[[#This Row],[Cosecha/Tarea]])</f>
        <v>52457</v>
      </c>
      <c r="F3123" s="2">
        <v>132457</v>
      </c>
      <c r="G3123" t="s">
        <v>18</v>
      </c>
      <c r="H3123">
        <f>F3123/Tabla2[[#This Row],[Cosecha Mensual]]</f>
        <v>2.5250586194406845</v>
      </c>
      <c r="I3123">
        <f>H3123*_xlfn.XLOOKUP(Tabla2[[#This Row],[Unidad de producción]],Tabla3[Medida],Tabla3[Equivalencia en Kg],"ELVIS",0)</f>
        <v>114.53665897782945</v>
      </c>
      <c r="J3123">
        <v>1108.05341666667</v>
      </c>
      <c r="K3123" t="s">
        <v>18</v>
      </c>
      <c r="L3123">
        <f>J3123/_xlfn.XLOOKUP(Tabla2[[#This Row],[Unidad de precio]],Tabla3[Medida],Tabla3[Equivalencia en Kg],"ELVIS",0)</f>
        <v>24.427985376249339</v>
      </c>
      <c r="M3123">
        <v>2759.0657712295701</v>
      </c>
      <c r="N3123" s="2">
        <f>(Tabla2[[#This Row],[Productividad (kg/TAS)]]*Tabla2[[#This Row],[Precio por kg]]-Tabla2[[#This Row],[Costos (En RD$/Tarea)]])</f>
        <v>38.834059325305134</v>
      </c>
      <c r="O3123" s="6">
        <f>IF(Tabla2[[#This Row],[Costos (En RD$/Tarea)]]=0,0,Tabla2[[#This Row],[Beneficio Neto  (En RD$/Tarea)]]/Tabla2[[#This Row],[Costos (En RD$/Tarea)]])</f>
        <v>1.4075075603579701E-2</v>
      </c>
      <c r="P3123" s="4">
        <f>Tabla2[[#This Row],[Rentabilidad (%)]]/12</f>
        <v>1.1729229669649752E-3</v>
      </c>
    </row>
    <row r="3124" spans="1:16" x14ac:dyDescent="0.35">
      <c r="A3124" s="1">
        <v>44440</v>
      </c>
      <c r="B3124" t="s">
        <v>21</v>
      </c>
      <c r="C3124" s="2">
        <v>7721</v>
      </c>
      <c r="D3124" s="5" t="s">
        <v>17</v>
      </c>
      <c r="E3124" s="2">
        <f>IF(Tabla2[[#This Row],[Frecuencia]]="Annual", Tabla2[[#This Row],[Cosecha/Tarea]]/12,Tabla2[[#This Row],[Cosecha/Tarea]])</f>
        <v>7721</v>
      </c>
      <c r="F3124" s="2">
        <v>79987</v>
      </c>
      <c r="G3124" t="s">
        <v>18</v>
      </c>
      <c r="H3124">
        <f>F3124/Tabla2[[#This Row],[Cosecha Mensual]]</f>
        <v>10.359668436730994</v>
      </c>
      <c r="I3124">
        <f>H3124*_xlfn.XLOOKUP(Tabla2[[#This Row],[Unidad de producción]],Tabla3[Medida],Tabla3[Equivalencia en Kg],"ELVIS",0)</f>
        <v>469.91456029011789</v>
      </c>
      <c r="J3124">
        <v>701.67499999999995</v>
      </c>
      <c r="K3124" t="s">
        <v>18</v>
      </c>
      <c r="L3124">
        <f>J3124/_xlfn.XLOOKUP(Tabla2[[#This Row],[Unidad de precio]],Tabla3[Medida],Tabla3[Equivalencia en Kg],"ELVIS",0)</f>
        <v>15.469025573192239</v>
      </c>
      <c r="M3124">
        <v>6695.9501351373101</v>
      </c>
      <c r="N3124" s="2">
        <f>(Tabla2[[#This Row],[Productividad (kg/TAS)]]*Tabla2[[#This Row],[Precio por kg]]-Tabla2[[#This Row],[Costos (En RD$/Tarea)]])</f>
        <v>573.1702152059097</v>
      </c>
      <c r="O3124" s="6">
        <f>IF(Tabla2[[#This Row],[Costos (En RD$/Tarea)]]=0,0,Tabla2[[#This Row],[Beneficio Neto  (En RD$/Tarea)]]/Tabla2[[#This Row],[Costos (En RD$/Tarea)]])</f>
        <v>8.5599534590046045E-2</v>
      </c>
      <c r="P3124" s="4">
        <f>Tabla2[[#This Row],[Rentabilidad (%)]]/12</f>
        <v>7.1332945491705034E-3</v>
      </c>
    </row>
    <row r="3125" spans="1:16" x14ac:dyDescent="0.35">
      <c r="A3125" s="1">
        <v>44440</v>
      </c>
      <c r="B3125" t="s">
        <v>22</v>
      </c>
      <c r="C3125" s="2">
        <v>4588</v>
      </c>
      <c r="D3125" s="5" t="s">
        <v>17</v>
      </c>
      <c r="E3125" s="2">
        <f>IF(Tabla2[[#This Row],[Frecuencia]]="Annual", Tabla2[[#This Row],[Cosecha/Tarea]]/12,Tabla2[[#This Row],[Cosecha/Tarea]])</f>
        <v>4588</v>
      </c>
      <c r="F3125" s="2">
        <v>40214</v>
      </c>
      <c r="G3125" t="s">
        <v>18</v>
      </c>
      <c r="H3125">
        <f>F3125/Tabla2[[#This Row],[Cosecha Mensual]]</f>
        <v>8.7650392327811684</v>
      </c>
      <c r="I3125">
        <f>H3125*_xlfn.XLOOKUP(Tabla2[[#This Row],[Unidad de producción]],Tabla3[Medida],Tabla3[Equivalencia en Kg],"ELVIS",0)</f>
        <v>397.58217959895381</v>
      </c>
      <c r="J3125">
        <v>1753.48</v>
      </c>
      <c r="K3125" t="s">
        <v>18</v>
      </c>
      <c r="L3125">
        <f>J3125/_xlfn.XLOOKUP(Tabla2[[#This Row],[Unidad de precio]],Tabla3[Medida],Tabla3[Equivalencia en Kg],"ELVIS",0)</f>
        <v>38.656966490299823</v>
      </c>
      <c r="M3125">
        <v>11609.318489158701</v>
      </c>
      <c r="N3125" s="2">
        <f>(Tabla2[[#This Row],[Productividad (kg/TAS)]]*Tabla2[[#This Row],[Precio por kg]]-Tabla2[[#This Row],[Costos (En RD$/Tarea)]])</f>
        <v>3760.0025047384224</v>
      </c>
      <c r="O3125" s="6">
        <f>IF(Tabla2[[#This Row],[Costos (En RD$/Tarea)]]=0,0,Tabla2[[#This Row],[Beneficio Neto  (En RD$/Tarea)]]/Tabla2[[#This Row],[Costos (En RD$/Tarea)]])</f>
        <v>0.32387796994713175</v>
      </c>
      <c r="P3125" s="4">
        <f>Tabla2[[#This Row],[Rentabilidad (%)]]/12</f>
        <v>2.6989830828927645E-2</v>
      </c>
    </row>
    <row r="3126" spans="1:16" x14ac:dyDescent="0.35">
      <c r="A3126" s="1">
        <v>44440</v>
      </c>
      <c r="B3126" t="s">
        <v>23</v>
      </c>
      <c r="C3126" s="2">
        <v>4710</v>
      </c>
      <c r="D3126" s="5" t="s">
        <v>17</v>
      </c>
      <c r="E3126" s="2">
        <f>IF(Tabla2[[#This Row],[Frecuencia]]="Annual", Tabla2[[#This Row],[Cosecha/Tarea]]/12,Tabla2[[#This Row],[Cosecha/Tarea]])</f>
        <v>4710</v>
      </c>
      <c r="F3126" s="2">
        <v>193554</v>
      </c>
      <c r="G3126" t="s">
        <v>18</v>
      </c>
      <c r="H3126">
        <f>F3126/Tabla2[[#This Row],[Cosecha Mensual]]</f>
        <v>41.094267515923569</v>
      </c>
      <c r="I3126">
        <f>H3126*_xlfn.XLOOKUP(Tabla2[[#This Row],[Unidad de producción]],Tabla3[Medida],Tabla3[Equivalencia en Kg],"ELVIS",0)</f>
        <v>1864.0359745222931</v>
      </c>
      <c r="J3126">
        <v>938</v>
      </c>
      <c r="K3126" t="s">
        <v>18</v>
      </c>
      <c r="L3126">
        <f>J3126/_xlfn.XLOOKUP(Tabla2[[#This Row],[Unidad de precio]],Tabla3[Medida],Tabla3[Equivalencia en Kg],"ELVIS",0)</f>
        <v>20.679012345679013</v>
      </c>
      <c r="M3126">
        <v>31774.6512666667</v>
      </c>
      <c r="N3126" s="2">
        <f>(Tabla2[[#This Row],[Productividad (kg/TAS)]]*Tabla2[[#This Row],[Precio por kg]]-Tabla2[[#This Row],[Costos (En RD$/Tarea)]])</f>
        <v>6771.7716632696065</v>
      </c>
      <c r="O3126" s="6">
        <f>IF(Tabla2[[#This Row],[Costos (En RD$/Tarea)]]=0,0,Tabla2[[#This Row],[Beneficio Neto  (En RD$/Tarea)]]/Tabla2[[#This Row],[Costos (En RD$/Tarea)]])</f>
        <v>0.2131186777295509</v>
      </c>
      <c r="P3126" s="4">
        <f>Tabla2[[#This Row],[Rentabilidad (%)]]/12</f>
        <v>1.7759889810795907E-2</v>
      </c>
    </row>
    <row r="3127" spans="1:16" x14ac:dyDescent="0.35">
      <c r="A3127" s="1">
        <v>44440</v>
      </c>
      <c r="B3127" t="s">
        <v>24</v>
      </c>
      <c r="C3127" s="2">
        <v>4689</v>
      </c>
      <c r="D3127" s="5" t="s">
        <v>17</v>
      </c>
      <c r="E3127" s="2">
        <f>IF(Tabla2[[#This Row],[Frecuencia]]="Annual", Tabla2[[#This Row],[Cosecha/Tarea]]/12,Tabla2[[#This Row],[Cosecha/Tarea]])</f>
        <v>4689</v>
      </c>
      <c r="F3127" s="2">
        <v>45844</v>
      </c>
      <c r="G3127" t="s">
        <v>18</v>
      </c>
      <c r="H3127">
        <f>F3127/Tabla2[[#This Row],[Cosecha Mensual]]</f>
        <v>9.776924717423757</v>
      </c>
      <c r="I3127">
        <f>H3127*_xlfn.XLOOKUP(Tabla2[[#This Row],[Unidad de producción]],Tabla3[Medida],Tabla3[Equivalencia en Kg],"ELVIS",0)</f>
        <v>443.4813051823416</v>
      </c>
      <c r="J3127">
        <v>2292.50476190476</v>
      </c>
      <c r="K3127" t="s">
        <v>18</v>
      </c>
      <c r="L3127">
        <f>J3127/_xlfn.XLOOKUP(Tabla2[[#This Row],[Unidad de precio]],Tabla3[Medida],Tabla3[Equivalencia en Kg],"ELVIS",0)</f>
        <v>50.540228437053791</v>
      </c>
      <c r="M3127">
        <v>9606.8568095338396</v>
      </c>
      <c r="N3127" s="2">
        <f>(Tabla2[[#This Row],[Productividad (kg/TAS)]]*Tabla2[[#This Row],[Precio por kg]]-Tabla2[[#This Row],[Costos (En RD$/Tarea)]])</f>
        <v>12806.789661944471</v>
      </c>
      <c r="O3127" s="6">
        <f>IF(Tabla2[[#This Row],[Costos (En RD$/Tarea)]]=0,0,Tabla2[[#This Row],[Beneficio Neto  (En RD$/Tarea)]]/Tabla2[[#This Row],[Costos (En RD$/Tarea)]])</f>
        <v>1.3330884300508175</v>
      </c>
      <c r="P3127" s="4">
        <f>Tabla2[[#This Row],[Rentabilidad (%)]]/12</f>
        <v>0.11109070250423479</v>
      </c>
    </row>
    <row r="3128" spans="1:16" x14ac:dyDescent="0.35">
      <c r="A3128" s="1">
        <v>44440</v>
      </c>
      <c r="B3128" t="s">
        <v>25</v>
      </c>
      <c r="C3128" s="2">
        <v>28654</v>
      </c>
      <c r="D3128" s="5" t="s">
        <v>17</v>
      </c>
      <c r="E3128" s="2">
        <f>IF(Tabla2[[#This Row],[Frecuencia]]="Annual", Tabla2[[#This Row],[Cosecha/Tarea]]/12,Tabla2[[#This Row],[Cosecha/Tarea]])</f>
        <v>28654</v>
      </c>
      <c r="F3128" s="2">
        <v>345214</v>
      </c>
      <c r="G3128" t="s">
        <v>18</v>
      </c>
      <c r="H3128">
        <f>F3128/Tabla2[[#This Row],[Cosecha Mensual]]</f>
        <v>12.04767222726321</v>
      </c>
      <c r="I3128">
        <f>H3128*_xlfn.XLOOKUP(Tabla2[[#This Row],[Unidad de producción]],Tabla3[Medida],Tabla3[Equivalencia en Kg],"ELVIS",0)</f>
        <v>546.4824122286592</v>
      </c>
      <c r="J3128">
        <v>758.61458333333303</v>
      </c>
      <c r="K3128" t="s">
        <v>18</v>
      </c>
      <c r="L3128">
        <f>J3128/_xlfn.XLOOKUP(Tabla2[[#This Row],[Unidad de precio]],Tabla3[Medida],Tabla3[Equivalencia en Kg],"ELVIS",0)</f>
        <v>16.724307392710163</v>
      </c>
      <c r="M3128">
        <v>5403.3874144923902</v>
      </c>
      <c r="N3128" s="2">
        <f>(Tabla2[[#This Row],[Productividad (kg/TAS)]]*Tabla2[[#This Row],[Precio por kg]]-Tabla2[[#This Row],[Costos (En RD$/Tarea)]])</f>
        <v>3736.152432329458</v>
      </c>
      <c r="O3128" s="6">
        <f>IF(Tabla2[[#This Row],[Costos (En RD$/Tarea)]]=0,0,Tabla2[[#This Row],[Beneficio Neto  (En RD$/Tarea)]]/Tabla2[[#This Row],[Costos (En RD$/Tarea)]])</f>
        <v>0.69144633647936249</v>
      </c>
      <c r="P3128" s="4">
        <f>Tabla2[[#This Row],[Rentabilidad (%)]]/12</f>
        <v>5.7620528039946876E-2</v>
      </c>
    </row>
    <row r="3129" spans="1:16" x14ac:dyDescent="0.35">
      <c r="A3129" s="1">
        <v>44440</v>
      </c>
      <c r="B3129" t="s">
        <v>26</v>
      </c>
      <c r="C3129" s="2">
        <v>10285</v>
      </c>
      <c r="D3129" s="5" t="s">
        <v>17</v>
      </c>
      <c r="E3129" s="2">
        <f>IF(Tabla2[[#This Row],[Frecuencia]]="Annual", Tabla2[[#This Row],[Cosecha/Tarea]]/12,Tabla2[[#This Row],[Cosecha/Tarea]])</f>
        <v>10285</v>
      </c>
      <c r="F3129" s="2">
        <v>64214</v>
      </c>
      <c r="G3129" t="s">
        <v>18</v>
      </c>
      <c r="H3129">
        <f>F3129/Tabla2[[#This Row],[Cosecha Mensual]]</f>
        <v>6.2434613514827415</v>
      </c>
      <c r="I3129">
        <f>H3129*_xlfn.XLOOKUP(Tabla2[[#This Row],[Unidad de producción]],Tabla3[Medida],Tabla3[Equivalencia en Kg],"ELVIS",0)</f>
        <v>283.20340690325713</v>
      </c>
      <c r="J3129">
        <v>1270.19583333333</v>
      </c>
      <c r="K3129" t="s">
        <v>18</v>
      </c>
      <c r="L3129">
        <f>J3129/_xlfn.XLOOKUP(Tabla2[[#This Row],[Unidad de precio]],Tabla3[Medida],Tabla3[Equivalencia en Kg],"ELVIS",0)</f>
        <v>28.002553644914684</v>
      </c>
      <c r="M3129">
        <v>1910.9913592487401</v>
      </c>
      <c r="N3129" s="2">
        <f>(Tabla2[[#This Row],[Productividad (kg/TAS)]]*Tabla2[[#This Row],[Precio por kg]]-Tabla2[[#This Row],[Costos (En RD$/Tarea)]])</f>
        <v>6019.4272349823195</v>
      </c>
      <c r="O3129" s="6">
        <f>IF(Tabla2[[#This Row],[Costos (En RD$/Tarea)]]=0,0,Tabla2[[#This Row],[Beneficio Neto  (En RD$/Tarea)]]/Tabla2[[#This Row],[Costos (En RD$/Tarea)]])</f>
        <v>3.1498976726659356</v>
      </c>
      <c r="P3129" s="4">
        <f>Tabla2[[#This Row],[Rentabilidad (%)]]/12</f>
        <v>0.26249147272216128</v>
      </c>
    </row>
    <row r="3130" spans="1:16" x14ac:dyDescent="0.35">
      <c r="A3130" s="1">
        <v>44440</v>
      </c>
      <c r="B3130" t="s">
        <v>27</v>
      </c>
      <c r="C3130" s="2">
        <v>4886</v>
      </c>
      <c r="D3130" s="5" t="s">
        <v>17</v>
      </c>
      <c r="E3130" s="2">
        <f>IF(Tabla2[[#This Row],[Frecuencia]]="Annual", Tabla2[[#This Row],[Cosecha/Tarea]]/12,Tabla2[[#This Row],[Cosecha/Tarea]])</f>
        <v>4886</v>
      </c>
      <c r="F3130" s="2">
        <v>44577</v>
      </c>
      <c r="G3130" t="s">
        <v>18</v>
      </c>
      <c r="H3130">
        <f>F3130/Tabla2[[#This Row],[Cosecha Mensual]]</f>
        <v>9.1234138354482202</v>
      </c>
      <c r="I3130">
        <f>H3130*_xlfn.XLOOKUP(Tabla2[[#This Row],[Unidad de producción]],Tabla3[Medida],Tabla3[Equivalencia en Kg],"ELVIS",0)</f>
        <v>413.83805157593127</v>
      </c>
      <c r="J3130">
        <v>1081.03958333333</v>
      </c>
      <c r="K3130" t="s">
        <v>18</v>
      </c>
      <c r="L3130">
        <f>J3130/_xlfn.XLOOKUP(Tabla2[[#This Row],[Unidad de precio]],Tabla3[Medida],Tabla3[Equivalencia en Kg],"ELVIS",0)</f>
        <v>23.83244231334502</v>
      </c>
      <c r="M3130">
        <v>10561.2569707933</v>
      </c>
      <c r="N3130" s="2">
        <f>(Tabla2[[#This Row],[Productividad (kg/TAS)]]*Tabla2[[#This Row],[Precio por kg]]-Tabla2[[#This Row],[Costos (En RD$/Tarea)]])</f>
        <v>-698.48547954281639</v>
      </c>
      <c r="O3130" s="6">
        <f>IF(Tabla2[[#This Row],[Costos (En RD$/Tarea)]]=0,0,Tabla2[[#This Row],[Beneficio Neto  (En RD$/Tarea)]]/Tabla2[[#This Row],[Costos (En RD$/Tarea)]])</f>
        <v>-6.6136585964572947E-2</v>
      </c>
      <c r="P3130" s="4">
        <f>Tabla2[[#This Row],[Rentabilidad (%)]]/12</f>
        <v>-5.5113821637144123E-3</v>
      </c>
    </row>
    <row r="3131" spans="1:16" x14ac:dyDescent="0.35">
      <c r="A3131" s="1">
        <v>44440</v>
      </c>
      <c r="B3131" t="s">
        <v>28</v>
      </c>
      <c r="C3131" s="2">
        <v>75844</v>
      </c>
      <c r="D3131" s="5" t="s">
        <v>17</v>
      </c>
      <c r="E3131" s="2">
        <f>IF(Tabla2[[#This Row],[Frecuencia]]="Annual", Tabla2[[#This Row],[Cosecha/Tarea]]/12,Tabla2[[#This Row],[Cosecha/Tarea]])</f>
        <v>75844</v>
      </c>
      <c r="F3131" s="2">
        <v>1799538</v>
      </c>
      <c r="G3131" t="s">
        <v>18</v>
      </c>
      <c r="H3131">
        <f>F3131/Tabla2[[#This Row],[Cosecha Mensual]]</f>
        <v>23.726834027741152</v>
      </c>
      <c r="I3131">
        <f>H3131*_xlfn.XLOOKUP(Tabla2[[#This Row],[Unidad de producción]],Tabla3[Medida],Tabla3[Equivalencia en Kg],"ELVIS",0)</f>
        <v>1076.2491914983386</v>
      </c>
      <c r="J3131">
        <v>6006.0555555555602</v>
      </c>
      <c r="K3131" t="s">
        <v>29</v>
      </c>
      <c r="L3131">
        <f>J3131/_xlfn.XLOOKUP(Tabla2[[#This Row],[Unidad de precio]],Tabla3[Medida],Tabla3[Equivalencia en Kg],"ELVIS",0)</f>
        <v>10.680470099149197</v>
      </c>
      <c r="M3131">
        <v>20320.344000000001</v>
      </c>
      <c r="N3131" s="2">
        <f>(Tabla2[[#This Row],[Productividad (kg/TAS)]]*Tabla2[[#This Row],[Precio por kg]]-Tabla2[[#This Row],[Costos (En RD$/Tarea)]])</f>
        <v>-8825.4966909684972</v>
      </c>
      <c r="O3131" s="6">
        <f>IF(Tabla2[[#This Row],[Costos (En RD$/Tarea)]]=0,0,Tabla2[[#This Row],[Beneficio Neto  (En RD$/Tarea)]]/Tabla2[[#This Row],[Costos (En RD$/Tarea)]])</f>
        <v>-0.4343182719233738</v>
      </c>
      <c r="P3131" s="4">
        <f>Tabla2[[#This Row],[Rentabilidad (%)]]/12</f>
        <v>-3.6193189326947817E-2</v>
      </c>
    </row>
    <row r="3132" spans="1:16" x14ac:dyDescent="0.35">
      <c r="A3132" s="1">
        <v>44440</v>
      </c>
      <c r="B3132" t="s">
        <v>30</v>
      </c>
      <c r="C3132" s="2">
        <v>434587</v>
      </c>
      <c r="D3132" s="2" t="s">
        <v>31</v>
      </c>
      <c r="E3132" s="2">
        <f>IF(Tabla2[[#This Row],[Frecuencia]]="Annual", Tabla2[[#This Row],[Cosecha/Tarea]]/12,Tabla2[[#This Row],[Cosecha/Tarea]])</f>
        <v>36215.583333333336</v>
      </c>
      <c r="F3132" s="2">
        <v>2189879</v>
      </c>
      <c r="G3132" t="s">
        <v>18</v>
      </c>
      <c r="H3132">
        <f>F3132/Tabla2[[#This Row],[Cosecha Mensual]]</f>
        <v>60.467864892415093</v>
      </c>
      <c r="I3132">
        <f>H3132*_xlfn.XLOOKUP(Tabla2[[#This Row],[Unidad de producción]],Tabla3[Medida],Tabla3[Equivalencia en Kg],"ELVIS",0)</f>
        <v>2742.8223515199488</v>
      </c>
      <c r="J3132">
        <v>220.020833333333</v>
      </c>
      <c r="K3132" t="s">
        <v>32</v>
      </c>
      <c r="L3132">
        <f>J3132/_xlfn.XLOOKUP(Tabla2[[#This Row],[Unidad de precio]],Tabla3[Medida],Tabla3[Equivalencia en Kg],"ELVIS",0)</f>
        <v>8.0860284209236681</v>
      </c>
      <c r="M3132" s="2">
        <v>40592.436194530601</v>
      </c>
      <c r="N3132" s="2">
        <f>(Tabla2[[#This Row],[Productividad (kg/TAS)]]*Tabla2[[#This Row],[Precio por kg]]-Tabla2[[#This Row],[Costos (En RD$/Tarea)]])</f>
        <v>-18413.896706595606</v>
      </c>
      <c r="O3132" s="6">
        <f>IF(Tabla2[[#This Row],[Costos (En RD$/Tarea)]]=0,0,Tabla2[[#This Row],[Beneficio Neto  (En RD$/Tarea)]]/Tabla2[[#This Row],[Costos (En RD$/Tarea)]])</f>
        <v>-0.4536287651805605</v>
      </c>
      <c r="P3132" s="4">
        <f>Tabla2[[#This Row],[Rentabilidad (%)]]/12</f>
        <v>-3.7802397098380042E-2</v>
      </c>
    </row>
    <row r="3133" spans="1:16" x14ac:dyDescent="0.35">
      <c r="A3133" s="1">
        <v>44440</v>
      </c>
      <c r="B3133" t="s">
        <v>33</v>
      </c>
      <c r="C3133" s="2">
        <v>765421</v>
      </c>
      <c r="D3133" s="2" t="s">
        <v>31</v>
      </c>
      <c r="E3133" s="2">
        <f>IF(Tabla2[[#This Row],[Frecuencia]]="Annual", Tabla2[[#This Row],[Cosecha/Tarea]]/12,Tabla2[[#This Row],[Cosecha/Tarea]])</f>
        <v>63785.083333333336</v>
      </c>
      <c r="F3133" s="2">
        <v>1892205</v>
      </c>
      <c r="G3133" t="s">
        <v>18</v>
      </c>
      <c r="H3133">
        <f>F3133/Tabla2[[#This Row],[Cosecha Mensual]]</f>
        <v>29.665321437483424</v>
      </c>
      <c r="I3133">
        <f>H3133*_xlfn.XLOOKUP(Tabla2[[#This Row],[Unidad de producción]],Tabla3[Medida],Tabla3[Equivalencia en Kg],"ELVIS",0)</f>
        <v>1345.6189804042481</v>
      </c>
      <c r="J3133">
        <v>6003.9958333333298</v>
      </c>
      <c r="K3133" t="s">
        <v>34</v>
      </c>
      <c r="L3133">
        <f>J3133/_xlfn.XLOOKUP(Tabla2[[#This Row],[Unidad de precio]],Tabla3[Medida],Tabla3[Equivalencia en Kg],"ELVIS",0)</f>
        <v>14.710267875372608</v>
      </c>
      <c r="M3133" s="2">
        <v>43963.444034400003</v>
      </c>
      <c r="N3133" s="2">
        <f>(Tabla2[[#This Row],[Productividad (kg/TAS)]]*Tabla2[[#This Row],[Precio por kg]]-Tabla2[[#This Row],[Costos (En RD$/Tarea)]])</f>
        <v>-24169.028374467751</v>
      </c>
      <c r="O3133" s="6">
        <f>IF(Tabla2[[#This Row],[Costos (En RD$/Tarea)]]=0,0,Tabla2[[#This Row],[Beneficio Neto  (En RD$/Tarea)]]/Tabla2[[#This Row],[Costos (En RD$/Tarea)]])</f>
        <v>-0.54975284364792376</v>
      </c>
      <c r="P3133" s="4">
        <f>Tabla2[[#This Row],[Rentabilidad (%)]]/12</f>
        <v>-4.5812736970660316E-2</v>
      </c>
    </row>
    <row r="3134" spans="1:16" x14ac:dyDescent="0.35">
      <c r="A3134" s="1">
        <v>44470</v>
      </c>
      <c r="B3134" t="s">
        <v>16</v>
      </c>
      <c r="C3134" s="2">
        <v>329926</v>
      </c>
      <c r="D3134" s="5" t="s">
        <v>17</v>
      </c>
      <c r="E3134" s="2">
        <f>IF(Tabla2[[#This Row],[Frecuencia]]="Annual", Tabla2[[#This Row],[Cosecha/Tarea]]/12,Tabla2[[#This Row],[Cosecha/Tarea]])</f>
        <v>329926</v>
      </c>
      <c r="F3134" s="2">
        <v>1407096</v>
      </c>
      <c r="G3134" t="s">
        <v>18</v>
      </c>
      <c r="H3134">
        <f>F3134/Tabla2[[#This Row],[Cosecha Mensual]]</f>
        <v>4.264883640573947</v>
      </c>
      <c r="I3134">
        <f>H3134*_xlfn.XLOOKUP(Tabla2[[#This Row],[Unidad de producción]],Tabla3[Medida],Tabla3[Equivalencia en Kg],"ELVIS",0)</f>
        <v>193.45512193643424</v>
      </c>
      <c r="J3134">
        <v>2568.7483989470402</v>
      </c>
      <c r="K3134" t="s">
        <v>19</v>
      </c>
      <c r="L3134">
        <f>J3134/_xlfn.XLOOKUP(Tabla2[[#This Row],[Unidad de precio]],Tabla3[Medida],Tabla3[Equivalencia en Kg],"ELVIS",0)</f>
        <v>23.352258172245818</v>
      </c>
      <c r="M3134">
        <v>7900.3979447716101</v>
      </c>
      <c r="N3134" s="2">
        <f>(Tabla2[[#This Row],[Productividad (kg/TAS)]]*Tabla2[[#This Row],[Precio por kg]]-Tabla2[[#This Row],[Costos (En RD$/Tarea)]])</f>
        <v>-3382.7839925687022</v>
      </c>
      <c r="O3134" s="6">
        <f>IF(Tabla2[[#This Row],[Costos (En RD$/Tarea)]]=0,0,Tabla2[[#This Row],[Beneficio Neto  (En RD$/Tarea)]]/Tabla2[[#This Row],[Costos (En RD$/Tarea)]])</f>
        <v>-0.42817893683537656</v>
      </c>
      <c r="P3134" s="4">
        <f>Tabla2[[#This Row],[Rentabilidad (%)]]/12</f>
        <v>-3.5681578069614715E-2</v>
      </c>
    </row>
    <row r="3135" spans="1:16" x14ac:dyDescent="0.35">
      <c r="A3135" s="1">
        <v>44470</v>
      </c>
      <c r="B3135" t="s">
        <v>20</v>
      </c>
      <c r="C3135" s="2">
        <v>61610</v>
      </c>
      <c r="D3135" s="5" t="s">
        <v>17</v>
      </c>
      <c r="E3135" s="2">
        <f>IF(Tabla2[[#This Row],[Frecuencia]]="Annual", Tabla2[[#This Row],[Cosecha/Tarea]]/12,Tabla2[[#This Row],[Cosecha/Tarea]])</f>
        <v>61610</v>
      </c>
      <c r="F3135" s="2">
        <v>162345</v>
      </c>
      <c r="G3135" t="s">
        <v>18</v>
      </c>
      <c r="H3135">
        <f>F3135/Tabla2[[#This Row],[Cosecha Mensual]]</f>
        <v>2.6350430124979711</v>
      </c>
      <c r="I3135">
        <f>H3135*_xlfn.XLOOKUP(Tabla2[[#This Row],[Unidad de producción]],Tabla3[Medida],Tabla3[Equivalencia en Kg],"ELVIS",0)</f>
        <v>119.52555104690796</v>
      </c>
      <c r="J3135">
        <v>1015.36536458333</v>
      </c>
      <c r="K3135" t="s">
        <v>18</v>
      </c>
      <c r="L3135">
        <f>J3135/_xlfn.XLOOKUP(Tabla2[[#This Row],[Unidad de precio]],Tabla3[Medida],Tabla3[Equivalencia en Kg],"ELVIS",0)</f>
        <v>22.384597984641314</v>
      </c>
      <c r="M3135">
        <v>2759.0657712295701</v>
      </c>
      <c r="N3135" s="2">
        <f>(Tabla2[[#This Row],[Productividad (kg/TAS)]]*Tabla2[[#This Row],[Precio por kg]]-Tabla2[[#This Row],[Costos (En RD$/Tarea)]])</f>
        <v>-83.53436215181182</v>
      </c>
      <c r="O3135" s="6">
        <f>IF(Tabla2[[#This Row],[Costos (En RD$/Tarea)]]=0,0,Tabla2[[#This Row],[Beneficio Neto  (En RD$/Tarea)]]/Tabla2[[#This Row],[Costos (En RD$/Tarea)]])</f>
        <v>-3.0276321435637601E-2</v>
      </c>
      <c r="P3135" s="4">
        <f>Tabla2[[#This Row],[Rentabilidad (%)]]/12</f>
        <v>-2.5230267863031335E-3</v>
      </c>
    </row>
    <row r="3136" spans="1:16" x14ac:dyDescent="0.35">
      <c r="A3136" s="1">
        <v>44470</v>
      </c>
      <c r="B3136" t="s">
        <v>21</v>
      </c>
      <c r="C3136" s="2">
        <v>8010</v>
      </c>
      <c r="D3136" s="5" t="s">
        <v>17</v>
      </c>
      <c r="E3136" s="2">
        <f>IF(Tabla2[[#This Row],[Frecuencia]]="Annual", Tabla2[[#This Row],[Cosecha/Tarea]]/12,Tabla2[[#This Row],[Cosecha/Tarea]])</f>
        <v>8010</v>
      </c>
      <c r="F3136" s="2">
        <v>103107</v>
      </c>
      <c r="G3136" t="s">
        <v>18</v>
      </c>
      <c r="H3136">
        <f>F3136/Tabla2[[#This Row],[Cosecha Mensual]]</f>
        <v>12.872284644194757</v>
      </c>
      <c r="I3136">
        <f>H3136*_xlfn.XLOOKUP(Tabla2[[#This Row],[Unidad de producción]],Tabla3[Medida],Tabla3[Equivalencia en Kg],"ELVIS",0)</f>
        <v>583.8868314606741</v>
      </c>
      <c r="J3136">
        <v>736.46484375</v>
      </c>
      <c r="K3136" t="s">
        <v>18</v>
      </c>
      <c r="L3136">
        <f>J3136/_xlfn.XLOOKUP(Tabla2[[#This Row],[Unidad de precio]],Tabla3[Medida],Tabla3[Equivalencia en Kg],"ELVIS",0)</f>
        <v>16.235997437169313</v>
      </c>
      <c r="M3136">
        <v>6695.9501351373101</v>
      </c>
      <c r="N3136" s="2">
        <f>(Tabla2[[#This Row],[Productividad (kg/TAS)]]*Tabla2[[#This Row],[Precio por kg]]-Tabla2[[#This Row],[Costos (En RD$/Tarea)]])</f>
        <v>2784.0349640551058</v>
      </c>
      <c r="O3136" s="6">
        <f>IF(Tabla2[[#This Row],[Costos (En RD$/Tarea)]]=0,0,Tabla2[[#This Row],[Beneficio Neto  (En RD$/Tarea)]]/Tabla2[[#This Row],[Costos (En RD$/Tarea)]])</f>
        <v>0.41577892724226734</v>
      </c>
      <c r="P3136" s="4">
        <f>Tabla2[[#This Row],[Rentabilidad (%)]]/12</f>
        <v>3.4648243936855609E-2</v>
      </c>
    </row>
    <row r="3137" spans="1:16" x14ac:dyDescent="0.35">
      <c r="A3137" s="1">
        <v>44470</v>
      </c>
      <c r="B3137" t="s">
        <v>22</v>
      </c>
      <c r="C3137" s="2">
        <v>3843</v>
      </c>
      <c r="D3137" s="5" t="s">
        <v>17</v>
      </c>
      <c r="E3137" s="2">
        <f>IF(Tabla2[[#This Row],[Frecuencia]]="Annual", Tabla2[[#This Row],[Cosecha/Tarea]]/12,Tabla2[[#This Row],[Cosecha/Tarea]])</f>
        <v>3843</v>
      </c>
      <c r="F3137" s="2">
        <v>55813</v>
      </c>
      <c r="G3137" t="s">
        <v>18</v>
      </c>
      <c r="H3137">
        <f>F3137/Tabla2[[#This Row],[Cosecha Mensual]]</f>
        <v>14.523289097059589</v>
      </c>
      <c r="I3137">
        <f>H3137*_xlfn.XLOOKUP(Tabla2[[#This Row],[Unidad de producción]],Tabla3[Medida],Tabla3[Equivalencia en Kg],"ELVIS",0)</f>
        <v>658.77639344262298</v>
      </c>
      <c r="J3137">
        <v>1850.825</v>
      </c>
      <c r="K3137" t="s">
        <v>18</v>
      </c>
      <c r="L3137">
        <f>J3137/_xlfn.XLOOKUP(Tabla2[[#This Row],[Unidad de precio]],Tabla3[Medida],Tabla3[Equivalencia en Kg],"ELVIS",0)</f>
        <v>40.803020282186949</v>
      </c>
      <c r="M3137">
        <v>11609.318489158701</v>
      </c>
      <c r="N3137" s="2">
        <f>(Tabla2[[#This Row],[Productividad (kg/TAS)]]*Tabla2[[#This Row],[Precio por kg]]-Tabla2[[#This Row],[Costos (En RD$/Tarea)]])</f>
        <v>15270.748053906613</v>
      </c>
      <c r="O3137" s="6">
        <f>IF(Tabla2[[#This Row],[Costos (En RD$/Tarea)]]=0,0,Tabla2[[#This Row],[Beneficio Neto  (En RD$/Tarea)]]/Tabla2[[#This Row],[Costos (En RD$/Tarea)]])</f>
        <v>1.3153871235565737</v>
      </c>
      <c r="P3137" s="4">
        <f>Tabla2[[#This Row],[Rentabilidad (%)]]/12</f>
        <v>0.10961559362971447</v>
      </c>
    </row>
    <row r="3138" spans="1:16" x14ac:dyDescent="0.35">
      <c r="A3138" s="1">
        <v>44470</v>
      </c>
      <c r="B3138" t="s">
        <v>23</v>
      </c>
      <c r="C3138" s="2">
        <v>4000</v>
      </c>
      <c r="D3138" s="5" t="s">
        <v>17</v>
      </c>
      <c r="E3138" s="2">
        <f>IF(Tabla2[[#This Row],[Frecuencia]]="Annual", Tabla2[[#This Row],[Cosecha/Tarea]]/12,Tabla2[[#This Row],[Cosecha/Tarea]])</f>
        <v>4000</v>
      </c>
      <c r="F3138" s="2">
        <v>147110</v>
      </c>
      <c r="G3138" t="s">
        <v>18</v>
      </c>
      <c r="H3138">
        <f>F3138/Tabla2[[#This Row],[Cosecha Mensual]]</f>
        <v>36.777500000000003</v>
      </c>
      <c r="I3138">
        <f>H3138*_xlfn.XLOOKUP(Tabla2[[#This Row],[Unidad de producción]],Tabla3[Medida],Tabla3[Equivalencia en Kg],"ELVIS",0)</f>
        <v>1668.2274000000002</v>
      </c>
      <c r="J3138">
        <v>914.66666666666697</v>
      </c>
      <c r="K3138" t="s">
        <v>18</v>
      </c>
      <c r="L3138">
        <f>J3138/_xlfn.XLOOKUP(Tabla2[[#This Row],[Unidad de precio]],Tabla3[Medida],Tabla3[Equivalencia en Kg],"ELVIS",0)</f>
        <v>20.164609053497948</v>
      </c>
      <c r="M3138">
        <v>31774.6512666667</v>
      </c>
      <c r="N3138" s="2">
        <f>(Tabla2[[#This Row],[Productividad (kg/TAS)]]*Tabla2[[#This Row],[Precio por kg]]-Tabla2[[#This Row],[Costos (En RD$/Tarea)]])</f>
        <v>1864.5020666666496</v>
      </c>
      <c r="O3138" s="6">
        <f>IF(Tabla2[[#This Row],[Costos (En RD$/Tarea)]]=0,0,Tabla2[[#This Row],[Beneficio Neto  (En RD$/Tarea)]]/Tabla2[[#This Row],[Costos (En RD$/Tarea)]])</f>
        <v>5.8678915183645507E-2</v>
      </c>
      <c r="P3138" s="4">
        <f>Tabla2[[#This Row],[Rentabilidad (%)]]/12</f>
        <v>4.8899095986371256E-3</v>
      </c>
    </row>
    <row r="3139" spans="1:16" x14ac:dyDescent="0.35">
      <c r="A3139" s="1">
        <v>44470</v>
      </c>
      <c r="B3139" t="s">
        <v>24</v>
      </c>
      <c r="C3139" s="2">
        <v>4185</v>
      </c>
      <c r="D3139" s="5" t="s">
        <v>17</v>
      </c>
      <c r="E3139" s="2">
        <f>IF(Tabla2[[#This Row],[Frecuencia]]="Annual", Tabla2[[#This Row],[Cosecha/Tarea]]/12,Tabla2[[#This Row],[Cosecha/Tarea]])</f>
        <v>4185</v>
      </c>
      <c r="F3139" s="2">
        <v>44643</v>
      </c>
      <c r="G3139" t="s">
        <v>18</v>
      </c>
      <c r="H3139">
        <f>F3139/Tabla2[[#This Row],[Cosecha Mensual]]</f>
        <v>10.667383512544802</v>
      </c>
      <c r="I3139">
        <f>H3139*_xlfn.XLOOKUP(Tabla2[[#This Row],[Unidad de producción]],Tabla3[Medida],Tabla3[Equivalencia en Kg],"ELVIS",0)</f>
        <v>483.87251612903225</v>
      </c>
      <c r="J3139">
        <v>2397.63095238095</v>
      </c>
      <c r="K3139" t="s">
        <v>18</v>
      </c>
      <c r="L3139">
        <f>J3139/_xlfn.XLOOKUP(Tabla2[[#This Row],[Unidad de precio]],Tabla3[Medida],Tabla3[Equivalencia en Kg],"ELVIS",0)</f>
        <v>52.857825228856925</v>
      </c>
      <c r="M3139">
        <v>9606.8568095338396</v>
      </c>
      <c r="N3139" s="2">
        <f>(Tabla2[[#This Row],[Productividad (kg/TAS)]]*Tabla2[[#This Row],[Precio por kg]]-Tabla2[[#This Row],[Costos (En RD$/Tarea)]])</f>
        <v>15969.592081061799</v>
      </c>
      <c r="O3139" s="6">
        <f>IF(Tabla2[[#This Row],[Costos (En RD$/Tarea)]]=0,0,Tabla2[[#This Row],[Beneficio Neto  (En RD$/Tarea)]]/Tabla2[[#This Row],[Costos (En RD$/Tarea)]])</f>
        <v>1.6623118672085946</v>
      </c>
      <c r="P3139" s="4">
        <f>Tabla2[[#This Row],[Rentabilidad (%)]]/12</f>
        <v>0.13852598893404955</v>
      </c>
    </row>
    <row r="3140" spans="1:16" x14ac:dyDescent="0.35">
      <c r="A3140" s="1">
        <v>44470</v>
      </c>
      <c r="B3140" t="s">
        <v>25</v>
      </c>
      <c r="C3140" s="2">
        <v>17295</v>
      </c>
      <c r="D3140" s="5" t="s">
        <v>17</v>
      </c>
      <c r="E3140" s="2">
        <f>IF(Tabla2[[#This Row],[Frecuencia]]="Annual", Tabla2[[#This Row],[Cosecha/Tarea]]/12,Tabla2[[#This Row],[Cosecha/Tarea]])</f>
        <v>17295</v>
      </c>
      <c r="F3140" s="2">
        <v>205460</v>
      </c>
      <c r="G3140" t="s">
        <v>18</v>
      </c>
      <c r="H3140">
        <f>F3140/Tabla2[[#This Row],[Cosecha Mensual]]</f>
        <v>11.879734027175484</v>
      </c>
      <c r="I3140">
        <f>H3140*_xlfn.XLOOKUP(Tabla2[[#This Row],[Unidad de producción]],Tabla3[Medida],Tabla3[Equivalencia en Kg],"ELVIS",0)</f>
        <v>538.86473547267997</v>
      </c>
      <c r="J3140">
        <v>820.60590277777806</v>
      </c>
      <c r="K3140" t="s">
        <v>18</v>
      </c>
      <c r="L3140">
        <f>J3140/_xlfn.XLOOKUP(Tabla2[[#This Row],[Unidad de precio]],Tabla3[Medida],Tabla3[Equivalencia en Kg],"ELVIS",0)</f>
        <v>18.09095905594749</v>
      </c>
      <c r="M3140">
        <v>5403.3874144923902</v>
      </c>
      <c r="N3140" s="2">
        <f>(Tabla2[[#This Row],[Productividad (kg/TAS)]]*Tabla2[[#This Row],[Precio por kg]]-Tabla2[[#This Row],[Costos (En RD$/Tarea)]])</f>
        <v>4345.1924516378385</v>
      </c>
      <c r="O3140" s="6">
        <f>IF(Tabla2[[#This Row],[Costos (En RD$/Tarea)]]=0,0,Tabla2[[#This Row],[Beneficio Neto  (En RD$/Tarea)]]/Tabla2[[#This Row],[Costos (En RD$/Tarea)]])</f>
        <v>0.80416081955989793</v>
      </c>
      <c r="P3140" s="4">
        <f>Tabla2[[#This Row],[Rentabilidad (%)]]/12</f>
        <v>6.701340162999149E-2</v>
      </c>
    </row>
    <row r="3141" spans="1:16" x14ac:dyDescent="0.35">
      <c r="A3141" s="1">
        <v>44470</v>
      </c>
      <c r="B3141" t="s">
        <v>26</v>
      </c>
      <c r="C3141" s="2">
        <v>7431</v>
      </c>
      <c r="D3141" s="5" t="s">
        <v>17</v>
      </c>
      <c r="E3141" s="2">
        <f>IF(Tabla2[[#This Row],[Frecuencia]]="Annual", Tabla2[[#This Row],[Cosecha/Tarea]]/12,Tabla2[[#This Row],[Cosecha/Tarea]])</f>
        <v>7431</v>
      </c>
      <c r="F3141" s="2">
        <v>75837</v>
      </c>
      <c r="G3141" t="s">
        <v>18</v>
      </c>
      <c r="H3141">
        <f>F3141/Tabla2[[#This Row],[Cosecha Mensual]]</f>
        <v>10.205490512716997</v>
      </c>
      <c r="I3141">
        <f>H3141*_xlfn.XLOOKUP(Tabla2[[#This Row],[Unidad de producción]],Tabla3[Medida],Tabla3[Equivalencia en Kg],"ELVIS",0)</f>
        <v>462.92104965684297</v>
      </c>
      <c r="J3141">
        <v>1168.4956597222199</v>
      </c>
      <c r="K3141" t="s">
        <v>18</v>
      </c>
      <c r="L3141">
        <f>J3141/_xlfn.XLOOKUP(Tabla2[[#This Row],[Unidad de precio]],Tabla3[Medida],Tabla3[Equivalencia en Kg],"ELVIS",0)</f>
        <v>25.760486325445765</v>
      </c>
      <c r="M3141">
        <v>1910.9913592487401</v>
      </c>
      <c r="N3141" s="2">
        <f>(Tabla2[[#This Row],[Productividad (kg/TAS)]]*Tabla2[[#This Row],[Precio por kg]]-Tabla2[[#This Row],[Costos (En RD$/Tarea)]])</f>
        <v>10014.080010197362</v>
      </c>
      <c r="O3141" s="6">
        <f>IF(Tabla2[[#This Row],[Costos (En RD$/Tarea)]]=0,0,Tabla2[[#This Row],[Beneficio Neto  (En RD$/Tarea)]]/Tabla2[[#This Row],[Costos (En RD$/Tarea)]])</f>
        <v>5.2402539455406822</v>
      </c>
      <c r="P3141" s="4">
        <f>Tabla2[[#This Row],[Rentabilidad (%)]]/12</f>
        <v>0.43668782879505685</v>
      </c>
    </row>
    <row r="3142" spans="1:16" x14ac:dyDescent="0.35">
      <c r="A3142" s="1">
        <v>44470</v>
      </c>
      <c r="B3142" t="s">
        <v>27</v>
      </c>
      <c r="C3142" s="2">
        <v>1673</v>
      </c>
      <c r="D3142" s="5" t="s">
        <v>17</v>
      </c>
      <c r="E3142" s="2">
        <f>IF(Tabla2[[#This Row],[Frecuencia]]="Annual", Tabla2[[#This Row],[Cosecha/Tarea]]/12,Tabla2[[#This Row],[Cosecha/Tarea]])</f>
        <v>1673</v>
      </c>
      <c r="F3142" s="2">
        <v>12252</v>
      </c>
      <c r="G3142" t="s">
        <v>18</v>
      </c>
      <c r="H3142">
        <f>F3142/Tabla2[[#This Row],[Cosecha Mensual]]</f>
        <v>7.3233711894799765</v>
      </c>
      <c r="I3142">
        <f>H3142*_xlfn.XLOOKUP(Tabla2[[#This Row],[Unidad de producción]],Tabla3[Medida],Tabla3[Equivalencia en Kg],"ELVIS",0)</f>
        <v>332.18811715481172</v>
      </c>
      <c r="J3142">
        <v>805.14222222222202</v>
      </c>
      <c r="K3142" t="s">
        <v>18</v>
      </c>
      <c r="L3142">
        <f>J3142/_xlfn.XLOOKUP(Tabla2[[#This Row],[Unidad de precio]],Tabla3[Medida],Tabla3[Equivalencia en Kg],"ELVIS",0)</f>
        <v>17.750048990789729</v>
      </c>
      <c r="M3142">
        <v>10561.2569707933</v>
      </c>
      <c r="N3142" s="2">
        <f>(Tabla2[[#This Row],[Productividad (kg/TAS)]]*Tabla2[[#This Row],[Precio por kg]]-Tabla2[[#This Row],[Costos (En RD$/Tarea)]])</f>
        <v>-4664.9016171371941</v>
      </c>
      <c r="O3142" s="6">
        <f>IF(Tabla2[[#This Row],[Costos (En RD$/Tarea)]]=0,0,Tabla2[[#This Row],[Beneficio Neto  (En RD$/Tarea)]]/Tabla2[[#This Row],[Costos (En RD$/Tarea)]])</f>
        <v>-0.441699471004046</v>
      </c>
      <c r="P3142" s="4">
        <f>Tabla2[[#This Row],[Rentabilidad (%)]]/12</f>
        <v>-3.6808289250337169E-2</v>
      </c>
    </row>
    <row r="3143" spans="1:16" x14ac:dyDescent="0.35">
      <c r="A3143" s="1">
        <v>44470</v>
      </c>
      <c r="B3143" t="s">
        <v>28</v>
      </c>
      <c r="C3143" s="2">
        <v>27140</v>
      </c>
      <c r="D3143" s="5" t="s">
        <v>17</v>
      </c>
      <c r="E3143" s="2">
        <f>IF(Tabla2[[#This Row],[Frecuencia]]="Annual", Tabla2[[#This Row],[Cosecha/Tarea]]/12,Tabla2[[#This Row],[Cosecha/Tarea]])</f>
        <v>27140</v>
      </c>
      <c r="F3143" s="2">
        <v>826770</v>
      </c>
      <c r="G3143" t="s">
        <v>18</v>
      </c>
      <c r="H3143">
        <f>F3143/Tabla2[[#This Row],[Cosecha Mensual]]</f>
        <v>30.463154016212233</v>
      </c>
      <c r="I3143">
        <f>H3143*_xlfn.XLOOKUP(Tabla2[[#This Row],[Unidad de producción]],Tabla3[Medida],Tabla3[Equivalencia en Kg],"ELVIS",0)</f>
        <v>1381.8086661753869</v>
      </c>
      <c r="J3143">
        <v>7822.9375</v>
      </c>
      <c r="K3143" t="s">
        <v>29</v>
      </c>
      <c r="L3143">
        <f>J3143/_xlfn.XLOOKUP(Tabla2[[#This Row],[Unidad de precio]],Tabla3[Medida],Tabla3[Equivalencia en Kg],"ELVIS",0)</f>
        <v>13.911401465305687</v>
      </c>
      <c r="M3143">
        <v>20320.344000000001</v>
      </c>
      <c r="N3143" s="2">
        <f>(Tabla2[[#This Row],[Productividad (kg/TAS)]]*Tabla2[[#This Row],[Precio por kg]]-Tabla2[[#This Row],[Costos (En RD$/Tarea)]])</f>
        <v>-1097.4488965956261</v>
      </c>
      <c r="O3143" s="6">
        <f>IF(Tabla2[[#This Row],[Costos (En RD$/Tarea)]]=0,0,Tabla2[[#This Row],[Beneficio Neto  (En RD$/Tarea)]]/Tabla2[[#This Row],[Costos (En RD$/Tarea)]])</f>
        <v>-5.4007397541873607E-2</v>
      </c>
      <c r="P3143" s="4">
        <f>Tabla2[[#This Row],[Rentabilidad (%)]]/12</f>
        <v>-4.5006164618228003E-3</v>
      </c>
    </row>
    <row r="3144" spans="1:16" x14ac:dyDescent="0.35">
      <c r="A3144" s="1">
        <v>44470</v>
      </c>
      <c r="B3144" t="s">
        <v>30</v>
      </c>
      <c r="C3144" s="2">
        <v>339828</v>
      </c>
      <c r="D3144" s="2" t="s">
        <v>31</v>
      </c>
      <c r="E3144" s="2">
        <f>IF(Tabla2[[#This Row],[Frecuencia]]="Annual", Tabla2[[#This Row],[Cosecha/Tarea]]/12,Tabla2[[#This Row],[Cosecha/Tarea]])</f>
        <v>28319</v>
      </c>
      <c r="F3144" s="2">
        <v>2200394</v>
      </c>
      <c r="G3144" t="s">
        <v>18</v>
      </c>
      <c r="H3144">
        <f>F3144/Tabla2[[#This Row],[Cosecha Mensual]]</f>
        <v>77.700271902256432</v>
      </c>
      <c r="I3144">
        <f>H3144*_xlfn.XLOOKUP(Tabla2[[#This Row],[Unidad de producción]],Tabla3[Medida],Tabla3[Equivalencia en Kg],"ELVIS",0)</f>
        <v>3524.4843334863517</v>
      </c>
      <c r="J3144">
        <v>196.623697916667</v>
      </c>
      <c r="K3144" t="s">
        <v>32</v>
      </c>
      <c r="L3144">
        <f>J3144/_xlfn.XLOOKUP(Tabla2[[#This Row],[Unidad de precio]],Tabla3[Medida],Tabla3[Equivalencia en Kg],"ELVIS",0)</f>
        <v>7.2261557484993384</v>
      </c>
      <c r="M3144" s="2">
        <v>40592.436194530601</v>
      </c>
      <c r="N3144" s="2">
        <f>(Tabla2[[#This Row],[Productividad (kg/TAS)]]*Tabla2[[#This Row],[Precio por kg]]-Tabla2[[#This Row],[Costos (En RD$/Tarea)]])</f>
        <v>-15123.963467612342</v>
      </c>
      <c r="O3144" s="6">
        <f>IF(Tabla2[[#This Row],[Costos (En RD$/Tarea)]]=0,0,Tabla2[[#This Row],[Beneficio Neto  (En RD$/Tarea)]]/Tabla2[[#This Row],[Costos (En RD$/Tarea)]])</f>
        <v>-0.37258082750032467</v>
      </c>
      <c r="P3144" s="4">
        <f>Tabla2[[#This Row],[Rentabilidad (%)]]/12</f>
        <v>-3.1048402291693724E-2</v>
      </c>
    </row>
    <row r="3145" spans="1:16" x14ac:dyDescent="0.35">
      <c r="A3145" s="1">
        <v>44470</v>
      </c>
      <c r="B3145" t="s">
        <v>33</v>
      </c>
      <c r="C3145" s="2">
        <v>548722</v>
      </c>
      <c r="D3145" s="2" t="s">
        <v>31</v>
      </c>
      <c r="E3145" s="2">
        <f>IF(Tabla2[[#This Row],[Frecuencia]]="Annual", Tabla2[[#This Row],[Cosecha/Tarea]]/12,Tabla2[[#This Row],[Cosecha/Tarea]])</f>
        <v>45726.833333333336</v>
      </c>
      <c r="F3145" s="2">
        <v>1280331</v>
      </c>
      <c r="G3145" t="s">
        <v>18</v>
      </c>
      <c r="H3145">
        <f>F3145/Tabla2[[#This Row],[Cosecha Mensual]]</f>
        <v>27.999555330385878</v>
      </c>
      <c r="I3145">
        <f>H3145*_xlfn.XLOOKUP(Tabla2[[#This Row],[Unidad de producción]],Tabla3[Medida],Tabla3[Equivalencia en Kg],"ELVIS",0)</f>
        <v>1270.0598297863035</v>
      </c>
      <c r="J3145">
        <v>5472.5911458333303</v>
      </c>
      <c r="K3145" t="s">
        <v>34</v>
      </c>
      <c r="L3145">
        <f>J3145/_xlfn.XLOOKUP(Tabla2[[#This Row],[Unidad de precio]],Tabla3[Medida],Tabla3[Equivalencia en Kg],"ELVIS",0)</f>
        <v>13.408284076524147</v>
      </c>
      <c r="M3145" s="2">
        <v>43963.444034400003</v>
      </c>
      <c r="N3145" s="2">
        <f>(Tabla2[[#This Row],[Productividad (kg/TAS)]]*Tabla2[[#This Row],[Precio por kg]]-Tabla2[[#This Row],[Costos (En RD$/Tarea)]])</f>
        <v>-26934.121042443341</v>
      </c>
      <c r="O3145" s="6">
        <f>IF(Tabla2[[#This Row],[Costos (En RD$/Tarea)]]=0,0,Tabla2[[#This Row],[Beneficio Neto  (En RD$/Tarea)]]/Tabla2[[#This Row],[Costos (En RD$/Tarea)]])</f>
        <v>-0.61264811331360314</v>
      </c>
      <c r="P3145" s="4">
        <f>Tabla2[[#This Row],[Rentabilidad (%)]]/12</f>
        <v>-5.1054009442800259E-2</v>
      </c>
    </row>
    <row r="3146" spans="1:16" x14ac:dyDescent="0.35">
      <c r="A3146" s="1">
        <v>44501</v>
      </c>
      <c r="B3146" t="s">
        <v>16</v>
      </c>
      <c r="C3146" s="2">
        <v>233525</v>
      </c>
      <c r="D3146" s="5" t="s">
        <v>17</v>
      </c>
      <c r="E3146" s="2">
        <f>IF(Tabla2[[#This Row],[Frecuencia]]="Annual", Tabla2[[#This Row],[Cosecha/Tarea]]/12,Tabla2[[#This Row],[Cosecha/Tarea]])</f>
        <v>233525</v>
      </c>
      <c r="F3146" s="2">
        <v>885679</v>
      </c>
      <c r="G3146" t="s">
        <v>18</v>
      </c>
      <c r="H3146">
        <f>F3146/Tabla2[[#This Row],[Cosecha Mensual]]</f>
        <v>3.7926517503479285</v>
      </c>
      <c r="I3146">
        <f>H3146*_xlfn.XLOOKUP(Tabla2[[#This Row],[Unidad de producción]],Tabla3[Medida],Tabla3[Equivalencia en Kg],"ELVIS",0)</f>
        <v>172.03468339578203</v>
      </c>
      <c r="J3146">
        <v>2601.26148043376</v>
      </c>
      <c r="K3146" t="s">
        <v>19</v>
      </c>
      <c r="L3146">
        <f>J3146/_xlfn.XLOOKUP(Tabla2[[#This Row],[Unidad de precio]],Tabla3[Medida],Tabla3[Equivalencia en Kg],"ELVIS",0)</f>
        <v>23.647831640306908</v>
      </c>
      <c r="M3146">
        <v>7900.3979447716101</v>
      </c>
      <c r="N3146" s="2">
        <f>(Tabla2[[#This Row],[Productividad (kg/TAS)]]*Tabla2[[#This Row],[Precio por kg]]-Tabla2[[#This Row],[Costos (En RD$/Tarea)]])</f>
        <v>-3832.1507155346544</v>
      </c>
      <c r="O3146" s="6">
        <f>IF(Tabla2[[#This Row],[Costos (En RD$/Tarea)]]=0,0,Tabla2[[#This Row],[Beneficio Neto  (En RD$/Tarea)]]/Tabla2[[#This Row],[Costos (En RD$/Tarea)]])</f>
        <v>-0.48505793535004477</v>
      </c>
      <c r="P3146" s="4">
        <f>Tabla2[[#This Row],[Rentabilidad (%)]]/12</f>
        <v>-4.0421494612503731E-2</v>
      </c>
    </row>
    <row r="3147" spans="1:16" x14ac:dyDescent="0.35">
      <c r="A3147" s="1">
        <v>44501</v>
      </c>
      <c r="B3147" t="s">
        <v>20</v>
      </c>
      <c r="C3147" s="2">
        <v>45014</v>
      </c>
      <c r="D3147" s="5" t="s">
        <v>17</v>
      </c>
      <c r="E3147" s="2">
        <f>IF(Tabla2[[#This Row],[Frecuencia]]="Annual", Tabla2[[#This Row],[Cosecha/Tarea]]/12,Tabla2[[#This Row],[Cosecha/Tarea]])</f>
        <v>45014</v>
      </c>
      <c r="F3147" s="2">
        <v>103477</v>
      </c>
      <c r="G3147" t="s">
        <v>18</v>
      </c>
      <c r="H3147">
        <f>F3147/Tabla2[[#This Row],[Cosecha Mensual]]</f>
        <v>2.2987737148442706</v>
      </c>
      <c r="I3147">
        <f>H3147*_xlfn.XLOOKUP(Tabla2[[#This Row],[Unidad de producción]],Tabla3[Medida],Tabla3[Equivalencia en Kg],"ELVIS",0)</f>
        <v>104.27237570533612</v>
      </c>
      <c r="J3147">
        <v>989.89322916666697</v>
      </c>
      <c r="K3147" t="s">
        <v>18</v>
      </c>
      <c r="L3147">
        <f>J3147/_xlfn.XLOOKUP(Tabla2[[#This Row],[Unidad de precio]],Tabla3[Medida],Tabla3[Equivalencia en Kg],"ELVIS",0)</f>
        <v>21.823042971046451</v>
      </c>
      <c r="M3147">
        <v>2759.0657712295701</v>
      </c>
      <c r="N3147" s="2">
        <f>(Tabla2[[#This Row],[Productividad (kg/TAS)]]*Tabla2[[#This Row],[Precio por kg]]-Tabla2[[#This Row],[Costos (En RD$/Tarea)]])</f>
        <v>-483.52523551892</v>
      </c>
      <c r="O3147" s="6">
        <f>IF(Tabla2[[#This Row],[Costos (En RD$/Tarea)]]=0,0,Tabla2[[#This Row],[Beneficio Neto  (En RD$/Tarea)]]/Tabla2[[#This Row],[Costos (En RD$/Tarea)]])</f>
        <v>-0.17524962273858311</v>
      </c>
      <c r="P3147" s="4">
        <f>Tabla2[[#This Row],[Rentabilidad (%)]]/12</f>
        <v>-1.4604135228215258E-2</v>
      </c>
    </row>
    <row r="3148" spans="1:16" x14ac:dyDescent="0.35">
      <c r="A3148" s="1">
        <v>44501</v>
      </c>
      <c r="B3148" t="s">
        <v>21</v>
      </c>
      <c r="C3148" s="2">
        <v>8954</v>
      </c>
      <c r="D3148" s="5" t="s">
        <v>17</v>
      </c>
      <c r="E3148" s="2">
        <f>IF(Tabla2[[#This Row],[Frecuencia]]="Annual", Tabla2[[#This Row],[Cosecha/Tarea]]/12,Tabla2[[#This Row],[Cosecha/Tarea]])</f>
        <v>8954</v>
      </c>
      <c r="F3148" s="2">
        <v>105055</v>
      </c>
      <c r="G3148" t="s">
        <v>18</v>
      </c>
      <c r="H3148">
        <f>F3148/Tabla2[[#This Row],[Cosecha Mensual]]</f>
        <v>11.732745141836052</v>
      </c>
      <c r="I3148">
        <f>H3148*_xlfn.XLOOKUP(Tabla2[[#This Row],[Unidad de producción]],Tabla3[Medida],Tabla3[Equivalencia en Kg],"ELVIS",0)</f>
        <v>532.19731963368326</v>
      </c>
      <c r="J3148">
        <v>703.68489583333303</v>
      </c>
      <c r="K3148" t="s">
        <v>18</v>
      </c>
      <c r="L3148">
        <f>J3148/_xlfn.XLOOKUP(Tabla2[[#This Row],[Unidad de precio]],Tabla3[Medida],Tabla3[Equivalencia en Kg],"ELVIS",0)</f>
        <v>15.513335446061134</v>
      </c>
      <c r="M3148">
        <v>6695.9501351373101</v>
      </c>
      <c r="N3148" s="2">
        <f>(Tabla2[[#This Row],[Productividad (kg/TAS)]]*Tabla2[[#This Row],[Precio por kg]]-Tabla2[[#This Row],[Costos (En RD$/Tarea)]])</f>
        <v>1560.2054078346364</v>
      </c>
      <c r="O3148" s="6">
        <f>IF(Tabla2[[#This Row],[Costos (En RD$/Tarea)]]=0,0,Tabla2[[#This Row],[Beneficio Neto  (En RD$/Tarea)]]/Tabla2[[#This Row],[Costos (En RD$/Tarea)]])</f>
        <v>0.23300732179103095</v>
      </c>
      <c r="P3148" s="4">
        <f>Tabla2[[#This Row],[Rentabilidad (%)]]/12</f>
        <v>1.9417276815919246E-2</v>
      </c>
    </row>
    <row r="3149" spans="1:16" x14ac:dyDescent="0.35">
      <c r="A3149" s="1">
        <v>44501</v>
      </c>
      <c r="B3149" t="s">
        <v>22</v>
      </c>
      <c r="C3149" s="2">
        <v>4428</v>
      </c>
      <c r="D3149" s="5" t="s">
        <v>17</v>
      </c>
      <c r="E3149" s="2">
        <f>IF(Tabla2[[#This Row],[Frecuencia]]="Annual", Tabla2[[#This Row],[Cosecha/Tarea]]/12,Tabla2[[#This Row],[Cosecha/Tarea]])</f>
        <v>4428</v>
      </c>
      <c r="F3149" s="2">
        <v>64356</v>
      </c>
      <c r="G3149" t="s">
        <v>18</v>
      </c>
      <c r="H3149">
        <f>F3149/Tabla2[[#This Row],[Cosecha Mensual]]</f>
        <v>14.533875338753388</v>
      </c>
      <c r="I3149">
        <f>H3149*_xlfn.XLOOKUP(Tabla2[[#This Row],[Unidad de producción]],Tabla3[Medida],Tabla3[Equivalencia en Kg],"ELVIS",0)</f>
        <v>659.25658536585365</v>
      </c>
      <c r="J3149">
        <v>1643.4722222222199</v>
      </c>
      <c r="K3149" t="s">
        <v>18</v>
      </c>
      <c r="L3149">
        <f>J3149/_xlfn.XLOOKUP(Tabla2[[#This Row],[Unidad de precio]],Tabla3[Medida],Tabla3[Equivalencia en Kg],"ELVIS",0)</f>
        <v>36.231750930824951</v>
      </c>
      <c r="M3149">
        <v>11609.318489158701</v>
      </c>
      <c r="N3149" s="2">
        <f>(Tabla2[[#This Row],[Productividad (kg/TAS)]]*Tabla2[[#This Row],[Precio por kg]]-Tabla2[[#This Row],[Costos (En RD$/Tarea)]])</f>
        <v>12276.701911323045</v>
      </c>
      <c r="O3149" s="6">
        <f>IF(Tabla2[[#This Row],[Costos (En RD$/Tarea)]]=0,0,Tabla2[[#This Row],[Beneficio Neto  (En RD$/Tarea)]]/Tabla2[[#This Row],[Costos (En RD$/Tarea)]])</f>
        <v>1.0574868733929195</v>
      </c>
      <c r="P3149" s="4">
        <f>Tabla2[[#This Row],[Rentabilidad (%)]]/12</f>
        <v>8.8123906116076622E-2</v>
      </c>
    </row>
    <row r="3150" spans="1:16" x14ac:dyDescent="0.35">
      <c r="A3150" s="1">
        <v>44501</v>
      </c>
      <c r="B3150" t="s">
        <v>23</v>
      </c>
      <c r="C3150" s="2">
        <v>4392</v>
      </c>
      <c r="D3150" s="5" t="s">
        <v>17</v>
      </c>
      <c r="E3150" s="2">
        <f>IF(Tabla2[[#This Row],[Frecuencia]]="Annual", Tabla2[[#This Row],[Cosecha/Tarea]]/12,Tabla2[[#This Row],[Cosecha/Tarea]])</f>
        <v>4392</v>
      </c>
      <c r="F3150" s="2">
        <v>135046</v>
      </c>
      <c r="G3150" t="s">
        <v>18</v>
      </c>
      <c r="H3150">
        <f>F3150/Tabla2[[#This Row],[Cosecha Mensual]]</f>
        <v>30.748178506375229</v>
      </c>
      <c r="I3150">
        <f>H3150*_xlfn.XLOOKUP(Tabla2[[#This Row],[Unidad de producción]],Tabla3[Medida],Tabla3[Equivalencia en Kg],"ELVIS",0)</f>
        <v>1394.7373770491804</v>
      </c>
      <c r="J3150">
        <v>1062.5</v>
      </c>
      <c r="K3150" t="s">
        <v>18</v>
      </c>
      <c r="L3150">
        <f>J3150/_xlfn.XLOOKUP(Tabla2[[#This Row],[Unidad de precio]],Tabla3[Medida],Tabla3[Equivalencia en Kg],"ELVIS",0)</f>
        <v>23.423721340388006</v>
      </c>
      <c r="M3150">
        <v>31774.6512666667</v>
      </c>
      <c r="N3150" s="2">
        <f>(Tabla2[[#This Row],[Productividad (kg/TAS)]]*Tabla2[[#This Row],[Precio por kg]]-Tabla2[[#This Row],[Costos (En RD$/Tarea)]])</f>
        <v>895.28839635698023</v>
      </c>
      <c r="O3150" s="6">
        <f>IF(Tabla2[[#This Row],[Costos (En RD$/Tarea)]]=0,0,Tabla2[[#This Row],[Beneficio Neto  (En RD$/Tarea)]]/Tabla2[[#This Row],[Costos (En RD$/Tarea)]])</f>
        <v>2.8176183236232253E-2</v>
      </c>
      <c r="P3150" s="4">
        <f>Tabla2[[#This Row],[Rentabilidad (%)]]/12</f>
        <v>2.3480152696860211E-3</v>
      </c>
    </row>
    <row r="3151" spans="1:16" x14ac:dyDescent="0.35">
      <c r="A3151" s="1">
        <v>44501</v>
      </c>
      <c r="B3151" t="s">
        <v>24</v>
      </c>
      <c r="C3151" s="2">
        <v>7830</v>
      </c>
      <c r="D3151" s="5" t="s">
        <v>17</v>
      </c>
      <c r="E3151" s="2">
        <f>IF(Tabla2[[#This Row],[Frecuencia]]="Annual", Tabla2[[#This Row],[Cosecha/Tarea]]/12,Tabla2[[#This Row],[Cosecha/Tarea]])</f>
        <v>7830</v>
      </c>
      <c r="F3151" s="2">
        <v>123840</v>
      </c>
      <c r="G3151" t="s">
        <v>18</v>
      </c>
      <c r="H3151">
        <f>F3151/Tabla2[[#This Row],[Cosecha Mensual]]</f>
        <v>15.816091954022989</v>
      </c>
      <c r="I3151">
        <f>H3151*_xlfn.XLOOKUP(Tabla2[[#This Row],[Unidad de producción]],Tabla3[Medida],Tabla3[Equivalencia en Kg],"ELVIS",0)</f>
        <v>717.41793103448276</v>
      </c>
      <c r="J3151">
        <v>2110.34</v>
      </c>
      <c r="K3151" t="s">
        <v>18</v>
      </c>
      <c r="L3151">
        <f>J3151/_xlfn.XLOOKUP(Tabla2[[#This Row],[Unidad de precio]],Tabla3[Medida],Tabla3[Equivalencia en Kg],"ELVIS",0)</f>
        <v>46.524250440917115</v>
      </c>
      <c r="M3151">
        <v>9606.8568095338396</v>
      </c>
      <c r="N3151" s="2">
        <f>(Tabla2[[#This Row],[Productividad (kg/TAS)]]*Tabla2[[#This Row],[Precio por kg]]-Tabla2[[#This Row],[Costos (En RD$/Tarea)]])</f>
        <v>23770.47468471904</v>
      </c>
      <c r="O3151" s="6">
        <f>IF(Tabla2[[#This Row],[Costos (En RD$/Tarea)]]=0,0,Tabla2[[#This Row],[Beneficio Neto  (En RD$/Tarea)]]/Tabla2[[#This Row],[Costos (En RD$/Tarea)]])</f>
        <v>2.474323824742473</v>
      </c>
      <c r="P3151" s="4">
        <f>Tabla2[[#This Row],[Rentabilidad (%)]]/12</f>
        <v>0.20619365206187276</v>
      </c>
    </row>
    <row r="3152" spans="1:16" x14ac:dyDescent="0.35">
      <c r="A3152" s="1">
        <v>44501</v>
      </c>
      <c r="B3152" t="s">
        <v>25</v>
      </c>
      <c r="C3152" s="2">
        <v>22227</v>
      </c>
      <c r="D3152" s="5" t="s">
        <v>17</v>
      </c>
      <c r="E3152" s="2">
        <f>IF(Tabla2[[#This Row],[Frecuencia]]="Annual", Tabla2[[#This Row],[Cosecha/Tarea]]/12,Tabla2[[#This Row],[Cosecha/Tarea]])</f>
        <v>22227</v>
      </c>
      <c r="F3152" s="2">
        <v>278615</v>
      </c>
      <c r="G3152" t="s">
        <v>18</v>
      </c>
      <c r="H3152">
        <f>F3152/Tabla2[[#This Row],[Cosecha Mensual]]</f>
        <v>12.534979979304449</v>
      </c>
      <c r="I3152">
        <f>H3152*_xlfn.XLOOKUP(Tabla2[[#This Row],[Unidad de producción]],Tabla3[Medida],Tabla3[Equivalencia en Kg],"ELVIS",0)</f>
        <v>568.58669186124985</v>
      </c>
      <c r="J3152">
        <v>814.34180555555599</v>
      </c>
      <c r="K3152" t="s">
        <v>18</v>
      </c>
      <c r="L3152">
        <f>J3152/_xlfn.XLOOKUP(Tabla2[[#This Row],[Unidad de precio]],Tabla3[Medida],Tabla3[Equivalencia en Kg],"ELVIS",0)</f>
        <v>17.952861674505204</v>
      </c>
      <c r="M3152">
        <v>5403.3874144923902</v>
      </c>
      <c r="N3152" s="2">
        <f>(Tabla2[[#This Row],[Productividad (kg/TAS)]]*Tabla2[[#This Row],[Precio por kg]]-Tabla2[[#This Row],[Costos (En RD$/Tarea)]])</f>
        <v>4804.3708144571428</v>
      </c>
      <c r="O3152" s="6">
        <f>IF(Tabla2[[#This Row],[Costos (En RD$/Tarea)]]=0,0,Tabla2[[#This Row],[Beneficio Neto  (En RD$/Tarea)]]/Tabla2[[#This Row],[Costos (En RD$/Tarea)]])</f>
        <v>0.88914054201839587</v>
      </c>
      <c r="P3152" s="4">
        <f>Tabla2[[#This Row],[Rentabilidad (%)]]/12</f>
        <v>7.4095045168199661E-2</v>
      </c>
    </row>
    <row r="3153" spans="1:16" x14ac:dyDescent="0.35">
      <c r="A3153" s="1">
        <v>44501</v>
      </c>
      <c r="B3153" t="s">
        <v>26</v>
      </c>
      <c r="C3153" s="2">
        <v>9444</v>
      </c>
      <c r="D3153" s="5" t="s">
        <v>17</v>
      </c>
      <c r="E3153" s="2">
        <f>IF(Tabla2[[#This Row],[Frecuencia]]="Annual", Tabla2[[#This Row],[Cosecha/Tarea]]/12,Tabla2[[#This Row],[Cosecha/Tarea]])</f>
        <v>9444</v>
      </c>
      <c r="F3153" s="2">
        <v>94383</v>
      </c>
      <c r="G3153" t="s">
        <v>18</v>
      </c>
      <c r="H3153">
        <f>F3153/Tabla2[[#This Row],[Cosecha Mensual]]</f>
        <v>9.9939644218551464</v>
      </c>
      <c r="I3153">
        <f>H3153*_xlfn.XLOOKUP(Tabla2[[#This Row],[Unidad de producción]],Tabla3[Medida],Tabla3[Equivalencia en Kg],"ELVIS",0)</f>
        <v>453.32622617534946</v>
      </c>
      <c r="J3153">
        <v>1304.4765625</v>
      </c>
      <c r="K3153" t="s">
        <v>18</v>
      </c>
      <c r="L3153">
        <f>J3153/_xlfn.XLOOKUP(Tabla2[[#This Row],[Unidad de precio]],Tabla3[Medida],Tabla3[Equivalencia en Kg],"ELVIS",0)</f>
        <v>28.758301642416225</v>
      </c>
      <c r="M3153">
        <v>1910.9913592487401</v>
      </c>
      <c r="N3153" s="2">
        <f>(Tabla2[[#This Row],[Productividad (kg/TAS)]]*Tabla2[[#This Row],[Precio por kg]]-Tabla2[[#This Row],[Costos (En RD$/Tarea)]])</f>
        <v>11125.900995520162</v>
      </c>
      <c r="O3153" s="6">
        <f>IF(Tabla2[[#This Row],[Costos (En RD$/Tarea)]]=0,0,Tabla2[[#This Row],[Beneficio Neto  (En RD$/Tarea)]]/Tabla2[[#This Row],[Costos (En RD$/Tarea)]])</f>
        <v>5.8220571964773509</v>
      </c>
      <c r="P3153" s="4">
        <f>Tabla2[[#This Row],[Rentabilidad (%)]]/12</f>
        <v>0.48517143303977922</v>
      </c>
    </row>
    <row r="3154" spans="1:16" x14ac:dyDescent="0.35">
      <c r="A3154" s="1">
        <v>44501</v>
      </c>
      <c r="B3154" t="s">
        <v>27</v>
      </c>
      <c r="C3154" s="2">
        <v>1278</v>
      </c>
      <c r="D3154" s="5" t="s">
        <v>17</v>
      </c>
      <c r="E3154" s="2">
        <f>IF(Tabla2[[#This Row],[Frecuencia]]="Annual", Tabla2[[#This Row],[Cosecha/Tarea]]/12,Tabla2[[#This Row],[Cosecha/Tarea]])</f>
        <v>1278</v>
      </c>
      <c r="F3154" s="2">
        <v>13954</v>
      </c>
      <c r="G3154" t="s">
        <v>18</v>
      </c>
      <c r="H3154">
        <f>F3154/Tabla2[[#This Row],[Cosecha Mensual]]</f>
        <v>10.918622848200313</v>
      </c>
      <c r="I3154">
        <f>H3154*_xlfn.XLOOKUP(Tabla2[[#This Row],[Unidad de producción]],Tabla3[Medida],Tabla3[Equivalencia en Kg],"ELVIS",0)</f>
        <v>495.26873239436617</v>
      </c>
      <c r="J3154">
        <v>993.97500000000002</v>
      </c>
      <c r="K3154" t="s">
        <v>18</v>
      </c>
      <c r="L3154">
        <f>J3154/_xlfn.XLOOKUP(Tabla2[[#This Row],[Unidad de precio]],Tabla3[Medida],Tabla3[Equivalencia en Kg],"ELVIS",0)</f>
        <v>21.913029100529101</v>
      </c>
      <c r="M3154">
        <v>10561.2569707933</v>
      </c>
      <c r="N3154" s="2">
        <f>(Tabla2[[#This Row],[Productividad (kg/TAS)]]*Tabla2[[#This Row],[Precio por kg]]-Tabla2[[#This Row],[Costos (En RD$/Tarea)]])</f>
        <v>291.58117474660685</v>
      </c>
      <c r="O3154" s="6">
        <f>IF(Tabla2[[#This Row],[Costos (En RD$/Tarea)]]=0,0,Tabla2[[#This Row],[Beneficio Neto  (En RD$/Tarea)]]/Tabla2[[#This Row],[Costos (En RD$/Tarea)]])</f>
        <v>2.7608567384825689E-2</v>
      </c>
      <c r="P3154" s="4">
        <f>Tabla2[[#This Row],[Rentabilidad (%)]]/12</f>
        <v>2.3007139487354741E-3</v>
      </c>
    </row>
    <row r="3155" spans="1:16" x14ac:dyDescent="0.35">
      <c r="A3155" s="1">
        <v>44501</v>
      </c>
      <c r="B3155" t="s">
        <v>28</v>
      </c>
      <c r="C3155" s="2">
        <v>48718</v>
      </c>
      <c r="D3155" s="5" t="s">
        <v>17</v>
      </c>
      <c r="E3155" s="2">
        <f>IF(Tabla2[[#This Row],[Frecuencia]]="Annual", Tabla2[[#This Row],[Cosecha/Tarea]]/12,Tabla2[[#This Row],[Cosecha/Tarea]])</f>
        <v>48718</v>
      </c>
      <c r="F3155" s="2">
        <v>1121022</v>
      </c>
      <c r="G3155" t="s">
        <v>18</v>
      </c>
      <c r="H3155">
        <f>F3155/Tabla2[[#This Row],[Cosecha Mensual]]</f>
        <v>23.010427357444886</v>
      </c>
      <c r="I3155">
        <f>H3155*_xlfn.XLOOKUP(Tabla2[[#This Row],[Unidad de producción]],Tabla3[Medida],Tabla3[Equivalencia en Kg],"ELVIS",0)</f>
        <v>1043.7529849337</v>
      </c>
      <c r="J3155">
        <v>8250.6770833333303</v>
      </c>
      <c r="K3155" t="s">
        <v>29</v>
      </c>
      <c r="L3155">
        <f>J3155/_xlfn.XLOOKUP(Tabla2[[#This Row],[Unidad de precio]],Tabla3[Medida],Tabla3[Equivalencia en Kg],"ELVIS",0)</f>
        <v>14.672043751704182</v>
      </c>
      <c r="M3155">
        <v>20320.344000000001</v>
      </c>
      <c r="N3155" s="2">
        <f>(Tabla2[[#This Row],[Productividad (kg/TAS)]]*Tabla2[[#This Row],[Precio por kg]]-Tabla2[[#This Row],[Costos (En RD$/Tarea)]])</f>
        <v>-5006.3545390809195</v>
      </c>
      <c r="O3155" s="6">
        <f>IF(Tabla2[[#This Row],[Costos (En RD$/Tarea)]]=0,0,Tabla2[[#This Row],[Beneficio Neto  (En RD$/Tarea)]]/Tabla2[[#This Row],[Costos (En RD$/Tarea)]])</f>
        <v>-0.24637154464909253</v>
      </c>
      <c r="P3155" s="4">
        <f>Tabla2[[#This Row],[Rentabilidad (%)]]/12</f>
        <v>-2.0530962054091044E-2</v>
      </c>
    </row>
    <row r="3156" spans="1:16" x14ac:dyDescent="0.35">
      <c r="A3156" s="1">
        <v>44501</v>
      </c>
      <c r="B3156" t="s">
        <v>30</v>
      </c>
      <c r="C3156" s="2">
        <v>442154</v>
      </c>
      <c r="D3156" s="2" t="s">
        <v>31</v>
      </c>
      <c r="E3156" s="2">
        <f>IF(Tabla2[[#This Row],[Frecuencia]]="Annual", Tabla2[[#This Row],[Cosecha/Tarea]]/12,Tabla2[[#This Row],[Cosecha/Tarea]])</f>
        <v>36846.166666666664</v>
      </c>
      <c r="F3156" s="2">
        <v>1872069</v>
      </c>
      <c r="G3156" t="s">
        <v>18</v>
      </c>
      <c r="H3156">
        <f>F3156/Tabla2[[#This Row],[Cosecha Mensual]]</f>
        <v>50.807700484446599</v>
      </c>
      <c r="I3156">
        <f>H3156*_xlfn.XLOOKUP(Tabla2[[#This Row],[Unidad de producción]],Tabla3[Medida],Tabla3[Equivalencia en Kg],"ELVIS",0)</f>
        <v>2304.6372939744979</v>
      </c>
      <c r="J3156">
        <v>220.3125</v>
      </c>
      <c r="K3156" t="s">
        <v>32</v>
      </c>
      <c r="L3156">
        <f>J3156/_xlfn.XLOOKUP(Tabla2[[#This Row],[Unidad de precio]],Tabla3[Medida],Tabla3[Equivalencia en Kg],"ELVIS",0)</f>
        <v>8.096747519294377</v>
      </c>
      <c r="M3156" s="2">
        <v>40592.436194530601</v>
      </c>
      <c r="N3156" s="2">
        <f>(Tabla2[[#This Row],[Productividad (kg/TAS)]]*Tabla2[[#This Row],[Precio por kg]]-Tabla2[[#This Row],[Costos (En RD$/Tarea)]])</f>
        <v>-21932.369901669281</v>
      </c>
      <c r="O3156" s="6">
        <f>IF(Tabla2[[#This Row],[Costos (En RD$/Tarea)]]=0,0,Tabla2[[#This Row],[Beneficio Neto  (En RD$/Tarea)]]/Tabla2[[#This Row],[Costos (En RD$/Tarea)]])</f>
        <v>-0.54030681471205799</v>
      </c>
      <c r="P3156" s="4">
        <f>Tabla2[[#This Row],[Rentabilidad (%)]]/12</f>
        <v>-4.5025567892671502E-2</v>
      </c>
    </row>
    <row r="3157" spans="1:16" x14ac:dyDescent="0.35">
      <c r="A3157" s="1">
        <v>44501</v>
      </c>
      <c r="B3157" t="s">
        <v>33</v>
      </c>
      <c r="C3157" s="2">
        <v>741244</v>
      </c>
      <c r="D3157" s="2" t="s">
        <v>31</v>
      </c>
      <c r="E3157" s="2">
        <f>IF(Tabla2[[#This Row],[Frecuencia]]="Annual", Tabla2[[#This Row],[Cosecha/Tarea]]/12,Tabla2[[#This Row],[Cosecha/Tarea]])</f>
        <v>61770.333333333336</v>
      </c>
      <c r="F3157" s="2">
        <v>1193040</v>
      </c>
      <c r="G3157" t="s">
        <v>18</v>
      </c>
      <c r="H3157">
        <f>F3157/Tabla2[[#This Row],[Cosecha Mensual]]</f>
        <v>19.31412598280728</v>
      </c>
      <c r="I3157">
        <f>H3157*_xlfn.XLOOKUP(Tabla2[[#This Row],[Unidad de producción]],Tabla3[Medida],Tabla3[Equivalencia en Kg],"ELVIS",0)</f>
        <v>876.08875458013824</v>
      </c>
      <c r="J3157">
        <v>5790.2317708333303</v>
      </c>
      <c r="K3157" t="s">
        <v>34</v>
      </c>
      <c r="L3157">
        <f>J3157/_xlfn.XLOOKUP(Tabla2[[#This Row],[Unidad de precio]],Tabla3[Medida],Tabla3[Equivalencia en Kg],"ELVIS",0)</f>
        <v>14.186528900730934</v>
      </c>
      <c r="M3157" s="2">
        <v>43963.444034400003</v>
      </c>
      <c r="N3157" s="2">
        <f>(Tabla2[[#This Row],[Productividad (kg/TAS)]]*Tabla2[[#This Row],[Precio por kg]]-Tabla2[[#This Row],[Costos (En RD$/Tarea)]])</f>
        <v>-31534.785597943501</v>
      </c>
      <c r="O3157" s="6">
        <f>IF(Tabla2[[#This Row],[Costos (En RD$/Tarea)]]=0,0,Tabla2[[#This Row],[Beneficio Neto  (En RD$/Tarea)]]/Tabla2[[#This Row],[Costos (En RD$/Tarea)]])</f>
        <v>-0.71729561435788625</v>
      </c>
      <c r="P3157" s="4">
        <f>Tabla2[[#This Row],[Rentabilidad (%)]]/12</f>
        <v>-5.9774634529823852E-2</v>
      </c>
    </row>
    <row r="3158" spans="1:16" x14ac:dyDescent="0.35">
      <c r="A3158" s="1">
        <v>44531</v>
      </c>
      <c r="B3158" t="s">
        <v>16</v>
      </c>
      <c r="C3158" s="2">
        <v>143776</v>
      </c>
      <c r="D3158" s="5" t="s">
        <v>17</v>
      </c>
      <c r="E3158" s="2">
        <f>IF(Tabla2[[#This Row],[Frecuencia]]="Annual", Tabla2[[#This Row],[Cosecha/Tarea]]/12,Tabla2[[#This Row],[Cosecha/Tarea]])</f>
        <v>143776</v>
      </c>
      <c r="F3158" s="2">
        <v>538947</v>
      </c>
      <c r="G3158" t="s">
        <v>18</v>
      </c>
      <c r="H3158">
        <f>F3158/Tabla2[[#This Row],[Cosecha Mensual]]</f>
        <v>3.748518528822613</v>
      </c>
      <c r="I3158">
        <f>H3158*_xlfn.XLOOKUP(Tabla2[[#This Row],[Unidad de producción]],Tabla3[Medida],Tabla3[Equivalencia en Kg],"ELVIS",0)</f>
        <v>170.03280046739371</v>
      </c>
      <c r="J3158">
        <v>2588.9631089894701</v>
      </c>
      <c r="K3158" t="s">
        <v>19</v>
      </c>
      <c r="L3158">
        <f>J3158/_xlfn.XLOOKUP(Tabla2[[#This Row],[Unidad de precio]],Tabla3[Medida],Tabla3[Equivalencia en Kg],"ELVIS",0)</f>
        <v>23.536028263540636</v>
      </c>
      <c r="M3158">
        <v>7900.3979447716101</v>
      </c>
      <c r="N3158" s="2">
        <f>(Tabla2[[#This Row],[Productividad (kg/TAS)]]*Tabla2[[#This Row],[Precio por kg]]-Tabla2[[#This Row],[Costos (En RD$/Tarea)]])</f>
        <v>-3898.5011472420661</v>
      </c>
      <c r="O3158" s="6">
        <f>IF(Tabla2[[#This Row],[Costos (En RD$/Tarea)]]=0,0,Tabla2[[#This Row],[Beneficio Neto  (En RD$/Tarea)]]/Tabla2[[#This Row],[Costos (En RD$/Tarea)]])</f>
        <v>-0.49345630112493866</v>
      </c>
      <c r="P3158" s="4">
        <f>Tabla2[[#This Row],[Rentabilidad (%)]]/12</f>
        <v>-4.1121358427078224E-2</v>
      </c>
    </row>
    <row r="3159" spans="1:16" x14ac:dyDescent="0.35">
      <c r="A3159" s="1">
        <v>44531</v>
      </c>
      <c r="B3159" t="s">
        <v>20</v>
      </c>
      <c r="C3159" s="2">
        <v>30746</v>
      </c>
      <c r="D3159" s="5" t="s">
        <v>17</v>
      </c>
      <c r="E3159" s="2">
        <f>IF(Tabla2[[#This Row],[Frecuencia]]="Annual", Tabla2[[#This Row],[Cosecha/Tarea]]/12,Tabla2[[#This Row],[Cosecha/Tarea]])</f>
        <v>30746</v>
      </c>
      <c r="F3159" s="2">
        <v>74876</v>
      </c>
      <c r="G3159" t="s">
        <v>18</v>
      </c>
      <c r="H3159">
        <f>F3159/Tabla2[[#This Row],[Cosecha Mensual]]</f>
        <v>2.435308658036818</v>
      </c>
      <c r="I3159">
        <f>H3159*_xlfn.XLOOKUP(Tabla2[[#This Row],[Unidad de producción]],Tabla3[Medida],Tabla3[Equivalencia en Kg],"ELVIS",0)</f>
        <v>110.46560072855006</v>
      </c>
      <c r="J3159">
        <v>1040.7984375000001</v>
      </c>
      <c r="K3159" t="s">
        <v>18</v>
      </c>
      <c r="L3159">
        <f>J3159/_xlfn.XLOOKUP(Tabla2[[#This Row],[Unidad de precio]],Tabla3[Medida],Tabla3[Equivalencia en Kg],"ELVIS",0)</f>
        <v>22.945291832010586</v>
      </c>
      <c r="M3159">
        <v>2759.0657712295701</v>
      </c>
      <c r="N3159" s="2">
        <f>(Tabla2[[#This Row],[Productividad (kg/TAS)]]*Tabla2[[#This Row],[Precio por kg]]-Tabla2[[#This Row],[Costos (En RD$/Tarea)]])</f>
        <v>-224.40032511462778</v>
      </c>
      <c r="O3159" s="6">
        <f>IF(Tabla2[[#This Row],[Costos (En RD$/Tarea)]]=0,0,Tabla2[[#This Row],[Beneficio Neto  (En RD$/Tarea)]]/Tabla2[[#This Row],[Costos (En RD$/Tarea)]])</f>
        <v>-8.1331995581469738E-2</v>
      </c>
      <c r="P3159" s="4">
        <f>Tabla2[[#This Row],[Rentabilidad (%)]]/12</f>
        <v>-6.7776662984558112E-3</v>
      </c>
    </row>
    <row r="3160" spans="1:16" x14ac:dyDescent="0.35">
      <c r="A3160" s="1">
        <v>44531</v>
      </c>
      <c r="B3160" t="s">
        <v>21</v>
      </c>
      <c r="C3160" s="2">
        <v>9733</v>
      </c>
      <c r="D3160" s="5" t="s">
        <v>17</v>
      </c>
      <c r="E3160" s="2">
        <f>IF(Tabla2[[#This Row],[Frecuencia]]="Annual", Tabla2[[#This Row],[Cosecha/Tarea]]/12,Tabla2[[#This Row],[Cosecha/Tarea]])</f>
        <v>9733</v>
      </c>
      <c r="F3160" s="2">
        <v>113884</v>
      </c>
      <c r="G3160" t="s">
        <v>18</v>
      </c>
      <c r="H3160">
        <f>F3160/Tabla2[[#This Row],[Cosecha Mensual]]</f>
        <v>11.700811671632589</v>
      </c>
      <c r="I3160">
        <f>H3160*_xlfn.XLOOKUP(Tabla2[[#This Row],[Unidad de producción]],Tabla3[Medida],Tabla3[Equivalencia en Kg],"ELVIS",0)</f>
        <v>530.74881742525429</v>
      </c>
      <c r="J3160">
        <v>719.22755208333297</v>
      </c>
      <c r="K3160" t="s">
        <v>18</v>
      </c>
      <c r="L3160">
        <f>J3160/_xlfn.XLOOKUP(Tabla2[[#This Row],[Unidad de precio]],Tabla3[Medida],Tabla3[Equivalencia en Kg],"ELVIS",0)</f>
        <v>15.855986597957076</v>
      </c>
      <c r="M3160">
        <v>6695.9501351373101</v>
      </c>
      <c r="N3160" s="2">
        <f>(Tabla2[[#This Row],[Productividad (kg/TAS)]]*Tabla2[[#This Row],[Precio por kg]]-Tabla2[[#This Row],[Costos (En RD$/Tarea)]])</f>
        <v>1719.5960008390894</v>
      </c>
      <c r="O3160" s="6">
        <f>IF(Tabla2[[#This Row],[Costos (En RD$/Tarea)]]=0,0,Tabla2[[#This Row],[Beneficio Neto  (En RD$/Tarea)]]/Tabla2[[#This Row],[Costos (En RD$/Tarea)]])</f>
        <v>0.25681135106061037</v>
      </c>
      <c r="P3160" s="4">
        <f>Tabla2[[#This Row],[Rentabilidad (%)]]/12</f>
        <v>2.140094592171753E-2</v>
      </c>
    </row>
    <row r="3161" spans="1:16" x14ac:dyDescent="0.35">
      <c r="A3161" s="1">
        <v>44531</v>
      </c>
      <c r="B3161" t="s">
        <v>22</v>
      </c>
      <c r="C3161" s="2">
        <v>2937</v>
      </c>
      <c r="D3161" s="5" t="s">
        <v>17</v>
      </c>
      <c r="E3161" s="2">
        <f>IF(Tabla2[[#This Row],[Frecuencia]]="Annual", Tabla2[[#This Row],[Cosecha/Tarea]]/12,Tabla2[[#This Row],[Cosecha/Tarea]])</f>
        <v>2937</v>
      </c>
      <c r="F3161" s="2">
        <v>34508</v>
      </c>
      <c r="G3161" t="s">
        <v>18</v>
      </c>
      <c r="H3161">
        <f>F3161/Tabla2[[#This Row],[Cosecha Mensual]]</f>
        <v>11.749404153898537</v>
      </c>
      <c r="I3161">
        <f>H3161*_xlfn.XLOOKUP(Tabla2[[#This Row],[Unidad de producción]],Tabla3[Medida],Tabla3[Equivalencia en Kg],"ELVIS",0)</f>
        <v>532.95297242083757</v>
      </c>
      <c r="J3161">
        <v>1739.74583333333</v>
      </c>
      <c r="K3161" t="s">
        <v>18</v>
      </c>
      <c r="L3161">
        <f>J3161/_xlfn.XLOOKUP(Tabla2[[#This Row],[Unidad de precio]],Tabla3[Medida],Tabla3[Equivalencia en Kg],"ELVIS",0)</f>
        <v>38.354185038212741</v>
      </c>
      <c r="M3161">
        <v>11609.318489158701</v>
      </c>
      <c r="N3161" s="2">
        <f>(Tabla2[[#This Row],[Productividad (kg/TAS)]]*Tabla2[[#This Row],[Precio por kg]]-Tabla2[[#This Row],[Costos (En RD$/Tarea)]])</f>
        <v>8831.6584317355955</v>
      </c>
      <c r="O3161" s="6">
        <f>IF(Tabla2[[#This Row],[Costos (En RD$/Tarea)]]=0,0,Tabla2[[#This Row],[Beneficio Neto  (En RD$/Tarea)]]/Tabla2[[#This Row],[Costos (En RD$/Tarea)]])</f>
        <v>0.76073874965037713</v>
      </c>
      <c r="P3161" s="4">
        <f>Tabla2[[#This Row],[Rentabilidad (%)]]/12</f>
        <v>6.339489580419809E-2</v>
      </c>
    </row>
    <row r="3162" spans="1:16" x14ac:dyDescent="0.35">
      <c r="A3162" s="1">
        <v>44531</v>
      </c>
      <c r="B3162" t="s">
        <v>23</v>
      </c>
      <c r="C3162" s="2">
        <v>3870</v>
      </c>
      <c r="D3162" s="5" t="s">
        <v>17</v>
      </c>
      <c r="E3162" s="2">
        <f>IF(Tabla2[[#This Row],[Frecuencia]]="Annual", Tabla2[[#This Row],[Cosecha/Tarea]]/12,Tabla2[[#This Row],[Cosecha/Tarea]])</f>
        <v>3870</v>
      </c>
      <c r="F3162" s="2">
        <v>150849</v>
      </c>
      <c r="G3162" t="s">
        <v>18</v>
      </c>
      <c r="H3162">
        <f>F3162/Tabla2[[#This Row],[Cosecha Mensual]]</f>
        <v>38.979069767441864</v>
      </c>
      <c r="I3162">
        <f>H3162*_xlfn.XLOOKUP(Tabla2[[#This Row],[Unidad de producción]],Tabla3[Medida],Tabla3[Equivalencia en Kg],"ELVIS",0)</f>
        <v>1768.0906046511629</v>
      </c>
      <c r="J3162">
        <v>1100</v>
      </c>
      <c r="K3162" t="s">
        <v>18</v>
      </c>
      <c r="L3162">
        <f>J3162/_xlfn.XLOOKUP(Tabla2[[#This Row],[Unidad de precio]],Tabla3[Medida],Tabla3[Equivalencia en Kg],"ELVIS",0)</f>
        <v>24.250440917107586</v>
      </c>
      <c r="M3162">
        <v>31774.6512666667</v>
      </c>
      <c r="N3162" s="2">
        <f>(Tabla2[[#This Row],[Productividad (kg/TAS)]]*Tabla2[[#This Row],[Precio por kg]]-Tabla2[[#This Row],[Costos (En RD$/Tarea)]])</f>
        <v>11102.325477519353</v>
      </c>
      <c r="O3162" s="6">
        <f>IF(Tabla2[[#This Row],[Costos (En RD$/Tarea)]]=0,0,Tabla2[[#This Row],[Beneficio Neto  (En RD$/Tarea)]]/Tabla2[[#This Row],[Costos (En RD$/Tarea)]])</f>
        <v>0.34940825579307877</v>
      </c>
      <c r="P3162" s="4">
        <f>Tabla2[[#This Row],[Rentabilidad (%)]]/12</f>
        <v>2.9117354649423232E-2</v>
      </c>
    </row>
    <row r="3163" spans="1:16" x14ac:dyDescent="0.35">
      <c r="A3163" s="1">
        <v>44531</v>
      </c>
      <c r="B3163" t="s">
        <v>24</v>
      </c>
      <c r="C3163" s="2">
        <v>8037</v>
      </c>
      <c r="D3163" s="5" t="s">
        <v>17</v>
      </c>
      <c r="E3163" s="2">
        <f>IF(Tabla2[[#This Row],[Frecuencia]]="Annual", Tabla2[[#This Row],[Cosecha/Tarea]]/12,Tabla2[[#This Row],[Cosecha/Tarea]])</f>
        <v>8037</v>
      </c>
      <c r="F3163" s="2">
        <v>102387</v>
      </c>
      <c r="G3163" t="s">
        <v>18</v>
      </c>
      <c r="H3163">
        <f>F3163/Tabla2[[#This Row],[Cosecha Mensual]]</f>
        <v>12.739455020530048</v>
      </c>
      <c r="I3163">
        <f>H3163*_xlfn.XLOOKUP(Tabla2[[#This Row],[Unidad de producción]],Tabla3[Medida],Tabla3[Equivalencia en Kg],"ELVIS",0)</f>
        <v>577.86167973124293</v>
      </c>
      <c r="J3163">
        <v>2355.99285714286</v>
      </c>
      <c r="K3163" t="s">
        <v>18</v>
      </c>
      <c r="L3163">
        <f>J3163/_xlfn.XLOOKUP(Tabla2[[#This Row],[Unidad de precio]],Tabla3[Medida],Tabla3[Equivalencia en Kg],"ELVIS",0)</f>
        <v>51.939877802973108</v>
      </c>
      <c r="M3163">
        <v>9606.8568095338396</v>
      </c>
      <c r="N3163" s="2">
        <f>(Tabla2[[#This Row],[Productividad (kg/TAS)]]*Tabla2[[#This Row],[Precio por kg]]-Tabla2[[#This Row],[Costos (En RD$/Tarea)]])</f>
        <v>20407.208222727699</v>
      </c>
      <c r="O3163" s="6">
        <f>IF(Tabla2[[#This Row],[Costos (En RD$/Tarea)]]=0,0,Tabla2[[#This Row],[Beneficio Neto  (En RD$/Tarea)]]/Tabla2[[#This Row],[Costos (En RD$/Tarea)]])</f>
        <v>2.1242336205610557</v>
      </c>
      <c r="P3163" s="4">
        <f>Tabla2[[#This Row],[Rentabilidad (%)]]/12</f>
        <v>0.17701946838008797</v>
      </c>
    </row>
    <row r="3164" spans="1:16" x14ac:dyDescent="0.35">
      <c r="A3164" s="1">
        <v>44531</v>
      </c>
      <c r="B3164" t="s">
        <v>25</v>
      </c>
      <c r="C3164" s="2">
        <v>20590</v>
      </c>
      <c r="D3164" s="5" t="s">
        <v>17</v>
      </c>
      <c r="E3164" s="2">
        <f>IF(Tabla2[[#This Row],[Frecuencia]]="Annual", Tabla2[[#This Row],[Cosecha/Tarea]]/12,Tabla2[[#This Row],[Cosecha/Tarea]])</f>
        <v>20590</v>
      </c>
      <c r="F3164" s="2">
        <v>232513</v>
      </c>
      <c r="G3164" t="s">
        <v>18</v>
      </c>
      <c r="H3164">
        <f>F3164/Tabla2[[#This Row],[Cosecha Mensual]]</f>
        <v>11.292520641087906</v>
      </c>
      <c r="I3164">
        <f>H3164*_xlfn.XLOOKUP(Tabla2[[#This Row],[Unidad de producción]],Tabla3[Medida],Tabla3[Equivalencia en Kg],"ELVIS",0)</f>
        <v>512.22873627974741</v>
      </c>
      <c r="J3164">
        <v>822.063645833333</v>
      </c>
      <c r="K3164" t="s">
        <v>18</v>
      </c>
      <c r="L3164">
        <f>J3164/_xlfn.XLOOKUP(Tabla2[[#This Row],[Unidad de precio]],Tabla3[Medida],Tabla3[Equivalencia en Kg],"ELVIS",0)</f>
        <v>18.12309624853027</v>
      </c>
      <c r="M3164">
        <v>5403.3874144923902</v>
      </c>
      <c r="N3164" s="2">
        <f>(Tabla2[[#This Row],[Productividad (kg/TAS)]]*Tabla2[[#This Row],[Precio por kg]]-Tabla2[[#This Row],[Costos (En RD$/Tarea)]])</f>
        <v>3879.7832743685012</v>
      </c>
      <c r="O3164" s="6">
        <f>IF(Tabla2[[#This Row],[Costos (En RD$/Tarea)]]=0,0,Tabla2[[#This Row],[Beneficio Neto  (En RD$/Tarea)]]/Tabla2[[#This Row],[Costos (En RD$/Tarea)]])</f>
        <v>0.71802796593162277</v>
      </c>
      <c r="P3164" s="4">
        <f>Tabla2[[#This Row],[Rentabilidad (%)]]/12</f>
        <v>5.9835663827635228E-2</v>
      </c>
    </row>
    <row r="3165" spans="1:16" x14ac:dyDescent="0.35">
      <c r="A3165" s="1">
        <v>44531</v>
      </c>
      <c r="B3165" t="s">
        <v>26</v>
      </c>
      <c r="C3165" s="2">
        <v>9362</v>
      </c>
      <c r="D3165" s="5" t="s">
        <v>17</v>
      </c>
      <c r="E3165" s="2">
        <f>IF(Tabla2[[#This Row],[Frecuencia]]="Annual", Tabla2[[#This Row],[Cosecha/Tarea]]/12,Tabla2[[#This Row],[Cosecha/Tarea]])</f>
        <v>9362</v>
      </c>
      <c r="F3165" s="2">
        <v>86699</v>
      </c>
      <c r="G3165" t="s">
        <v>18</v>
      </c>
      <c r="H3165">
        <f>F3165/Tabla2[[#This Row],[Cosecha Mensual]]</f>
        <v>9.2607348857081817</v>
      </c>
      <c r="I3165">
        <f>H3165*_xlfn.XLOOKUP(Tabla2[[#This Row],[Unidad de producción]],Tabla3[Medida],Tabla3[Equivalencia en Kg],"ELVIS",0)</f>
        <v>420.0669344157231</v>
      </c>
      <c r="J3165">
        <v>1415.8916666666701</v>
      </c>
      <c r="K3165" t="s">
        <v>18</v>
      </c>
      <c r="L3165">
        <f>J3165/_xlfn.XLOOKUP(Tabla2[[#This Row],[Unidad de precio]],Tabla3[Medida],Tabla3[Equivalencia en Kg],"ELVIS",0)</f>
        <v>31.214542915931879</v>
      </c>
      <c r="M3165">
        <v>1910.9913592487401</v>
      </c>
      <c r="N3165" s="2">
        <f>(Tabla2[[#This Row],[Productividad (kg/TAS)]]*Tabla2[[#This Row],[Precio por kg]]-Tabla2[[#This Row],[Costos (En RD$/Tarea)]])</f>
        <v>11201.20599263479</v>
      </c>
      <c r="O3165" s="6">
        <f>IF(Tabla2[[#This Row],[Costos (En RD$/Tarea)]]=0,0,Tabla2[[#This Row],[Beneficio Neto  (En RD$/Tarea)]]/Tabla2[[#This Row],[Costos (En RD$/Tarea)]])</f>
        <v>5.8614634432665742</v>
      </c>
      <c r="P3165" s="4">
        <f>Tabla2[[#This Row],[Rentabilidad (%)]]/12</f>
        <v>0.48845528693888118</v>
      </c>
    </row>
    <row r="3166" spans="1:16" x14ac:dyDescent="0.35">
      <c r="A3166" s="1">
        <v>44531</v>
      </c>
      <c r="B3166" t="s">
        <v>27</v>
      </c>
      <c r="C3166" s="2">
        <v>2910</v>
      </c>
      <c r="D3166" s="5" t="s">
        <v>17</v>
      </c>
      <c r="E3166" s="2">
        <f>IF(Tabla2[[#This Row],[Frecuencia]]="Annual", Tabla2[[#This Row],[Cosecha/Tarea]]/12,Tabla2[[#This Row],[Cosecha/Tarea]])</f>
        <v>2910</v>
      </c>
      <c r="F3166" s="2">
        <v>38169</v>
      </c>
      <c r="G3166" t="s">
        <v>18</v>
      </c>
      <c r="H3166">
        <f>F3166/Tabla2[[#This Row],[Cosecha Mensual]]</f>
        <v>13.116494845360824</v>
      </c>
      <c r="I3166">
        <f>H3166*_xlfn.XLOOKUP(Tabla2[[#This Row],[Unidad de producción]],Tabla3[Medida],Tabla3[Equivalencia en Kg],"ELVIS",0)</f>
        <v>594.96420618556704</v>
      </c>
      <c r="J3166">
        <v>1257.13095238095</v>
      </c>
      <c r="K3166" t="s">
        <v>18</v>
      </c>
      <c r="L3166">
        <f>J3166/_xlfn.XLOOKUP(Tabla2[[#This Row],[Unidad de precio]],Tabla3[Medida],Tabla3[Equivalencia en Kg],"ELVIS",0)</f>
        <v>27.714527168892197</v>
      </c>
      <c r="M3166">
        <v>10561.2569707933</v>
      </c>
      <c r="N3166" s="2">
        <f>(Tabla2[[#This Row],[Productividad (kg/TAS)]]*Tabla2[[#This Row],[Precio por kg]]-Tabla2[[#This Row],[Costos (En RD$/Tarea)]])</f>
        <v>5927.8946860549768</v>
      </c>
      <c r="O3166" s="6">
        <f>IF(Tabla2[[#This Row],[Costos (En RD$/Tarea)]]=0,0,Tabla2[[#This Row],[Beneficio Neto  (En RD$/Tarea)]]/Tabla2[[#This Row],[Costos (En RD$/Tarea)]])</f>
        <v>0.56128685273432066</v>
      </c>
      <c r="P3166" s="4">
        <f>Tabla2[[#This Row],[Rentabilidad (%)]]/12</f>
        <v>4.6773904394526722E-2</v>
      </c>
    </row>
    <row r="3167" spans="1:16" x14ac:dyDescent="0.35">
      <c r="A3167" s="1">
        <v>44531</v>
      </c>
      <c r="B3167" t="s">
        <v>28</v>
      </c>
      <c r="C3167" s="2">
        <v>52713</v>
      </c>
      <c r="D3167" s="5" t="s">
        <v>17</v>
      </c>
      <c r="E3167" s="2">
        <f>IF(Tabla2[[#This Row],[Frecuencia]]="Annual", Tabla2[[#This Row],[Cosecha/Tarea]]/12,Tabla2[[#This Row],[Cosecha/Tarea]])</f>
        <v>52713</v>
      </c>
      <c r="F3167" s="2">
        <v>1226310</v>
      </c>
      <c r="G3167" t="s">
        <v>18</v>
      </c>
      <c r="H3167">
        <f>F3167/Tabla2[[#This Row],[Cosecha Mensual]]</f>
        <v>23.263900745546639</v>
      </c>
      <c r="I3167">
        <f>H3167*_xlfn.XLOOKUP(Tabla2[[#This Row],[Unidad de producción]],Tabla3[Medida],Tabla3[Equivalencia en Kg],"ELVIS",0)</f>
        <v>1055.2505378179956</v>
      </c>
      <c r="J3167">
        <v>10502.0238095238</v>
      </c>
      <c r="K3167" t="s">
        <v>29</v>
      </c>
      <c r="L3167">
        <f>J3167/_xlfn.XLOOKUP(Tabla2[[#This Row],[Unidad de precio]],Tabla3[Medida],Tabla3[Equivalencia en Kg],"ELVIS",0)</f>
        <v>18.675576714307713</v>
      </c>
      <c r="M3167">
        <v>20320.344000000001</v>
      </c>
      <c r="N3167" s="2">
        <f>(Tabla2[[#This Row],[Productividad (kg/TAS)]]*Tabla2[[#This Row],[Precio por kg]]-Tabla2[[#This Row],[Costos (En RD$/Tarea)]])</f>
        <v>-612.93162816555196</v>
      </c>
      <c r="O3167" s="6">
        <f>IF(Tabla2[[#This Row],[Costos (En RD$/Tarea)]]=0,0,Tabla2[[#This Row],[Beneficio Neto  (En RD$/Tarea)]]/Tabla2[[#This Row],[Costos (En RD$/Tarea)]])</f>
        <v>-3.0163447437974077E-2</v>
      </c>
      <c r="P3167" s="4">
        <f>Tabla2[[#This Row],[Rentabilidad (%)]]/12</f>
        <v>-2.5136206198311732E-3</v>
      </c>
    </row>
    <row r="3168" spans="1:16" x14ac:dyDescent="0.35">
      <c r="A3168" s="1">
        <v>44531</v>
      </c>
      <c r="B3168" t="s">
        <v>30</v>
      </c>
      <c r="C3168" s="2">
        <v>468579</v>
      </c>
      <c r="D3168" s="2" t="s">
        <v>31</v>
      </c>
      <c r="E3168" s="2">
        <f>IF(Tabla2[[#This Row],[Frecuencia]]="Annual", Tabla2[[#This Row],[Cosecha/Tarea]]/12,Tabla2[[#This Row],[Cosecha/Tarea]])</f>
        <v>39048.25</v>
      </c>
      <c r="F3168" s="2">
        <v>2389112</v>
      </c>
      <c r="G3168" t="s">
        <v>18</v>
      </c>
      <c r="H3168">
        <f>F3168/Tabla2[[#This Row],[Cosecha Mensual]]</f>
        <v>61.183586972527578</v>
      </c>
      <c r="I3168">
        <f>H3168*_xlfn.XLOOKUP(Tabla2[[#This Row],[Unidad de producción]],Tabla3[Medida],Tabla3[Equivalencia en Kg],"ELVIS",0)</f>
        <v>2775.2875050738508</v>
      </c>
      <c r="J3168">
        <v>202.46328124999999</v>
      </c>
      <c r="K3168" t="s">
        <v>32</v>
      </c>
      <c r="L3168">
        <f>J3168/_xlfn.XLOOKUP(Tabla2[[#This Row],[Unidad de precio]],Tabla3[Medida],Tabla3[Equivalencia en Kg],"ELVIS",0)</f>
        <v>7.4407674108783528</v>
      </c>
      <c r="M3168" s="2">
        <v>40592.436194530601</v>
      </c>
      <c r="N3168" s="2">
        <f>(Tabla2[[#This Row],[Productividad (kg/TAS)]]*Tabla2[[#This Row],[Precio por kg]]-Tabla2[[#This Row],[Costos (En RD$/Tarea)]])</f>
        <v>-19942.1673709592</v>
      </c>
      <c r="O3168" s="6">
        <f>IF(Tabla2[[#This Row],[Costos (En RD$/Tarea)]]=0,0,Tabla2[[#This Row],[Beneficio Neto  (En RD$/Tarea)]]/Tabla2[[#This Row],[Costos (En RD$/Tarea)]])</f>
        <v>-0.4912779138308086</v>
      </c>
      <c r="P3168" s="4">
        <f>Tabla2[[#This Row],[Rentabilidad (%)]]/12</f>
        <v>-4.0939826152567381E-2</v>
      </c>
    </row>
    <row r="3169" spans="1:16" x14ac:dyDescent="0.35">
      <c r="A3169" s="1">
        <v>44531</v>
      </c>
      <c r="B3169" t="s">
        <v>33</v>
      </c>
      <c r="C3169" s="2">
        <v>753547</v>
      </c>
      <c r="D3169" s="2" t="s">
        <v>31</v>
      </c>
      <c r="E3169" s="2">
        <f>IF(Tabla2[[#This Row],[Frecuencia]]="Annual", Tabla2[[#This Row],[Cosecha/Tarea]]/12,Tabla2[[#This Row],[Cosecha/Tarea]])</f>
        <v>62795.583333333336</v>
      </c>
      <c r="F3169" s="2">
        <v>1636425</v>
      </c>
      <c r="G3169" t="s">
        <v>18</v>
      </c>
      <c r="H3169">
        <f>F3169/Tabla2[[#This Row],[Cosecha Mensual]]</f>
        <v>26.059555674695805</v>
      </c>
      <c r="I3169">
        <f>H3169*_xlfn.XLOOKUP(Tabla2[[#This Row],[Unidad de producción]],Tabla3[Medida],Tabla3[Equivalencia en Kg],"ELVIS",0)</f>
        <v>1182.0614454042018</v>
      </c>
      <c r="J3169">
        <v>6237.8145833333301</v>
      </c>
      <c r="K3169" t="s">
        <v>34</v>
      </c>
      <c r="L3169">
        <f>J3169/_xlfn.XLOOKUP(Tabla2[[#This Row],[Unidad de precio]],Tabla3[Medida],Tabla3[Equivalencia en Kg],"ELVIS",0)</f>
        <v>15.283142431295676</v>
      </c>
      <c r="M3169" s="2">
        <v>43963.444034400003</v>
      </c>
      <c r="N3169" s="2">
        <f>(Tabla2[[#This Row],[Productividad (kg/TAS)]]*Tabla2[[#This Row],[Precio por kg]]-Tabla2[[#This Row],[Costos (En RD$/Tarea)]])</f>
        <v>-25897.83060174435</v>
      </c>
      <c r="O3169" s="6">
        <f>IF(Tabla2[[#This Row],[Costos (En RD$/Tarea)]]=0,0,Tabla2[[#This Row],[Beneficio Neto  (En RD$/Tarea)]]/Tabla2[[#This Row],[Costos (En RD$/Tarea)]])</f>
        <v>-0.58907647411517894</v>
      </c>
      <c r="P3169" s="4">
        <f>Tabla2[[#This Row],[Rentabilidad (%)]]/12</f>
        <v>-4.9089706176264909E-2</v>
      </c>
    </row>
    <row r="3170" spans="1:16" x14ac:dyDescent="0.35">
      <c r="A3170" s="1">
        <v>44562</v>
      </c>
      <c r="B3170" t="s">
        <v>16</v>
      </c>
      <c r="C3170" s="2">
        <v>25388</v>
      </c>
      <c r="D3170" s="5" t="s">
        <v>17</v>
      </c>
      <c r="E3170" s="2">
        <f>IF(Tabla2[[#This Row],[Frecuencia]]="Annual", Tabla2[[#This Row],[Cosecha/Tarea]]/12,Tabla2[[#This Row],[Cosecha/Tarea]])</f>
        <v>25388</v>
      </c>
      <c r="F3170" s="2">
        <v>92145</v>
      </c>
      <c r="G3170" t="s">
        <v>18</v>
      </c>
      <c r="H3170">
        <f>F3170/Tabla2[[#This Row],[Cosecha Mensual]]</f>
        <v>3.6294706160390735</v>
      </c>
      <c r="I3170">
        <f>H3170*_xlfn.XLOOKUP(Tabla2[[#This Row],[Unidad de producción]],Tabla3[Medida],Tabla3[Equivalencia en Kg],"ELVIS",0)</f>
        <v>164.63278714353237</v>
      </c>
      <c r="J3170">
        <v>2732.07823271911</v>
      </c>
      <c r="K3170" t="s">
        <v>19</v>
      </c>
      <c r="L3170">
        <f>J3170/_xlfn.XLOOKUP(Tabla2[[#This Row],[Unidad de precio]],Tabla3[Medida],Tabla3[Equivalencia en Kg],"ELVIS",0)</f>
        <v>24.837074842901</v>
      </c>
      <c r="M3170">
        <v>10006.778605990599</v>
      </c>
      <c r="N3170" s="2">
        <f>(Tabla2[[#This Row],[Productividad (kg/TAS)]]*Tabla2[[#This Row],[Precio por kg]]-Tabla2[[#This Row],[Costos (En RD$/Tarea)]])</f>
        <v>-5917.7817501112968</v>
      </c>
      <c r="O3170" s="6">
        <f>IF(Tabla2[[#This Row],[Costos (En RD$/Tarea)]]=0,0,Tabla2[[#This Row],[Beneficio Neto  (En RD$/Tarea)]]/Tabla2[[#This Row],[Costos (En RD$/Tarea)]])</f>
        <v>-0.59137730363781527</v>
      </c>
      <c r="P3170" s="4">
        <f>Tabla2[[#This Row],[Rentabilidad (%)]]/12</f>
        <v>-4.9281441969817937E-2</v>
      </c>
    </row>
    <row r="3171" spans="1:16" x14ac:dyDescent="0.35">
      <c r="A3171" s="1">
        <v>44562</v>
      </c>
      <c r="B3171" t="s">
        <v>20</v>
      </c>
      <c r="C3171" s="2">
        <v>53245</v>
      </c>
      <c r="D3171" s="5" t="s">
        <v>17</v>
      </c>
      <c r="E3171" s="2">
        <f>IF(Tabla2[[#This Row],[Frecuencia]]="Annual", Tabla2[[#This Row],[Cosecha/Tarea]]/12,Tabla2[[#This Row],[Cosecha/Tarea]])</f>
        <v>53245</v>
      </c>
      <c r="F3171" s="2">
        <v>98785</v>
      </c>
      <c r="G3171" t="s">
        <v>18</v>
      </c>
      <c r="H3171">
        <f>F3171/Tabla2[[#This Row],[Cosecha Mensual]]</f>
        <v>1.855291576673866</v>
      </c>
      <c r="I3171">
        <f>H3171*_xlfn.XLOOKUP(Tabla2[[#This Row],[Unidad de producción]],Tabla3[Medida],Tabla3[Equivalencia en Kg],"ELVIS",0)</f>
        <v>84.156025917926556</v>
      </c>
      <c r="J3171">
        <v>1125.9453125</v>
      </c>
      <c r="K3171" t="s">
        <v>18</v>
      </c>
      <c r="L3171">
        <f>J3171/_xlfn.XLOOKUP(Tabla2[[#This Row],[Unidad de precio]],Tabla3[Medida],Tabla3[Equivalencia en Kg],"ELVIS",0)</f>
        <v>24.82242752425044</v>
      </c>
      <c r="M3171">
        <v>4130.0977179150004</v>
      </c>
      <c r="N3171" s="2">
        <f>(Tabla2[[#This Row],[Productividad (kg/TAS)]]*Tabla2[[#This Row],[Precio por kg]]-Tabla2[[#This Row],[Costos (En RD$/Tarea)]])</f>
        <v>-2041.1408638383268</v>
      </c>
      <c r="O3171" s="6">
        <f>IF(Tabla2[[#This Row],[Costos (En RD$/Tarea)]]=0,0,Tabla2[[#This Row],[Beneficio Neto  (En RD$/Tarea)]]/Tabla2[[#This Row],[Costos (En RD$/Tarea)]])</f>
        <v>-0.49421127616049654</v>
      </c>
      <c r="P3171" s="4">
        <f>Tabla2[[#This Row],[Rentabilidad (%)]]/12</f>
        <v>-4.1184273013374711E-2</v>
      </c>
    </row>
    <row r="3172" spans="1:16" x14ac:dyDescent="0.35">
      <c r="A3172" s="1">
        <v>44562</v>
      </c>
      <c r="B3172" t="s">
        <v>21</v>
      </c>
      <c r="C3172" s="2">
        <v>6288</v>
      </c>
      <c r="D3172" s="5" t="s">
        <v>17</v>
      </c>
      <c r="E3172" s="2">
        <f>IF(Tabla2[[#This Row],[Frecuencia]]="Annual", Tabla2[[#This Row],[Cosecha/Tarea]]/12,Tabla2[[#This Row],[Cosecha/Tarea]])</f>
        <v>6288</v>
      </c>
      <c r="F3172" s="2">
        <v>85417</v>
      </c>
      <c r="G3172" t="s">
        <v>18</v>
      </c>
      <c r="H3172">
        <f>F3172/Tabla2[[#This Row],[Cosecha Mensual]]</f>
        <v>13.584128498727736</v>
      </c>
      <c r="I3172">
        <f>H3172*_xlfn.XLOOKUP(Tabla2[[#This Row],[Unidad de producción]],Tabla3[Medida],Tabla3[Equivalencia en Kg],"ELVIS",0)</f>
        <v>616.17606870229008</v>
      </c>
      <c r="J3172">
        <v>893.77083333333303</v>
      </c>
      <c r="K3172" t="s">
        <v>18</v>
      </c>
      <c r="L3172">
        <f>J3172/_xlfn.XLOOKUP(Tabla2[[#This Row],[Unidad de precio]],Tabla3[Medida],Tabla3[Equivalencia en Kg],"ELVIS",0)</f>
        <v>19.703942533803637</v>
      </c>
      <c r="M3172">
        <v>5858.17</v>
      </c>
      <c r="N3172" s="2">
        <f>(Tabla2[[#This Row],[Productividad (kg/TAS)]]*Tabla2[[#This Row],[Precio por kg]]-Tabla2[[#This Row],[Costos (En RD$/Tarea)]])</f>
        <v>6282.9278484149654</v>
      </c>
      <c r="O3172" s="6">
        <f>IF(Tabla2[[#This Row],[Costos (En RD$/Tarea)]]=0,0,Tabla2[[#This Row],[Beneficio Neto  (En RD$/Tarea)]]/Tabla2[[#This Row],[Costos (En RD$/Tarea)]])</f>
        <v>1.0725069174187443</v>
      </c>
      <c r="P3172" s="4">
        <f>Tabla2[[#This Row],[Rentabilidad (%)]]/12</f>
        <v>8.9375576451562022E-2</v>
      </c>
    </row>
    <row r="3173" spans="1:16" x14ac:dyDescent="0.35">
      <c r="A3173" s="1">
        <v>44562</v>
      </c>
      <c r="B3173" t="s">
        <v>22</v>
      </c>
      <c r="C3173" s="2">
        <v>8876</v>
      </c>
      <c r="D3173" s="5" t="s">
        <v>17</v>
      </c>
      <c r="E3173" s="2">
        <f>IF(Tabla2[[#This Row],[Frecuencia]]="Annual", Tabla2[[#This Row],[Cosecha/Tarea]]/12,Tabla2[[#This Row],[Cosecha/Tarea]])</f>
        <v>8876</v>
      </c>
      <c r="F3173" s="2">
        <v>74587</v>
      </c>
      <c r="G3173" t="s">
        <v>18</v>
      </c>
      <c r="H3173">
        <f>F3173/Tabla2[[#This Row],[Cosecha Mensual]]</f>
        <v>8.4032221721496168</v>
      </c>
      <c r="I3173">
        <f>H3173*_xlfn.XLOOKUP(Tabla2[[#This Row],[Unidad de producción]],Tabla3[Medida],Tabla3[Equivalencia en Kg],"ELVIS",0)</f>
        <v>381.17015772870661</v>
      </c>
      <c r="J3173">
        <v>1721.3125</v>
      </c>
      <c r="K3173" t="s">
        <v>18</v>
      </c>
      <c r="L3173">
        <f>J3173/_xlfn.XLOOKUP(Tabla2[[#This Row],[Unidad de precio]],Tabla3[Medida],Tabla3[Equivalencia en Kg],"ELVIS",0)</f>
        <v>37.947806437389772</v>
      </c>
      <c r="M3173">
        <v>12106.08</v>
      </c>
      <c r="N3173" s="2">
        <f>(Tabla2[[#This Row],[Productividad (kg/TAS)]]*Tabla2[[#This Row],[Precio por kg]]-Tabla2[[#This Row],[Costos (En RD$/Tarea)]])</f>
        <v>2358.4913651982879</v>
      </c>
      <c r="O3173" s="6">
        <f>IF(Tabla2[[#This Row],[Costos (En RD$/Tarea)]]=0,0,Tabla2[[#This Row],[Beneficio Neto  (En RD$/Tarea)]]/Tabla2[[#This Row],[Costos (En RD$/Tarea)]])</f>
        <v>0.19481874935555424</v>
      </c>
      <c r="P3173" s="4">
        <f>Tabla2[[#This Row],[Rentabilidad (%)]]/12</f>
        <v>1.623489577962952E-2</v>
      </c>
    </row>
    <row r="3174" spans="1:16" x14ac:dyDescent="0.35">
      <c r="A3174" s="1">
        <v>44562</v>
      </c>
      <c r="B3174" t="s">
        <v>23</v>
      </c>
      <c r="C3174" s="2">
        <v>4899</v>
      </c>
      <c r="D3174" s="5" t="s">
        <v>17</v>
      </c>
      <c r="E3174" s="2">
        <f>IF(Tabla2[[#This Row],[Frecuencia]]="Annual", Tabla2[[#This Row],[Cosecha/Tarea]]/12,Tabla2[[#This Row],[Cosecha/Tarea]])</f>
        <v>4899</v>
      </c>
      <c r="F3174" s="2">
        <v>138747</v>
      </c>
      <c r="G3174" t="s">
        <v>18</v>
      </c>
      <c r="H3174">
        <f>F3174/Tabla2[[#This Row],[Cosecha Mensual]]</f>
        <v>28.321494182486223</v>
      </c>
      <c r="I3174">
        <f>H3174*_xlfn.XLOOKUP(Tabla2[[#This Row],[Unidad de producción]],Tabla3[Medida],Tabla3[Equivalencia en Kg],"ELVIS",0)</f>
        <v>1284.662976117575</v>
      </c>
      <c r="J3174">
        <v>1439.3888888888901</v>
      </c>
      <c r="K3174" t="s">
        <v>18</v>
      </c>
      <c r="L3174">
        <f>J3174/_xlfn.XLOOKUP(Tabla2[[#This Row],[Unidad de precio]],Tabla3[Medida],Tabla3[Equivalencia en Kg],"ELVIS",0)</f>
        <v>31.7325592788556</v>
      </c>
      <c r="M3174">
        <v>30322</v>
      </c>
      <c r="N3174" s="2">
        <f>(Tabla2[[#This Row],[Productividad (kg/TAS)]]*Tabla2[[#This Row],[Precio por kg]]-Tabla2[[#This Row],[Costos (En RD$/Tarea)]])</f>
        <v>10443.644043002001</v>
      </c>
      <c r="O3174" s="6">
        <f>IF(Tabla2[[#This Row],[Costos (En RD$/Tarea)]]=0,0,Tabla2[[#This Row],[Beneficio Neto  (En RD$/Tarea)]]/Tabla2[[#This Row],[Costos (En RD$/Tarea)]])</f>
        <v>0.34442464359217734</v>
      </c>
      <c r="P3174" s="4">
        <f>Tabla2[[#This Row],[Rentabilidad (%)]]/12</f>
        <v>2.8702053632681444E-2</v>
      </c>
    </row>
    <row r="3175" spans="1:16" x14ac:dyDescent="0.35">
      <c r="A3175" s="1">
        <v>44562</v>
      </c>
      <c r="B3175" t="s">
        <v>24</v>
      </c>
      <c r="C3175" s="2">
        <v>6170</v>
      </c>
      <c r="D3175" s="5" t="s">
        <v>17</v>
      </c>
      <c r="E3175" s="2">
        <f>IF(Tabla2[[#This Row],[Frecuencia]]="Annual", Tabla2[[#This Row],[Cosecha/Tarea]]/12,Tabla2[[#This Row],[Cosecha/Tarea]])</f>
        <v>6170</v>
      </c>
      <c r="F3175" s="2">
        <v>74189</v>
      </c>
      <c r="G3175" t="s">
        <v>18</v>
      </c>
      <c r="H3175">
        <f>F3175/Tabla2[[#This Row],[Cosecha Mensual]]</f>
        <v>12.024149108589951</v>
      </c>
      <c r="I3175">
        <f>H3175*_xlfn.XLOOKUP(Tabla2[[#This Row],[Unidad de producción]],Tabla3[Medida],Tabla3[Equivalencia en Kg],"ELVIS",0)</f>
        <v>545.41540356564019</v>
      </c>
      <c r="J3175">
        <v>2426.8898809523798</v>
      </c>
      <c r="K3175" t="s">
        <v>18</v>
      </c>
      <c r="L3175">
        <f>J3175/_xlfn.XLOOKUP(Tabla2[[#This Row],[Unidad de precio]],Tabla3[Medida],Tabla3[Equivalencia en Kg],"ELVIS",0)</f>
        <v>53.502863336692677</v>
      </c>
      <c r="M3175">
        <v>16342.43</v>
      </c>
      <c r="N3175" s="2">
        <f>(Tabla2[[#This Row],[Productividad (kg/TAS)]]*Tabla2[[#This Row],[Precio por kg]]-Tabla2[[#This Row],[Costos (En RD$/Tarea)]])</f>
        <v>12838.855798699529</v>
      </c>
      <c r="O3175" s="6">
        <f>IF(Tabla2[[#This Row],[Costos (En RD$/Tarea)]]=0,0,Tabla2[[#This Row],[Beneficio Neto  (En RD$/Tarea)]]/Tabla2[[#This Row],[Costos (En RD$/Tarea)]])</f>
        <v>0.78561485646256579</v>
      </c>
      <c r="P3175" s="4">
        <f>Tabla2[[#This Row],[Rentabilidad (%)]]/12</f>
        <v>6.5467904705213811E-2</v>
      </c>
    </row>
    <row r="3176" spans="1:16" x14ac:dyDescent="0.35">
      <c r="A3176" s="1">
        <v>44562</v>
      </c>
      <c r="B3176" t="s">
        <v>25</v>
      </c>
      <c r="C3176" s="2">
        <v>27400</v>
      </c>
      <c r="D3176" s="5" t="s">
        <v>17</v>
      </c>
      <c r="E3176" s="2">
        <f>IF(Tabla2[[#This Row],[Frecuencia]]="Annual", Tabla2[[#This Row],[Cosecha/Tarea]]/12,Tabla2[[#This Row],[Cosecha/Tarea]])</f>
        <v>27400</v>
      </c>
      <c r="F3176" s="2">
        <v>288785</v>
      </c>
      <c r="G3176" t="s">
        <v>18</v>
      </c>
      <c r="H3176">
        <f>F3176/Tabla2[[#This Row],[Cosecha Mensual]]</f>
        <v>10.539598540145985</v>
      </c>
      <c r="I3176">
        <f>H3176*_xlfn.XLOOKUP(Tabla2[[#This Row],[Unidad de producción]],Tabla3[Medida],Tabla3[Equivalencia en Kg],"ELVIS",0)</f>
        <v>478.07618978102187</v>
      </c>
      <c r="J3176">
        <v>847.00520833333303</v>
      </c>
      <c r="K3176" t="s">
        <v>18</v>
      </c>
      <c r="L3176">
        <f>J3176/_xlfn.XLOOKUP(Tabla2[[#This Row],[Unidad de precio]],Tabla3[Medida],Tabla3[Equivalencia en Kg],"ELVIS",0)</f>
        <v>18.672954328336267</v>
      </c>
      <c r="M3176">
        <v>6557.61</v>
      </c>
      <c r="N3176" s="2">
        <f>(Tabla2[[#This Row],[Productividad (kg/TAS)]]*Tabla2[[#This Row],[Precio por kg]]-Tabla2[[#This Row],[Costos (En RD$/Tarea)]])</f>
        <v>2369.4848572460442</v>
      </c>
      <c r="O3176" s="6">
        <f>IF(Tabla2[[#This Row],[Costos (En RD$/Tarea)]]=0,0,Tabla2[[#This Row],[Beneficio Neto  (En RD$/Tarea)]]/Tabla2[[#This Row],[Costos (En RD$/Tarea)]])</f>
        <v>0.36133360435372708</v>
      </c>
      <c r="P3176" s="4">
        <f>Tabla2[[#This Row],[Rentabilidad (%)]]/12</f>
        <v>3.0111133696143922E-2</v>
      </c>
    </row>
    <row r="3177" spans="1:16" x14ac:dyDescent="0.35">
      <c r="A3177" s="1">
        <v>44562</v>
      </c>
      <c r="B3177" t="s">
        <v>26</v>
      </c>
      <c r="C3177" s="2">
        <v>13733</v>
      </c>
      <c r="D3177" s="5" t="s">
        <v>17</v>
      </c>
      <c r="E3177" s="2">
        <f>IF(Tabla2[[#This Row],[Frecuencia]]="Annual", Tabla2[[#This Row],[Cosecha/Tarea]]/12,Tabla2[[#This Row],[Cosecha/Tarea]])</f>
        <v>13733</v>
      </c>
      <c r="F3177" s="2">
        <v>88541</v>
      </c>
      <c r="G3177" t="s">
        <v>18</v>
      </c>
      <c r="H3177">
        <f>F3177/Tabla2[[#This Row],[Cosecha Mensual]]</f>
        <v>6.4473166824437484</v>
      </c>
      <c r="I3177">
        <f>H3177*_xlfn.XLOOKUP(Tabla2[[#This Row],[Unidad de producción]],Tabla3[Medida],Tabla3[Equivalencia en Kg],"ELVIS",0)</f>
        <v>292.45028471564842</v>
      </c>
      <c r="J3177">
        <v>1494.3532986111099</v>
      </c>
      <c r="K3177" t="s">
        <v>18</v>
      </c>
      <c r="L3177">
        <f>J3177/_xlfn.XLOOKUP(Tabla2[[#This Row],[Unidad de precio]],Tabla3[Medida],Tabla3[Equivalencia en Kg],"ELVIS",0)</f>
        <v>32.944296706594137</v>
      </c>
      <c r="M3177">
        <v>2133.92</v>
      </c>
      <c r="N3177" s="2">
        <f>(Tabla2[[#This Row],[Productividad (kg/TAS)]]*Tabla2[[#This Row],[Precio por kg]]-Tabla2[[#This Row],[Costos (En RD$/Tarea)]])</f>
        <v>7500.6489516002548</v>
      </c>
      <c r="O3177" s="6">
        <f>IF(Tabla2[[#This Row],[Costos (En RD$/Tarea)]]=0,0,Tabla2[[#This Row],[Beneficio Neto  (En RD$/Tarea)]]/Tabla2[[#This Row],[Costos (En RD$/Tarea)]])</f>
        <v>3.5149625813527474</v>
      </c>
      <c r="P3177" s="4">
        <f>Tabla2[[#This Row],[Rentabilidad (%)]]/12</f>
        <v>0.29291354844606227</v>
      </c>
    </row>
    <row r="3178" spans="1:16" x14ac:dyDescent="0.35">
      <c r="A3178" s="1">
        <v>44562</v>
      </c>
      <c r="B3178" t="s">
        <v>27</v>
      </c>
      <c r="C3178" s="2">
        <v>6978</v>
      </c>
      <c r="D3178" s="5" t="s">
        <v>17</v>
      </c>
      <c r="E3178" s="2">
        <f>IF(Tabla2[[#This Row],[Frecuencia]]="Annual", Tabla2[[#This Row],[Cosecha/Tarea]]/12,Tabla2[[#This Row],[Cosecha/Tarea]])</f>
        <v>6978</v>
      </c>
      <c r="F3178" s="2">
        <v>59208</v>
      </c>
      <c r="G3178" t="s">
        <v>18</v>
      </c>
      <c r="H3178">
        <f>F3178/Tabla2[[#This Row],[Cosecha Mensual]]</f>
        <v>8.4849527085124681</v>
      </c>
      <c r="I3178">
        <f>H3178*_xlfn.XLOOKUP(Tabla2[[#This Row],[Unidad de producción]],Tabla3[Medida],Tabla3[Equivalencia en Kg],"ELVIS",0)</f>
        <v>384.87745485812553</v>
      </c>
      <c r="J3178">
        <v>1148.88452380952</v>
      </c>
      <c r="K3178" t="s">
        <v>18</v>
      </c>
      <c r="L3178">
        <f>J3178/_xlfn.XLOOKUP(Tabla2[[#This Row],[Unidad de precio]],Tabla3[Medida],Tabla3[Equivalencia en Kg],"ELVIS",0)</f>
        <v>25.32814205929277</v>
      </c>
      <c r="M3178">
        <v>11717.05</v>
      </c>
      <c r="N3178" s="2">
        <f>(Tabla2[[#This Row],[Productividad (kg/TAS)]]*Tabla2[[#This Row],[Precio por kg]]-Tabla2[[#This Row],[Costos (En RD$/Tarea)]])</f>
        <v>-1968.819147934355</v>
      </c>
      <c r="O3178" s="6">
        <f>IF(Tabla2[[#This Row],[Costos (En RD$/Tarea)]]=0,0,Tabla2[[#This Row],[Beneficio Neto  (En RD$/Tarea)]]/Tabla2[[#This Row],[Costos (En RD$/Tarea)]])</f>
        <v>-0.16803027621580136</v>
      </c>
      <c r="P3178" s="4">
        <f>Tabla2[[#This Row],[Rentabilidad (%)]]/12</f>
        <v>-1.4002523017983446E-2</v>
      </c>
    </row>
    <row r="3179" spans="1:16" x14ac:dyDescent="0.35">
      <c r="A3179" s="1">
        <v>44562</v>
      </c>
      <c r="B3179" t="s">
        <v>28</v>
      </c>
      <c r="C3179" s="2">
        <v>66874</v>
      </c>
      <c r="D3179" s="5" t="s">
        <v>17</v>
      </c>
      <c r="E3179" s="2">
        <f>IF(Tabla2[[#This Row],[Frecuencia]]="Annual", Tabla2[[#This Row],[Cosecha/Tarea]]/12,Tabla2[[#This Row],[Cosecha/Tarea]])</f>
        <v>66874</v>
      </c>
      <c r="F3179" s="2">
        <v>1198248</v>
      </c>
      <c r="G3179" t="s">
        <v>18</v>
      </c>
      <c r="H3179">
        <f>F3179/Tabla2[[#This Row],[Cosecha Mensual]]</f>
        <v>17.917995035439784</v>
      </c>
      <c r="I3179">
        <f>H3179*_xlfn.XLOOKUP(Tabla2[[#This Row],[Unidad de producción]],Tabla3[Medida],Tabla3[Equivalencia en Kg],"ELVIS",0)</f>
        <v>812.76025480754856</v>
      </c>
      <c r="J3179">
        <v>9653.8194444444507</v>
      </c>
      <c r="K3179" t="s">
        <v>29</v>
      </c>
      <c r="L3179">
        <f>J3179/_xlfn.XLOOKUP(Tabla2[[#This Row],[Unidad de precio]],Tabla3[Medida],Tabla3[Equivalencia en Kg],"ELVIS",0)</f>
        <v>17.167228801871556</v>
      </c>
      <c r="M3179">
        <v>8552.64</v>
      </c>
      <c r="N3179" s="2">
        <f>(Tabla2[[#This Row],[Productividad (kg/TAS)]]*Tabla2[[#This Row],[Precio por kg]]-Tabla2[[#This Row],[Costos (En RD$/Tarea)]])</f>
        <v>5400.2012553486129</v>
      </c>
      <c r="O3179" s="6">
        <f>IF(Tabla2[[#This Row],[Costos (En RD$/Tarea)]]=0,0,Tabla2[[#This Row],[Beneficio Neto  (En RD$/Tarea)]]/Tabla2[[#This Row],[Costos (En RD$/Tarea)]])</f>
        <v>0.63140752508565934</v>
      </c>
      <c r="P3179" s="4">
        <f>Tabla2[[#This Row],[Rentabilidad (%)]]/12</f>
        <v>5.2617293757138278E-2</v>
      </c>
    </row>
    <row r="3180" spans="1:16" x14ac:dyDescent="0.35">
      <c r="A3180" s="1">
        <v>44562</v>
      </c>
      <c r="B3180" t="s">
        <v>30</v>
      </c>
      <c r="C3180" s="2">
        <v>446878</v>
      </c>
      <c r="D3180" s="2" t="s">
        <v>31</v>
      </c>
      <c r="E3180" s="2">
        <f>IF(Tabla2[[#This Row],[Frecuencia]]="Annual", Tabla2[[#This Row],[Cosecha/Tarea]]/12,Tabla2[[#This Row],[Cosecha/Tarea]])</f>
        <v>37239.833333333336</v>
      </c>
      <c r="F3180" s="2">
        <v>2046007.2</v>
      </c>
      <c r="G3180" t="s">
        <v>18</v>
      </c>
      <c r="H3180">
        <f>F3180/Tabla2[[#This Row],[Cosecha Mensual]]</f>
        <v>54.941362967073786</v>
      </c>
      <c r="I3180">
        <f>H3180*_xlfn.XLOOKUP(Tabla2[[#This Row],[Unidad de producción]],Tabla3[Medida],Tabla3[Equivalencia en Kg],"ELVIS",0)</f>
        <v>2492.1402241864671</v>
      </c>
      <c r="J3180">
        <v>240.020833333333</v>
      </c>
      <c r="K3180" t="s">
        <v>32</v>
      </c>
      <c r="L3180">
        <f>J3180/_xlfn.XLOOKUP(Tabla2[[#This Row],[Unidad de precio]],Tabla3[Medida],Tabla3[Equivalencia en Kg],"ELVIS",0)</f>
        <v>8.8210523092000361</v>
      </c>
      <c r="M3180" s="2">
        <v>47396.15</v>
      </c>
      <c r="N3180" s="2">
        <f>(Tabla2[[#This Row],[Productividad (kg/TAS)]]*Tabla2[[#This Row],[Precio por kg]]-Tabla2[[#This Row],[Costos (En RD$/Tarea)]])</f>
        <v>-25412.850720589671</v>
      </c>
      <c r="O3180" s="6">
        <f>IF(Tabla2[[#This Row],[Costos (En RD$/Tarea)]]=0,0,Tabla2[[#This Row],[Beneficio Neto  (En RD$/Tarea)]]/Tabla2[[#This Row],[Costos (En RD$/Tarea)]])</f>
        <v>-0.53617964160780296</v>
      </c>
      <c r="P3180" s="4">
        <f>Tabla2[[#This Row],[Rentabilidad (%)]]/12</f>
        <v>-4.4681636800650244E-2</v>
      </c>
    </row>
    <row r="3181" spans="1:16" x14ac:dyDescent="0.35">
      <c r="A3181" s="1">
        <v>44562</v>
      </c>
      <c r="B3181" t="s">
        <v>33</v>
      </c>
      <c r="C3181" s="2">
        <v>752142</v>
      </c>
      <c r="D3181" s="2" t="s">
        <v>31</v>
      </c>
      <c r="E3181" s="2">
        <f>IF(Tabla2[[#This Row],[Frecuencia]]="Annual", Tabla2[[#This Row],[Cosecha/Tarea]]/12,Tabla2[[#This Row],[Cosecha/Tarea]])</f>
        <v>62678.5</v>
      </c>
      <c r="F3181" s="2">
        <v>1397169</v>
      </c>
      <c r="G3181" t="s">
        <v>18</v>
      </c>
      <c r="H3181">
        <f>F3181/Tabla2[[#This Row],[Cosecha Mensual]]</f>
        <v>22.29104078751087</v>
      </c>
      <c r="I3181">
        <f>H3181*_xlfn.XLOOKUP(Tabla2[[#This Row],[Unidad de producción]],Tabla3[Medida],Tabla3[Equivalencia en Kg],"ELVIS",0)</f>
        <v>1011.1216101214931</v>
      </c>
      <c r="J3181">
        <v>7275.1953125</v>
      </c>
      <c r="K3181" t="s">
        <v>34</v>
      </c>
      <c r="L3181">
        <f>J3181/_xlfn.XLOOKUP(Tabla2[[#This Row],[Unidad de precio]],Tabla3[Medida],Tabla3[Equivalencia en Kg],"ELVIS",0)</f>
        <v>17.824807821879212</v>
      </c>
      <c r="M3181" s="2">
        <v>25908.33</v>
      </c>
      <c r="N3181" s="2">
        <f>(Tabla2[[#This Row],[Productividad (kg/TAS)]]*Tabla2[[#This Row],[Precio por kg]]-Tabla2[[#This Row],[Costos (En RD$/Tarea)]])</f>
        <v>-7885.2816150353101</v>
      </c>
      <c r="O3181" s="6">
        <f>IF(Tabla2[[#This Row],[Costos (En RD$/Tarea)]]=0,0,Tabla2[[#This Row],[Beneficio Neto  (En RD$/Tarea)]]/Tabla2[[#This Row],[Costos (En RD$/Tarea)]])</f>
        <v>-0.30435314105676858</v>
      </c>
      <c r="P3181" s="4">
        <f>Tabla2[[#This Row],[Rentabilidad (%)]]/12</f>
        <v>-2.5362761754730716E-2</v>
      </c>
    </row>
    <row r="3182" spans="1:16" x14ac:dyDescent="0.35">
      <c r="A3182" s="1">
        <v>44593</v>
      </c>
      <c r="B3182" t="s">
        <v>16</v>
      </c>
      <c r="C3182" s="2">
        <v>5842</v>
      </c>
      <c r="D3182" s="5" t="s">
        <v>17</v>
      </c>
      <c r="E3182" s="2">
        <f>IF(Tabla2[[#This Row],[Frecuencia]]="Annual", Tabla2[[#This Row],[Cosecha/Tarea]]/12,Tabla2[[#This Row],[Cosecha/Tarea]])</f>
        <v>5842</v>
      </c>
      <c r="F3182" s="2">
        <v>20784</v>
      </c>
      <c r="G3182" t="s">
        <v>18</v>
      </c>
      <c r="H3182">
        <f>F3182/Tabla2[[#This Row],[Cosecha Mensual]]</f>
        <v>3.5576857240671003</v>
      </c>
      <c r="I3182">
        <f>H3182*_xlfn.XLOOKUP(Tabla2[[#This Row],[Unidad de producción]],Tabla3[Medida],Tabla3[Equivalencia en Kg],"ELVIS",0)</f>
        <v>161.37662444368365</v>
      </c>
      <c r="J3182">
        <v>2856.2894206087299</v>
      </c>
      <c r="K3182" t="s">
        <v>19</v>
      </c>
      <c r="L3182">
        <f>J3182/_xlfn.XLOOKUP(Tabla2[[#This Row],[Unidad de precio]],Tabla3[Medida],Tabla3[Equivalencia en Kg],"ELVIS",0)</f>
        <v>25.966267460079361</v>
      </c>
      <c r="M3182">
        <v>10006.778605990599</v>
      </c>
      <c r="N3182" s="2">
        <f>(Tabla2[[#This Row],[Productividad (kg/TAS)]]*Tabla2[[#This Row],[Precio por kg]]-Tabla2[[#This Row],[Costos (En RD$/Tarea)]])</f>
        <v>-5816.4300138811286</v>
      </c>
      <c r="O3182" s="6">
        <f>IF(Tabla2[[#This Row],[Costos (En RD$/Tarea)]]=0,0,Tabla2[[#This Row],[Beneficio Neto  (En RD$/Tarea)]]/Tabla2[[#This Row],[Costos (En RD$/Tarea)]])</f>
        <v>-0.58124899559575538</v>
      </c>
      <c r="P3182" s="4">
        <f>Tabla2[[#This Row],[Rentabilidad (%)]]/12</f>
        <v>-4.8437416299646284E-2</v>
      </c>
    </row>
    <row r="3183" spans="1:16" x14ac:dyDescent="0.35">
      <c r="A3183" s="1">
        <v>44593</v>
      </c>
      <c r="B3183" t="s">
        <v>20</v>
      </c>
      <c r="C3183" s="2">
        <v>32454</v>
      </c>
      <c r="D3183" s="5" t="s">
        <v>17</v>
      </c>
      <c r="E3183" s="2">
        <f>IF(Tabla2[[#This Row],[Frecuencia]]="Annual", Tabla2[[#This Row],[Cosecha/Tarea]]/12,Tabla2[[#This Row],[Cosecha/Tarea]])</f>
        <v>32454</v>
      </c>
      <c r="F3183" s="2">
        <v>80577</v>
      </c>
      <c r="G3183" t="s">
        <v>18</v>
      </c>
      <c r="H3183">
        <f>F3183/Tabla2[[#This Row],[Cosecha Mensual]]</f>
        <v>2.4828064337215752</v>
      </c>
      <c r="I3183">
        <f>H3183*_xlfn.XLOOKUP(Tabla2[[#This Row],[Unidad de producción]],Tabla3[Medida],Tabla3[Equivalencia en Kg],"ELVIS",0)</f>
        <v>112.62009983361065</v>
      </c>
      <c r="J3183">
        <v>1240.9661458333301</v>
      </c>
      <c r="K3183" t="s">
        <v>18</v>
      </c>
      <c r="L3183">
        <f>J3183/_xlfn.XLOOKUP(Tabla2[[#This Row],[Unidad de precio]],Tabla3[Medida],Tabla3[Equivalencia en Kg],"ELVIS",0)</f>
        <v>27.358160181510804</v>
      </c>
      <c r="M3183">
        <v>4130.0977179150004</v>
      </c>
      <c r="N3183" s="2">
        <f>(Tabla2[[#This Row],[Productividad (kg/TAS)]]*Tabla2[[#This Row],[Precio por kg]]-Tabla2[[#This Row],[Costos (En RD$/Tarea)]])</f>
        <v>-1049.0189870093418</v>
      </c>
      <c r="O3183" s="6">
        <f>IF(Tabla2[[#This Row],[Costos (En RD$/Tarea)]]=0,0,Tabla2[[#This Row],[Beneficio Neto  (En RD$/Tarea)]]/Tabla2[[#This Row],[Costos (En RD$/Tarea)]])</f>
        <v>-0.25399374510173056</v>
      </c>
      <c r="P3183" s="4">
        <f>Tabla2[[#This Row],[Rentabilidad (%)]]/12</f>
        <v>-2.1166145425144212E-2</v>
      </c>
    </row>
    <row r="3184" spans="1:16" x14ac:dyDescent="0.35">
      <c r="A3184" s="1">
        <v>44593</v>
      </c>
      <c r="B3184" t="s">
        <v>21</v>
      </c>
      <c r="C3184" s="2">
        <v>11524</v>
      </c>
      <c r="D3184" s="5" t="s">
        <v>17</v>
      </c>
      <c r="E3184" s="2">
        <f>IF(Tabla2[[#This Row],[Frecuencia]]="Annual", Tabla2[[#This Row],[Cosecha/Tarea]]/12,Tabla2[[#This Row],[Cosecha/Tarea]])</f>
        <v>11524</v>
      </c>
      <c r="F3184" s="2">
        <v>111201</v>
      </c>
      <c r="G3184" t="s">
        <v>18</v>
      </c>
      <c r="H3184">
        <f>F3184/Tabla2[[#This Row],[Cosecha Mensual]]</f>
        <v>9.649514057618882</v>
      </c>
      <c r="I3184">
        <f>H3184*_xlfn.XLOOKUP(Tabla2[[#This Row],[Unidad de producción]],Tabla3[Medida],Tabla3[Equivalencia en Kg],"ELVIS",0)</f>
        <v>437.7019576535925</v>
      </c>
      <c r="J3184">
        <v>930.91666666666697</v>
      </c>
      <c r="K3184" t="s">
        <v>18</v>
      </c>
      <c r="L3184">
        <f>J3184/_xlfn.XLOOKUP(Tabla2[[#This Row],[Unidad de precio]],Tabla3[Medida],Tabla3[Equivalencia en Kg],"ELVIS",0)</f>
        <v>20.522854203409764</v>
      </c>
      <c r="M3184">
        <v>5858.17</v>
      </c>
      <c r="N3184" s="2">
        <f>(Tabla2[[#This Row],[Productividad (kg/TAS)]]*Tabla2[[#This Row],[Precio por kg]]-Tabla2[[#This Row],[Costos (En RD$/Tarea)]])</f>
        <v>3124.7234614717127</v>
      </c>
      <c r="O3184" s="6">
        <f>IF(Tabla2[[#This Row],[Costos (En RD$/Tarea)]]=0,0,Tabla2[[#This Row],[Beneficio Neto  (En RD$/Tarea)]]/Tabla2[[#This Row],[Costos (En RD$/Tarea)]])</f>
        <v>0.5333958320553539</v>
      </c>
      <c r="P3184" s="4">
        <f>Tabla2[[#This Row],[Rentabilidad (%)]]/12</f>
        <v>4.444965267127949E-2</v>
      </c>
    </row>
    <row r="3185" spans="1:16" x14ac:dyDescent="0.35">
      <c r="A3185" s="1">
        <v>44593</v>
      </c>
      <c r="B3185" t="s">
        <v>22</v>
      </c>
      <c r="C3185" s="2">
        <v>9822</v>
      </c>
      <c r="D3185" s="5" t="s">
        <v>17</v>
      </c>
      <c r="E3185" s="2">
        <f>IF(Tabla2[[#This Row],[Frecuencia]]="Annual", Tabla2[[#This Row],[Cosecha/Tarea]]/12,Tabla2[[#This Row],[Cosecha/Tarea]])</f>
        <v>9822</v>
      </c>
      <c r="F3185" s="2">
        <v>84524</v>
      </c>
      <c r="G3185" t="s">
        <v>18</v>
      </c>
      <c r="H3185">
        <f>F3185/Tabla2[[#This Row],[Cosecha Mensual]]</f>
        <v>8.6055793117491337</v>
      </c>
      <c r="I3185">
        <f>H3185*_xlfn.XLOOKUP(Tabla2[[#This Row],[Unidad de producción]],Tabla3[Medida],Tabla3[Equivalencia en Kg],"ELVIS",0)</f>
        <v>390.34907758094067</v>
      </c>
      <c r="J3185">
        <v>1829.0803571428601</v>
      </c>
      <c r="K3185" t="s">
        <v>18</v>
      </c>
      <c r="L3185">
        <f>J3185/_xlfn.XLOOKUP(Tabla2[[#This Row],[Unidad de precio]],Tabla3[Medida],Tabla3[Equivalencia en Kg],"ELVIS",0)</f>
        <v>40.323641030486336</v>
      </c>
      <c r="M3185">
        <v>12106.08</v>
      </c>
      <c r="N3185" s="2">
        <f>(Tabla2[[#This Row],[Productividad (kg/TAS)]]*Tabla2[[#This Row],[Precio por kg]]-Tabla2[[#This Row],[Costos (En RD$/Tarea)]])</f>
        <v>3634.2160809553134</v>
      </c>
      <c r="O3185" s="6">
        <f>IF(Tabla2[[#This Row],[Costos (En RD$/Tarea)]]=0,0,Tabla2[[#This Row],[Beneficio Neto  (En RD$/Tarea)]]/Tabla2[[#This Row],[Costos (En RD$/Tarea)]])</f>
        <v>0.30019759335435692</v>
      </c>
      <c r="P3185" s="4">
        <f>Tabla2[[#This Row],[Rentabilidad (%)]]/12</f>
        <v>2.5016466112863078E-2</v>
      </c>
    </row>
    <row r="3186" spans="1:16" x14ac:dyDescent="0.35">
      <c r="A3186" s="1">
        <v>44593</v>
      </c>
      <c r="B3186" t="s">
        <v>23</v>
      </c>
      <c r="C3186" s="2">
        <v>5180</v>
      </c>
      <c r="D3186" s="5" t="s">
        <v>17</v>
      </c>
      <c r="E3186" s="2">
        <f>IF(Tabla2[[#This Row],[Frecuencia]]="Annual", Tabla2[[#This Row],[Cosecha/Tarea]]/12,Tabla2[[#This Row],[Cosecha/Tarea]])</f>
        <v>5180</v>
      </c>
      <c r="F3186" s="2">
        <v>176544</v>
      </c>
      <c r="G3186" t="s">
        <v>18</v>
      </c>
      <c r="H3186">
        <f>F3186/Tabla2[[#This Row],[Cosecha Mensual]]</f>
        <v>34.081853281853284</v>
      </c>
      <c r="I3186">
        <f>H3186*_xlfn.XLOOKUP(Tabla2[[#This Row],[Unidad de producción]],Tabla3[Medida],Tabla3[Equivalencia en Kg],"ELVIS",0)</f>
        <v>1545.952864864865</v>
      </c>
      <c r="J3186">
        <v>1633.3333333333301</v>
      </c>
      <c r="K3186" t="s">
        <v>18</v>
      </c>
      <c r="L3186">
        <f>J3186/_xlfn.XLOOKUP(Tabla2[[#This Row],[Unidad de precio]],Tabla3[Medida],Tabla3[Equivalencia en Kg],"ELVIS",0)</f>
        <v>36.008230452674823</v>
      </c>
      <c r="M3186">
        <v>30322</v>
      </c>
      <c r="N3186" s="2">
        <f>(Tabla2[[#This Row],[Productividad (kg/TAS)]]*Tabla2[[#This Row],[Precio por kg]]-Tabla2[[#This Row],[Costos (En RD$/Tarea)]])</f>
        <v>25345.027027026917</v>
      </c>
      <c r="O3186" s="6">
        <f>IF(Tabla2[[#This Row],[Costos (En RD$/Tarea)]]=0,0,Tabla2[[#This Row],[Beneficio Neto  (En RD$/Tarea)]]/Tabla2[[#This Row],[Costos (En RD$/Tarea)]])</f>
        <v>0.83586264187807258</v>
      </c>
      <c r="P3186" s="4">
        <f>Tabla2[[#This Row],[Rentabilidad (%)]]/12</f>
        <v>6.9655220156506048E-2</v>
      </c>
    </row>
    <row r="3187" spans="1:16" x14ac:dyDescent="0.35">
      <c r="A3187" s="1">
        <v>44593</v>
      </c>
      <c r="B3187" t="s">
        <v>24</v>
      </c>
      <c r="C3187" s="2">
        <v>7925</v>
      </c>
      <c r="D3187" s="5" t="s">
        <v>17</v>
      </c>
      <c r="E3187" s="2">
        <f>IF(Tabla2[[#This Row],[Frecuencia]]="Annual", Tabla2[[#This Row],[Cosecha/Tarea]]/12,Tabla2[[#This Row],[Cosecha/Tarea]])</f>
        <v>7925</v>
      </c>
      <c r="F3187" s="2">
        <v>70144</v>
      </c>
      <c r="G3187" t="s">
        <v>18</v>
      </c>
      <c r="H3187">
        <f>F3187/Tabla2[[#This Row],[Cosecha Mensual]]</f>
        <v>8.8509779179810728</v>
      </c>
      <c r="I3187">
        <f>H3187*_xlfn.XLOOKUP(Tabla2[[#This Row],[Unidad de producción]],Tabla3[Medida],Tabla3[Equivalencia en Kg],"ELVIS",0)</f>
        <v>401.48035835962145</v>
      </c>
      <c r="J3187">
        <v>2328.1160714285702</v>
      </c>
      <c r="K3187" t="s">
        <v>18</v>
      </c>
      <c r="L3187">
        <f>J3187/_xlfn.XLOOKUP(Tabla2[[#This Row],[Unidad de precio]],Tabla3[Medida],Tabla3[Equivalencia en Kg],"ELVIS",0)</f>
        <v>51.325310216679235</v>
      </c>
      <c r="M3187">
        <v>16342.43</v>
      </c>
      <c r="N3187" s="2">
        <f>(Tabla2[[#This Row],[Productividad (kg/TAS)]]*Tabla2[[#This Row],[Precio por kg]]-Tabla2[[#This Row],[Costos (En RD$/Tarea)]])</f>
        <v>4263.6739387111193</v>
      </c>
      <c r="O3187" s="6">
        <f>IF(Tabla2[[#This Row],[Costos (En RD$/Tarea)]]=0,0,Tabla2[[#This Row],[Beneficio Neto  (En RD$/Tarea)]]/Tabla2[[#This Row],[Costos (En RD$/Tarea)]])</f>
        <v>0.26089595847809166</v>
      </c>
      <c r="P3187" s="4">
        <f>Tabla2[[#This Row],[Rentabilidad (%)]]/12</f>
        <v>2.1741329873174304E-2</v>
      </c>
    </row>
    <row r="3188" spans="1:16" x14ac:dyDescent="0.35">
      <c r="A3188" s="1">
        <v>44593</v>
      </c>
      <c r="B3188" t="s">
        <v>25</v>
      </c>
      <c r="C3188" s="2">
        <v>36677</v>
      </c>
      <c r="D3188" s="5" t="s">
        <v>17</v>
      </c>
      <c r="E3188" s="2">
        <f>IF(Tabla2[[#This Row],[Frecuencia]]="Annual", Tabla2[[#This Row],[Cosecha/Tarea]]/12,Tabla2[[#This Row],[Cosecha/Tarea]])</f>
        <v>36677</v>
      </c>
      <c r="F3188" s="2">
        <v>419582</v>
      </c>
      <c r="G3188" t="s">
        <v>18</v>
      </c>
      <c r="H3188">
        <f>F3188/Tabla2[[#This Row],[Cosecha Mensual]]</f>
        <v>11.439921476674755</v>
      </c>
      <c r="I3188">
        <f>H3188*_xlfn.XLOOKUP(Tabla2[[#This Row],[Unidad de producción]],Tabla3[Medida],Tabla3[Equivalencia en Kg],"ELVIS",0)</f>
        <v>518.91483818196684</v>
      </c>
      <c r="J3188">
        <v>952.59895833333303</v>
      </c>
      <c r="K3188" t="s">
        <v>18</v>
      </c>
      <c r="L3188">
        <f>J3188/_xlfn.XLOOKUP(Tabla2[[#This Row],[Unidad de precio]],Tabla3[Medida],Tabla3[Equivalencia en Kg],"ELVIS",0)</f>
        <v>21.000858869782473</v>
      </c>
      <c r="M3188">
        <v>6557.61</v>
      </c>
      <c r="N3188" s="2">
        <f>(Tabla2[[#This Row],[Productividad (kg/TAS)]]*Tabla2[[#This Row],[Precio por kg]]-Tabla2[[#This Row],[Costos (En RD$/Tarea)]])</f>
        <v>4340.0472820954956</v>
      </c>
      <c r="O3188" s="6">
        <f>IF(Tabla2[[#This Row],[Costos (En RD$/Tarea)]]=0,0,Tabla2[[#This Row],[Beneficio Neto  (En RD$/Tarea)]]/Tabla2[[#This Row],[Costos (En RD$/Tarea)]])</f>
        <v>0.6618336988774105</v>
      </c>
      <c r="P3188" s="4">
        <f>Tabla2[[#This Row],[Rentabilidad (%)]]/12</f>
        <v>5.5152808239784211E-2</v>
      </c>
    </row>
    <row r="3189" spans="1:16" x14ac:dyDescent="0.35">
      <c r="A3189" s="1">
        <v>44593</v>
      </c>
      <c r="B3189" t="s">
        <v>26</v>
      </c>
      <c r="C3189" s="2">
        <v>14444</v>
      </c>
      <c r="D3189" s="5" t="s">
        <v>17</v>
      </c>
      <c r="E3189" s="2">
        <f>IF(Tabla2[[#This Row],[Frecuencia]]="Annual", Tabla2[[#This Row],[Cosecha/Tarea]]/12,Tabla2[[#This Row],[Cosecha/Tarea]])</f>
        <v>14444</v>
      </c>
      <c r="F3189" s="2">
        <v>94889</v>
      </c>
      <c r="G3189" t="s">
        <v>18</v>
      </c>
      <c r="H3189">
        <f>F3189/Tabla2[[#This Row],[Cosecha Mensual]]</f>
        <v>6.5694405981722515</v>
      </c>
      <c r="I3189">
        <f>H3189*_xlfn.XLOOKUP(Tabla2[[#This Row],[Unidad de producción]],Tabla3[Medida],Tabla3[Equivalencia en Kg],"ELVIS",0)</f>
        <v>297.98982553309332</v>
      </c>
      <c r="J3189">
        <v>1664.4704861111099</v>
      </c>
      <c r="K3189" t="s">
        <v>18</v>
      </c>
      <c r="L3189">
        <f>J3189/_xlfn.XLOOKUP(Tabla2[[#This Row],[Unidad de precio]],Tabla3[Medida],Tabla3[Equivalencia en Kg],"ELVIS",0)</f>
        <v>36.694675619733466</v>
      </c>
      <c r="M3189">
        <v>2133.92</v>
      </c>
      <c r="N3189" s="2">
        <f>(Tabla2[[#This Row],[Productividad (kg/TAS)]]*Tabla2[[#This Row],[Precio por kg]]-Tabla2[[#This Row],[Costos (En RD$/Tarea)]])</f>
        <v>8800.719985917829</v>
      </c>
      <c r="O3189" s="6">
        <f>IF(Tabla2[[#This Row],[Costos (En RD$/Tarea)]]=0,0,Tabla2[[#This Row],[Beneficio Neto  (En RD$/Tarea)]]/Tabla2[[#This Row],[Costos (En RD$/Tarea)]])</f>
        <v>4.1242033374811751</v>
      </c>
      <c r="P3189" s="4">
        <f>Tabla2[[#This Row],[Rentabilidad (%)]]/12</f>
        <v>0.34368361145676457</v>
      </c>
    </row>
    <row r="3190" spans="1:16" x14ac:dyDescent="0.35">
      <c r="A3190" s="1">
        <v>44593</v>
      </c>
      <c r="B3190" t="s">
        <v>27</v>
      </c>
      <c r="C3190" s="2">
        <v>6532</v>
      </c>
      <c r="D3190" s="5" t="s">
        <v>17</v>
      </c>
      <c r="E3190" s="2">
        <f>IF(Tabla2[[#This Row],[Frecuencia]]="Annual", Tabla2[[#This Row],[Cosecha/Tarea]]/12,Tabla2[[#This Row],[Cosecha/Tarea]])</f>
        <v>6532</v>
      </c>
      <c r="F3190" s="2">
        <v>61254</v>
      </c>
      <c r="G3190" t="s">
        <v>18</v>
      </c>
      <c r="H3190">
        <f>F3190/Tabla2[[#This Row],[Cosecha Mensual]]</f>
        <v>9.3775260257195345</v>
      </c>
      <c r="I3190">
        <f>H3190*_xlfn.XLOOKUP(Tabla2[[#This Row],[Unidad de producción]],Tabla3[Medida],Tabla3[Equivalencia en Kg],"ELVIS",0)</f>
        <v>425.36458052663806</v>
      </c>
      <c r="J3190">
        <v>1093.9107142857099</v>
      </c>
      <c r="K3190" t="s">
        <v>18</v>
      </c>
      <c r="L3190">
        <f>J3190/_xlfn.XLOOKUP(Tabla2[[#This Row],[Unidad de precio]],Tabla3[Medida],Tabla3[Equivalencia en Kg],"ELVIS",0)</f>
        <v>24.116197404887785</v>
      </c>
      <c r="M3190">
        <v>11717.05</v>
      </c>
      <c r="N3190" s="2">
        <f>(Tabla2[[#This Row],[Productividad (kg/TAS)]]*Tabla2[[#This Row],[Precio por kg]]-Tabla2[[#This Row],[Costos (En RD$/Tarea)]])</f>
        <v>-1458.8738069723095</v>
      </c>
      <c r="O3190" s="6">
        <f>IF(Tabla2[[#This Row],[Costos (En RD$/Tarea)]]=0,0,Tabla2[[#This Row],[Beneficio Neto  (En RD$/Tarea)]]/Tabla2[[#This Row],[Costos (En RD$/Tarea)]])</f>
        <v>-0.12450862691311461</v>
      </c>
      <c r="P3190" s="4">
        <f>Tabla2[[#This Row],[Rentabilidad (%)]]/12</f>
        <v>-1.0375718909426217E-2</v>
      </c>
    </row>
    <row r="3191" spans="1:16" x14ac:dyDescent="0.35">
      <c r="A3191" s="1">
        <v>44593</v>
      </c>
      <c r="B3191" t="s">
        <v>28</v>
      </c>
      <c r="C3191" s="2">
        <v>91254</v>
      </c>
      <c r="D3191" s="5" t="s">
        <v>17</v>
      </c>
      <c r="E3191" s="2">
        <f>IF(Tabla2[[#This Row],[Frecuencia]]="Annual", Tabla2[[#This Row],[Cosecha/Tarea]]/12,Tabla2[[#This Row],[Cosecha/Tarea]])</f>
        <v>91254</v>
      </c>
      <c r="F3191" s="2">
        <v>1871844</v>
      </c>
      <c r="G3191" t="s">
        <v>18</v>
      </c>
      <c r="H3191">
        <f>F3191/Tabla2[[#This Row],[Cosecha Mensual]]</f>
        <v>20.512459727792756</v>
      </c>
      <c r="I3191">
        <f>H3191*_xlfn.XLOOKUP(Tabla2[[#This Row],[Unidad de producción]],Tabla3[Medida],Tabla3[Equivalencia en Kg],"ELVIS",0)</f>
        <v>930.44517325267941</v>
      </c>
      <c r="J3191">
        <v>9916.6666666666697</v>
      </c>
      <c r="K3191" t="s">
        <v>29</v>
      </c>
      <c r="L3191">
        <f>J3191/_xlfn.XLOOKUP(Tabla2[[#This Row],[Unidad de precio]],Tabla3[Medida],Tabla3[Equivalencia en Kg],"ELVIS",0)</f>
        <v>17.634645706630632</v>
      </c>
      <c r="M3191">
        <v>8552.64</v>
      </c>
      <c r="N3191" s="2">
        <f>(Tabla2[[#This Row],[Productividad (kg/TAS)]]*Tabla2[[#This Row],[Precio por kg]]-Tabla2[[#This Row],[Costos (En RD$/Tarea)]])</f>
        <v>7855.4309797555579</v>
      </c>
      <c r="O3191" s="6">
        <f>IF(Tabla2[[#This Row],[Costos (En RD$/Tarea)]]=0,0,Tabla2[[#This Row],[Beneficio Neto  (En RD$/Tarea)]]/Tabla2[[#This Row],[Costos (En RD$/Tarea)]])</f>
        <v>0.91848025636008979</v>
      </c>
      <c r="P3191" s="4">
        <f>Tabla2[[#This Row],[Rentabilidad (%)]]/12</f>
        <v>7.6540021363340816E-2</v>
      </c>
    </row>
    <row r="3192" spans="1:16" x14ac:dyDescent="0.35">
      <c r="A3192" s="1">
        <v>44593</v>
      </c>
      <c r="B3192" t="s">
        <v>30</v>
      </c>
      <c r="C3192" s="2">
        <v>498678</v>
      </c>
      <c r="D3192" s="2" t="s">
        <v>31</v>
      </c>
      <c r="E3192" s="2">
        <f>IF(Tabla2[[#This Row],[Frecuencia]]="Annual", Tabla2[[#This Row],[Cosecha/Tarea]]/12,Tabla2[[#This Row],[Cosecha/Tarea]])</f>
        <v>41556.5</v>
      </c>
      <c r="F3192" s="2">
        <v>2251292.4</v>
      </c>
      <c r="G3192" t="s">
        <v>18</v>
      </c>
      <c r="H3192">
        <f>F3192/Tabla2[[#This Row],[Cosecha Mensual]]</f>
        <v>54.174254328444405</v>
      </c>
      <c r="I3192">
        <f>H3192*_xlfn.XLOOKUP(Tabla2[[#This Row],[Unidad de producción]],Tabla3[Medida],Tabla3[Equivalencia en Kg],"ELVIS",0)</f>
        <v>2457.3441763382384</v>
      </c>
      <c r="J3192">
        <v>220.15234375</v>
      </c>
      <c r="K3192" t="s">
        <v>32</v>
      </c>
      <c r="L3192">
        <f>J3192/_xlfn.XLOOKUP(Tabla2[[#This Row],[Unidad de precio]],Tabla3[Medida],Tabla3[Equivalencia en Kg],"ELVIS",0)</f>
        <v>8.0908615858140394</v>
      </c>
      <c r="M3192" s="2">
        <v>47396.15</v>
      </c>
      <c r="N3192" s="2">
        <f>(Tabla2[[#This Row],[Productividad (kg/TAS)]]*Tabla2[[#This Row],[Precio por kg]]-Tabla2[[#This Row],[Costos (En RD$/Tarea)]])</f>
        <v>-27514.118400541109</v>
      </c>
      <c r="O3192" s="6">
        <f>IF(Tabla2[[#This Row],[Costos (En RD$/Tarea)]]=0,0,Tabla2[[#This Row],[Beneficio Neto  (En RD$/Tarea)]]/Tabla2[[#This Row],[Costos (En RD$/Tarea)]])</f>
        <v>-0.58051378435887957</v>
      </c>
      <c r="P3192" s="4">
        <f>Tabla2[[#This Row],[Rentabilidad (%)]]/12</f>
        <v>-4.83761486965733E-2</v>
      </c>
    </row>
    <row r="3193" spans="1:16" x14ac:dyDescent="0.35">
      <c r="A3193" s="1">
        <v>44593</v>
      </c>
      <c r="B3193" t="s">
        <v>33</v>
      </c>
      <c r="C3193" s="2">
        <v>795332</v>
      </c>
      <c r="D3193" s="2" t="s">
        <v>31</v>
      </c>
      <c r="E3193" s="2">
        <f>IF(Tabla2[[#This Row],[Frecuencia]]="Annual", Tabla2[[#This Row],[Cosecha/Tarea]]/12,Tabla2[[#This Row],[Cosecha/Tarea]])</f>
        <v>66277.666666666672</v>
      </c>
      <c r="F3193" s="2">
        <v>1484982</v>
      </c>
      <c r="G3193" t="s">
        <v>18</v>
      </c>
      <c r="H3193">
        <f>F3193/Tabla2[[#This Row],[Cosecha Mensual]]</f>
        <v>22.405465893488504</v>
      </c>
      <c r="I3193">
        <f>H3193*_xlfn.XLOOKUP(Tabla2[[#This Row],[Unidad de producción]],Tabla3[Medida],Tabla3[Equivalencia en Kg],"ELVIS",0)</f>
        <v>1016.3119329286385</v>
      </c>
      <c r="J3193">
        <v>7859.1510416666697</v>
      </c>
      <c r="K3193" t="s">
        <v>34</v>
      </c>
      <c r="L3193">
        <f>J3193/_xlfn.XLOOKUP(Tabla2[[#This Row],[Unidad de precio]],Tabla3[Medida],Tabla3[Equivalencia en Kg],"ELVIS",0)</f>
        <v>19.255545857323703</v>
      </c>
      <c r="M3193" s="2">
        <v>25908.33</v>
      </c>
      <c r="N3193" s="2">
        <f>(Tabla2[[#This Row],[Productividad (kg/TAS)]]*Tabla2[[#This Row],[Precio por kg]]-Tabla2[[#This Row],[Costos (En RD$/Tarea)]])</f>
        <v>-6338.6889701473119</v>
      </c>
      <c r="O3193" s="6">
        <f>IF(Tabla2[[#This Row],[Costos (En RD$/Tarea)]]=0,0,Tabla2[[#This Row],[Beneficio Neto  (En RD$/Tarea)]]/Tabla2[[#This Row],[Costos (En RD$/Tarea)]])</f>
        <v>-0.2446583384628539</v>
      </c>
      <c r="P3193" s="4">
        <f>Tabla2[[#This Row],[Rentabilidad (%)]]/12</f>
        <v>-2.0388194871904491E-2</v>
      </c>
    </row>
    <row r="3194" spans="1:16" x14ac:dyDescent="0.35">
      <c r="A3194" s="1">
        <v>44621</v>
      </c>
      <c r="B3194" t="s">
        <v>16</v>
      </c>
      <c r="C3194" s="2">
        <v>154875</v>
      </c>
      <c r="D3194" s="5" t="s">
        <v>17</v>
      </c>
      <c r="E3194" s="2">
        <f>IF(Tabla2[[#This Row],[Frecuencia]]="Annual", Tabla2[[#This Row],[Cosecha/Tarea]]/12,Tabla2[[#This Row],[Cosecha/Tarea]])</f>
        <v>154875</v>
      </c>
      <c r="F3194" s="2">
        <v>820565</v>
      </c>
      <c r="G3194" t="s">
        <v>18</v>
      </c>
      <c r="H3194">
        <f>F3194/Tabla2[[#This Row],[Cosecha Mensual]]</f>
        <v>5.2982405165456017</v>
      </c>
      <c r="I3194">
        <f>H3194*_xlfn.XLOOKUP(Tabla2[[#This Row],[Unidad de producción]],Tabla3[Medida],Tabla3[Equivalencia en Kg],"ELVIS",0)</f>
        <v>240.32818983050848</v>
      </c>
      <c r="J3194">
        <v>2743.4329333975102</v>
      </c>
      <c r="K3194" t="s">
        <v>19</v>
      </c>
      <c r="L3194">
        <f>J3194/_xlfn.XLOOKUP(Tabla2[[#This Row],[Unidad de precio]],Tabla3[Medida],Tabla3[Equivalencia en Kg],"ELVIS",0)</f>
        <v>24.940299394522821</v>
      </c>
      <c r="M3194">
        <v>10006.778605990599</v>
      </c>
      <c r="N3194" s="2">
        <f>(Tabla2[[#This Row],[Productividad (kg/TAS)]]*Tabla2[[#This Row],[Precio por kg]]-Tabla2[[#This Row],[Costos (En RD$/Tarea)]])</f>
        <v>-4012.9215986740028</v>
      </c>
      <c r="O3194" s="6">
        <f>IF(Tabla2[[#This Row],[Costos (En RD$/Tarea)]]=0,0,Tabla2[[#This Row],[Beneficio Neto  (En RD$/Tarea)]]/Tabla2[[#This Row],[Costos (En RD$/Tarea)]])</f>
        <v>-0.40102032399034498</v>
      </c>
      <c r="P3194" s="4">
        <f>Tabla2[[#This Row],[Rentabilidad (%)]]/12</f>
        <v>-3.3418360332528749E-2</v>
      </c>
    </row>
    <row r="3195" spans="1:16" x14ac:dyDescent="0.35">
      <c r="A3195" s="1">
        <v>44621</v>
      </c>
      <c r="B3195" t="s">
        <v>20</v>
      </c>
      <c r="C3195" s="2">
        <v>34455</v>
      </c>
      <c r="D3195" s="5" t="s">
        <v>17</v>
      </c>
      <c r="E3195" s="2">
        <f>IF(Tabla2[[#This Row],[Frecuencia]]="Annual", Tabla2[[#This Row],[Cosecha/Tarea]]/12,Tabla2[[#This Row],[Cosecha/Tarea]])</f>
        <v>34455</v>
      </c>
      <c r="F3195" s="2">
        <v>84677</v>
      </c>
      <c r="G3195" t="s">
        <v>18</v>
      </c>
      <c r="H3195">
        <f>F3195/Tabla2[[#This Row],[Cosecha Mensual]]</f>
        <v>2.4576113771586128</v>
      </c>
      <c r="I3195">
        <f>H3195*_xlfn.XLOOKUP(Tabla2[[#This Row],[Unidad de producción]],Tabla3[Medida],Tabla3[Equivalencia en Kg],"ELVIS",0)</f>
        <v>111.47725206791468</v>
      </c>
      <c r="J3195">
        <v>1413.05416666667</v>
      </c>
      <c r="K3195" t="s">
        <v>18</v>
      </c>
      <c r="L3195">
        <f>J3195/_xlfn.XLOOKUP(Tabla2[[#This Row],[Unidad de precio]],Tabla3[Medida],Tabla3[Equivalencia en Kg],"ELVIS",0)</f>
        <v>31.15198780129343</v>
      </c>
      <c r="M3195">
        <v>4130.0977179150004</v>
      </c>
      <c r="N3195" s="2">
        <f>(Tabla2[[#This Row],[Productividad (kg/TAS)]]*Tabla2[[#This Row],[Precio por kg]]-Tabla2[[#This Row],[Costos (En RD$/Tarea)]])</f>
        <v>-657.35972137360977</v>
      </c>
      <c r="O3195" s="6">
        <f>IF(Tabla2[[#This Row],[Costos (En RD$/Tarea)]]=0,0,Tabla2[[#This Row],[Beneficio Neto  (En RD$/Tarea)]]/Tabla2[[#This Row],[Costos (En RD$/Tarea)]])</f>
        <v>-0.15916323687020778</v>
      </c>
      <c r="P3195" s="4">
        <f>Tabla2[[#This Row],[Rentabilidad (%)]]/12</f>
        <v>-1.3263603072517316E-2</v>
      </c>
    </row>
    <row r="3196" spans="1:16" x14ac:dyDescent="0.35">
      <c r="A3196" s="1">
        <v>44621</v>
      </c>
      <c r="B3196" t="s">
        <v>21</v>
      </c>
      <c r="C3196" s="2">
        <v>10780</v>
      </c>
      <c r="D3196" s="5" t="s">
        <v>17</v>
      </c>
      <c r="E3196" s="2">
        <f>IF(Tabla2[[#This Row],[Frecuencia]]="Annual", Tabla2[[#This Row],[Cosecha/Tarea]]/12,Tabla2[[#This Row],[Cosecha/Tarea]])</f>
        <v>10780</v>
      </c>
      <c r="F3196" s="2">
        <v>128995</v>
      </c>
      <c r="G3196" t="s">
        <v>18</v>
      </c>
      <c r="H3196">
        <f>F3196/Tabla2[[#This Row],[Cosecha Mensual]]</f>
        <v>11.966141001855288</v>
      </c>
      <c r="I3196">
        <f>H3196*_xlfn.XLOOKUP(Tabla2[[#This Row],[Unidad de producción]],Tabla3[Medida],Tabla3[Equivalencia en Kg],"ELVIS",0)</f>
        <v>542.78415584415586</v>
      </c>
      <c r="J3196">
        <v>984.69583333333298</v>
      </c>
      <c r="K3196" t="s">
        <v>18</v>
      </c>
      <c r="L3196">
        <f>J3196/_xlfn.XLOOKUP(Tabla2[[#This Row],[Unidad de precio]],Tabla3[Medida],Tabla3[Equivalencia en Kg],"ELVIS",0)</f>
        <v>21.708461934156372</v>
      </c>
      <c r="M3196">
        <v>5858.17</v>
      </c>
      <c r="N3196" s="2">
        <f>(Tabla2[[#This Row],[Productividad (kg/TAS)]]*Tabla2[[#This Row],[Precio por kg]]-Tabla2[[#This Row],[Costos (En RD$/Tarea)]])</f>
        <v>5924.8391856060571</v>
      </c>
      <c r="O3196" s="6">
        <f>IF(Tabla2[[#This Row],[Costos (En RD$/Tarea)]]=0,0,Tabla2[[#This Row],[Beneficio Neto  (En RD$/Tarea)]]/Tabla2[[#This Row],[Costos (En RD$/Tarea)]])</f>
        <v>1.011380548124424</v>
      </c>
      <c r="P3196" s="4">
        <f>Tabla2[[#This Row],[Rentabilidad (%)]]/12</f>
        <v>8.4281712343702006E-2</v>
      </c>
    </row>
    <row r="3197" spans="1:16" x14ac:dyDescent="0.35">
      <c r="A3197" s="1">
        <v>44621</v>
      </c>
      <c r="B3197" t="s">
        <v>22</v>
      </c>
      <c r="C3197" s="2">
        <v>7123</v>
      </c>
      <c r="D3197" s="5" t="s">
        <v>17</v>
      </c>
      <c r="E3197" s="2">
        <f>IF(Tabla2[[#This Row],[Frecuencia]]="Annual", Tabla2[[#This Row],[Cosecha/Tarea]]/12,Tabla2[[#This Row],[Cosecha/Tarea]])</f>
        <v>7123</v>
      </c>
      <c r="F3197" s="2">
        <v>73214</v>
      </c>
      <c r="G3197" t="s">
        <v>18</v>
      </c>
      <c r="H3197">
        <f>F3197/Tabla2[[#This Row],[Cosecha Mensual]]</f>
        <v>10.278534325424681</v>
      </c>
      <c r="I3197">
        <f>H3197*_xlfn.XLOOKUP(Tabla2[[#This Row],[Unidad de producción]],Tabla3[Medida],Tabla3[Equivalencia en Kg],"ELVIS",0)</f>
        <v>466.23431700126355</v>
      </c>
      <c r="J3197">
        <v>1852.6452380952401</v>
      </c>
      <c r="K3197" t="s">
        <v>18</v>
      </c>
      <c r="L3197">
        <f>J3197/_xlfn.XLOOKUP(Tabla2[[#This Row],[Unidad de precio]],Tabla3[Medida],Tabla3[Equivalencia en Kg],"ELVIS",0)</f>
        <v>40.843148987990304</v>
      </c>
      <c r="M3197">
        <v>12106.08</v>
      </c>
      <c r="N3197" s="2">
        <f>(Tabla2[[#This Row],[Productividad (kg/TAS)]]*Tabla2[[#This Row],[Precio por kg]]-Tabla2[[#This Row],[Costos (En RD$/Tarea)]])</f>
        <v>6936.3976725965094</v>
      </c>
      <c r="O3197" s="6">
        <f>IF(Tabla2[[#This Row],[Costos (En RD$/Tarea)]]=0,0,Tabla2[[#This Row],[Beneficio Neto  (En RD$/Tarea)]]/Tabla2[[#This Row],[Costos (En RD$/Tarea)]])</f>
        <v>0.57296810136695853</v>
      </c>
      <c r="P3197" s="4">
        <f>Tabla2[[#This Row],[Rentabilidad (%)]]/12</f>
        <v>4.7747341780579877E-2</v>
      </c>
    </row>
    <row r="3198" spans="1:16" x14ac:dyDescent="0.35">
      <c r="A3198" s="1">
        <v>44621</v>
      </c>
      <c r="B3198" t="s">
        <v>23</v>
      </c>
      <c r="C3198" s="2">
        <v>4722</v>
      </c>
      <c r="D3198" s="5" t="s">
        <v>17</v>
      </c>
      <c r="E3198" s="2">
        <f>IF(Tabla2[[#This Row],[Frecuencia]]="Annual", Tabla2[[#This Row],[Cosecha/Tarea]]/12,Tabla2[[#This Row],[Cosecha/Tarea]])</f>
        <v>4722</v>
      </c>
      <c r="F3198" s="2">
        <v>212122</v>
      </c>
      <c r="G3198" t="s">
        <v>18</v>
      </c>
      <c r="H3198">
        <f>F3198/Tabla2[[#This Row],[Cosecha Mensual]]</f>
        <v>44.922066920796276</v>
      </c>
      <c r="I3198">
        <f>H3198*_xlfn.XLOOKUP(Tabla2[[#This Row],[Unidad de producción]],Tabla3[Medida],Tabla3[Equivalencia en Kg],"ELVIS",0)</f>
        <v>2037.6649555273191</v>
      </c>
      <c r="J3198">
        <v>1452.625</v>
      </c>
      <c r="K3198" t="s">
        <v>18</v>
      </c>
      <c r="L3198">
        <f>J3198/_xlfn.XLOOKUP(Tabla2[[#This Row],[Unidad de precio]],Tabla3[Medida],Tabla3[Equivalencia en Kg],"ELVIS",0)</f>
        <v>32.024360670194007</v>
      </c>
      <c r="M3198">
        <v>30322</v>
      </c>
      <c r="N3198" s="2">
        <f>(Tabla2[[#This Row],[Productividad (kg/TAS)]]*Tabla2[[#This Row],[Precio por kg]]-Tabla2[[#This Row],[Costos (En RD$/Tarea)]])</f>
        <v>34932.9174608217</v>
      </c>
      <c r="O3198" s="6">
        <f>IF(Tabla2[[#This Row],[Costos (En RD$/Tarea)]]=0,0,Tabla2[[#This Row],[Beneficio Neto  (En RD$/Tarea)]]/Tabla2[[#This Row],[Costos (En RD$/Tarea)]])</f>
        <v>1.1520650834648671</v>
      </c>
      <c r="P3198" s="4">
        <f>Tabla2[[#This Row],[Rentabilidad (%)]]/12</f>
        <v>9.6005423622072261E-2</v>
      </c>
    </row>
    <row r="3199" spans="1:16" x14ac:dyDescent="0.35">
      <c r="A3199" s="1">
        <v>44621</v>
      </c>
      <c r="B3199" t="s">
        <v>24</v>
      </c>
      <c r="C3199" s="2">
        <v>6456</v>
      </c>
      <c r="D3199" s="5" t="s">
        <v>17</v>
      </c>
      <c r="E3199" s="2">
        <f>IF(Tabla2[[#This Row],[Frecuencia]]="Annual", Tabla2[[#This Row],[Cosecha/Tarea]]/12,Tabla2[[#This Row],[Cosecha/Tarea]])</f>
        <v>6456</v>
      </c>
      <c r="F3199" s="2">
        <v>54677</v>
      </c>
      <c r="G3199" t="s">
        <v>18</v>
      </c>
      <c r="H3199">
        <f>F3199/Tabla2[[#This Row],[Cosecha Mensual]]</f>
        <v>8.4691759603469645</v>
      </c>
      <c r="I3199">
        <f>H3199*_xlfn.XLOOKUP(Tabla2[[#This Row],[Unidad de producción]],Tabla3[Medida],Tabla3[Equivalencia en Kg],"ELVIS",0)</f>
        <v>384.16182156133829</v>
      </c>
      <c r="J3199">
        <v>2462.4773809523799</v>
      </c>
      <c r="K3199" t="s">
        <v>18</v>
      </c>
      <c r="L3199">
        <f>J3199/_xlfn.XLOOKUP(Tabla2[[#This Row],[Unidad de precio]],Tabla3[Medida],Tabla3[Equivalencia en Kg],"ELVIS",0)</f>
        <v>54.287420214999557</v>
      </c>
      <c r="M3199">
        <v>16342.43</v>
      </c>
      <c r="N3199" s="2">
        <f>(Tabla2[[#This Row],[Productividad (kg/TAS)]]*Tabla2[[#This Row],[Precio por kg]]-Tabla2[[#This Row],[Costos (En RD$/Tarea)]])</f>
        <v>4512.7242376600479</v>
      </c>
      <c r="O3199" s="6">
        <f>IF(Tabla2[[#This Row],[Costos (En RD$/Tarea)]]=0,0,Tabla2[[#This Row],[Beneficio Neto  (En RD$/Tarea)]]/Tabla2[[#This Row],[Costos (En RD$/Tarea)]])</f>
        <v>0.27613544850184751</v>
      </c>
      <c r="P3199" s="4">
        <f>Tabla2[[#This Row],[Rentabilidad (%)]]/12</f>
        <v>2.3011287375153958E-2</v>
      </c>
    </row>
    <row r="3200" spans="1:16" x14ac:dyDescent="0.35">
      <c r="A3200" s="1">
        <v>44621</v>
      </c>
      <c r="B3200" t="s">
        <v>25</v>
      </c>
      <c r="C3200" s="2">
        <v>28695</v>
      </c>
      <c r="D3200" s="5" t="s">
        <v>17</v>
      </c>
      <c r="E3200" s="2">
        <f>IF(Tabla2[[#This Row],[Frecuencia]]="Annual", Tabla2[[#This Row],[Cosecha/Tarea]]/12,Tabla2[[#This Row],[Cosecha/Tarea]])</f>
        <v>28695</v>
      </c>
      <c r="F3200" s="2">
        <v>286547</v>
      </c>
      <c r="G3200" t="s">
        <v>18</v>
      </c>
      <c r="H3200">
        <f>F3200/Tabla2[[#This Row],[Cosecha Mensual]]</f>
        <v>9.9859557414183655</v>
      </c>
      <c r="I3200">
        <f>H3200*_xlfn.XLOOKUP(Tabla2[[#This Row],[Unidad de producción]],Tabla3[Medida],Tabla3[Equivalencia en Kg],"ELVIS",0)</f>
        <v>452.96295243073706</v>
      </c>
      <c r="J3200">
        <v>986.91041666666695</v>
      </c>
      <c r="K3200" t="s">
        <v>18</v>
      </c>
      <c r="L3200">
        <f>J3200/_xlfn.XLOOKUP(Tabla2[[#This Row],[Unidad de precio]],Tabla3[Medida],Tabla3[Equivalencia en Kg],"ELVIS",0)</f>
        <v>21.757284318048214</v>
      </c>
      <c r="M3200">
        <v>6557.61</v>
      </c>
      <c r="N3200" s="2">
        <f>(Tabla2[[#This Row],[Productividad (kg/TAS)]]*Tabla2[[#This Row],[Precio por kg]]-Tabla2[[#This Row],[Costos (En RD$/Tarea)]])</f>
        <v>3297.6337415780954</v>
      </c>
      <c r="O3200" s="6">
        <f>IF(Tabla2[[#This Row],[Costos (En RD$/Tarea)]]=0,0,Tabla2[[#This Row],[Beneficio Neto  (En RD$/Tarea)]]/Tabla2[[#This Row],[Costos (En RD$/Tarea)]])</f>
        <v>0.50287128108839896</v>
      </c>
      <c r="P3200" s="4">
        <f>Tabla2[[#This Row],[Rentabilidad (%)]]/12</f>
        <v>4.1905940090699915E-2</v>
      </c>
    </row>
    <row r="3201" spans="1:16" x14ac:dyDescent="0.35">
      <c r="A3201" s="1">
        <v>44621</v>
      </c>
      <c r="B3201" t="s">
        <v>26</v>
      </c>
      <c r="C3201" s="2">
        <v>13985</v>
      </c>
      <c r="D3201" s="5" t="s">
        <v>17</v>
      </c>
      <c r="E3201" s="2">
        <f>IF(Tabla2[[#This Row],[Frecuencia]]="Annual", Tabla2[[#This Row],[Cosecha/Tarea]]/12,Tabla2[[#This Row],[Cosecha/Tarea]])</f>
        <v>13985</v>
      </c>
      <c r="F3201" s="2">
        <v>79533</v>
      </c>
      <c r="G3201" t="s">
        <v>18</v>
      </c>
      <c r="H3201">
        <f>F3201/Tabla2[[#This Row],[Cosecha Mensual]]</f>
        <v>5.6870218090811582</v>
      </c>
      <c r="I3201">
        <f>H3201*_xlfn.XLOOKUP(Tabla2[[#This Row],[Unidad de producción]],Tabla3[Medida],Tabla3[Equivalencia en Kg],"ELVIS",0)</f>
        <v>257.96330925992135</v>
      </c>
      <c r="J3201">
        <v>1300.8797500000001</v>
      </c>
      <c r="K3201" t="s">
        <v>18</v>
      </c>
      <c r="L3201">
        <f>J3201/_xlfn.XLOOKUP(Tabla2[[#This Row],[Unidad de precio]],Tabla3[Medida],Tabla3[Equivalencia en Kg],"ELVIS",0)</f>
        <v>28.679006834215169</v>
      </c>
      <c r="M3201">
        <v>2133.92</v>
      </c>
      <c r="N3201" s="2">
        <f>(Tabla2[[#This Row],[Productividad (kg/TAS)]]*Tabla2[[#This Row],[Precio por kg]]-Tabla2[[#This Row],[Costos (En RD$/Tarea)]])</f>
        <v>5264.2115092420454</v>
      </c>
      <c r="O3201" s="6">
        <f>IF(Tabla2[[#This Row],[Costos (En RD$/Tarea)]]=0,0,Tabla2[[#This Row],[Beneficio Neto  (En RD$/Tarea)]]/Tabla2[[#This Row],[Costos (En RD$/Tarea)]])</f>
        <v>2.4669207417532264</v>
      </c>
      <c r="P3201" s="4">
        <f>Tabla2[[#This Row],[Rentabilidad (%)]]/12</f>
        <v>0.20557672847943553</v>
      </c>
    </row>
    <row r="3202" spans="1:16" x14ac:dyDescent="0.35">
      <c r="A3202" s="1">
        <v>44621</v>
      </c>
      <c r="B3202" t="s">
        <v>27</v>
      </c>
      <c r="C3202" s="2">
        <v>6254</v>
      </c>
      <c r="D3202" s="5" t="s">
        <v>17</v>
      </c>
      <c r="E3202" s="2">
        <f>IF(Tabla2[[#This Row],[Frecuencia]]="Annual", Tabla2[[#This Row],[Cosecha/Tarea]]/12,Tabla2[[#This Row],[Cosecha/Tarea]])</f>
        <v>6254</v>
      </c>
      <c r="F3202" s="2">
        <v>58788</v>
      </c>
      <c r="G3202" t="s">
        <v>18</v>
      </c>
      <c r="H3202">
        <f>F3202/Tabla2[[#This Row],[Cosecha Mensual]]</f>
        <v>9.4000639590661983</v>
      </c>
      <c r="I3202">
        <f>H3202*_xlfn.XLOOKUP(Tabla2[[#This Row],[Unidad de producción]],Tabla3[Medida],Tabla3[Equivalencia en Kg],"ELVIS",0)</f>
        <v>426.38690118324274</v>
      </c>
      <c r="J3202">
        <v>1064.02</v>
      </c>
      <c r="K3202" t="s">
        <v>18</v>
      </c>
      <c r="L3202">
        <f>J3202/_xlfn.XLOOKUP(Tabla2[[#This Row],[Unidad de precio]],Tabla3[Medida],Tabla3[Equivalencia en Kg],"ELVIS",0)</f>
        <v>23.457231040564373</v>
      </c>
      <c r="M3202">
        <v>11717.05</v>
      </c>
      <c r="N3202" s="2">
        <f>(Tabla2[[#This Row],[Productividad (kg/TAS)]]*Tabla2[[#This Row],[Precio por kg]]-Tabla2[[#This Row],[Costos (En RD$/Tarea)]])</f>
        <v>-1715.1939462743831</v>
      </c>
      <c r="O3202" s="6">
        <f>IF(Tabla2[[#This Row],[Costos (En RD$/Tarea)]]=0,0,Tabla2[[#This Row],[Beneficio Neto  (En RD$/Tarea)]]/Tabla2[[#This Row],[Costos (En RD$/Tarea)]])</f>
        <v>-0.14638445225328758</v>
      </c>
      <c r="P3202" s="4">
        <f>Tabla2[[#This Row],[Rentabilidad (%)]]/12</f>
        <v>-1.2198704354440633E-2</v>
      </c>
    </row>
    <row r="3203" spans="1:16" x14ac:dyDescent="0.35">
      <c r="A3203" s="1">
        <v>44621</v>
      </c>
      <c r="B3203" t="s">
        <v>28</v>
      </c>
      <c r="C3203" s="2">
        <v>74564</v>
      </c>
      <c r="D3203" s="5" t="s">
        <v>17</v>
      </c>
      <c r="E3203" s="2">
        <f>IF(Tabla2[[#This Row],[Frecuencia]]="Annual", Tabla2[[#This Row],[Cosecha/Tarea]]/12,Tabla2[[#This Row],[Cosecha/Tarea]])</f>
        <v>74564</v>
      </c>
      <c r="F3203" s="2">
        <v>1195980</v>
      </c>
      <c r="G3203" t="s">
        <v>18</v>
      </c>
      <c r="H3203">
        <f>F3203/Tabla2[[#This Row],[Cosecha Mensual]]</f>
        <v>16.039643795933696</v>
      </c>
      <c r="I3203">
        <f>H3203*_xlfn.XLOOKUP(Tabla2[[#This Row],[Unidad de producción]],Tabla3[Medida],Tabla3[Equivalencia en Kg],"ELVIS",0)</f>
        <v>727.55824258355244</v>
      </c>
      <c r="J3203">
        <v>9350</v>
      </c>
      <c r="K3203" t="s">
        <v>29</v>
      </c>
      <c r="L3203">
        <f>J3203/_xlfn.XLOOKUP(Tabla2[[#This Row],[Unidad de precio]],Tabla3[Medida],Tabla3[Equivalencia en Kg],"ELVIS",0)</f>
        <v>16.626951666251731</v>
      </c>
      <c r="M3203">
        <v>8552.64</v>
      </c>
      <c r="N3203" s="2">
        <f>(Tabla2[[#This Row],[Productividad (kg/TAS)]]*Tabla2[[#This Row],[Precio por kg]]-Tabla2[[#This Row],[Costos (En RD$/Tarea)]])</f>
        <v>3544.4357338197788</v>
      </c>
      <c r="O3203" s="6">
        <f>IF(Tabla2[[#This Row],[Costos (En RD$/Tarea)]]=0,0,Tabla2[[#This Row],[Beneficio Neto  (En RD$/Tarea)]]/Tabla2[[#This Row],[Costos (En RD$/Tarea)]])</f>
        <v>0.41442592390417216</v>
      </c>
      <c r="P3203" s="4">
        <f>Tabla2[[#This Row],[Rentabilidad (%)]]/12</f>
        <v>3.4535493658681013E-2</v>
      </c>
    </row>
    <row r="3204" spans="1:16" x14ac:dyDescent="0.35">
      <c r="A3204" s="1">
        <v>44621</v>
      </c>
      <c r="B3204" t="s">
        <v>30</v>
      </c>
      <c r="C3204" s="2">
        <v>484254</v>
      </c>
      <c r="D3204" s="2" t="s">
        <v>31</v>
      </c>
      <c r="E3204" s="2">
        <f>IF(Tabla2[[#This Row],[Frecuencia]]="Annual", Tabla2[[#This Row],[Cosecha/Tarea]]/12,Tabla2[[#This Row],[Cosecha/Tarea]])</f>
        <v>40354.5</v>
      </c>
      <c r="F3204" s="2">
        <v>2252813.4</v>
      </c>
      <c r="G3204" t="s">
        <v>18</v>
      </c>
      <c r="H3204">
        <f>F3204/Tabla2[[#This Row],[Cosecha Mensual]]</f>
        <v>55.825580790246441</v>
      </c>
      <c r="I3204">
        <f>H3204*_xlfn.XLOOKUP(Tabla2[[#This Row],[Unidad de producción]],Tabla3[Medida],Tabla3[Equivalencia en Kg],"ELVIS",0)</f>
        <v>2532.2483446455785</v>
      </c>
      <c r="J3204">
        <v>236.56588541666699</v>
      </c>
      <c r="K3204" t="s">
        <v>32</v>
      </c>
      <c r="L3204">
        <f>J3204/_xlfn.XLOOKUP(Tabla2[[#This Row],[Unidad de precio]],Tabla3[Medida],Tabla3[Equivalencia en Kg],"ELVIS",0)</f>
        <v>8.6940788466250272</v>
      </c>
      <c r="M3204" s="2">
        <v>47396.15</v>
      </c>
      <c r="N3204" s="2">
        <f>(Tabla2[[#This Row],[Productividad (kg/TAS)]]*Tabla2[[#This Row],[Precio por kg]]-Tabla2[[#This Row],[Costos (En RD$/Tarea)]])</f>
        <v>-25380.583232415636</v>
      </c>
      <c r="O3204" s="6">
        <f>IF(Tabla2[[#This Row],[Costos (En RD$/Tarea)]]=0,0,Tabla2[[#This Row],[Beneficio Neto  (En RD$/Tarea)]]/Tabla2[[#This Row],[Costos (En RD$/Tarea)]])</f>
        <v>-0.53549883761477746</v>
      </c>
      <c r="P3204" s="4">
        <f>Tabla2[[#This Row],[Rentabilidad (%)]]/12</f>
        <v>-4.462490313456479E-2</v>
      </c>
    </row>
    <row r="3205" spans="1:16" x14ac:dyDescent="0.35">
      <c r="A3205" s="1">
        <v>44621</v>
      </c>
      <c r="B3205" t="s">
        <v>33</v>
      </c>
      <c r="C3205" s="2">
        <v>764899</v>
      </c>
      <c r="D3205" s="2" t="s">
        <v>31</v>
      </c>
      <c r="E3205" s="2">
        <f>IF(Tabla2[[#This Row],[Frecuencia]]="Annual", Tabla2[[#This Row],[Cosecha/Tarea]]/12,Tabla2[[#This Row],[Cosecha/Tarea]])</f>
        <v>63741.583333333336</v>
      </c>
      <c r="F3205" s="2">
        <v>1784286</v>
      </c>
      <c r="G3205" t="s">
        <v>18</v>
      </c>
      <c r="H3205">
        <f>F3205/Tabla2[[#This Row],[Cosecha Mensual]]</f>
        <v>27.992495741267799</v>
      </c>
      <c r="I3205">
        <f>H3205*_xlfn.XLOOKUP(Tabla2[[#This Row],[Unidad de producción]],Tabla3[Medida],Tabla3[Equivalencia en Kg],"ELVIS",0)</f>
        <v>1269.7396068239073</v>
      </c>
      <c r="J3205">
        <v>8149.3979166666704</v>
      </c>
      <c r="K3205" t="s">
        <v>34</v>
      </c>
      <c r="L3205">
        <f>J3205/_xlfn.XLOOKUP(Tabla2[[#This Row],[Unidad de precio]],Tabla3[Medida],Tabla3[Equivalencia en Kg],"ELVIS",0)</f>
        <v>19.966673812732257</v>
      </c>
      <c r="M3205" s="2">
        <v>25908.33</v>
      </c>
      <c r="N3205" s="2">
        <f>(Tabla2[[#This Row],[Productividad (kg/TAS)]]*Tabla2[[#This Row],[Precio por kg]]-Tabla2[[#This Row],[Costos (En RD$/Tarea)]])</f>
        <v>-555.85344344014084</v>
      </c>
      <c r="O3205" s="6">
        <f>IF(Tabla2[[#This Row],[Costos (En RD$/Tarea)]]=0,0,Tabla2[[#This Row],[Beneficio Neto  (En RD$/Tarea)]]/Tabla2[[#This Row],[Costos (En RD$/Tarea)]])</f>
        <v>-2.1454622642221279E-2</v>
      </c>
      <c r="P3205" s="4">
        <f>Tabla2[[#This Row],[Rentabilidad (%)]]/12</f>
        <v>-1.7878852201851066E-3</v>
      </c>
    </row>
    <row r="3206" spans="1:16" x14ac:dyDescent="0.35">
      <c r="A3206" s="1">
        <v>44652</v>
      </c>
      <c r="B3206" t="s">
        <v>16</v>
      </c>
      <c r="C3206" s="2">
        <v>567989</v>
      </c>
      <c r="D3206" s="5" t="s">
        <v>17</v>
      </c>
      <c r="E3206" s="2">
        <f>IF(Tabla2[[#This Row],[Frecuencia]]="Annual", Tabla2[[#This Row],[Cosecha/Tarea]]/12,Tabla2[[#This Row],[Cosecha/Tarea]])</f>
        <v>567989</v>
      </c>
      <c r="F3206" s="2">
        <v>2952000</v>
      </c>
      <c r="G3206" t="s">
        <v>18</v>
      </c>
      <c r="H3206">
        <f>F3206/Tabla2[[#This Row],[Cosecha Mensual]]</f>
        <v>5.1972837502134723</v>
      </c>
      <c r="I3206">
        <f>H3206*_xlfn.XLOOKUP(Tabla2[[#This Row],[Unidad de producción]],Tabla3[Medida],Tabla3[Equivalencia en Kg],"ELVIS",0)</f>
        <v>235.74879090968309</v>
      </c>
      <c r="J3206">
        <v>2691.2592879079598</v>
      </c>
      <c r="K3206" t="s">
        <v>19</v>
      </c>
      <c r="L3206">
        <f>J3206/_xlfn.XLOOKUP(Tabla2[[#This Row],[Unidad de precio]],Tabla3[Medida],Tabla3[Equivalencia en Kg],"ELVIS",0)</f>
        <v>24.465993526435998</v>
      </c>
      <c r="M3206">
        <v>10006.778605990599</v>
      </c>
      <c r="N3206" s="2">
        <f>(Tabla2[[#This Row],[Productividad (kg/TAS)]]*Tabla2[[#This Row],[Precio por kg]]-Tabla2[[#This Row],[Costos (En RD$/Tarea)]])</f>
        <v>-4238.9502137291793</v>
      </c>
      <c r="O3206" s="6">
        <f>IF(Tabla2[[#This Row],[Costos (En RD$/Tarea)]]=0,0,Tabla2[[#This Row],[Beneficio Neto  (En RD$/Tarea)]]/Tabla2[[#This Row],[Costos (En RD$/Tarea)]])</f>
        <v>-0.42360787428548824</v>
      </c>
      <c r="P3206" s="4">
        <f>Tabla2[[#This Row],[Rentabilidad (%)]]/12</f>
        <v>-3.5300656190457351E-2</v>
      </c>
    </row>
    <row r="3207" spans="1:16" x14ac:dyDescent="0.35">
      <c r="A3207" s="1">
        <v>44652</v>
      </c>
      <c r="B3207" t="s">
        <v>20</v>
      </c>
      <c r="C3207" s="2">
        <v>28577</v>
      </c>
      <c r="D3207" s="5" t="s">
        <v>17</v>
      </c>
      <c r="E3207" s="2">
        <f>IF(Tabla2[[#This Row],[Frecuencia]]="Annual", Tabla2[[#This Row],[Cosecha/Tarea]]/12,Tabla2[[#This Row],[Cosecha/Tarea]])</f>
        <v>28577</v>
      </c>
      <c r="F3207" s="2">
        <v>71542</v>
      </c>
      <c r="G3207" t="s">
        <v>18</v>
      </c>
      <c r="H3207">
        <f>F3207/Tabla2[[#This Row],[Cosecha Mensual]]</f>
        <v>2.5034818210448964</v>
      </c>
      <c r="I3207">
        <f>H3207*_xlfn.XLOOKUP(Tabla2[[#This Row],[Unidad de producción]],Tabla3[Medida],Tabla3[Equivalencia en Kg],"ELVIS",0)</f>
        <v>113.5579354025965</v>
      </c>
      <c r="J3207">
        <v>1505.36050347222</v>
      </c>
      <c r="K3207" t="s">
        <v>18</v>
      </c>
      <c r="L3207">
        <f>J3207/_xlfn.XLOOKUP(Tabla2[[#This Row],[Unidad de precio]],Tabla3[Medida],Tabla3[Equivalencia en Kg],"ELVIS",0)</f>
        <v>33.186959953091268</v>
      </c>
      <c r="M3207">
        <v>4130.0977179150004</v>
      </c>
      <c r="N3207" s="2">
        <f>(Tabla2[[#This Row],[Productividad (kg/TAS)]]*Tabla2[[#This Row],[Precio por kg]]-Tabla2[[#This Row],[Costos (En RD$/Tarea)]])</f>
        <v>-361.45506335330538</v>
      </c>
      <c r="O3207" s="6">
        <f>IF(Tabla2[[#This Row],[Costos (En RD$/Tarea)]]=0,0,Tabla2[[#This Row],[Beneficio Neto  (En RD$/Tarea)]]/Tabla2[[#This Row],[Costos (En RD$/Tarea)]])</f>
        <v>-8.7517315095338458E-2</v>
      </c>
      <c r="P3207" s="4">
        <f>Tabla2[[#This Row],[Rentabilidad (%)]]/12</f>
        <v>-7.2931095912782051E-3</v>
      </c>
    </row>
    <row r="3208" spans="1:16" x14ac:dyDescent="0.35">
      <c r="A3208" s="1">
        <v>44652</v>
      </c>
      <c r="B3208" t="s">
        <v>21</v>
      </c>
      <c r="C3208" s="2">
        <v>11887</v>
      </c>
      <c r="D3208" s="5" t="s">
        <v>17</v>
      </c>
      <c r="E3208" s="2">
        <f>IF(Tabla2[[#This Row],[Frecuencia]]="Annual", Tabla2[[#This Row],[Cosecha/Tarea]]/12,Tabla2[[#This Row],[Cosecha/Tarea]])</f>
        <v>11887</v>
      </c>
      <c r="F3208" s="2">
        <v>138878</v>
      </c>
      <c r="G3208" t="s">
        <v>18</v>
      </c>
      <c r="H3208">
        <f>F3208/Tabla2[[#This Row],[Cosecha Mensual]]</f>
        <v>11.683183309497771</v>
      </c>
      <c r="I3208">
        <f>H3208*_xlfn.XLOOKUP(Tabla2[[#This Row],[Unidad de producción]],Tabla3[Medida],Tabla3[Equivalencia en Kg],"ELVIS",0)</f>
        <v>529.94919491881888</v>
      </c>
      <c r="J3208">
        <v>1035.58680555556</v>
      </c>
      <c r="K3208" t="s">
        <v>18</v>
      </c>
      <c r="L3208">
        <f>J3208/_xlfn.XLOOKUP(Tabla2[[#This Row],[Unidad de precio]],Tabla3[Medida],Tabla3[Equivalencia en Kg],"ELVIS",0)</f>
        <v>22.830396947873897</v>
      </c>
      <c r="M3208">
        <v>5858.17</v>
      </c>
      <c r="N3208" s="2">
        <f>(Tabla2[[#This Row],[Productividad (kg/TAS)]]*Tabla2[[#This Row],[Precio por kg]]-Tabla2[[#This Row],[Costos (En RD$/Tarea)]])</f>
        <v>6240.780482202832</v>
      </c>
      <c r="O3208" s="6">
        <f>IF(Tabla2[[#This Row],[Costos (En RD$/Tarea)]]=0,0,Tabla2[[#This Row],[Beneficio Neto  (En RD$/Tarea)]]/Tabla2[[#This Row],[Costos (En RD$/Tarea)]])</f>
        <v>1.0653122873188781</v>
      </c>
      <c r="P3208" s="4">
        <f>Tabla2[[#This Row],[Rentabilidad (%)]]/12</f>
        <v>8.8776023943239843E-2</v>
      </c>
    </row>
    <row r="3209" spans="1:16" x14ac:dyDescent="0.35">
      <c r="A3209" s="1">
        <v>44652</v>
      </c>
      <c r="B3209" t="s">
        <v>22</v>
      </c>
      <c r="C3209" s="2">
        <v>8937</v>
      </c>
      <c r="D3209" s="5" t="s">
        <v>17</v>
      </c>
      <c r="E3209" s="2">
        <f>IF(Tabla2[[#This Row],[Frecuencia]]="Annual", Tabla2[[#This Row],[Cosecha/Tarea]]/12,Tabla2[[#This Row],[Cosecha/Tarea]])</f>
        <v>8937</v>
      </c>
      <c r="F3209" s="2">
        <v>86547</v>
      </c>
      <c r="G3209" t="s">
        <v>18</v>
      </c>
      <c r="H3209">
        <f>F3209/Tabla2[[#This Row],[Cosecha Mensual]]</f>
        <v>9.6841221886539106</v>
      </c>
      <c r="I3209">
        <f>H3209*_xlfn.XLOOKUP(Tabla2[[#This Row],[Unidad de producción]],Tabla3[Medida],Tabla3[Equivalencia en Kg],"ELVIS",0)</f>
        <v>439.27178247734139</v>
      </c>
      <c r="J3209">
        <v>1721.7083333333301</v>
      </c>
      <c r="K3209" t="s">
        <v>18</v>
      </c>
      <c r="L3209">
        <f>J3209/_xlfn.XLOOKUP(Tabla2[[#This Row],[Unidad de precio]],Tabla3[Medida],Tabla3[Equivalencia en Kg],"ELVIS",0)</f>
        <v>37.956532921810627</v>
      </c>
      <c r="M3209">
        <v>12106.08</v>
      </c>
      <c r="N3209" s="2">
        <f>(Tabla2[[#This Row],[Productividad (kg/TAS)]]*Tabla2[[#This Row],[Precio por kg]]-Tabla2[[#This Row],[Costos (En RD$/Tarea)]])</f>
        <v>4567.1538732236459</v>
      </c>
      <c r="O3209" s="6">
        <f>IF(Tabla2[[#This Row],[Costos (En RD$/Tarea)]]=0,0,Tabla2[[#This Row],[Beneficio Neto  (En RD$/Tarea)]]/Tabla2[[#This Row],[Costos (En RD$/Tarea)]])</f>
        <v>0.37726116738231086</v>
      </c>
      <c r="P3209" s="4">
        <f>Tabla2[[#This Row],[Rentabilidad (%)]]/12</f>
        <v>3.1438430615192574E-2</v>
      </c>
    </row>
    <row r="3210" spans="1:16" x14ac:dyDescent="0.35">
      <c r="A3210" s="1">
        <v>44652</v>
      </c>
      <c r="B3210" t="s">
        <v>23</v>
      </c>
      <c r="C3210" s="2">
        <v>4422</v>
      </c>
      <c r="D3210" s="5" t="s">
        <v>17</v>
      </c>
      <c r="E3210" s="2">
        <f>IF(Tabla2[[#This Row],[Frecuencia]]="Annual", Tabla2[[#This Row],[Cosecha/Tarea]]/12,Tabla2[[#This Row],[Cosecha/Tarea]])</f>
        <v>4422</v>
      </c>
      <c r="F3210" s="2">
        <v>169899</v>
      </c>
      <c r="G3210" t="s">
        <v>18</v>
      </c>
      <c r="H3210">
        <f>F3210/Tabla2[[#This Row],[Cosecha Mensual]]</f>
        <v>38.421302578018995</v>
      </c>
      <c r="I3210">
        <f>H3210*_xlfn.XLOOKUP(Tabla2[[#This Row],[Unidad de producción]],Tabla3[Medida],Tabla3[Equivalencia en Kg],"ELVIS",0)</f>
        <v>1742.7902849389416</v>
      </c>
      <c r="J3210">
        <v>1443</v>
      </c>
      <c r="K3210" t="s">
        <v>18</v>
      </c>
      <c r="L3210">
        <f>J3210/_xlfn.XLOOKUP(Tabla2[[#This Row],[Unidad de precio]],Tabla3[Medida],Tabla3[Equivalencia en Kg],"ELVIS",0)</f>
        <v>31.812169312169313</v>
      </c>
      <c r="M3210">
        <v>30322</v>
      </c>
      <c r="N3210" s="2">
        <f>(Tabla2[[#This Row],[Productividad (kg/TAS)]]*Tabla2[[#This Row],[Precio por kg]]-Tabla2[[#This Row],[Costos (En RD$/Tarea)]])</f>
        <v>25119.939620081408</v>
      </c>
      <c r="O3210" s="6">
        <f>IF(Tabla2[[#This Row],[Costos (En RD$/Tarea)]]=0,0,Tabla2[[#This Row],[Beneficio Neto  (En RD$/Tarea)]]/Tabla2[[#This Row],[Costos (En RD$/Tarea)]])</f>
        <v>0.82843940439553487</v>
      </c>
      <c r="P3210" s="4">
        <f>Tabla2[[#This Row],[Rentabilidad (%)]]/12</f>
        <v>6.9036617032961239E-2</v>
      </c>
    </row>
    <row r="3211" spans="1:16" x14ac:dyDescent="0.35">
      <c r="A3211" s="1">
        <v>44652</v>
      </c>
      <c r="B3211" t="s">
        <v>24</v>
      </c>
      <c r="C3211" s="2">
        <v>6699</v>
      </c>
      <c r="D3211" s="5" t="s">
        <v>17</v>
      </c>
      <c r="E3211" s="2">
        <f>IF(Tabla2[[#This Row],[Frecuencia]]="Annual", Tabla2[[#This Row],[Cosecha/Tarea]]/12,Tabla2[[#This Row],[Cosecha/Tarea]])</f>
        <v>6699</v>
      </c>
      <c r="F3211" s="2">
        <v>64585</v>
      </c>
      <c r="G3211" t="s">
        <v>18</v>
      </c>
      <c r="H3211">
        <f>F3211/Tabla2[[#This Row],[Cosecha Mensual]]</f>
        <v>9.6409911927153313</v>
      </c>
      <c r="I3211">
        <f>H3211*_xlfn.XLOOKUP(Tabla2[[#This Row],[Unidad de producción]],Tabla3[Medida],Tabla3[Equivalencia en Kg],"ELVIS",0)</f>
        <v>437.3153605015674</v>
      </c>
      <c r="J3211">
        <v>2453.5297619047601</v>
      </c>
      <c r="K3211" t="s">
        <v>18</v>
      </c>
      <c r="L3211">
        <f>J3211/_xlfn.XLOOKUP(Tabla2[[#This Row],[Unidad de precio]],Tabla3[Medida],Tabla3[Equivalencia en Kg],"ELVIS",0)</f>
        <v>54.090162299487659</v>
      </c>
      <c r="M3211">
        <v>16342.43</v>
      </c>
      <c r="N3211" s="2">
        <f>(Tabla2[[#This Row],[Productividad (kg/TAS)]]*Tabla2[[#This Row],[Precio por kg]]-Tabla2[[#This Row],[Costos (En RD$/Tarea)]])</f>
        <v>7312.0288255887353</v>
      </c>
      <c r="O3211" s="6">
        <f>IF(Tabla2[[#This Row],[Costos (En RD$/Tarea)]]=0,0,Tabla2[[#This Row],[Beneficio Neto  (En RD$/Tarea)]]/Tabla2[[#This Row],[Costos (En RD$/Tarea)]])</f>
        <v>0.44742604530591445</v>
      </c>
      <c r="P3211" s="4">
        <f>Tabla2[[#This Row],[Rentabilidad (%)]]/12</f>
        <v>3.7285503775492869E-2</v>
      </c>
    </row>
    <row r="3212" spans="1:16" x14ac:dyDescent="0.35">
      <c r="A3212" s="1">
        <v>44652</v>
      </c>
      <c r="B3212" t="s">
        <v>25</v>
      </c>
      <c r="C3212" s="2">
        <v>29898</v>
      </c>
      <c r="D3212" s="5" t="s">
        <v>17</v>
      </c>
      <c r="E3212" s="2">
        <f>IF(Tabla2[[#This Row],[Frecuencia]]="Annual", Tabla2[[#This Row],[Cosecha/Tarea]]/12,Tabla2[[#This Row],[Cosecha/Tarea]])</f>
        <v>29898</v>
      </c>
      <c r="F3212" s="2">
        <v>289985</v>
      </c>
      <c r="G3212" t="s">
        <v>18</v>
      </c>
      <c r="H3212">
        <f>F3212/Tabla2[[#This Row],[Cosecha Mensual]]</f>
        <v>9.6991437554351467</v>
      </c>
      <c r="I3212">
        <f>H3212*_xlfn.XLOOKUP(Tabla2[[#This Row],[Unidad de producción]],Tabla3[Medida],Tabla3[Equivalencia en Kg],"ELVIS",0)</f>
        <v>439.95316074653823</v>
      </c>
      <c r="J3212">
        <v>1021.83854166667</v>
      </c>
      <c r="K3212" t="s">
        <v>18</v>
      </c>
      <c r="L3212">
        <f>J3212/_xlfn.XLOOKUP(Tabla2[[#This Row],[Unidad de precio]],Tabla3[Medida],Tabla3[Equivalencia en Kg],"ELVIS",0)</f>
        <v>22.527304710464506</v>
      </c>
      <c r="M3212">
        <v>6557.61</v>
      </c>
      <c r="N3212" s="2">
        <f>(Tabla2[[#This Row],[Productividad (kg/TAS)]]*Tabla2[[#This Row],[Precio por kg]]-Tabla2[[#This Row],[Costos (En RD$/Tarea)]])</f>
        <v>3353.3489104692389</v>
      </c>
      <c r="O3212" s="6">
        <f>IF(Tabla2[[#This Row],[Costos (En RD$/Tarea)]]=0,0,Tabla2[[#This Row],[Beneficio Neto  (En RD$/Tarea)]]/Tabla2[[#This Row],[Costos (En RD$/Tarea)]])</f>
        <v>0.51136754251461114</v>
      </c>
      <c r="P3212" s="4">
        <f>Tabla2[[#This Row],[Rentabilidad (%)]]/12</f>
        <v>4.2613961876217597E-2</v>
      </c>
    </row>
    <row r="3213" spans="1:16" x14ac:dyDescent="0.35">
      <c r="A3213" s="1">
        <v>44652</v>
      </c>
      <c r="B3213" t="s">
        <v>26</v>
      </c>
      <c r="C3213" s="2">
        <v>8912</v>
      </c>
      <c r="D3213" s="5" t="s">
        <v>17</v>
      </c>
      <c r="E3213" s="2">
        <f>IF(Tabla2[[#This Row],[Frecuencia]]="Annual", Tabla2[[#This Row],[Cosecha/Tarea]]/12,Tabla2[[#This Row],[Cosecha/Tarea]])</f>
        <v>8912</v>
      </c>
      <c r="F3213" s="2">
        <v>72145</v>
      </c>
      <c r="G3213" t="s">
        <v>18</v>
      </c>
      <c r="H3213">
        <f>F3213/Tabla2[[#This Row],[Cosecha Mensual]]</f>
        <v>8.0952648114901251</v>
      </c>
      <c r="I3213">
        <f>H3213*_xlfn.XLOOKUP(Tabla2[[#This Row],[Unidad de producción]],Tabla3[Medida],Tabla3[Equivalencia en Kg],"ELVIS",0)</f>
        <v>367.20121184919208</v>
      </c>
      <c r="J3213">
        <v>1122.069375</v>
      </c>
      <c r="K3213" t="s">
        <v>18</v>
      </c>
      <c r="L3213">
        <f>J3213/_xlfn.XLOOKUP(Tabla2[[#This Row],[Unidad de precio]],Tabla3[Medida],Tabla3[Equivalencia en Kg],"ELVIS",0)</f>
        <v>24.736979166666668</v>
      </c>
      <c r="M3213">
        <v>2133.92</v>
      </c>
      <c r="N3213" s="2">
        <f>(Tabla2[[#This Row],[Productividad (kg/TAS)]]*Tabla2[[#This Row],[Precio por kg]]-Tabla2[[#This Row],[Costos (En RD$/Tarea)]])</f>
        <v>6949.5287274882176</v>
      </c>
      <c r="O3213" s="6">
        <f>IF(Tabla2[[#This Row],[Costos (En RD$/Tarea)]]=0,0,Tabla2[[#This Row],[Beneficio Neto  (En RD$/Tarea)]]/Tabla2[[#This Row],[Costos (En RD$/Tarea)]])</f>
        <v>3.2566959996102089</v>
      </c>
      <c r="P3213" s="4">
        <f>Tabla2[[#This Row],[Rentabilidad (%)]]/12</f>
        <v>0.27139133330085075</v>
      </c>
    </row>
    <row r="3214" spans="1:16" x14ac:dyDescent="0.35">
      <c r="A3214" s="1">
        <v>44652</v>
      </c>
      <c r="B3214" t="s">
        <v>27</v>
      </c>
      <c r="C3214" s="2">
        <v>1990</v>
      </c>
      <c r="D3214" s="5" t="s">
        <v>17</v>
      </c>
      <c r="E3214" s="2">
        <f>IF(Tabla2[[#This Row],[Frecuencia]]="Annual", Tabla2[[#This Row],[Cosecha/Tarea]]/12,Tabla2[[#This Row],[Cosecha/Tarea]])</f>
        <v>1990</v>
      </c>
      <c r="F3214" s="2">
        <v>49215</v>
      </c>
      <c r="G3214" t="s">
        <v>18</v>
      </c>
      <c r="H3214">
        <f>F3214/Tabla2[[#This Row],[Cosecha Mensual]]</f>
        <v>24.731155778894472</v>
      </c>
      <c r="I3214">
        <f>H3214*_xlfn.XLOOKUP(Tabla2[[#This Row],[Unidad de producción]],Tabla3[Medida],Tabla3[Equivalencia en Kg],"ELVIS",0)</f>
        <v>1121.8052261306532</v>
      </c>
      <c r="J3214">
        <v>1118.5263888888901</v>
      </c>
      <c r="K3214" t="s">
        <v>18</v>
      </c>
      <c r="L3214">
        <f>J3214/_xlfn.XLOOKUP(Tabla2[[#This Row],[Unidad de precio]],Tabla3[Medida],Tabla3[Equivalencia en Kg],"ELVIS",0)</f>
        <v>24.658871007250664</v>
      </c>
      <c r="M3214">
        <v>11717.05</v>
      </c>
      <c r="N3214" s="2">
        <f>(Tabla2[[#This Row],[Productividad (kg/TAS)]]*Tabla2[[#This Row],[Precio por kg]]-Tabla2[[#This Row],[Costos (En RD$/Tarea)]])</f>
        <v>15945.400366415441</v>
      </c>
      <c r="O3214" s="6">
        <f>IF(Tabla2[[#This Row],[Costos (En RD$/Tarea)]]=0,0,Tabla2[[#This Row],[Beneficio Neto  (En RD$/Tarea)]]/Tabla2[[#This Row],[Costos (En RD$/Tarea)]])</f>
        <v>1.3608715817049037</v>
      </c>
      <c r="P3214" s="4">
        <f>Tabla2[[#This Row],[Rentabilidad (%)]]/12</f>
        <v>0.11340596514207531</v>
      </c>
    </row>
    <row r="3215" spans="1:16" x14ac:dyDescent="0.35">
      <c r="A3215" s="1">
        <v>44652</v>
      </c>
      <c r="B3215" t="s">
        <v>28</v>
      </c>
      <c r="C3215" s="2">
        <v>11433</v>
      </c>
      <c r="D3215" s="5" t="s">
        <v>17</v>
      </c>
      <c r="E3215" s="2">
        <f>IF(Tabla2[[#This Row],[Frecuencia]]="Annual", Tabla2[[#This Row],[Cosecha/Tarea]]/12,Tabla2[[#This Row],[Cosecha/Tarea]])</f>
        <v>11433</v>
      </c>
      <c r="F3215" s="2">
        <v>156252</v>
      </c>
      <c r="G3215" t="s">
        <v>18</v>
      </c>
      <c r="H3215">
        <f>F3215/Tabla2[[#This Row],[Cosecha Mensual]]</f>
        <v>13.66675413277355</v>
      </c>
      <c r="I3215">
        <f>H3215*_xlfn.XLOOKUP(Tabla2[[#This Row],[Unidad de producción]],Tabla3[Medida],Tabla3[Equivalencia en Kg],"ELVIS",0)</f>
        <v>619.92396746260818</v>
      </c>
      <c r="J3215">
        <v>6750</v>
      </c>
      <c r="K3215" t="s">
        <v>29</v>
      </c>
      <c r="L3215">
        <f>J3215/_xlfn.XLOOKUP(Tabla2[[#This Row],[Unidad de precio]],Tabla3[Medida],Tabla3[Equivalencia en Kg],"ELVIS",0)</f>
        <v>12.003414304513283</v>
      </c>
      <c r="M3215">
        <v>8552.64</v>
      </c>
      <c r="N3215" s="2">
        <f>(Tabla2[[#This Row],[Productividad (kg/TAS)]]*Tabla2[[#This Row],[Precio por kg]]-Tabla2[[#This Row],[Costos (En RD$/Tarea)]])</f>
        <v>-1111.4357812487015</v>
      </c>
      <c r="O3215" s="6">
        <f>IF(Tabla2[[#This Row],[Costos (En RD$/Tarea)]]=0,0,Tabla2[[#This Row],[Beneficio Neto  (En RD$/Tarea)]]/Tabla2[[#This Row],[Costos (En RD$/Tarea)]])</f>
        <v>-0.12995236339290575</v>
      </c>
      <c r="P3215" s="4">
        <f>Tabla2[[#This Row],[Rentabilidad (%)]]/12</f>
        <v>-1.0829363616075479E-2</v>
      </c>
    </row>
    <row r="3216" spans="1:16" x14ac:dyDescent="0.35">
      <c r="A3216" s="1">
        <v>44652</v>
      </c>
      <c r="B3216" t="s">
        <v>30</v>
      </c>
      <c r="C3216" s="2">
        <v>495452</v>
      </c>
      <c r="D3216" s="2" t="s">
        <v>31</v>
      </c>
      <c r="E3216" s="2">
        <f>IF(Tabla2[[#This Row],[Frecuencia]]="Annual", Tabla2[[#This Row],[Cosecha/Tarea]]/12,Tabla2[[#This Row],[Cosecha/Tarea]])</f>
        <v>41287.666666666664</v>
      </c>
      <c r="F3216" s="2">
        <v>2511593.4</v>
      </c>
      <c r="G3216" t="s">
        <v>18</v>
      </c>
      <c r="H3216">
        <f>F3216/Tabla2[[#This Row],[Cosecha Mensual]]</f>
        <v>60.831565519969644</v>
      </c>
      <c r="I3216">
        <f>H3216*_xlfn.XLOOKUP(Tabla2[[#This Row],[Unidad de producción]],Tabla3[Medida],Tabla3[Equivalencia en Kg],"ELVIS",0)</f>
        <v>2759.319811985823</v>
      </c>
      <c r="J3216">
        <v>230.4296875</v>
      </c>
      <c r="K3216" t="s">
        <v>32</v>
      </c>
      <c r="L3216">
        <f>J3216/_xlfn.XLOOKUP(Tabla2[[#This Row],[Unidad de precio]],Tabla3[Medida],Tabla3[Equivalencia en Kg],"ELVIS",0)</f>
        <v>8.4685662440279312</v>
      </c>
      <c r="M3216" s="2">
        <v>47396.15</v>
      </c>
      <c r="N3216" s="2">
        <f>(Tabla2[[#This Row],[Productividad (kg/TAS)]]*Tabla2[[#This Row],[Precio por kg]]-Tabla2[[#This Row],[Costos (En RD$/Tarea)]])</f>
        <v>-24028.667383739365</v>
      </c>
      <c r="O3216" s="6">
        <f>IF(Tabla2[[#This Row],[Costos (En RD$/Tarea)]]=0,0,Tabla2[[#This Row],[Beneficio Neto  (En RD$/Tarea)]]/Tabla2[[#This Row],[Costos (En RD$/Tarea)]])</f>
        <v>-0.50697508940577163</v>
      </c>
      <c r="P3216" s="4">
        <f>Tabla2[[#This Row],[Rentabilidad (%)]]/12</f>
        <v>-4.2247924117147638E-2</v>
      </c>
    </row>
    <row r="3217" spans="1:16" x14ac:dyDescent="0.35">
      <c r="A3217" s="1">
        <v>44652</v>
      </c>
      <c r="B3217" t="s">
        <v>33</v>
      </c>
      <c r="C3217" s="2">
        <v>809521</v>
      </c>
      <c r="D3217" s="2" t="s">
        <v>31</v>
      </c>
      <c r="E3217" s="8">
        <f>IF(Tabla2[[#This Row],[Frecuencia]]="Annual", Tabla2[[#This Row],[Cosecha/Tarea]]/12,Tabla2[[#This Row],[Cosecha/Tarea]])</f>
        <v>67460.083333333328</v>
      </c>
      <c r="F3217" s="2">
        <v>3368286</v>
      </c>
      <c r="G3217" t="s">
        <v>18</v>
      </c>
      <c r="H3217">
        <f>F3217/Tabla2[[#This Row],[Cosecha Mensual]]</f>
        <v>49.930059874913688</v>
      </c>
      <c r="I3217">
        <f>H3217*_xlfn.XLOOKUP(Tabla2[[#This Row],[Unidad de producción]],Tabla3[Medida],Tabla3[Equivalencia en Kg],"ELVIS",0)</f>
        <v>2264.8275159260847</v>
      </c>
      <c r="J3217">
        <v>8098.9010416666697</v>
      </c>
      <c r="K3217" t="s">
        <v>34</v>
      </c>
      <c r="L3217">
        <f>J3217/_xlfn.XLOOKUP(Tabla2[[#This Row],[Unidad de precio]],Tabla3[Medida],Tabla3[Equivalencia en Kg],"ELVIS",0)</f>
        <v>19.842952448037902</v>
      </c>
      <c r="M3217" s="2">
        <v>25908.33</v>
      </c>
      <c r="N3217" s="2">
        <f>(Tabla2[[#This Row],[Productividad (kg/TAS)]]*Tabla2[[#This Row],[Precio por kg]]-Tabla2[[#This Row],[Costos (En RD$/Tarea)]])</f>
        <v>19032.534701529104</v>
      </c>
      <c r="O3217" s="6">
        <f>IF(Tabla2[[#This Row],[Costos (En RD$/Tarea)]]=0,0,Tabla2[[#This Row],[Beneficio Neto  (En RD$/Tarea)]]/Tabla2[[#This Row],[Costos (En RD$/Tarea)]])</f>
        <v>0.73461063300988927</v>
      </c>
      <c r="P3217" s="4">
        <f>Tabla2[[#This Row],[Rentabilidad (%)]]/12</f>
        <v>6.1217552750824106E-2</v>
      </c>
    </row>
    <row r="3218" spans="1:16" x14ac:dyDescent="0.35">
      <c r="A3218" s="1">
        <v>44682</v>
      </c>
      <c r="B3218" t="s">
        <v>16</v>
      </c>
      <c r="C3218" s="2">
        <v>472495.37</v>
      </c>
      <c r="D3218" s="5" t="s">
        <v>17</v>
      </c>
      <c r="E3218" s="2">
        <f>IF(Tabla2[[#This Row],[Frecuencia]]="Annual", Tabla2[[#This Row],[Cosecha/Tarea]]/12,Tabla2[[#This Row],[Cosecha/Tarea]])</f>
        <v>472495.37</v>
      </c>
      <c r="F3218" s="2">
        <v>2708765.1087000002</v>
      </c>
      <c r="G3218" t="s">
        <v>18</v>
      </c>
      <c r="H3218">
        <f>F3218/Tabla2[[#This Row],[Cosecha Mensual]]</f>
        <v>5.7328923851677116</v>
      </c>
      <c r="I3218">
        <f>H3218*_xlfn.XLOOKUP(Tabla2[[#This Row],[Unidad de producción]],Tabla3[Medida],Tabla3[Equivalencia en Kg],"ELVIS",0)</f>
        <v>260.04399859120741</v>
      </c>
      <c r="J3218">
        <v>2775.3000874194599</v>
      </c>
      <c r="K3218" t="s">
        <v>19</v>
      </c>
      <c r="L3218">
        <f>J3218/_xlfn.XLOOKUP(Tabla2[[#This Row],[Unidad de precio]],Tabla3[Medida],Tabla3[Equivalencia en Kg],"ELVIS",0)</f>
        <v>25.230000794722365</v>
      </c>
      <c r="M3218">
        <v>10006.778605990599</v>
      </c>
      <c r="N3218" s="2">
        <f>(Tabla2[[#This Row],[Productividad (kg/TAS)]]*Tabla2[[#This Row],[Precio por kg]]-Tabla2[[#This Row],[Costos (En RD$/Tarea)]])</f>
        <v>-3445.8683148716545</v>
      </c>
      <c r="O3218" s="6">
        <f>IF(Tabla2[[#This Row],[Costos (En RD$/Tarea)]]=0,0,Tabla2[[#This Row],[Beneficio Neto  (En RD$/Tarea)]]/Tabla2[[#This Row],[Costos (En RD$/Tarea)]])</f>
        <v>-0.34435340787981172</v>
      </c>
      <c r="P3218" s="4">
        <f>Tabla2[[#This Row],[Rentabilidad (%)]]/12</f>
        <v>-2.8696117323317644E-2</v>
      </c>
    </row>
    <row r="3219" spans="1:16" x14ac:dyDescent="0.35">
      <c r="A3219" s="1">
        <v>44682</v>
      </c>
      <c r="B3219" t="s">
        <v>20</v>
      </c>
      <c r="C3219" s="2">
        <v>34468</v>
      </c>
      <c r="D3219" s="5" t="s">
        <v>17</v>
      </c>
      <c r="E3219" s="2">
        <f>IF(Tabla2[[#This Row],[Frecuencia]]="Annual", Tabla2[[#This Row],[Cosecha/Tarea]]/12,Tabla2[[#This Row],[Cosecha/Tarea]])</f>
        <v>34468</v>
      </c>
      <c r="F3219" s="2">
        <v>84025</v>
      </c>
      <c r="G3219" t="s">
        <v>18</v>
      </c>
      <c r="H3219">
        <f>F3219/Tabla2[[#This Row],[Cosecha Mensual]]</f>
        <v>2.43776836486016</v>
      </c>
      <c r="I3219">
        <f>H3219*_xlfn.XLOOKUP(Tabla2[[#This Row],[Unidad de producción]],Tabla3[Medida],Tabla3[Equivalencia en Kg],"ELVIS",0)</f>
        <v>110.57717303005685</v>
      </c>
      <c r="J3219">
        <v>1453.8880208333301</v>
      </c>
      <c r="K3219" t="s">
        <v>18</v>
      </c>
      <c r="L3219">
        <f>J3219/_xlfn.XLOOKUP(Tabla2[[#This Row],[Unidad de precio]],Tabla3[Medida],Tabla3[Equivalencia en Kg],"ELVIS",0)</f>
        <v>32.052205044826501</v>
      </c>
      <c r="M3219">
        <v>4130.0977179150004</v>
      </c>
      <c r="N3219" s="2">
        <f>(Tabla2[[#This Row],[Productividad (kg/TAS)]]*Tabla2[[#This Row],[Precio por kg]]-Tabla2[[#This Row],[Costos (En RD$/Tarea)]])</f>
        <v>-585.85549467835926</v>
      </c>
      <c r="O3219" s="6">
        <f>IF(Tabla2[[#This Row],[Costos (En RD$/Tarea)]]=0,0,Tabla2[[#This Row],[Beneficio Neto  (En RD$/Tarea)]]/Tabla2[[#This Row],[Costos (En RD$/Tarea)]])</f>
        <v>-0.14185027442259091</v>
      </c>
      <c r="P3219" s="4">
        <f>Tabla2[[#This Row],[Rentabilidad (%)]]/12</f>
        <v>-1.1820856201882576E-2</v>
      </c>
    </row>
    <row r="3220" spans="1:16" x14ac:dyDescent="0.35">
      <c r="A3220" s="1">
        <v>44682</v>
      </c>
      <c r="B3220" t="s">
        <v>21</v>
      </c>
      <c r="C3220" s="2">
        <v>9512.5499999999993</v>
      </c>
      <c r="D3220" s="5" t="s">
        <v>17</v>
      </c>
      <c r="E3220" s="2">
        <f>IF(Tabla2[[#This Row],[Frecuencia]]="Annual", Tabla2[[#This Row],[Cosecha/Tarea]]/12,Tabla2[[#This Row],[Cosecha/Tarea]])</f>
        <v>9512.5499999999993</v>
      </c>
      <c r="F3220" s="2">
        <v>116729.95348403401</v>
      </c>
      <c r="G3220" t="s">
        <v>18</v>
      </c>
      <c r="H3220">
        <f>F3220/Tabla2[[#This Row],[Cosecha Mensual]]</f>
        <v>12.271152686086698</v>
      </c>
      <c r="I3220">
        <f>H3220*_xlfn.XLOOKUP(Tabla2[[#This Row],[Unidad de producción]],Tabla3[Medida],Tabla3[Equivalencia en Kg],"ELVIS",0)</f>
        <v>556.61948584089259</v>
      </c>
      <c r="J3220">
        <v>961.61411458333305</v>
      </c>
      <c r="K3220" t="s">
        <v>18</v>
      </c>
      <c r="L3220">
        <f>J3220/_xlfn.XLOOKUP(Tabla2[[#This Row],[Unidad de precio]],Tabla3[Medida],Tabla3[Equivalencia en Kg],"ELVIS",0)</f>
        <v>21.199605700690764</v>
      </c>
      <c r="M3220">
        <v>5858.17</v>
      </c>
      <c r="N3220" s="2">
        <f>(Tabla2[[#This Row],[Productividad (kg/TAS)]]*Tabla2[[#This Row],[Precio por kg]]-Tabla2[[#This Row],[Costos (En RD$/Tarea)]])</f>
        <v>5941.9436251481493</v>
      </c>
      <c r="O3220" s="6">
        <f>IF(Tabla2[[#This Row],[Costos (En RD$/Tarea)]]=0,0,Tabla2[[#This Row],[Beneficio Neto  (En RD$/Tarea)]]/Tabla2[[#This Row],[Costos (En RD$/Tarea)]])</f>
        <v>1.0143003062642684</v>
      </c>
      <c r="P3220" s="4">
        <f>Tabla2[[#This Row],[Rentabilidad (%)]]/12</f>
        <v>8.452502552202236E-2</v>
      </c>
    </row>
    <row r="3221" spans="1:16" x14ac:dyDescent="0.35">
      <c r="A3221" s="1">
        <v>44682</v>
      </c>
      <c r="B3221" t="s">
        <v>22</v>
      </c>
      <c r="C3221" s="2">
        <v>5036</v>
      </c>
      <c r="D3221" s="5" t="s">
        <v>17</v>
      </c>
      <c r="E3221" s="2">
        <f>IF(Tabla2[[#This Row],[Frecuencia]]="Annual", Tabla2[[#This Row],[Cosecha/Tarea]]/12,Tabla2[[#This Row],[Cosecha/Tarea]])</f>
        <v>5036</v>
      </c>
      <c r="F3221" s="2">
        <v>66246</v>
      </c>
      <c r="G3221" t="s">
        <v>18</v>
      </c>
      <c r="H3221">
        <f>F3221/Tabla2[[#This Row],[Cosecha Mensual]]</f>
        <v>13.15448768864178</v>
      </c>
      <c r="I3221">
        <f>H3221*_xlfn.XLOOKUP(Tabla2[[#This Row],[Unidad de producción]],Tabla3[Medida],Tabla3[Equivalencia en Kg],"ELVIS",0)</f>
        <v>596.68756155679114</v>
      </c>
      <c r="J3221">
        <v>1763.1119791666699</v>
      </c>
      <c r="K3221" t="s">
        <v>18</v>
      </c>
      <c r="L3221">
        <f>J3221/_xlfn.XLOOKUP(Tabla2[[#This Row],[Unidad de precio]],Tabla3[Medida],Tabla3[Equivalencia en Kg],"ELVIS",0)</f>
        <v>38.869311710023588</v>
      </c>
      <c r="M3221">
        <v>12106.08</v>
      </c>
      <c r="N3221" s="2">
        <f>(Tabla2[[#This Row],[Productividad (kg/TAS)]]*Tabla2[[#This Row],[Precio por kg]]-Tabla2[[#This Row],[Costos (En RD$/Tarea)]])</f>
        <v>11086.754823644804</v>
      </c>
      <c r="O3221" s="6">
        <f>IF(Tabla2[[#This Row],[Costos (En RD$/Tarea)]]=0,0,Tabla2[[#This Row],[Beneficio Neto  (En RD$/Tarea)]]/Tabla2[[#This Row],[Costos (En RD$/Tarea)]])</f>
        <v>0.91580055836776264</v>
      </c>
      <c r="P3221" s="4">
        <f>Tabla2[[#This Row],[Rentabilidad (%)]]/12</f>
        <v>7.6316713197313549E-2</v>
      </c>
    </row>
    <row r="3222" spans="1:16" x14ac:dyDescent="0.35">
      <c r="A3222" s="1">
        <v>44682</v>
      </c>
      <c r="B3222" t="s">
        <v>23</v>
      </c>
      <c r="C3222" s="2">
        <v>4265</v>
      </c>
      <c r="D3222" s="5" t="s">
        <v>17</v>
      </c>
      <c r="E3222" s="2">
        <f>IF(Tabla2[[#This Row],[Frecuencia]]="Annual", Tabla2[[#This Row],[Cosecha/Tarea]]/12,Tabla2[[#This Row],[Cosecha/Tarea]])</f>
        <v>4265</v>
      </c>
      <c r="F3222" s="2">
        <v>170000</v>
      </c>
      <c r="G3222" t="s">
        <v>18</v>
      </c>
      <c r="H3222">
        <f>F3222/Tabla2[[#This Row],[Cosecha Mensual]]</f>
        <v>39.859320046893316</v>
      </c>
      <c r="I3222">
        <f>H3222*_xlfn.XLOOKUP(Tabla2[[#This Row],[Unidad de producción]],Tabla3[Medida],Tabla3[Equivalencia en Kg],"ELVIS",0)</f>
        <v>1808.0187573270807</v>
      </c>
      <c r="J3222">
        <v>1128.9375</v>
      </c>
      <c r="K3222" t="s">
        <v>18</v>
      </c>
      <c r="L3222">
        <f>J3222/_xlfn.XLOOKUP(Tabla2[[#This Row],[Unidad de precio]],Tabla3[Medida],Tabla3[Equivalencia en Kg],"ELVIS",0)</f>
        <v>24.888392857142858</v>
      </c>
      <c r="M3222">
        <v>30322</v>
      </c>
      <c r="N3222" s="2">
        <f>(Tabla2[[#This Row],[Productividad (kg/TAS)]]*Tabla2[[#This Row],[Precio por kg]]-Tabla2[[#This Row],[Costos (En RD$/Tarea)]])</f>
        <v>14676.681125439623</v>
      </c>
      <c r="O3222" s="6">
        <f>IF(Tabla2[[#This Row],[Costos (En RD$/Tarea)]]=0,0,Tabla2[[#This Row],[Beneficio Neto  (En RD$/Tarea)]]/Tabla2[[#This Row],[Costos (En RD$/Tarea)]])</f>
        <v>0.48402747593956941</v>
      </c>
      <c r="P3222" s="4">
        <f>Tabla2[[#This Row],[Rentabilidad (%)]]/12</f>
        <v>4.033562299496412E-2</v>
      </c>
    </row>
    <row r="3223" spans="1:16" x14ac:dyDescent="0.35">
      <c r="A3223" s="1">
        <v>44682</v>
      </c>
      <c r="B3223" t="s">
        <v>24</v>
      </c>
      <c r="C3223" s="2">
        <v>9059</v>
      </c>
      <c r="D3223" s="5" t="s">
        <v>17</v>
      </c>
      <c r="E3223" s="2">
        <f>IF(Tabla2[[#This Row],[Frecuencia]]="Annual", Tabla2[[#This Row],[Cosecha/Tarea]]/12,Tabla2[[#This Row],[Cosecha/Tarea]])</f>
        <v>9059</v>
      </c>
      <c r="F3223" s="2">
        <v>130822</v>
      </c>
      <c r="G3223" t="s">
        <v>18</v>
      </c>
      <c r="H3223">
        <f>F3223/Tabla2[[#This Row],[Cosecha Mensual]]</f>
        <v>14.441108290098246</v>
      </c>
      <c r="I3223">
        <f>H3223*_xlfn.XLOOKUP(Tabla2[[#This Row],[Unidad de producción]],Tabla3[Medida],Tabla3[Equivalencia en Kg],"ELVIS",0)</f>
        <v>655.04867203885647</v>
      </c>
      <c r="J3223">
        <v>2565.1458333333298</v>
      </c>
      <c r="K3223" t="s">
        <v>18</v>
      </c>
      <c r="L3223">
        <f>J3223/_xlfn.XLOOKUP(Tabla2[[#This Row],[Unidad de precio]],Tabla3[Medida],Tabla3[Equivalencia en Kg],"ELVIS",0)</f>
        <v>56.550834068195101</v>
      </c>
      <c r="M3223">
        <v>16342.43</v>
      </c>
      <c r="N3223" s="2">
        <f>(Tabla2[[#This Row],[Productividad (kg/TAS)]]*Tabla2[[#This Row],[Precio por kg]]-Tabla2[[#This Row],[Costos (En RD$/Tarea)]])</f>
        <v>20701.118759060926</v>
      </c>
      <c r="O3223" s="6">
        <f>IF(Tabla2[[#This Row],[Costos (En RD$/Tarea)]]=0,0,Tabla2[[#This Row],[Beneficio Neto  (En RD$/Tarea)]]/Tabla2[[#This Row],[Costos (En RD$/Tarea)]])</f>
        <v>1.2667099543373248</v>
      </c>
      <c r="P3223" s="4">
        <f>Tabla2[[#This Row],[Rentabilidad (%)]]/12</f>
        <v>0.10555916286144373</v>
      </c>
    </row>
    <row r="3224" spans="1:16" x14ac:dyDescent="0.35">
      <c r="A3224" s="1">
        <v>44682</v>
      </c>
      <c r="B3224" t="s">
        <v>25</v>
      </c>
      <c r="C3224" s="2">
        <v>17911</v>
      </c>
      <c r="D3224" s="5" t="s">
        <v>17</v>
      </c>
      <c r="E3224" s="2">
        <f>IF(Tabla2[[#This Row],[Frecuencia]]="Annual", Tabla2[[#This Row],[Cosecha/Tarea]]/12,Tabla2[[#This Row],[Cosecha/Tarea]])</f>
        <v>17911</v>
      </c>
      <c r="F3224" s="2">
        <v>238992</v>
      </c>
      <c r="G3224" t="s">
        <v>18</v>
      </c>
      <c r="H3224">
        <f>F3224/Tabla2[[#This Row],[Cosecha Mensual]]</f>
        <v>13.343308581318743</v>
      </c>
      <c r="I3224">
        <f>H3224*_xlfn.XLOOKUP(Tabla2[[#This Row],[Unidad de producción]],Tabla3[Medida],Tabla3[Equivalencia en Kg],"ELVIS",0)</f>
        <v>605.25247724861822</v>
      </c>
      <c r="J3224">
        <v>1152.3984375</v>
      </c>
      <c r="K3224" t="s">
        <v>18</v>
      </c>
      <c r="L3224">
        <f>J3224/_xlfn.XLOOKUP(Tabla2[[#This Row],[Unidad de precio]],Tabla3[Medida],Tabla3[Equivalencia en Kg],"ELVIS",0)</f>
        <v>25.405609292328041</v>
      </c>
      <c r="M3224">
        <v>6557.61</v>
      </c>
      <c r="N3224" s="2">
        <f>(Tabla2[[#This Row],[Productividad (kg/TAS)]]*Tabla2[[#This Row],[Precio por kg]]-Tabla2[[#This Row],[Costos (En RD$/Tarea)]])</f>
        <v>8819.1979601920611</v>
      </c>
      <c r="O3224" s="6">
        <f>IF(Tabla2[[#This Row],[Costos (En RD$/Tarea)]]=0,0,Tabla2[[#This Row],[Beneficio Neto  (En RD$/Tarea)]]/Tabla2[[#This Row],[Costos (En RD$/Tarea)]])</f>
        <v>1.3448799120704131</v>
      </c>
      <c r="P3224" s="4">
        <f>Tabla2[[#This Row],[Rentabilidad (%)]]/12</f>
        <v>0.11207332600586777</v>
      </c>
    </row>
    <row r="3225" spans="1:16" x14ac:dyDescent="0.35">
      <c r="A3225" s="1">
        <v>44682</v>
      </c>
      <c r="B3225" t="s">
        <v>26</v>
      </c>
      <c r="C3225" s="2">
        <v>10751.77</v>
      </c>
      <c r="D3225" s="5" t="s">
        <v>17</v>
      </c>
      <c r="E3225" s="2">
        <f>IF(Tabla2[[#This Row],[Frecuencia]]="Annual", Tabla2[[#This Row],[Cosecha/Tarea]]/12,Tabla2[[#This Row],[Cosecha/Tarea]])</f>
        <v>10751.77</v>
      </c>
      <c r="F3225" s="2">
        <v>92379</v>
      </c>
      <c r="G3225" t="s">
        <v>18</v>
      </c>
      <c r="H3225">
        <f>F3225/Tabla2[[#This Row],[Cosecha Mensual]]</f>
        <v>8.5919806692293452</v>
      </c>
      <c r="I3225">
        <f>H3225*_xlfn.XLOOKUP(Tabla2[[#This Row],[Unidad de producción]],Tabla3[Medida],Tabla3[Equivalencia en Kg],"ELVIS",0)</f>
        <v>389.7322431562431</v>
      </c>
      <c r="J3225">
        <v>1120.0373263888901</v>
      </c>
      <c r="K3225" t="s">
        <v>18</v>
      </c>
      <c r="L3225">
        <f>J3225/_xlfn.XLOOKUP(Tabla2[[#This Row],[Unidad de precio]],Tabla3[Medida],Tabla3[Equivalencia en Kg],"ELVIS",0)</f>
        <v>24.692180916862657</v>
      </c>
      <c r="M3225">
        <v>2133.92</v>
      </c>
      <c r="N3225" s="2">
        <f>(Tabla2[[#This Row],[Productividad (kg/TAS)]]*Tabla2[[#This Row],[Precio por kg]]-Tabla2[[#This Row],[Costos (En RD$/Tarea)]])</f>
        <v>7489.4190571486633</v>
      </c>
      <c r="O3225" s="6">
        <f>IF(Tabla2[[#This Row],[Costos (En RD$/Tarea)]]=0,0,Tabla2[[#This Row],[Beneficio Neto  (En RD$/Tarea)]]/Tabla2[[#This Row],[Costos (En RD$/Tarea)]])</f>
        <v>3.5097000155341638</v>
      </c>
      <c r="P3225" s="4">
        <f>Tabla2[[#This Row],[Rentabilidad (%)]]/12</f>
        <v>0.29247500129451365</v>
      </c>
    </row>
    <row r="3226" spans="1:16" x14ac:dyDescent="0.35">
      <c r="A3226" s="1">
        <v>44682</v>
      </c>
      <c r="B3226" t="s">
        <v>27</v>
      </c>
      <c r="C3226" s="2">
        <v>2530.86</v>
      </c>
      <c r="D3226" s="5" t="s">
        <v>17</v>
      </c>
      <c r="E3226" s="2">
        <f>IF(Tabla2[[#This Row],[Frecuencia]]="Annual", Tabla2[[#This Row],[Cosecha/Tarea]]/12,Tabla2[[#This Row],[Cosecha/Tarea]])</f>
        <v>2530.86</v>
      </c>
      <c r="F3226" s="2">
        <v>41623.629999999997</v>
      </c>
      <c r="G3226" t="s">
        <v>18</v>
      </c>
      <c r="H3226">
        <f>F3226/Tabla2[[#This Row],[Cosecha Mensual]]</f>
        <v>16.446437179456783</v>
      </c>
      <c r="I3226">
        <f>H3226*_xlfn.XLOOKUP(Tabla2[[#This Row],[Unidad de producción]],Tabla3[Medida],Tabla3[Equivalencia en Kg],"ELVIS",0)</f>
        <v>746.01039046015967</v>
      </c>
      <c r="J3226">
        <v>1041.8958333333301</v>
      </c>
      <c r="K3226" t="s">
        <v>18</v>
      </c>
      <c r="L3226">
        <f>J3226/_xlfn.XLOOKUP(Tabla2[[#This Row],[Unidad de precio]],Tabla3[Medida],Tabla3[Equivalencia en Kg],"ELVIS",0)</f>
        <v>22.969484861845903</v>
      </c>
      <c r="M3226">
        <v>11717.05</v>
      </c>
      <c r="N3226" s="2">
        <f>(Tabla2[[#This Row],[Productividad (kg/TAS)]]*Tabla2[[#This Row],[Precio por kg]]-Tabla2[[#This Row],[Costos (En RD$/Tarea)]])</f>
        <v>5418.4243704543878</v>
      </c>
      <c r="O3226" s="6">
        <f>IF(Tabla2[[#This Row],[Costos (En RD$/Tarea)]]=0,0,Tabla2[[#This Row],[Beneficio Neto  (En RD$/Tarea)]]/Tabla2[[#This Row],[Costos (En RD$/Tarea)]])</f>
        <v>0.46243929747286117</v>
      </c>
      <c r="P3226" s="4">
        <f>Tabla2[[#This Row],[Rentabilidad (%)]]/12</f>
        <v>3.8536608122738431E-2</v>
      </c>
    </row>
    <row r="3227" spans="1:16" x14ac:dyDescent="0.35">
      <c r="A3227" s="1">
        <v>44682</v>
      </c>
      <c r="B3227" t="s">
        <v>28</v>
      </c>
      <c r="C3227" s="2">
        <v>13738.66</v>
      </c>
      <c r="D3227" s="5" t="s">
        <v>17</v>
      </c>
      <c r="E3227" s="2">
        <f>IF(Tabla2[[#This Row],[Frecuencia]]="Annual", Tabla2[[#This Row],[Cosecha/Tarea]]/12,Tabla2[[#This Row],[Cosecha/Tarea]])</f>
        <v>13738.66</v>
      </c>
      <c r="F3227" s="2">
        <v>482975.609806452</v>
      </c>
      <c r="G3227" t="s">
        <v>18</v>
      </c>
      <c r="H3227">
        <f>F3227/Tabla2[[#This Row],[Cosecha Mensual]]</f>
        <v>35.154491763130615</v>
      </c>
      <c r="I3227">
        <f>H3227*_xlfn.XLOOKUP(Tabla2[[#This Row],[Unidad de producción]],Tabla3[Medida],Tabla3[Equivalencia en Kg],"ELVIS",0)</f>
        <v>1594.6077463756046</v>
      </c>
      <c r="J3227">
        <v>7278.4766666666701</v>
      </c>
      <c r="K3227" t="s">
        <v>29</v>
      </c>
      <c r="L3227">
        <f>J3227/_xlfn.XLOOKUP(Tabla2[[#This Row],[Unidad de precio]],Tabla3[Medida],Tabla3[Equivalencia en Kg],"ELVIS",0)</f>
        <v>12.943195694182647</v>
      </c>
      <c r="M3227">
        <v>8552.64</v>
      </c>
      <c r="N3227" s="2">
        <f>(Tabla2[[#This Row],[Productividad (kg/TAS)]]*Tabla2[[#This Row],[Precio por kg]]-Tabla2[[#This Row],[Costos (En RD$/Tarea)]])</f>
        <v>12086.68011679902</v>
      </c>
      <c r="O3227" s="6">
        <f>IF(Tabla2[[#This Row],[Costos (En RD$/Tarea)]]=0,0,Tabla2[[#This Row],[Beneficio Neto  (En RD$/Tarea)]]/Tabla2[[#This Row],[Costos (En RD$/Tarea)]])</f>
        <v>1.4132104375723777</v>
      </c>
      <c r="P3227" s="4">
        <f>Tabla2[[#This Row],[Rentabilidad (%)]]/12</f>
        <v>0.11776753646436482</v>
      </c>
    </row>
    <row r="3228" spans="1:16" x14ac:dyDescent="0.35">
      <c r="A3228" s="1">
        <v>44682</v>
      </c>
      <c r="B3228" t="s">
        <v>30</v>
      </c>
      <c r="C3228" s="2">
        <v>531245</v>
      </c>
      <c r="D3228" s="2" t="s">
        <v>31</v>
      </c>
      <c r="E3228" s="2">
        <f>IF(Tabla2[[#This Row],[Frecuencia]]="Annual", Tabla2[[#This Row],[Cosecha/Tarea]]/12,Tabla2[[#This Row],[Cosecha/Tarea]])</f>
        <v>44270.416666666664</v>
      </c>
      <c r="F3228" s="2">
        <v>2071855.5</v>
      </c>
      <c r="G3228" t="s">
        <v>18</v>
      </c>
      <c r="H3228">
        <f>F3228/Tabla2[[#This Row],[Cosecha Mensual]]</f>
        <v>46.800000000000004</v>
      </c>
      <c r="I3228">
        <f>H3228*_xlfn.XLOOKUP(Tabla2[[#This Row],[Unidad de producción]],Tabla3[Medida],Tabla3[Equivalencia en Kg],"ELVIS",0)</f>
        <v>2122.848</v>
      </c>
      <c r="J3228">
        <v>234.197916666667</v>
      </c>
      <c r="K3228" t="s">
        <v>32</v>
      </c>
      <c r="L3228">
        <f>J3228/_xlfn.XLOOKUP(Tabla2[[#This Row],[Unidad de precio]],Tabla3[Medida],Tabla3[Equivalencia en Kg],"ELVIS",0)</f>
        <v>8.6070531667279297</v>
      </c>
      <c r="M3228" s="2">
        <v>47396.15</v>
      </c>
      <c r="N3228" s="2">
        <f>(Tabla2[[#This Row],[Productividad (kg/TAS)]]*Tabla2[[#This Row],[Precio por kg]]-Tabla2[[#This Row],[Costos (En RD$/Tarea)]])</f>
        <v>-29124.684399117948</v>
      </c>
      <c r="O3228" s="6">
        <f>IF(Tabla2[[#This Row],[Costos (En RD$/Tarea)]]=0,0,Tabla2[[#This Row],[Beneficio Neto  (En RD$/Tarea)]]/Tabla2[[#This Row],[Costos (En RD$/Tarea)]])</f>
        <v>-0.61449473003857802</v>
      </c>
      <c r="P3228" s="4">
        <f>Tabla2[[#This Row],[Rentabilidad (%)]]/12</f>
        <v>-5.1207894169881502E-2</v>
      </c>
    </row>
    <row r="3229" spans="1:16" x14ac:dyDescent="0.35">
      <c r="A3229" s="1">
        <v>44682</v>
      </c>
      <c r="B3229" t="s">
        <v>33</v>
      </c>
      <c r="C3229" s="2">
        <v>866784</v>
      </c>
      <c r="D3229" s="2" t="s">
        <v>31</v>
      </c>
      <c r="E3229" s="2">
        <f>IF(Tabla2[[#This Row],[Frecuencia]]="Annual", Tabla2[[#This Row],[Cosecha/Tarea]]/12,Tabla2[[#This Row],[Cosecha/Tarea]])</f>
        <v>72232</v>
      </c>
      <c r="F3229" s="2">
        <v>1343515.2</v>
      </c>
      <c r="G3229" t="s">
        <v>18</v>
      </c>
      <c r="H3229">
        <f>F3229/Tabla2[[#This Row],[Cosecha Mensual]]</f>
        <v>18.599999999999998</v>
      </c>
      <c r="I3229">
        <f>H3229*_xlfn.XLOOKUP(Tabla2[[#This Row],[Unidad de producción]],Tabla3[Medida],Tabla3[Equivalencia en Kg],"ELVIS",0)</f>
        <v>843.69599999999991</v>
      </c>
      <c r="J3229">
        <v>8357.625</v>
      </c>
      <c r="K3229" t="s">
        <v>34</v>
      </c>
      <c r="L3229">
        <f>J3229/_xlfn.XLOOKUP(Tabla2[[#This Row],[Unidad de precio]],Tabla3[Medida],Tabla3[Equivalencia en Kg],"ELVIS",0)</f>
        <v>20.476846747519296</v>
      </c>
      <c r="M3229" s="2">
        <v>25908.33</v>
      </c>
      <c r="N3229" s="2">
        <f>(Tabla2[[#This Row],[Productividad (kg/TAS)]]*Tabla2[[#This Row],[Precio por kg]]-Tabla2[[#This Row],[Costos (En RD$/Tarea)]])</f>
        <v>-8632.0963065049618</v>
      </c>
      <c r="O3229" s="6">
        <f>IF(Tabla2[[#This Row],[Costos (En RD$/Tarea)]]=0,0,Tabla2[[#This Row],[Beneficio Neto  (En RD$/Tarea)]]/Tabla2[[#This Row],[Costos (En RD$/Tarea)]])</f>
        <v>-0.33317841429783246</v>
      </c>
      <c r="P3229" s="4">
        <f>Tabla2[[#This Row],[Rentabilidad (%)]]/12</f>
        <v>-2.7764867858152704E-2</v>
      </c>
    </row>
    <row r="3230" spans="1:16" x14ac:dyDescent="0.35">
      <c r="A3230" s="1">
        <v>44713</v>
      </c>
      <c r="B3230" t="s">
        <v>16</v>
      </c>
      <c r="C3230" s="2">
        <v>183504</v>
      </c>
      <c r="D3230" s="5" t="s">
        <v>17</v>
      </c>
      <c r="E3230" s="2">
        <f>IF(Tabla2[[#This Row],[Frecuencia]]="Annual", Tabla2[[#This Row],[Cosecha/Tarea]]/12,Tabla2[[#This Row],[Cosecha/Tarea]])</f>
        <v>183504</v>
      </c>
      <c r="F3230" s="2">
        <v>998865</v>
      </c>
      <c r="G3230" t="s">
        <v>18</v>
      </c>
      <c r="H3230">
        <f>F3230/Tabla2[[#This Row],[Cosecha Mensual]]</f>
        <v>5.4432873397855088</v>
      </c>
      <c r="I3230">
        <f>H3230*_xlfn.XLOOKUP(Tabla2[[#This Row],[Unidad de producción]],Tabla3[Medida],Tabla3[Equivalencia en Kg],"ELVIS",0)</f>
        <v>246.90751373267068</v>
      </c>
      <c r="J3230">
        <v>2718.5665960762699</v>
      </c>
      <c r="K3230" t="s">
        <v>19</v>
      </c>
      <c r="L3230">
        <f>J3230/_xlfn.XLOOKUP(Tabla2[[#This Row],[Unidad de precio]],Tabla3[Medida],Tabla3[Equivalencia en Kg],"ELVIS",0)</f>
        <v>24.714241782511543</v>
      </c>
      <c r="M3230">
        <v>10006.778605990599</v>
      </c>
      <c r="N3230" s="2">
        <f>(Tabla2[[#This Row],[Productividad (kg/TAS)]]*Tabla2[[#This Row],[Precio por kg]]-Tabla2[[#This Row],[Costos (En RD$/Tarea)]])</f>
        <v>-3904.6466136825866</v>
      </c>
      <c r="O3230" s="6">
        <f>IF(Tabla2[[#This Row],[Costos (En RD$/Tarea)]]=0,0,Tabla2[[#This Row],[Beneficio Neto  (En RD$/Tarea)]]/Tabla2[[#This Row],[Costos (En RD$/Tarea)]])</f>
        <v>-0.39020016005401115</v>
      </c>
      <c r="P3230" s="4">
        <f>Tabla2[[#This Row],[Rentabilidad (%)]]/12</f>
        <v>-3.2516680004500927E-2</v>
      </c>
    </row>
    <row r="3231" spans="1:16" x14ac:dyDescent="0.35">
      <c r="A3231" s="1">
        <v>44713</v>
      </c>
      <c r="B3231" t="s">
        <v>20</v>
      </c>
      <c r="C3231" s="2">
        <v>40080</v>
      </c>
      <c r="D3231" s="5" t="s">
        <v>17</v>
      </c>
      <c r="E3231" s="2">
        <f>IF(Tabla2[[#This Row],[Frecuencia]]="Annual", Tabla2[[#This Row],[Cosecha/Tarea]]/12,Tabla2[[#This Row],[Cosecha/Tarea]])</f>
        <v>40080</v>
      </c>
      <c r="F3231" s="2">
        <v>129319.45</v>
      </c>
      <c r="G3231" t="s">
        <v>18</v>
      </c>
      <c r="H3231">
        <f>F3231/Tabla2[[#This Row],[Cosecha Mensual]]</f>
        <v>3.2265331836327347</v>
      </c>
      <c r="I3231">
        <f>H3231*_xlfn.XLOOKUP(Tabla2[[#This Row],[Unidad de producción]],Tabla3[Medida],Tabla3[Equivalencia en Kg],"ELVIS",0)</f>
        <v>146.35554520958084</v>
      </c>
      <c r="J3231">
        <v>1522.0958333333299</v>
      </c>
      <c r="K3231" t="s">
        <v>18</v>
      </c>
      <c r="L3231">
        <f>J3231/_xlfn.XLOOKUP(Tabla2[[#This Row],[Unidad de precio]],Tabla3[Medida],Tabla3[Equivalencia en Kg],"ELVIS",0)</f>
        <v>33.555904614932317</v>
      </c>
      <c r="M3231">
        <v>4130.0977179150004</v>
      </c>
      <c r="N3231" s="2">
        <f>(Tabla2[[#This Row],[Productividad (kg/TAS)]]*Tabla2[[#This Row],[Precio por kg]]-Tabla2[[#This Row],[Costos (En RD$/Tarea)]])</f>
        <v>780.99499700410888</v>
      </c>
      <c r="O3231" s="6">
        <f>IF(Tabla2[[#This Row],[Costos (En RD$/Tarea)]]=0,0,Tabla2[[#This Row],[Beneficio Neto  (En RD$/Tarea)]]/Tabla2[[#This Row],[Costos (En RD$/Tarea)]])</f>
        <v>0.1890984306779015</v>
      </c>
      <c r="P3231" s="4">
        <f>Tabla2[[#This Row],[Rentabilidad (%)]]/12</f>
        <v>1.5758202556491793E-2</v>
      </c>
    </row>
    <row r="3232" spans="1:16" x14ac:dyDescent="0.35">
      <c r="A3232" s="1">
        <v>44713</v>
      </c>
      <c r="B3232" t="s">
        <v>21</v>
      </c>
      <c r="C3232" s="2">
        <v>11377</v>
      </c>
      <c r="D3232" s="5" t="s">
        <v>17</v>
      </c>
      <c r="E3232" s="2">
        <f>IF(Tabla2[[#This Row],[Frecuencia]]="Annual", Tabla2[[#This Row],[Cosecha/Tarea]]/12,Tabla2[[#This Row],[Cosecha/Tarea]])</f>
        <v>11377</v>
      </c>
      <c r="F3232" s="2">
        <v>150961</v>
      </c>
      <c r="G3232" t="s">
        <v>18</v>
      </c>
      <c r="H3232">
        <f>F3232/Tabla2[[#This Row],[Cosecha Mensual]]</f>
        <v>13.268963698690341</v>
      </c>
      <c r="I3232">
        <f>H3232*_xlfn.XLOOKUP(Tabla2[[#This Row],[Unidad de producción]],Tabla3[Medida],Tabla3[Equivalencia en Kg],"ELVIS",0)</f>
        <v>601.88019337259379</v>
      </c>
      <c r="J3232">
        <v>1090.87375</v>
      </c>
      <c r="K3232" t="s">
        <v>18</v>
      </c>
      <c r="L3232">
        <f>J3232/_xlfn.XLOOKUP(Tabla2[[#This Row],[Unidad de precio]],Tabla3[Medida],Tabla3[Equivalencia en Kg],"ELVIS",0)</f>
        <v>24.049244929453263</v>
      </c>
      <c r="M3232">
        <v>5858.17</v>
      </c>
      <c r="N3232" s="2">
        <f>(Tabla2[[#This Row],[Productividad (kg/TAS)]]*Tabla2[[#This Row],[Precio por kg]]-Tabla2[[#This Row],[Costos (En RD$/Tarea)]])</f>
        <v>8616.5941886042001</v>
      </c>
      <c r="O3232" s="6">
        <f>IF(Tabla2[[#This Row],[Costos (En RD$/Tarea)]]=0,0,Tabla2[[#This Row],[Beneficio Neto  (En RD$/Tarea)]]/Tabla2[[#This Row],[Costos (En RD$/Tarea)]])</f>
        <v>1.4708678970743765</v>
      </c>
      <c r="P3232" s="4">
        <f>Tabla2[[#This Row],[Rentabilidad (%)]]/12</f>
        <v>0.12257232475619805</v>
      </c>
    </row>
    <row r="3233" spans="1:16" x14ac:dyDescent="0.35">
      <c r="A3233" s="1">
        <v>44713</v>
      </c>
      <c r="B3233" t="s">
        <v>22</v>
      </c>
      <c r="C3233" s="2">
        <v>6801.3333333333303</v>
      </c>
      <c r="D3233" s="5" t="s">
        <v>17</v>
      </c>
      <c r="E3233" s="2">
        <f>IF(Tabla2[[#This Row],[Frecuencia]]="Annual", Tabla2[[#This Row],[Cosecha/Tarea]]/12,Tabla2[[#This Row],[Cosecha/Tarea]])</f>
        <v>6801.3333333333303</v>
      </c>
      <c r="F3233" s="2">
        <v>49532</v>
      </c>
      <c r="G3233" t="s">
        <v>18</v>
      </c>
      <c r="H3233">
        <f>F3233/Tabla2[[#This Row],[Cosecha Mensual]]</f>
        <v>7.2826896686924165</v>
      </c>
      <c r="I3233">
        <f>H3233*_xlfn.XLOOKUP(Tabla2[[#This Row],[Unidad de producción]],Tabla3[Medida],Tabla3[Equivalencia en Kg],"ELVIS",0)</f>
        <v>330.34280337188801</v>
      </c>
      <c r="J3233">
        <v>1991.94444444444</v>
      </c>
      <c r="K3233" t="s">
        <v>18</v>
      </c>
      <c r="L3233">
        <f>J3233/_xlfn.XLOOKUP(Tabla2[[#This Row],[Unidad de precio]],Tabla3[Medida],Tabla3[Equivalencia en Kg],"ELVIS",0)</f>
        <v>43.91411914560053</v>
      </c>
      <c r="M3233">
        <v>12106.08</v>
      </c>
      <c r="N3233" s="2">
        <f>(Tabla2[[#This Row],[Productividad (kg/TAS)]]*Tabla2[[#This Row],[Precio por kg]]-Tabla2[[#This Row],[Costos (En RD$/Tarea)]])</f>
        <v>2400.6332261647785</v>
      </c>
      <c r="O3233" s="6">
        <f>IF(Tabla2[[#This Row],[Costos (En RD$/Tarea)]]=0,0,Tabla2[[#This Row],[Beneficio Neto  (En RD$/Tarea)]]/Tabla2[[#This Row],[Costos (En RD$/Tarea)]])</f>
        <v>0.19829979862720043</v>
      </c>
      <c r="P3233" s="4">
        <f>Tabla2[[#This Row],[Rentabilidad (%)]]/12</f>
        <v>1.6524983218933368E-2</v>
      </c>
    </row>
    <row r="3234" spans="1:16" x14ac:dyDescent="0.35">
      <c r="A3234" s="1">
        <v>44713</v>
      </c>
      <c r="B3234" t="s">
        <v>23</v>
      </c>
      <c r="C3234" s="2">
        <v>3490</v>
      </c>
      <c r="D3234" s="5" t="s">
        <v>17</v>
      </c>
      <c r="E3234" s="2">
        <f>IF(Tabla2[[#This Row],[Frecuencia]]="Annual", Tabla2[[#This Row],[Cosecha/Tarea]]/12,Tabla2[[#This Row],[Cosecha/Tarea]])</f>
        <v>3490</v>
      </c>
      <c r="F3234" s="2">
        <v>136080</v>
      </c>
      <c r="G3234" t="s">
        <v>18</v>
      </c>
      <c r="H3234">
        <f>F3234/Tabla2[[#This Row],[Cosecha Mensual]]</f>
        <v>38.99140401146132</v>
      </c>
      <c r="I3234">
        <f>H3234*_xlfn.XLOOKUP(Tabla2[[#This Row],[Unidad de producción]],Tabla3[Medida],Tabla3[Equivalencia en Kg],"ELVIS",0)</f>
        <v>1768.6500859598855</v>
      </c>
      <c r="J3234">
        <v>1050</v>
      </c>
      <c r="K3234" t="s">
        <v>18</v>
      </c>
      <c r="L3234">
        <f>J3234/_xlfn.XLOOKUP(Tabla2[[#This Row],[Unidad de precio]],Tabla3[Medida],Tabla3[Equivalencia en Kg],"ELVIS",0)</f>
        <v>23.148148148148149</v>
      </c>
      <c r="M3234">
        <v>30322</v>
      </c>
      <c r="N3234" s="2">
        <f>(Tabla2[[#This Row],[Productividad (kg/TAS)]]*Tabla2[[#This Row],[Precio por kg]]-Tabla2[[#This Row],[Costos (En RD$/Tarea)]])</f>
        <v>10618.974212034387</v>
      </c>
      <c r="O3234" s="6">
        <f>IF(Tabla2[[#This Row],[Costos (En RD$/Tarea)]]=0,0,Tabla2[[#This Row],[Beneficio Neto  (En RD$/Tarea)]]/Tabla2[[#This Row],[Costos (En RD$/Tarea)]])</f>
        <v>0.35020691946554933</v>
      </c>
      <c r="P3234" s="4">
        <f>Tabla2[[#This Row],[Rentabilidad (%)]]/12</f>
        <v>2.9183909955462443E-2</v>
      </c>
    </row>
    <row r="3235" spans="1:16" x14ac:dyDescent="0.35">
      <c r="A3235" s="1">
        <v>44713</v>
      </c>
      <c r="B3235" t="s">
        <v>24</v>
      </c>
      <c r="C3235" s="2">
        <v>7953</v>
      </c>
      <c r="D3235" s="5" t="s">
        <v>17</v>
      </c>
      <c r="E3235" s="2">
        <f>IF(Tabla2[[#This Row],[Frecuencia]]="Annual", Tabla2[[#This Row],[Cosecha/Tarea]]/12,Tabla2[[#This Row],[Cosecha/Tarea]])</f>
        <v>7953</v>
      </c>
      <c r="F3235" s="2">
        <v>110591</v>
      </c>
      <c r="G3235" t="s">
        <v>18</v>
      </c>
      <c r="H3235">
        <f>F3235/Tabla2[[#This Row],[Cosecha Mensual]]</f>
        <v>13.905570225072299</v>
      </c>
      <c r="I3235">
        <f>H3235*_xlfn.XLOOKUP(Tabla2[[#This Row],[Unidad de producción]],Tabla3[Medida],Tabla3[Equivalencia en Kg],"ELVIS",0)</f>
        <v>630.75666540927955</v>
      </c>
      <c r="J3235">
        <v>2676.5809523809498</v>
      </c>
      <c r="K3235" t="s">
        <v>18</v>
      </c>
      <c r="L3235">
        <f>J3235/_xlfn.XLOOKUP(Tabla2[[#This Row],[Unidad de precio]],Tabla3[Medida],Tabla3[Equivalencia en Kg],"ELVIS",0)</f>
        <v>59.007516586881614</v>
      </c>
      <c r="M3235">
        <v>16342.43</v>
      </c>
      <c r="N3235" s="2">
        <f>(Tabla2[[#This Row],[Productividad (kg/TAS)]]*Tabla2[[#This Row],[Precio por kg]]-Tabla2[[#This Row],[Costos (En RD$/Tarea)]])</f>
        <v>20876.954396424197</v>
      </c>
      <c r="O3235" s="6">
        <f>IF(Tabla2[[#This Row],[Costos (En RD$/Tarea)]]=0,0,Tabla2[[#This Row],[Beneficio Neto  (En RD$/Tarea)]]/Tabla2[[#This Row],[Costos (En RD$/Tarea)]])</f>
        <v>1.2774694091652341</v>
      </c>
      <c r="P3235" s="4">
        <f>Tabla2[[#This Row],[Rentabilidad (%)]]/12</f>
        <v>0.10645578409710284</v>
      </c>
    </row>
    <row r="3236" spans="1:16" x14ac:dyDescent="0.35">
      <c r="A3236" s="1">
        <v>44713</v>
      </c>
      <c r="B3236" t="s">
        <v>25</v>
      </c>
      <c r="C3236" s="2">
        <v>266392.5</v>
      </c>
      <c r="D3236" s="5" t="s">
        <v>17</v>
      </c>
      <c r="E3236" s="2">
        <f>IF(Tabla2[[#This Row],[Frecuencia]]="Annual", Tabla2[[#This Row],[Cosecha/Tarea]]/12,Tabla2[[#This Row],[Cosecha/Tarea]])</f>
        <v>266392.5</v>
      </c>
      <c r="F3236" s="2">
        <v>310385</v>
      </c>
      <c r="G3236" t="s">
        <v>18</v>
      </c>
      <c r="H3236">
        <f>F3236/Tabla2[[#This Row],[Cosecha Mensual]]</f>
        <v>1.1651416612704937</v>
      </c>
      <c r="I3236">
        <f>H3236*_xlfn.XLOOKUP(Tabla2[[#This Row],[Unidad de producción]],Tabla3[Medida],Tabla3[Equivalencia en Kg],"ELVIS",0)</f>
        <v>52.850825755229593</v>
      </c>
      <c r="J3236">
        <v>1291.5</v>
      </c>
      <c r="K3236" t="s">
        <v>18</v>
      </c>
      <c r="L3236">
        <f>J3236/_xlfn.XLOOKUP(Tabla2[[#This Row],[Unidad de precio]],Tabla3[Medida],Tabla3[Equivalencia en Kg],"ELVIS",0)</f>
        <v>28.472222222222221</v>
      </c>
      <c r="M3236">
        <v>6557.61</v>
      </c>
      <c r="N3236" s="2">
        <f>(Tabla2[[#This Row],[Productividad (kg/TAS)]]*Tabla2[[#This Row],[Precio por kg]]-Tabla2[[#This Row],[Costos (En RD$/Tarea)]])</f>
        <v>-5052.8295444691576</v>
      </c>
      <c r="O3236" s="6">
        <f>IF(Tabla2[[#This Row],[Costos (En RD$/Tarea)]]=0,0,Tabla2[[#This Row],[Beneficio Neto  (En RD$/Tarea)]]/Tabla2[[#This Row],[Costos (En RD$/Tarea)]])</f>
        <v>-0.77052913248411503</v>
      </c>
      <c r="P3236" s="4">
        <f>Tabla2[[#This Row],[Rentabilidad (%)]]/12</f>
        <v>-6.4210761040342915E-2</v>
      </c>
    </row>
    <row r="3237" spans="1:16" x14ac:dyDescent="0.35">
      <c r="A3237" s="1">
        <v>44713</v>
      </c>
      <c r="B3237" t="s">
        <v>26</v>
      </c>
      <c r="C3237" s="2">
        <v>12628</v>
      </c>
      <c r="D3237" s="5" t="s">
        <v>17</v>
      </c>
      <c r="E3237" s="2">
        <f>IF(Tabla2[[#This Row],[Frecuencia]]="Annual", Tabla2[[#This Row],[Cosecha/Tarea]]/12,Tabla2[[#This Row],[Cosecha/Tarea]])</f>
        <v>12628</v>
      </c>
      <c r="F3237" s="2">
        <v>91488.1</v>
      </c>
      <c r="G3237" t="s">
        <v>18</v>
      </c>
      <c r="H3237">
        <f>F3237/Tabla2[[#This Row],[Cosecha Mensual]]</f>
        <v>7.244860627177701</v>
      </c>
      <c r="I3237">
        <f>H3237*_xlfn.XLOOKUP(Tabla2[[#This Row],[Unidad de producción]],Tabla3[Medida],Tabla3[Equivalencia en Kg],"ELVIS",0)</f>
        <v>328.6268780487805</v>
      </c>
      <c r="J3237">
        <v>917.22422222222201</v>
      </c>
      <c r="K3237" t="s">
        <v>18</v>
      </c>
      <c r="L3237">
        <f>J3237/_xlfn.XLOOKUP(Tabla2[[#This Row],[Unidad de precio]],Tabla3[Medida],Tabla3[Equivalencia en Kg],"ELVIS",0)</f>
        <v>20.220992553399956</v>
      </c>
      <c r="M3237">
        <v>2133.92</v>
      </c>
      <c r="N3237" s="2">
        <f>(Tabla2[[#This Row],[Productividad (kg/TAS)]]*Tabla2[[#This Row],[Precio por kg]]-Tabla2[[#This Row],[Costos (En RD$/Tarea)]])</f>
        <v>4511.241653871466</v>
      </c>
      <c r="O3237" s="6">
        <f>IF(Tabla2[[#This Row],[Costos (En RD$/Tarea)]]=0,0,Tabla2[[#This Row],[Beneficio Neto  (En RD$/Tarea)]]/Tabla2[[#This Row],[Costos (En RD$/Tarea)]])</f>
        <v>2.1140631578838316</v>
      </c>
      <c r="P3237" s="4">
        <f>Tabla2[[#This Row],[Rentabilidad (%)]]/12</f>
        <v>0.17617192982365262</v>
      </c>
    </row>
    <row r="3238" spans="1:16" x14ac:dyDescent="0.35">
      <c r="A3238" s="1">
        <v>44713</v>
      </c>
      <c r="B3238" t="s">
        <v>27</v>
      </c>
      <c r="C3238" s="2">
        <v>6810</v>
      </c>
      <c r="D3238" s="5" t="s">
        <v>17</v>
      </c>
      <c r="E3238" s="2">
        <f>IF(Tabla2[[#This Row],[Frecuencia]]="Annual", Tabla2[[#This Row],[Cosecha/Tarea]]/12,Tabla2[[#This Row],[Cosecha/Tarea]])</f>
        <v>6810</v>
      </c>
      <c r="F3238" s="2">
        <v>36757.35</v>
      </c>
      <c r="G3238" t="s">
        <v>18</v>
      </c>
      <c r="H3238">
        <f>F3238/Tabla2[[#This Row],[Cosecha Mensual]]</f>
        <v>5.3975550660792946</v>
      </c>
      <c r="I3238">
        <f>H3238*_xlfn.XLOOKUP(Tabla2[[#This Row],[Unidad de producción]],Tabla3[Medida],Tabla3[Equivalencia en Kg],"ELVIS",0)</f>
        <v>244.8330977973568</v>
      </c>
      <c r="J3238">
        <v>1097.7521428571399</v>
      </c>
      <c r="K3238" t="s">
        <v>18</v>
      </c>
      <c r="L3238">
        <f>J3238/_xlfn.XLOOKUP(Tabla2[[#This Row],[Unidad de precio]],Tabla3[Medida],Tabla3[Equivalencia en Kg],"ELVIS",0)</f>
        <v>24.200884983623013</v>
      </c>
      <c r="M3238">
        <v>11717.05</v>
      </c>
      <c r="N3238" s="2">
        <f>(Tabla2[[#This Row],[Productividad (kg/TAS)]]*Tabla2[[#This Row],[Precio por kg]]-Tabla2[[#This Row],[Costos (En RD$/Tarea)]])</f>
        <v>-5791.8723600220428</v>
      </c>
      <c r="O3238" s="6">
        <f>IF(Tabla2[[#This Row],[Costos (En RD$/Tarea)]]=0,0,Tabla2[[#This Row],[Beneficio Neto  (En RD$/Tarea)]]/Tabla2[[#This Row],[Costos (En RD$/Tarea)]])</f>
        <v>-0.4943114828409918</v>
      </c>
      <c r="P3238" s="4">
        <f>Tabla2[[#This Row],[Rentabilidad (%)]]/12</f>
        <v>-4.1192623570082652E-2</v>
      </c>
    </row>
    <row r="3239" spans="1:16" x14ac:dyDescent="0.35">
      <c r="A3239" s="1">
        <v>44713</v>
      </c>
      <c r="B3239" t="s">
        <v>28</v>
      </c>
      <c r="C3239" s="2">
        <v>46218.333333333299</v>
      </c>
      <c r="D3239" s="5" t="s">
        <v>17</v>
      </c>
      <c r="E3239" s="2">
        <f>IF(Tabla2[[#This Row],[Frecuencia]]="Annual", Tabla2[[#This Row],[Cosecha/Tarea]]/12,Tabla2[[#This Row],[Cosecha/Tarea]])</f>
        <v>46218.333333333299</v>
      </c>
      <c r="F3239" s="2">
        <v>1306968</v>
      </c>
      <c r="G3239" t="s">
        <v>18</v>
      </c>
      <c r="H3239">
        <f>F3239/Tabla2[[#This Row],[Cosecha Mensual]]</f>
        <v>28.278129169521495</v>
      </c>
      <c r="I3239">
        <f>H3239*_xlfn.XLOOKUP(Tabla2[[#This Row],[Unidad de producción]],Tabla3[Medida],Tabla3[Equivalencia en Kg],"ELVIS",0)</f>
        <v>1282.6959391294949</v>
      </c>
      <c r="J3239">
        <v>7625</v>
      </c>
      <c r="K3239" t="s">
        <v>29</v>
      </c>
      <c r="L3239">
        <f>J3239/_xlfn.XLOOKUP(Tabla2[[#This Row],[Unidad de precio]],Tabla3[Medida],Tabla3[Equivalencia en Kg],"ELVIS",0)</f>
        <v>13.559412455098338</v>
      </c>
      <c r="M3239">
        <v>8552.64</v>
      </c>
      <c r="N3239" s="2">
        <f>(Tabla2[[#This Row],[Productividad (kg/TAS)]]*Tabla2[[#This Row],[Precio por kg]]-Tabla2[[#This Row],[Costos (En RD$/Tarea)]])</f>
        <v>8839.963293136534</v>
      </c>
      <c r="O3239" s="6">
        <f>IF(Tabla2[[#This Row],[Costos (En RD$/Tarea)]]=0,0,Tabla2[[#This Row],[Beneficio Neto  (En RD$/Tarea)]]/Tabla2[[#This Row],[Costos (En RD$/Tarea)]])</f>
        <v>1.0335946904273459</v>
      </c>
      <c r="P3239" s="4">
        <f>Tabla2[[#This Row],[Rentabilidad (%)]]/12</f>
        <v>8.6132890868945489E-2</v>
      </c>
    </row>
    <row r="3240" spans="1:16" x14ac:dyDescent="0.35">
      <c r="A3240" s="1">
        <v>44713</v>
      </c>
      <c r="B3240" t="s">
        <v>30</v>
      </c>
      <c r="C3240" s="2">
        <v>512463.57500312402</v>
      </c>
      <c r="D3240" s="2" t="s">
        <v>31</v>
      </c>
      <c r="E3240" s="2">
        <f>IF(Tabla2[[#This Row],[Frecuencia]]="Annual", Tabla2[[#This Row],[Cosecha/Tarea]]/12,Tabla2[[#This Row],[Cosecha/Tarea]])</f>
        <v>42705.297916927004</v>
      </c>
      <c r="F3240" s="2">
        <v>2456627.0478360602</v>
      </c>
      <c r="G3240" t="s">
        <v>18</v>
      </c>
      <c r="H3240">
        <f>F3240/Tabla2[[#This Row],[Cosecha Mensual]]</f>
        <v>57.525112050847731</v>
      </c>
      <c r="I3240">
        <f>H3240*_xlfn.XLOOKUP(Tabla2[[#This Row],[Unidad de producción]],Tabla3[Medida],Tabla3[Equivalencia en Kg],"ELVIS",0)</f>
        <v>2609.3390826264531</v>
      </c>
      <c r="J3240">
        <v>242.994791666667</v>
      </c>
      <c r="K3240" t="s">
        <v>32</v>
      </c>
      <c r="L3240">
        <f>J3240/_xlfn.XLOOKUP(Tabla2[[#This Row],[Unidad de precio]],Tabla3[Medida],Tabla3[Equivalencia en Kg],"ELVIS",0)</f>
        <v>8.9303488300869898</v>
      </c>
      <c r="M3240" s="2">
        <v>47396.15</v>
      </c>
      <c r="N3240" s="2">
        <f>(Tabla2[[#This Row],[Productividad (kg/TAS)]]*Tabla2[[#This Row],[Precio por kg]]-Tabla2[[#This Row],[Costos (En RD$/Tarea)]])</f>
        <v>-24093.841776166599</v>
      </c>
      <c r="O3240" s="6">
        <f>IF(Tabla2[[#This Row],[Costos (En RD$/Tarea)]]=0,0,Tabla2[[#This Row],[Beneficio Neto  (En RD$/Tarea)]]/Tabla2[[#This Row],[Costos (En RD$/Tarea)]])</f>
        <v>-0.50835018827830103</v>
      </c>
      <c r="P3240" s="4">
        <f>Tabla2[[#This Row],[Rentabilidad (%)]]/12</f>
        <v>-4.2362515689858417E-2</v>
      </c>
    </row>
    <row r="3241" spans="1:16" x14ac:dyDescent="0.35">
      <c r="A3241" s="1">
        <v>44713</v>
      </c>
      <c r="B3241" t="s">
        <v>33</v>
      </c>
      <c r="C3241" s="2">
        <v>803065.16666666698</v>
      </c>
      <c r="D3241" s="2" t="s">
        <v>31</v>
      </c>
      <c r="E3241" s="2">
        <f>IF(Tabla2[[#This Row],[Frecuencia]]="Annual", Tabla2[[#This Row],[Cosecha/Tarea]]/12,Tabla2[[#This Row],[Cosecha/Tarea]])</f>
        <v>66922.097222222248</v>
      </c>
      <c r="F3241" s="2">
        <v>1630122.66</v>
      </c>
      <c r="G3241" t="s">
        <v>18</v>
      </c>
      <c r="H3241">
        <f>F3241/Tabla2[[#This Row],[Cosecha Mensual]]</f>
        <v>24.358511278972575</v>
      </c>
      <c r="I3241">
        <f>H3241*_xlfn.XLOOKUP(Tabla2[[#This Row],[Unidad de producción]],Tabla3[Medida],Tabla3[Equivalencia en Kg],"ELVIS",0)</f>
        <v>1104.9020716141961</v>
      </c>
      <c r="J3241">
        <v>9009.7562500000004</v>
      </c>
      <c r="K3241" t="s">
        <v>34</v>
      </c>
      <c r="L3241">
        <f>J3241/_xlfn.XLOOKUP(Tabla2[[#This Row],[Unidad de precio]],Tabla3[Medida],Tabla3[Equivalencia en Kg],"ELVIS",0)</f>
        <v>22.074620237657726</v>
      </c>
      <c r="M3241" s="2">
        <v>25908.33</v>
      </c>
      <c r="N3241" s="2">
        <f>(Tabla2[[#This Row],[Productividad (kg/TAS)]]*Tabla2[[#This Row],[Precio por kg]]-Tabla2[[#This Row],[Costos (En RD$/Tarea)]])</f>
        <v>-1518.0363693153231</v>
      </c>
      <c r="O3241" s="6">
        <f>IF(Tabla2[[#This Row],[Costos (En RD$/Tarea)]]=0,0,Tabla2[[#This Row],[Beneficio Neto  (En RD$/Tarea)]]/Tabla2[[#This Row],[Costos (En RD$/Tarea)]])</f>
        <v>-5.8592598184264405E-2</v>
      </c>
      <c r="P3241" s="4">
        <f>Tabla2[[#This Row],[Rentabilidad (%)]]/12</f>
        <v>-4.8827165153553674E-3</v>
      </c>
    </row>
    <row r="3242" spans="1:16" x14ac:dyDescent="0.35">
      <c r="A3242" s="1">
        <v>44743</v>
      </c>
      <c r="B3242" t="s">
        <v>16</v>
      </c>
      <c r="C3242" s="2">
        <v>156175</v>
      </c>
      <c r="D3242" s="5" t="s">
        <v>17</v>
      </c>
      <c r="E3242" s="2">
        <f>IF(Tabla2[[#This Row],[Frecuencia]]="Annual", Tabla2[[#This Row],[Cosecha/Tarea]]/12,Tabla2[[#This Row],[Cosecha/Tarea]])</f>
        <v>156175</v>
      </c>
      <c r="F3242" s="2">
        <v>752763.5</v>
      </c>
      <c r="G3242" t="s">
        <v>18</v>
      </c>
      <c r="H3242">
        <f>F3242/Tabla2[[#This Row],[Cosecha Mensual]]</f>
        <v>4.82</v>
      </c>
      <c r="I3242">
        <f>H3242*_xlfn.XLOOKUP(Tabla2[[#This Row],[Unidad de producción]],Tabla3[Medida],Tabla3[Equivalencia en Kg],"ELVIS",0)</f>
        <v>218.6352</v>
      </c>
      <c r="J3242">
        <v>2658.9189868292401</v>
      </c>
      <c r="K3242" t="s">
        <v>19</v>
      </c>
      <c r="L3242">
        <f>J3242/_xlfn.XLOOKUP(Tabla2[[#This Row],[Unidad de precio]],Tabla3[Medida],Tabla3[Equivalencia en Kg],"ELVIS",0)</f>
        <v>24.171990789356727</v>
      </c>
      <c r="M3242">
        <v>10006.778605990599</v>
      </c>
      <c r="N3242" s="2">
        <f>(Tabla2[[#This Row],[Productividad (kg/TAS)]]*Tabla2[[#This Row],[Precio por kg]]-Tabla2[[#This Row],[Costos (En RD$/Tarea)]])</f>
        <v>-4721.9305653614338</v>
      </c>
      <c r="O3242" s="6">
        <f>IF(Tabla2[[#This Row],[Costos (En RD$/Tarea)]]=0,0,Tabla2[[#This Row],[Beneficio Neto  (En RD$/Tarea)]]/Tabla2[[#This Row],[Costos (En RD$/Tarea)]])</f>
        <v>-0.47187319229133645</v>
      </c>
      <c r="P3242" s="4">
        <f>Tabla2[[#This Row],[Rentabilidad (%)]]/12</f>
        <v>-3.932276602427804E-2</v>
      </c>
    </row>
    <row r="3243" spans="1:16" x14ac:dyDescent="0.35">
      <c r="A3243" s="1">
        <v>44743</v>
      </c>
      <c r="B3243" t="s">
        <v>20</v>
      </c>
      <c r="C3243" s="2">
        <v>50725</v>
      </c>
      <c r="D3243" s="5" t="s">
        <v>17</v>
      </c>
      <c r="E3243" s="2">
        <f>IF(Tabla2[[#This Row],[Frecuencia]]="Annual", Tabla2[[#This Row],[Cosecha/Tarea]]/12,Tabla2[[#This Row],[Cosecha/Tarea]])</f>
        <v>50725</v>
      </c>
      <c r="F3243" s="2">
        <v>123699.51</v>
      </c>
      <c r="G3243" t="s">
        <v>18</v>
      </c>
      <c r="H3243">
        <f>F3243/Tabla2[[#This Row],[Cosecha Mensual]]</f>
        <v>2.4386300640709706</v>
      </c>
      <c r="I3243">
        <f>H3243*_xlfn.XLOOKUP(Tabla2[[#This Row],[Unidad de producción]],Tabla3[Medida],Tabla3[Equivalencia en Kg],"ELVIS",0)</f>
        <v>110.61625970625923</v>
      </c>
      <c r="J3243">
        <v>1296.1848958333301</v>
      </c>
      <c r="K3243" t="s">
        <v>18</v>
      </c>
      <c r="L3243">
        <f>J3243/_xlfn.XLOOKUP(Tabla2[[#This Row],[Unidad de precio]],Tabla3[Medida],Tabla3[Equivalencia en Kg],"ELVIS",0)</f>
        <v>28.57550475823038</v>
      </c>
      <c r="M3243">
        <v>4130.0977179150004</v>
      </c>
      <c r="N3243" s="2">
        <f>(Tabla2[[#This Row],[Productividad (kg/TAS)]]*Tabla2[[#This Row],[Precio por kg]]-Tabla2[[#This Row],[Costos (En RD$/Tarea)]])</f>
        <v>-969.18226234114218</v>
      </c>
      <c r="O3243" s="6">
        <f>IF(Tabla2[[#This Row],[Costos (En RD$/Tarea)]]=0,0,Tabla2[[#This Row],[Beneficio Neto  (En RD$/Tarea)]]/Tabla2[[#This Row],[Costos (En RD$/Tarea)]])</f>
        <v>-0.23466327640073731</v>
      </c>
      <c r="P3243" s="4">
        <f>Tabla2[[#This Row],[Rentabilidad (%)]]/12</f>
        <v>-1.9555273033394775E-2</v>
      </c>
    </row>
    <row r="3244" spans="1:16" x14ac:dyDescent="0.35">
      <c r="A3244" s="1">
        <v>44743</v>
      </c>
      <c r="B3244" t="s">
        <v>21</v>
      </c>
      <c r="C3244" s="2">
        <v>10602</v>
      </c>
      <c r="D3244" s="5" t="s">
        <v>17</v>
      </c>
      <c r="E3244" s="2">
        <f>IF(Tabla2[[#This Row],[Frecuencia]]="Annual", Tabla2[[#This Row],[Cosecha/Tarea]]/12,Tabla2[[#This Row],[Cosecha/Tarea]])</f>
        <v>10602</v>
      </c>
      <c r="F3244" s="2">
        <v>112209</v>
      </c>
      <c r="G3244" t="s">
        <v>18</v>
      </c>
      <c r="H3244">
        <f>F3244/Tabla2[[#This Row],[Cosecha Mensual]]</f>
        <v>10.58375778155065</v>
      </c>
      <c r="I3244">
        <f>H3244*_xlfn.XLOOKUP(Tabla2[[#This Row],[Unidad de producción]],Tabla3[Medida],Tabla3[Equivalencia en Kg],"ELVIS",0)</f>
        <v>480.07925297113746</v>
      </c>
      <c r="J3244">
        <v>1007.27734375</v>
      </c>
      <c r="K3244" t="s">
        <v>18</v>
      </c>
      <c r="L3244">
        <f>J3244/_xlfn.XLOOKUP(Tabla2[[#This Row],[Unidad de precio]],Tabla3[Medida],Tabla3[Equivalencia en Kg],"ELVIS",0)</f>
        <v>22.206290647045854</v>
      </c>
      <c r="M3244">
        <v>5858.17</v>
      </c>
      <c r="N3244" s="2">
        <f>(Tabla2[[#This Row],[Productividad (kg/TAS)]]*Tabla2[[#This Row],[Precio por kg]]-Tabla2[[#This Row],[Costos (En RD$/Tarea)]])</f>
        <v>4802.6094250937313</v>
      </c>
      <c r="O3244" s="6">
        <f>IF(Tabla2[[#This Row],[Costos (En RD$/Tarea)]]=0,0,Tabla2[[#This Row],[Beneficio Neto  (En RD$/Tarea)]]/Tabla2[[#This Row],[Costos (En RD$/Tarea)]])</f>
        <v>0.81981393935200431</v>
      </c>
      <c r="P3244" s="4">
        <f>Tabla2[[#This Row],[Rentabilidad (%)]]/12</f>
        <v>6.8317828279333692E-2</v>
      </c>
    </row>
    <row r="3245" spans="1:16" x14ac:dyDescent="0.35">
      <c r="A3245" s="1">
        <v>44743</v>
      </c>
      <c r="B3245" t="s">
        <v>22</v>
      </c>
      <c r="C3245" s="2">
        <v>5045</v>
      </c>
      <c r="D3245" s="5" t="s">
        <v>17</v>
      </c>
      <c r="E3245" s="2">
        <f>IF(Tabla2[[#This Row],[Frecuencia]]="Annual", Tabla2[[#This Row],[Cosecha/Tarea]]/12,Tabla2[[#This Row],[Cosecha/Tarea]])</f>
        <v>5045</v>
      </c>
      <c r="F3245" s="2">
        <v>57554</v>
      </c>
      <c r="G3245" t="s">
        <v>18</v>
      </c>
      <c r="H3245">
        <f>F3245/Tabla2[[#This Row],[Cosecha Mensual]]</f>
        <v>11.408126858275521</v>
      </c>
      <c r="I3245">
        <f>H3245*_xlfn.XLOOKUP(Tabla2[[#This Row],[Unidad de producción]],Tabla3[Medida],Tabla3[Equivalencia en Kg],"ELVIS",0)</f>
        <v>517.47263429137763</v>
      </c>
      <c r="J3245">
        <v>2020.625</v>
      </c>
      <c r="K3245" t="s">
        <v>18</v>
      </c>
      <c r="L3245">
        <f>J3245/_xlfn.XLOOKUP(Tabla2[[#This Row],[Unidad de precio]],Tabla3[Medida],Tabla3[Equivalencia en Kg],"ELVIS",0)</f>
        <v>44.54640652557319</v>
      </c>
      <c r="M3245">
        <v>12106.08</v>
      </c>
      <c r="N3245" s="2">
        <f>(Tabla2[[#This Row],[Productividad (kg/TAS)]]*Tabla2[[#This Row],[Precio por kg]]-Tabla2[[#This Row],[Costos (En RD$/Tarea)]])</f>
        <v>10945.466333002974</v>
      </c>
      <c r="O3245" s="6">
        <f>IF(Tabla2[[#This Row],[Costos (En RD$/Tarea)]]=0,0,Tabla2[[#This Row],[Beneficio Neto  (En RD$/Tarea)]]/Tabla2[[#This Row],[Costos (En RD$/Tarea)]])</f>
        <v>0.90412968797521365</v>
      </c>
      <c r="P3245" s="4">
        <f>Tabla2[[#This Row],[Rentabilidad (%)]]/12</f>
        <v>7.5344140664601142E-2</v>
      </c>
    </row>
    <row r="3246" spans="1:16" x14ac:dyDescent="0.35">
      <c r="A3246" s="1">
        <v>44743</v>
      </c>
      <c r="B3246" t="s">
        <v>23</v>
      </c>
      <c r="C3246" s="2">
        <v>4046</v>
      </c>
      <c r="D3246" s="5" t="s">
        <v>17</v>
      </c>
      <c r="E3246" s="2">
        <f>IF(Tabla2[[#This Row],[Frecuencia]]="Annual", Tabla2[[#This Row],[Cosecha/Tarea]]/12,Tabla2[[#This Row],[Cosecha/Tarea]])</f>
        <v>4046</v>
      </c>
      <c r="F3246" s="2">
        <v>159380</v>
      </c>
      <c r="G3246" t="s">
        <v>18</v>
      </c>
      <c r="H3246">
        <f>F3246/Tabla2[[#This Row],[Cosecha Mensual]]</f>
        <v>39.391992090954027</v>
      </c>
      <c r="I3246">
        <f>H3246*_xlfn.XLOOKUP(Tabla2[[#This Row],[Unidad de producción]],Tabla3[Medida],Tabla3[Equivalencia en Kg],"ELVIS",0)</f>
        <v>1786.8207612456747</v>
      </c>
      <c r="J3246">
        <v>1194</v>
      </c>
      <c r="K3246" t="s">
        <v>18</v>
      </c>
      <c r="L3246">
        <f>J3246/_xlfn.XLOOKUP(Tabla2[[#This Row],[Unidad de precio]],Tabla3[Medida],Tabla3[Equivalencia en Kg],"ELVIS",0)</f>
        <v>26.322751322751323</v>
      </c>
      <c r="M3246">
        <v>30322</v>
      </c>
      <c r="N3246" s="2">
        <f>(Tabla2[[#This Row],[Productividad (kg/TAS)]]*Tabla2[[#This Row],[Precio por kg]]-Tabla2[[#This Row],[Costos (En RD$/Tarea)]])</f>
        <v>16712.038556599109</v>
      </c>
      <c r="O3246" s="6">
        <f>IF(Tabla2[[#This Row],[Costos (En RD$/Tarea)]]=0,0,Tabla2[[#This Row],[Beneficio Neto  (En RD$/Tarea)]]/Tabla2[[#This Row],[Costos (En RD$/Tarea)]])</f>
        <v>0.55115225105860788</v>
      </c>
      <c r="P3246" s="4">
        <f>Tabla2[[#This Row],[Rentabilidad (%)]]/12</f>
        <v>4.5929354254883988E-2</v>
      </c>
    </row>
    <row r="3247" spans="1:16" x14ac:dyDescent="0.35">
      <c r="A3247" s="1">
        <v>44743</v>
      </c>
      <c r="B3247" t="s">
        <v>24</v>
      </c>
      <c r="C3247" s="2">
        <v>7783</v>
      </c>
      <c r="D3247" s="5" t="s">
        <v>17</v>
      </c>
      <c r="E3247" s="2">
        <f>IF(Tabla2[[#This Row],[Frecuencia]]="Annual", Tabla2[[#This Row],[Cosecha/Tarea]]/12,Tabla2[[#This Row],[Cosecha/Tarea]])</f>
        <v>7783</v>
      </c>
      <c r="F3247" s="2">
        <v>102943</v>
      </c>
      <c r="G3247" t="s">
        <v>18</v>
      </c>
      <c r="H3247">
        <f>F3247/Tabla2[[#This Row],[Cosecha Mensual]]</f>
        <v>13.226647822176538</v>
      </c>
      <c r="I3247">
        <f>H3247*_xlfn.XLOOKUP(Tabla2[[#This Row],[Unidad de producción]],Tabla3[Medida],Tabla3[Equivalencia en Kg],"ELVIS",0)</f>
        <v>599.96074521392779</v>
      </c>
      <c r="J3247">
        <v>2886.1904761904798</v>
      </c>
      <c r="K3247" t="s">
        <v>18</v>
      </c>
      <c r="L3247">
        <f>J3247/_xlfn.XLOOKUP(Tabla2[[#This Row],[Unidad de precio]],Tabla3[Medida],Tabla3[Equivalencia en Kg],"ELVIS",0)</f>
        <v>63.628537834887119</v>
      </c>
      <c r="M3247">
        <v>16342.43</v>
      </c>
      <c r="N3247" s="2">
        <f>(Tabla2[[#This Row],[Productividad (kg/TAS)]]*Tabla2[[#This Row],[Precio por kg]]-Tabla2[[#This Row],[Costos (En RD$/Tarea)]])</f>
        <v>21832.194976291474</v>
      </c>
      <c r="O3247" s="6">
        <f>IF(Tabla2[[#This Row],[Costos (En RD$/Tarea)]]=0,0,Tabla2[[#This Row],[Beneficio Neto  (En RD$/Tarea)]]/Tabla2[[#This Row],[Costos (En RD$/Tarea)]])</f>
        <v>1.3359209723579342</v>
      </c>
      <c r="P3247" s="4">
        <f>Tabla2[[#This Row],[Rentabilidad (%)]]/12</f>
        <v>0.11132674769649452</v>
      </c>
    </row>
    <row r="3248" spans="1:16" x14ac:dyDescent="0.35">
      <c r="A3248" s="1">
        <v>44743</v>
      </c>
      <c r="B3248" t="s">
        <v>25</v>
      </c>
      <c r="C3248" s="2">
        <v>34324</v>
      </c>
      <c r="D3248" s="5" t="s">
        <v>17</v>
      </c>
      <c r="E3248" s="2">
        <f>IF(Tabla2[[#This Row],[Frecuencia]]="Annual", Tabla2[[#This Row],[Cosecha/Tarea]]/12,Tabla2[[#This Row],[Cosecha/Tarea]])</f>
        <v>34324</v>
      </c>
      <c r="F3248" s="2">
        <v>411888</v>
      </c>
      <c r="G3248" t="s">
        <v>18</v>
      </c>
      <c r="H3248">
        <f>F3248/Tabla2[[#This Row],[Cosecha Mensual]]</f>
        <v>12</v>
      </c>
      <c r="I3248">
        <f>H3248*_xlfn.XLOOKUP(Tabla2[[#This Row],[Unidad de producción]],Tabla3[Medida],Tabla3[Equivalencia en Kg],"ELVIS",0)</f>
        <v>544.31999999999994</v>
      </c>
      <c r="J3248">
        <v>1403.1640625</v>
      </c>
      <c r="K3248" t="s">
        <v>18</v>
      </c>
      <c r="L3248">
        <f>J3248/_xlfn.XLOOKUP(Tabla2[[#This Row],[Unidad de precio]],Tabla3[Medida],Tabla3[Equivalencia en Kg],"ELVIS",0)</f>
        <v>30.933951995149911</v>
      </c>
      <c r="M3248">
        <v>6557.61</v>
      </c>
      <c r="N3248" s="2">
        <f>(Tabla2[[#This Row],[Productividad (kg/TAS)]]*Tabla2[[#This Row],[Precio por kg]]-Tabla2[[#This Row],[Costos (En RD$/Tarea)]])</f>
        <v>10280.358749999996</v>
      </c>
      <c r="O3248" s="6">
        <f>IF(Tabla2[[#This Row],[Costos (En RD$/Tarea)]]=0,0,Tabla2[[#This Row],[Beneficio Neto  (En RD$/Tarea)]]/Tabla2[[#This Row],[Costos (En RD$/Tarea)]])</f>
        <v>1.5676990168674252</v>
      </c>
      <c r="P3248" s="4">
        <f>Tabla2[[#This Row],[Rentabilidad (%)]]/12</f>
        <v>0.1306415847389521</v>
      </c>
    </row>
    <row r="3249" spans="1:16" x14ac:dyDescent="0.35">
      <c r="A3249" s="1">
        <v>44743</v>
      </c>
      <c r="B3249" t="s">
        <v>26</v>
      </c>
      <c r="C3249" s="2">
        <v>10413</v>
      </c>
      <c r="D3249" s="5" t="s">
        <v>17</v>
      </c>
      <c r="E3249" s="2">
        <f>IF(Tabla2[[#This Row],[Frecuencia]]="Annual", Tabla2[[#This Row],[Cosecha/Tarea]]/12,Tabla2[[#This Row],[Cosecha/Tarea]])</f>
        <v>10413</v>
      </c>
      <c r="F3249" s="2">
        <v>109853</v>
      </c>
      <c r="G3249" t="s">
        <v>18</v>
      </c>
      <c r="H3249">
        <f>F3249/Tabla2[[#This Row],[Cosecha Mensual]]</f>
        <v>10.54960145971382</v>
      </c>
      <c r="I3249">
        <f>H3249*_xlfn.XLOOKUP(Tabla2[[#This Row],[Unidad de producción]],Tabla3[Medida],Tabla3[Equivalencia en Kg],"ELVIS",0)</f>
        <v>478.52992221261889</v>
      </c>
      <c r="J3249">
        <v>1155.6310763888901</v>
      </c>
      <c r="K3249" t="s">
        <v>18</v>
      </c>
      <c r="L3249">
        <f>J3249/_xlfn.XLOOKUP(Tabla2[[#This Row],[Unidad de precio]],Tabla3[Medida],Tabla3[Equivalencia en Kg],"ELVIS",0)</f>
        <v>25.476875581765654</v>
      </c>
      <c r="M3249">
        <v>2133.92</v>
      </c>
      <c r="N3249" s="2">
        <f>(Tabla2[[#This Row],[Productividad (kg/TAS)]]*Tabla2[[#This Row],[Precio por kg]]-Tabla2[[#This Row],[Costos (En RD$/Tarea)]])</f>
        <v>10057.527290362888</v>
      </c>
      <c r="O3249" s="6">
        <f>IF(Tabla2[[#This Row],[Costos (En RD$/Tarea)]]=0,0,Tabla2[[#This Row],[Beneficio Neto  (En RD$/Tarea)]]/Tabla2[[#This Row],[Costos (En RD$/Tarea)]])</f>
        <v>4.7131697956637959</v>
      </c>
      <c r="P3249" s="4">
        <f>Tabla2[[#This Row],[Rentabilidad (%)]]/12</f>
        <v>0.39276414963864964</v>
      </c>
    </row>
    <row r="3250" spans="1:16" x14ac:dyDescent="0.35">
      <c r="A3250" s="1">
        <v>44743</v>
      </c>
      <c r="B3250" t="s">
        <v>27</v>
      </c>
      <c r="C3250" s="2">
        <v>6189</v>
      </c>
      <c r="D3250" s="5" t="s">
        <v>17</v>
      </c>
      <c r="E3250" s="2">
        <f>IF(Tabla2[[#This Row],[Frecuencia]]="Annual", Tabla2[[#This Row],[Cosecha/Tarea]]/12,Tabla2[[#This Row],[Cosecha/Tarea]])</f>
        <v>6189</v>
      </c>
      <c r="F3250" s="2">
        <v>62224.013393736503</v>
      </c>
      <c r="G3250" t="s">
        <v>18</v>
      </c>
      <c r="H3250">
        <f>F3250/Tabla2[[#This Row],[Cosecha Mensual]]</f>
        <v>10.053968879259413</v>
      </c>
      <c r="I3250">
        <f>H3250*_xlfn.XLOOKUP(Tabla2[[#This Row],[Unidad de producción]],Tabla3[Medida],Tabla3[Equivalencia en Kg],"ELVIS",0)</f>
        <v>456.04802836320698</v>
      </c>
      <c r="J3250">
        <v>1075.8541666666699</v>
      </c>
      <c r="K3250" t="s">
        <v>18</v>
      </c>
      <c r="L3250">
        <f>J3250/_xlfn.XLOOKUP(Tabla2[[#This Row],[Unidad de precio]],Tabla3[Medida],Tabla3[Equivalencia en Kg],"ELVIS",0)</f>
        <v>23.718125367430996</v>
      </c>
      <c r="M3250">
        <v>11717.05</v>
      </c>
      <c r="N3250" s="2">
        <f>(Tabla2[[#This Row],[Productividad (kg/TAS)]]*Tabla2[[#This Row],[Precio por kg]]-Tabla2[[#This Row],[Costos (En RD$/Tarea)]])</f>
        <v>-900.44568971172885</v>
      </c>
      <c r="O3250" s="6">
        <f>IF(Tabla2[[#This Row],[Costos (En RD$/Tarea)]]=0,0,Tabla2[[#This Row],[Beneficio Neto  (En RD$/Tarea)]]/Tabla2[[#This Row],[Costos (En RD$/Tarea)]])</f>
        <v>-7.6849180443177151E-2</v>
      </c>
      <c r="P3250" s="4">
        <f>Tabla2[[#This Row],[Rentabilidad (%)]]/12</f>
        <v>-6.4040983702647629E-3</v>
      </c>
    </row>
    <row r="3251" spans="1:16" x14ac:dyDescent="0.35">
      <c r="A3251" s="1">
        <v>44743</v>
      </c>
      <c r="B3251" t="s">
        <v>28</v>
      </c>
      <c r="C3251" s="2">
        <v>40500</v>
      </c>
      <c r="D3251" s="5" t="s">
        <v>17</v>
      </c>
      <c r="E3251" s="2">
        <f>IF(Tabla2[[#This Row],[Frecuencia]]="Annual", Tabla2[[#This Row],[Cosecha/Tarea]]/12,Tabla2[[#This Row],[Cosecha/Tarea]])</f>
        <v>40500</v>
      </c>
      <c r="F3251" s="2">
        <v>1458000</v>
      </c>
      <c r="G3251" t="s">
        <v>18</v>
      </c>
      <c r="H3251">
        <f>F3251/Tabla2[[#This Row],[Cosecha Mensual]]</f>
        <v>36</v>
      </c>
      <c r="I3251">
        <f>H3251*_xlfn.XLOOKUP(Tabla2[[#This Row],[Unidad de producción]],Tabla3[Medida],Tabla3[Equivalencia en Kg],"ELVIS",0)</f>
        <v>1632.96</v>
      </c>
      <c r="J3251">
        <v>7515</v>
      </c>
      <c r="K3251" t="s">
        <v>29</v>
      </c>
      <c r="L3251">
        <f>J3251/_xlfn.XLOOKUP(Tabla2[[#This Row],[Unidad de precio]],Tabla3[Medida],Tabla3[Equivalencia en Kg],"ELVIS",0)</f>
        <v>13.363801259024788</v>
      </c>
      <c r="M3251">
        <v>8552.64</v>
      </c>
      <c r="N3251" s="2">
        <f>(Tabla2[[#This Row],[Productividad (kg/TAS)]]*Tabla2[[#This Row],[Precio por kg]]-Tabla2[[#This Row],[Costos (En RD$/Tarea)]])</f>
        <v>13269.912903937118</v>
      </c>
      <c r="O3251" s="6">
        <f>IF(Tabla2[[#This Row],[Costos (En RD$/Tarea)]]=0,0,Tabla2[[#This Row],[Beneficio Neto  (En RD$/Tarea)]]/Tabla2[[#This Row],[Costos (En RD$/Tarea)]])</f>
        <v>1.5515575195421669</v>
      </c>
      <c r="P3251" s="4">
        <f>Tabla2[[#This Row],[Rentabilidad (%)]]/12</f>
        <v>0.12929645996184724</v>
      </c>
    </row>
    <row r="3252" spans="1:16" x14ac:dyDescent="0.35">
      <c r="A3252" s="1">
        <v>44743</v>
      </c>
      <c r="B3252" t="s">
        <v>30</v>
      </c>
      <c r="C3252" s="2">
        <v>599764</v>
      </c>
      <c r="D3252" s="2" t="s">
        <v>31</v>
      </c>
      <c r="E3252" s="2">
        <f>IF(Tabla2[[#This Row],[Frecuencia]]="Annual", Tabla2[[#This Row],[Cosecha/Tarea]]/12,Tabla2[[#This Row],[Cosecha/Tarea]])</f>
        <v>49980.333333333336</v>
      </c>
      <c r="F3252" s="2">
        <v>3598584</v>
      </c>
      <c r="G3252" t="s">
        <v>18</v>
      </c>
      <c r="H3252">
        <f>F3252/Tabla2[[#This Row],[Cosecha Mensual]]</f>
        <v>72</v>
      </c>
      <c r="I3252">
        <f>H3252*_xlfn.XLOOKUP(Tabla2[[#This Row],[Unidad de producción]],Tabla3[Medida],Tabla3[Equivalencia en Kg],"ELVIS",0)</f>
        <v>3265.92</v>
      </c>
      <c r="J3252">
        <v>211.104166666667</v>
      </c>
      <c r="K3252" t="s">
        <v>32</v>
      </c>
      <c r="L3252">
        <f>J3252/_xlfn.XLOOKUP(Tabla2[[#This Row],[Unidad de precio]],Tabla3[Medida],Tabla3[Equivalencia en Kg],"ELVIS",0)</f>
        <v>7.7583302707338104</v>
      </c>
      <c r="M3252" s="2">
        <v>47396.15</v>
      </c>
      <c r="N3252" s="2">
        <f>(Tabla2[[#This Row],[Productividad (kg/TAS)]]*Tabla2[[#This Row],[Precio por kg]]-Tabla2[[#This Row],[Costos (En RD$/Tarea)]])</f>
        <v>-22058.064002205036</v>
      </c>
      <c r="O3252" s="6">
        <f>IF(Tabla2[[#This Row],[Costos (En RD$/Tarea)]]=0,0,Tabla2[[#This Row],[Beneficio Neto  (En RD$/Tarea)]]/Tabla2[[#This Row],[Costos (En RD$/Tarea)]])</f>
        <v>-0.46539780134473019</v>
      </c>
      <c r="P3252" s="4">
        <f>Tabla2[[#This Row],[Rentabilidad (%)]]/12</f>
        <v>-3.8783150112060849E-2</v>
      </c>
    </row>
    <row r="3253" spans="1:16" x14ac:dyDescent="0.35">
      <c r="A3253" s="1">
        <v>44743</v>
      </c>
      <c r="B3253" t="s">
        <v>33</v>
      </c>
      <c r="C3253" s="2">
        <v>1170098</v>
      </c>
      <c r="D3253" s="2" t="s">
        <v>31</v>
      </c>
      <c r="E3253" s="8">
        <f>IF(Tabla2[[#This Row],[Frecuencia]]="Annual", Tabla2[[#This Row],[Cosecha/Tarea]]/12,Tabla2[[#This Row],[Cosecha/Tarea]])</f>
        <v>97508.166666666672</v>
      </c>
      <c r="F3253" s="2">
        <v>3369882.24</v>
      </c>
      <c r="G3253" t="s">
        <v>18</v>
      </c>
      <c r="H3253">
        <f>F3253/Tabla2[[#This Row],[Cosecha Mensual]]</f>
        <v>34.56</v>
      </c>
      <c r="I3253">
        <f>H3253*_xlfn.XLOOKUP(Tabla2[[#This Row],[Unidad de producción]],Tabla3[Medida],Tabla3[Equivalencia en Kg],"ELVIS",0)</f>
        <v>1567.6416000000002</v>
      </c>
      <c r="J3253">
        <v>9284.3697916666697</v>
      </c>
      <c r="K3253" t="s">
        <v>34</v>
      </c>
      <c r="L3253">
        <f>J3253/_xlfn.XLOOKUP(Tabla2[[#This Row],[Unidad de precio]],Tabla3[Medida],Tabla3[Equivalencia en Kg],"ELVIS",0)</f>
        <v>22.747445281554992</v>
      </c>
      <c r="M3253" s="2">
        <v>25908.33</v>
      </c>
      <c r="N3253" s="2">
        <f>(Tabla2[[#This Row],[Productividad (kg/TAS)]]*Tabla2[[#This Row],[Precio por kg]]-Tabla2[[#This Row],[Costos (En RD$/Tarea)]])</f>
        <v>9751.5115170893187</v>
      </c>
      <c r="O3253" s="6">
        <f>IF(Tabla2[[#This Row],[Costos (En RD$/Tarea)]]=0,0,Tabla2[[#This Row],[Beneficio Neto  (En RD$/Tarea)]]/Tabla2[[#This Row],[Costos (En RD$/Tarea)]])</f>
        <v>0.37638518256828279</v>
      </c>
      <c r="P3253" s="4">
        <f>Tabla2[[#This Row],[Rentabilidad (%)]]/12</f>
        <v>3.1365431880690235E-2</v>
      </c>
    </row>
    <row r="3254" spans="1:16" x14ac:dyDescent="0.35">
      <c r="A3254" s="1">
        <v>44774</v>
      </c>
      <c r="B3254" t="s">
        <v>16</v>
      </c>
      <c r="C3254" s="2">
        <v>362113</v>
      </c>
      <c r="D3254" s="5" t="s">
        <v>17</v>
      </c>
      <c r="E3254" s="2">
        <f>IF(Tabla2[[#This Row],[Frecuencia]]="Annual", Tabla2[[#This Row],[Cosecha/Tarea]]/12,Tabla2[[#This Row],[Cosecha/Tarea]])</f>
        <v>362113</v>
      </c>
      <c r="F3254" s="2">
        <v>1745960</v>
      </c>
      <c r="G3254" t="s">
        <v>18</v>
      </c>
      <c r="H3254">
        <f>F3254/Tabla2[[#This Row],[Cosecha Mensual]]</f>
        <v>4.8215888410523791</v>
      </c>
      <c r="I3254">
        <f>H3254*_xlfn.XLOOKUP(Tabla2[[#This Row],[Unidad de producción]],Tabla3[Medida],Tabla3[Equivalencia en Kg],"ELVIS",0)</f>
        <v>218.70726983013591</v>
      </c>
      <c r="J3254">
        <v>2704.3307891455802</v>
      </c>
      <c r="K3254" t="s">
        <v>19</v>
      </c>
      <c r="L3254">
        <f>J3254/_xlfn.XLOOKUP(Tabla2[[#This Row],[Unidad de precio]],Tabla3[Medida],Tabla3[Equivalencia en Kg],"ELVIS",0)</f>
        <v>24.584825355868912</v>
      </c>
      <c r="M3254">
        <v>10006.778605990599</v>
      </c>
      <c r="N3254" s="2">
        <f>(Tabla2[[#This Row],[Productividad (kg/TAS)]]*Tabla2[[#This Row],[Precio por kg]]-Tabla2[[#This Row],[Costos (En RD$/Tarea)]])</f>
        <v>-4629.8985731578105</v>
      </c>
      <c r="O3254" s="6">
        <f>IF(Tabla2[[#This Row],[Costos (En RD$/Tarea)]]=0,0,Tabla2[[#This Row],[Beneficio Neto  (En RD$/Tarea)]]/Tabla2[[#This Row],[Costos (En RD$/Tarea)]])</f>
        <v>-0.46267622733115155</v>
      </c>
      <c r="P3254" s="4">
        <f>Tabla2[[#This Row],[Rentabilidad (%)]]/12</f>
        <v>-3.8556352277595962E-2</v>
      </c>
    </row>
    <row r="3255" spans="1:16" x14ac:dyDescent="0.35">
      <c r="A3255" s="1">
        <v>44774</v>
      </c>
      <c r="B3255" t="s">
        <v>20</v>
      </c>
      <c r="C3255" s="2">
        <v>53960</v>
      </c>
      <c r="D3255" s="5" t="s">
        <v>17</v>
      </c>
      <c r="E3255" s="2">
        <f>IF(Tabla2[[#This Row],[Frecuencia]]="Annual", Tabla2[[#This Row],[Cosecha/Tarea]]/12,Tabla2[[#This Row],[Cosecha/Tarea]])</f>
        <v>53960</v>
      </c>
      <c r="F3255" s="2">
        <v>135236</v>
      </c>
      <c r="G3255" t="s">
        <v>18</v>
      </c>
      <c r="H3255">
        <f>F3255/Tabla2[[#This Row],[Cosecha Mensual]]</f>
        <v>2.5062268346923648</v>
      </c>
      <c r="I3255">
        <f>H3255*_xlfn.XLOOKUP(Tabla2[[#This Row],[Unidad de producción]],Tabla3[Medida],Tabla3[Equivalencia en Kg],"ELVIS",0)</f>
        <v>113.68244922164567</v>
      </c>
      <c r="J3255">
        <v>1231.0476190476199</v>
      </c>
      <c r="K3255" t="s">
        <v>18</v>
      </c>
      <c r="L3255">
        <f>J3255/_xlfn.XLOOKUP(Tabla2[[#This Row],[Unidad de precio]],Tabla3[Medida],Tabla3[Equivalencia en Kg],"ELVIS",0)</f>
        <v>27.13949777441843</v>
      </c>
      <c r="M3255">
        <v>4130.0977179150004</v>
      </c>
      <c r="N3255" s="2">
        <f>(Tabla2[[#This Row],[Productividad (kg/TAS)]]*Tabla2[[#This Row],[Precio por kg]]-Tabla2[[#This Row],[Costos (En RD$/Tarea)]])</f>
        <v>-1044.8131402737117</v>
      </c>
      <c r="O3255" s="6">
        <f>IF(Tabla2[[#This Row],[Costos (En RD$/Tarea)]]=0,0,Tabla2[[#This Row],[Beneficio Neto  (En RD$/Tarea)]]/Tabla2[[#This Row],[Costos (En RD$/Tarea)]])</f>
        <v>-0.25297540436916471</v>
      </c>
      <c r="P3255" s="4">
        <f>Tabla2[[#This Row],[Rentabilidad (%)]]/12</f>
        <v>-2.1081283697430394E-2</v>
      </c>
    </row>
    <row r="3256" spans="1:16" x14ac:dyDescent="0.35">
      <c r="A3256" s="1">
        <v>44774</v>
      </c>
      <c r="B3256" t="s">
        <v>21</v>
      </c>
      <c r="C3256" s="2">
        <v>8002</v>
      </c>
      <c r="D3256" s="5" t="s">
        <v>17</v>
      </c>
      <c r="E3256" s="2">
        <f>IF(Tabla2[[#This Row],[Frecuencia]]="Annual", Tabla2[[#This Row],[Cosecha/Tarea]]/12,Tabla2[[#This Row],[Cosecha/Tarea]])</f>
        <v>8002</v>
      </c>
      <c r="F3256" s="2">
        <v>97990</v>
      </c>
      <c r="G3256" t="s">
        <v>18</v>
      </c>
      <c r="H3256">
        <f>F3256/Tabla2[[#This Row],[Cosecha Mensual]]</f>
        <v>12.245688577855535</v>
      </c>
      <c r="I3256">
        <f>H3256*_xlfn.XLOOKUP(Tabla2[[#This Row],[Unidad de producción]],Tabla3[Medida],Tabla3[Equivalencia en Kg],"ELVIS",0)</f>
        <v>555.46443389152705</v>
      </c>
      <c r="J3256">
        <v>1245.4791666666699</v>
      </c>
      <c r="K3256" t="s">
        <v>18</v>
      </c>
      <c r="L3256">
        <f>J3256/_xlfn.XLOOKUP(Tabla2[[#This Row],[Unidad de precio]],Tabla3[Medida],Tabla3[Equivalencia en Kg],"ELVIS",0)</f>
        <v>27.457653586125879</v>
      </c>
      <c r="M3256">
        <v>5858.17</v>
      </c>
      <c r="N3256" s="2">
        <f>(Tabla2[[#This Row],[Productividad (kg/TAS)]]*Tabla2[[#This Row],[Precio por kg]]-Tabla2[[#This Row],[Costos (En RD$/Tarea)]])</f>
        <v>9393.5800052070681</v>
      </c>
      <c r="O3256" s="6">
        <f>IF(Tabla2[[#This Row],[Costos (En RD$/Tarea)]]=0,0,Tabla2[[#This Row],[Beneficio Neto  (En RD$/Tarea)]]/Tabla2[[#This Row],[Costos (En RD$/Tarea)]])</f>
        <v>1.6035007528301617</v>
      </c>
      <c r="P3256" s="4">
        <f>Tabla2[[#This Row],[Rentabilidad (%)]]/12</f>
        <v>0.13362506273584682</v>
      </c>
    </row>
    <row r="3257" spans="1:16" x14ac:dyDescent="0.35">
      <c r="A3257" s="1">
        <v>44774</v>
      </c>
      <c r="B3257" t="s">
        <v>22</v>
      </c>
      <c r="C3257" s="2">
        <v>5801</v>
      </c>
      <c r="D3257" s="5" t="s">
        <v>17</v>
      </c>
      <c r="E3257" s="2">
        <f>IF(Tabla2[[#This Row],[Frecuencia]]="Annual", Tabla2[[#This Row],[Cosecha/Tarea]]/12,Tabla2[[#This Row],[Cosecha/Tarea]])</f>
        <v>5801</v>
      </c>
      <c r="F3257" s="2">
        <v>77618</v>
      </c>
      <c r="G3257" t="s">
        <v>18</v>
      </c>
      <c r="H3257">
        <f>F3257/Tabla2[[#This Row],[Cosecha Mensual]]</f>
        <v>13.380106878124462</v>
      </c>
      <c r="I3257">
        <f>H3257*_xlfn.XLOOKUP(Tabla2[[#This Row],[Unidad de producción]],Tabla3[Medida],Tabla3[Equivalencia en Kg],"ELVIS",0)</f>
        <v>606.92164799172554</v>
      </c>
      <c r="J3257">
        <v>2080.7800000000002</v>
      </c>
      <c r="K3257" t="s">
        <v>18</v>
      </c>
      <c r="L3257">
        <f>J3257/_xlfn.XLOOKUP(Tabla2[[#This Row],[Unidad de precio]],Tabla3[Medida],Tabla3[Equivalencia en Kg],"ELVIS",0)</f>
        <v>45.872574955908291</v>
      </c>
      <c r="M3257">
        <v>12106.08</v>
      </c>
      <c r="N3257" s="2">
        <f>(Tabla2[[#This Row],[Productividad (kg/TAS)]]*Tabla2[[#This Row],[Precio por kg]]-Tabla2[[#This Row],[Costos (En RD$/Tarea)]])</f>
        <v>15734.978789863815</v>
      </c>
      <c r="O3257" s="6">
        <f>IF(Tabla2[[#This Row],[Costos (En RD$/Tarea)]]=0,0,Tabla2[[#This Row],[Beneficio Neto  (En RD$/Tarea)]]/Tabla2[[#This Row],[Costos (En RD$/Tarea)]])</f>
        <v>1.2997583685110139</v>
      </c>
      <c r="P3257" s="4">
        <f>Tabla2[[#This Row],[Rentabilidad (%)]]/12</f>
        <v>0.10831319737591782</v>
      </c>
    </row>
    <row r="3258" spans="1:16" x14ac:dyDescent="0.35">
      <c r="A3258" s="1">
        <v>44774</v>
      </c>
      <c r="B3258" t="s">
        <v>23</v>
      </c>
      <c r="C3258" s="2">
        <v>4414</v>
      </c>
      <c r="D3258" s="5" t="s">
        <v>17</v>
      </c>
      <c r="E3258" s="2">
        <f>IF(Tabla2[[#This Row],[Frecuencia]]="Annual", Tabla2[[#This Row],[Cosecha/Tarea]]/12,Tabla2[[#This Row],[Cosecha/Tarea]])</f>
        <v>4414</v>
      </c>
      <c r="F3258" s="2">
        <v>176280</v>
      </c>
      <c r="G3258" t="s">
        <v>18</v>
      </c>
      <c r="H3258">
        <f>F3258/Tabla2[[#This Row],[Cosecha Mensual]]</f>
        <v>39.936565473493431</v>
      </c>
      <c r="I3258">
        <f>H3258*_xlfn.XLOOKUP(Tabla2[[#This Row],[Unidad de producción]],Tabla3[Medida],Tabla3[Equivalencia en Kg],"ELVIS",0)</f>
        <v>1811.522609877662</v>
      </c>
      <c r="J3258">
        <v>1137</v>
      </c>
      <c r="K3258" t="s">
        <v>18</v>
      </c>
      <c r="L3258">
        <f>J3258/_xlfn.XLOOKUP(Tabla2[[#This Row],[Unidad de precio]],Tabla3[Medida],Tabla3[Equivalencia en Kg],"ELVIS",0)</f>
        <v>25.066137566137566</v>
      </c>
      <c r="M3258">
        <v>30322</v>
      </c>
      <c r="N3258" s="2">
        <f>(Tabla2[[#This Row],[Productividad (kg/TAS)]]*Tabla2[[#This Row],[Precio por kg]]-Tabla2[[#This Row],[Costos (En RD$/Tarea)]])</f>
        <v>15085.874943362032</v>
      </c>
      <c r="O3258" s="6">
        <f>IF(Tabla2[[#This Row],[Costos (En RD$/Tarea)]]=0,0,Tabla2[[#This Row],[Beneficio Neto  (En RD$/Tarea)]]/Tabla2[[#This Row],[Costos (En RD$/Tarea)]])</f>
        <v>0.49752242409346453</v>
      </c>
      <c r="P3258" s="4">
        <f>Tabla2[[#This Row],[Rentabilidad (%)]]/12</f>
        <v>4.1460202007788709E-2</v>
      </c>
    </row>
    <row r="3259" spans="1:16" x14ac:dyDescent="0.35">
      <c r="A3259" s="1">
        <v>44774</v>
      </c>
      <c r="B3259" t="s">
        <v>24</v>
      </c>
      <c r="C3259" s="2">
        <v>7542</v>
      </c>
      <c r="D3259" s="5" t="s">
        <v>17</v>
      </c>
      <c r="E3259" s="2">
        <f>IF(Tabla2[[#This Row],[Frecuencia]]="Annual", Tabla2[[#This Row],[Cosecha/Tarea]]/12,Tabla2[[#This Row],[Cosecha/Tarea]])</f>
        <v>7542</v>
      </c>
      <c r="F3259" s="2">
        <v>101817</v>
      </c>
      <c r="G3259" t="s">
        <v>18</v>
      </c>
      <c r="H3259">
        <f>F3259/Tabla2[[#This Row],[Cosecha Mensual]]</f>
        <v>13.5</v>
      </c>
      <c r="I3259">
        <f>H3259*_xlfn.XLOOKUP(Tabla2[[#This Row],[Unidad de producción]],Tabla3[Medida],Tabla3[Equivalencia en Kg],"ELVIS",0)</f>
        <v>612.36</v>
      </c>
      <c r="J3259">
        <v>3143.62857142857</v>
      </c>
      <c r="K3259" t="s">
        <v>18</v>
      </c>
      <c r="L3259">
        <f>J3259/_xlfn.XLOOKUP(Tabla2[[#This Row],[Unidad de precio]],Tabla3[Medida],Tabla3[Equivalencia en Kg],"ELVIS",0)</f>
        <v>69.303980851599874</v>
      </c>
      <c r="M3259">
        <v>16342.43</v>
      </c>
      <c r="N3259" s="2">
        <f>(Tabla2[[#This Row],[Productividad (kg/TAS)]]*Tabla2[[#This Row],[Precio por kg]]-Tabla2[[#This Row],[Costos (En RD$/Tarea)]])</f>
        <v>26096.5557142857</v>
      </c>
      <c r="O3259" s="6">
        <f>IF(Tabla2[[#This Row],[Costos (En RD$/Tarea)]]=0,0,Tabla2[[#This Row],[Beneficio Neto  (En RD$/Tarea)]]/Tabla2[[#This Row],[Costos (En RD$/Tarea)]])</f>
        <v>1.5968589563660789</v>
      </c>
      <c r="P3259" s="4">
        <f>Tabla2[[#This Row],[Rentabilidad (%)]]/12</f>
        <v>0.13307157969717323</v>
      </c>
    </row>
    <row r="3260" spans="1:16" x14ac:dyDescent="0.35">
      <c r="A3260" s="1">
        <v>44774</v>
      </c>
      <c r="B3260" t="s">
        <v>25</v>
      </c>
      <c r="C3260" s="2">
        <v>33711</v>
      </c>
      <c r="D3260" s="5" t="s">
        <v>17</v>
      </c>
      <c r="E3260" s="2">
        <f>IF(Tabla2[[#This Row],[Frecuencia]]="Annual", Tabla2[[#This Row],[Cosecha/Tarea]]/12,Tabla2[[#This Row],[Cosecha/Tarea]])</f>
        <v>33711</v>
      </c>
      <c r="F3260" s="2">
        <v>404532</v>
      </c>
      <c r="G3260" t="s">
        <v>18</v>
      </c>
      <c r="H3260">
        <f>F3260/Tabla2[[#This Row],[Cosecha Mensual]]</f>
        <v>12</v>
      </c>
      <c r="I3260">
        <f>H3260*_xlfn.XLOOKUP(Tabla2[[#This Row],[Unidad de producción]],Tabla3[Medida],Tabla3[Equivalencia en Kg],"ELVIS",0)</f>
        <v>544.31999999999994</v>
      </c>
      <c r="J3260">
        <v>1410.1357499999999</v>
      </c>
      <c r="K3260" t="s">
        <v>18</v>
      </c>
      <c r="L3260">
        <f>J3260/_xlfn.XLOOKUP(Tabla2[[#This Row],[Unidad de precio]],Tabla3[Medida],Tabla3[Equivalencia en Kg],"ELVIS",0)</f>
        <v>31.087648809523809</v>
      </c>
      <c r="M3260">
        <v>6557.61</v>
      </c>
      <c r="N3260" s="2">
        <f>(Tabla2[[#This Row],[Productividad (kg/TAS)]]*Tabla2[[#This Row],[Precio por kg]]-Tabla2[[#This Row],[Costos (En RD$/Tarea)]])</f>
        <v>10364.018999999997</v>
      </c>
      <c r="O3260" s="6">
        <f>IF(Tabla2[[#This Row],[Costos (En RD$/Tarea)]]=0,0,Tabla2[[#This Row],[Beneficio Neto  (En RD$/Tarea)]]/Tabla2[[#This Row],[Costos (En RD$/Tarea)]])</f>
        <v>1.5804567517738928</v>
      </c>
      <c r="P3260" s="4">
        <f>Tabla2[[#This Row],[Rentabilidad (%)]]/12</f>
        <v>0.13170472931449106</v>
      </c>
    </row>
    <row r="3261" spans="1:16" x14ac:dyDescent="0.35">
      <c r="A3261" s="1">
        <v>44774</v>
      </c>
      <c r="B3261" t="s">
        <v>26</v>
      </c>
      <c r="C3261" s="2">
        <v>12006</v>
      </c>
      <c r="D3261" s="5" t="s">
        <v>17</v>
      </c>
      <c r="E3261" s="2">
        <f>IF(Tabla2[[#This Row],[Frecuencia]]="Annual", Tabla2[[#This Row],[Cosecha/Tarea]]/12,Tabla2[[#This Row],[Cosecha/Tarea]])</f>
        <v>12006</v>
      </c>
      <c r="F3261" s="2">
        <v>126663.3</v>
      </c>
      <c r="G3261" t="s">
        <v>18</v>
      </c>
      <c r="H3261">
        <f>F3261/Tabla2[[#This Row],[Cosecha Mensual]]</f>
        <v>10.55</v>
      </c>
      <c r="I3261">
        <f>H3261*_xlfn.XLOOKUP(Tabla2[[#This Row],[Unidad de producción]],Tabla3[Medida],Tabla3[Equivalencia en Kg],"ELVIS",0)</f>
        <v>478.548</v>
      </c>
      <c r="J3261">
        <v>1341.0562500000001</v>
      </c>
      <c r="K3261" t="s">
        <v>18</v>
      </c>
      <c r="L3261">
        <f>J3261/_xlfn.XLOOKUP(Tabla2[[#This Row],[Unidad de precio]],Tabla3[Medida],Tabla3[Equivalencia en Kg],"ELVIS",0)</f>
        <v>29.564732142857146</v>
      </c>
      <c r="M3261">
        <v>2133.92</v>
      </c>
      <c r="N3261" s="2">
        <f>(Tabla2[[#This Row],[Productividad (kg/TAS)]]*Tabla2[[#This Row],[Precio por kg]]-Tabla2[[#This Row],[Costos (En RD$/Tarea)]])</f>
        <v>12014.223437500001</v>
      </c>
      <c r="O3261" s="6">
        <f>IF(Tabla2[[#This Row],[Costos (En RD$/Tarea)]]=0,0,Tabla2[[#This Row],[Beneficio Neto  (En RD$/Tarea)]]/Tabla2[[#This Row],[Costos (En RD$/Tarea)]])</f>
        <v>5.6301189536158809</v>
      </c>
      <c r="P3261" s="4">
        <f>Tabla2[[#This Row],[Rentabilidad (%)]]/12</f>
        <v>0.46917657946799007</v>
      </c>
    </row>
    <row r="3262" spans="1:16" x14ac:dyDescent="0.35">
      <c r="A3262" s="1">
        <v>44774</v>
      </c>
      <c r="B3262" t="s">
        <v>27</v>
      </c>
      <c r="C3262" s="2">
        <v>4988</v>
      </c>
      <c r="D3262" s="5" t="s">
        <v>17</v>
      </c>
      <c r="E3262" s="2">
        <f>IF(Tabla2[[#This Row],[Frecuencia]]="Annual", Tabla2[[#This Row],[Cosecha/Tarea]]/12,Tabla2[[#This Row],[Cosecha/Tarea]])</f>
        <v>4988</v>
      </c>
      <c r="F3262" s="2">
        <v>52773.04</v>
      </c>
      <c r="G3262" t="s">
        <v>18</v>
      </c>
      <c r="H3262">
        <f>F3262/Tabla2[[#This Row],[Cosecha Mensual]]</f>
        <v>10.58</v>
      </c>
      <c r="I3262">
        <f>H3262*_xlfn.XLOOKUP(Tabla2[[#This Row],[Unidad de producción]],Tabla3[Medida],Tabla3[Equivalencia en Kg],"ELVIS",0)</f>
        <v>479.90879999999999</v>
      </c>
      <c r="J3262">
        <v>1271.19444444444</v>
      </c>
      <c r="K3262" t="s">
        <v>18</v>
      </c>
      <c r="L3262">
        <f>J3262/_xlfn.XLOOKUP(Tabla2[[#This Row],[Unidad de precio]],Tabla3[Medida],Tabla3[Equivalencia en Kg],"ELVIS",0)</f>
        <v>28.024568881050264</v>
      </c>
      <c r="M3262">
        <v>11717.05</v>
      </c>
      <c r="N3262" s="2">
        <f>(Tabla2[[#This Row],[Productividad (kg/TAS)]]*Tabla2[[#This Row],[Precio por kg]]-Tabla2[[#This Row],[Costos (En RD$/Tarea)]])</f>
        <v>1732.1872222221755</v>
      </c>
      <c r="O3262" s="6">
        <f>IF(Tabla2[[#This Row],[Costos (En RD$/Tarea)]]=0,0,Tabla2[[#This Row],[Beneficio Neto  (En RD$/Tarea)]]/Tabla2[[#This Row],[Costos (En RD$/Tarea)]])</f>
        <v>0.14783475552482711</v>
      </c>
      <c r="P3262" s="4">
        <f>Tabla2[[#This Row],[Rentabilidad (%)]]/12</f>
        <v>1.2319562960402259E-2</v>
      </c>
    </row>
    <row r="3263" spans="1:16" x14ac:dyDescent="0.35">
      <c r="A3263" s="1">
        <v>44774</v>
      </c>
      <c r="B3263" t="s">
        <v>28</v>
      </c>
      <c r="C3263" s="2">
        <v>54728</v>
      </c>
      <c r="D3263" s="5" t="s">
        <v>17</v>
      </c>
      <c r="E3263" s="2">
        <f>IF(Tabla2[[#This Row],[Frecuencia]]="Annual", Tabla2[[#This Row],[Cosecha/Tarea]]/12,Tabla2[[#This Row],[Cosecha/Tarea]])</f>
        <v>54728</v>
      </c>
      <c r="F3263" s="2">
        <v>2340576</v>
      </c>
      <c r="G3263" t="s">
        <v>18</v>
      </c>
      <c r="H3263">
        <f>F3263/Tabla2[[#This Row],[Cosecha Mensual]]</f>
        <v>42.767431662037716</v>
      </c>
      <c r="I3263">
        <f>H3263*_xlfn.XLOOKUP(Tabla2[[#This Row],[Unidad de producción]],Tabla3[Medida],Tabla3[Equivalencia en Kg],"ELVIS",0)</f>
        <v>1939.9307001900308</v>
      </c>
      <c r="J3263">
        <v>6243.4166666666697</v>
      </c>
      <c r="K3263" t="s">
        <v>29</v>
      </c>
      <c r="L3263">
        <f>J3263/_xlfn.XLOOKUP(Tabla2[[#This Row],[Unidad de precio]],Tabla3[Medida],Tabla3[Equivalencia en Kg],"ELVIS",0)</f>
        <v>11.10256547047457</v>
      </c>
      <c r="M3263">
        <v>8552.64</v>
      </c>
      <c r="N3263" s="2">
        <f>(Tabla2[[#This Row],[Productividad (kg/TAS)]]*Tabla2[[#This Row],[Precio por kg]]-Tabla2[[#This Row],[Costos (En RD$/Tarea)]])</f>
        <v>12985.567607043391</v>
      </c>
      <c r="O3263" s="6">
        <f>IF(Tabla2[[#This Row],[Costos (En RD$/Tarea)]]=0,0,Tabla2[[#This Row],[Beneficio Neto  (En RD$/Tarea)]]/Tabla2[[#This Row],[Costos (En RD$/Tarea)]])</f>
        <v>1.5183110252557563</v>
      </c>
      <c r="P3263" s="4">
        <f>Tabla2[[#This Row],[Rentabilidad (%)]]/12</f>
        <v>0.12652591877131303</v>
      </c>
    </row>
    <row r="3264" spans="1:16" x14ac:dyDescent="0.35">
      <c r="A3264" s="1">
        <v>44774</v>
      </c>
      <c r="B3264" t="s">
        <v>30</v>
      </c>
      <c r="C3264" s="2">
        <v>600501</v>
      </c>
      <c r="D3264" s="2" t="s">
        <v>31</v>
      </c>
      <c r="E3264" s="2">
        <f>IF(Tabla2[[#This Row],[Frecuencia]]="Annual", Tabla2[[#This Row],[Cosecha/Tarea]]/12,Tabla2[[#This Row],[Cosecha/Tarea]])</f>
        <v>50041.75</v>
      </c>
      <c r="F3264" s="2">
        <v>3603486</v>
      </c>
      <c r="G3264" t="s">
        <v>18</v>
      </c>
      <c r="H3264">
        <f>F3264/Tabla2[[#This Row],[Cosecha Mensual]]</f>
        <v>72.009591990687781</v>
      </c>
      <c r="I3264">
        <f>H3264*_xlfn.XLOOKUP(Tabla2[[#This Row],[Unidad de producción]],Tabla3[Medida],Tabla3[Equivalencia en Kg],"ELVIS",0)</f>
        <v>3266.3550926975977</v>
      </c>
      <c r="J3264">
        <v>235.58398333333301</v>
      </c>
      <c r="K3264" t="s">
        <v>32</v>
      </c>
      <c r="L3264">
        <f>J3264/_xlfn.XLOOKUP(Tabla2[[#This Row],[Unidad de precio]],Tabla3[Medida],Tabla3[Equivalencia en Kg],"ELVIS",0)</f>
        <v>8.6579927722650858</v>
      </c>
      <c r="M3264" s="2">
        <v>47396.15</v>
      </c>
      <c r="N3264" s="2">
        <f>(Tabla2[[#This Row],[Productividad (kg/TAS)]]*Tabla2[[#This Row],[Precio por kg]]-Tabla2[[#This Row],[Costos (En RD$/Tarea)]])</f>
        <v>-19116.071215772947</v>
      </c>
      <c r="O3264" s="6">
        <f>IF(Tabla2[[#This Row],[Costos (En RD$/Tarea)]]=0,0,Tabla2[[#This Row],[Beneficio Neto  (En RD$/Tarea)]]/Tabla2[[#This Row],[Costos (En RD$/Tarea)]])</f>
        <v>-0.40332540123560556</v>
      </c>
      <c r="P3264" s="4">
        <f>Tabla2[[#This Row],[Rentabilidad (%)]]/12</f>
        <v>-3.3610450102967128E-2</v>
      </c>
    </row>
    <row r="3265" spans="1:16" x14ac:dyDescent="0.35">
      <c r="A3265" s="1">
        <v>44774</v>
      </c>
      <c r="B3265" t="s">
        <v>33</v>
      </c>
      <c r="C3265" s="2">
        <v>1172098</v>
      </c>
      <c r="D3265" s="2" t="s">
        <v>31</v>
      </c>
      <c r="E3265" s="8">
        <f>IF(Tabla2[[#This Row],[Frecuencia]]="Annual", Tabla2[[#This Row],[Cosecha/Tarea]]/12,Tabla2[[#This Row],[Cosecha/Tarea]])</f>
        <v>97674.833333333328</v>
      </c>
      <c r="F3265" s="2">
        <v>3481131.06</v>
      </c>
      <c r="G3265" t="s">
        <v>18</v>
      </c>
      <c r="H3265">
        <f>F3265/Tabla2[[#This Row],[Cosecha Mensual]]</f>
        <v>35.64</v>
      </c>
      <c r="I3265">
        <f>H3265*_xlfn.XLOOKUP(Tabla2[[#This Row],[Unidad de producción]],Tabla3[Medida],Tabla3[Equivalencia en Kg],"ELVIS",0)</f>
        <v>1616.6304</v>
      </c>
      <c r="J3265">
        <v>9744.9583333333303</v>
      </c>
      <c r="K3265" t="s">
        <v>34</v>
      </c>
      <c r="L3265">
        <f>J3265/_xlfn.XLOOKUP(Tabla2[[#This Row],[Unidad de precio]],Tabla3[Medida],Tabla3[Equivalencia en Kg],"ELVIS",0)</f>
        <v>23.875923884192897</v>
      </c>
      <c r="M3265" s="2">
        <v>25908.33</v>
      </c>
      <c r="N3265" s="2">
        <f>(Tabla2[[#This Row],[Productividad (kg/TAS)]]*Tabla2[[#This Row],[Precio por kg]]-Tabla2[[#This Row],[Costos (En RD$/Tarea)]])</f>
        <v>12690.214379272315</v>
      </c>
      <c r="O3265" s="6">
        <f>IF(Tabla2[[#This Row],[Costos (En RD$/Tarea)]]=0,0,Tabla2[[#This Row],[Beneficio Neto  (En RD$/Tarea)]]/Tabla2[[#This Row],[Costos (En RD$/Tarea)]])</f>
        <v>0.48981213298087195</v>
      </c>
      <c r="P3265" s="4">
        <f>Tabla2[[#This Row],[Rentabilidad (%)]]/12</f>
        <v>4.0817677748405994E-2</v>
      </c>
    </row>
    <row r="3266" spans="1:16" x14ac:dyDescent="0.35">
      <c r="A3266" s="1">
        <v>44805</v>
      </c>
      <c r="B3266" t="s">
        <v>16</v>
      </c>
      <c r="C3266" s="2">
        <v>417577</v>
      </c>
      <c r="D3266" s="5" t="s">
        <v>17</v>
      </c>
      <c r="E3266" s="2">
        <f>IF(Tabla2[[#This Row],[Frecuencia]]="Annual", Tabla2[[#This Row],[Cosecha/Tarea]]/12,Tabla2[[#This Row],[Cosecha/Tarea]])</f>
        <v>417577</v>
      </c>
      <c r="F3266" s="2">
        <v>1732944.55</v>
      </c>
      <c r="G3266" t="s">
        <v>18</v>
      </c>
      <c r="H3266">
        <f>F3266/Tabla2[[#This Row],[Cosecha Mensual]]</f>
        <v>4.1500000000000004</v>
      </c>
      <c r="I3266">
        <f>H3266*_xlfn.XLOOKUP(Tabla2[[#This Row],[Unidad de producción]],Tabla3[Medida],Tabla3[Equivalencia en Kg],"ELVIS",0)</f>
        <v>188.244</v>
      </c>
      <c r="J3266">
        <v>2693.7679922808902</v>
      </c>
      <c r="K3266" t="s">
        <v>19</v>
      </c>
      <c r="L3266">
        <f>J3266/_xlfn.XLOOKUP(Tabla2[[#This Row],[Unidad de precio]],Tabla3[Medida],Tabla3[Equivalencia en Kg],"ELVIS",0)</f>
        <v>24.488799929826275</v>
      </c>
      <c r="M3266">
        <v>10006.778605990599</v>
      </c>
      <c r="N3266" s="2">
        <f>(Tabla2[[#This Row],[Productividad (kg/TAS)]]*Tabla2[[#This Row],[Precio por kg]]-Tabla2[[#This Row],[Costos (En RD$/Tarea)]])</f>
        <v>-5396.9089520003818</v>
      </c>
      <c r="O3266" s="6">
        <f>IF(Tabla2[[#This Row],[Costos (En RD$/Tarea)]]=0,0,Tabla2[[#This Row],[Beneficio Neto  (En RD$/Tarea)]]/Tabla2[[#This Row],[Costos (En RD$/Tarea)]])</f>
        <v>-0.53932530782378851</v>
      </c>
      <c r="P3266" s="4">
        <f>Tabla2[[#This Row],[Rentabilidad (%)]]/12</f>
        <v>-4.4943775651982376E-2</v>
      </c>
    </row>
    <row r="3267" spans="1:16" x14ac:dyDescent="0.35">
      <c r="A3267" s="1">
        <v>44805</v>
      </c>
      <c r="B3267" t="s">
        <v>20</v>
      </c>
      <c r="C3267" s="2">
        <v>52864</v>
      </c>
      <c r="D3267" s="5" t="s">
        <v>17</v>
      </c>
      <c r="E3267" s="2">
        <f>IF(Tabla2[[#This Row],[Frecuencia]]="Annual", Tabla2[[#This Row],[Cosecha/Tarea]]/12,Tabla2[[#This Row],[Cosecha/Tarea]])</f>
        <v>52864</v>
      </c>
      <c r="F3267" s="2">
        <v>150133.76000000001</v>
      </c>
      <c r="G3267" t="s">
        <v>18</v>
      </c>
      <c r="H3267">
        <f>F3267/Tabla2[[#This Row],[Cosecha Mensual]]</f>
        <v>2.8400000000000003</v>
      </c>
      <c r="I3267">
        <f>H3267*_xlfn.XLOOKUP(Tabla2[[#This Row],[Unidad de producción]],Tabla3[Medida],Tabla3[Equivalencia en Kg],"ELVIS",0)</f>
        <v>128.82240000000002</v>
      </c>
      <c r="J3267">
        <v>1260.7796354166701</v>
      </c>
      <c r="K3267" t="s">
        <v>18</v>
      </c>
      <c r="L3267">
        <f>J3267/_xlfn.XLOOKUP(Tabla2[[#This Row],[Unidad de precio]],Tabla3[Medida],Tabla3[Equivalencia en Kg],"ELVIS",0)</f>
        <v>27.79496550742218</v>
      </c>
      <c r="M3267">
        <v>4130.0977179150004</v>
      </c>
      <c r="N3267" s="2">
        <f>(Tabla2[[#This Row],[Productividad (kg/TAS)]]*Tabla2[[#This Row],[Precio por kg]]-Tabla2[[#This Row],[Costos (En RD$/Tarea)]])</f>
        <v>-549.48355333165682</v>
      </c>
      <c r="O3267" s="6">
        <f>IF(Tabla2[[#This Row],[Costos (En RD$/Tarea)]]=0,0,Tabla2[[#This Row],[Beneficio Neto  (En RD$/Tarea)]]/Tabla2[[#This Row],[Costos (En RD$/Tarea)]])</f>
        <v>-0.1330437173309916</v>
      </c>
      <c r="P3267" s="4">
        <f>Tabla2[[#This Row],[Rentabilidad (%)]]/12</f>
        <v>-1.1086976444249301E-2</v>
      </c>
    </row>
    <row r="3268" spans="1:16" x14ac:dyDescent="0.35">
      <c r="A3268" s="1">
        <v>44805</v>
      </c>
      <c r="B3268" t="s">
        <v>21</v>
      </c>
      <c r="C3268" s="2">
        <v>7919</v>
      </c>
      <c r="D3268" s="5" t="s">
        <v>17</v>
      </c>
      <c r="E3268" s="2">
        <f>IF(Tabla2[[#This Row],[Frecuencia]]="Annual", Tabla2[[#This Row],[Cosecha/Tarea]]/12,Tabla2[[#This Row],[Cosecha/Tarea]])</f>
        <v>7919</v>
      </c>
      <c r="F3268" s="2">
        <v>87900.9</v>
      </c>
      <c r="G3268" t="s">
        <v>18</v>
      </c>
      <c r="H3268">
        <f>F3268/Tabla2[[#This Row],[Cosecha Mensual]]</f>
        <v>11.1</v>
      </c>
      <c r="I3268">
        <f>H3268*_xlfn.XLOOKUP(Tabla2[[#This Row],[Unidad de producción]],Tabla3[Medida],Tabla3[Equivalencia en Kg],"ELVIS",0)</f>
        <v>503.49599999999998</v>
      </c>
      <c r="J3268">
        <v>1381.25297619048</v>
      </c>
      <c r="K3268" t="s">
        <v>18</v>
      </c>
      <c r="L3268">
        <f>J3268/_xlfn.XLOOKUP(Tabla2[[#This Row],[Unidad de precio]],Tabla3[Medida],Tabla3[Equivalencia en Kg],"ELVIS",0)</f>
        <v>30.450903355169313</v>
      </c>
      <c r="M3268">
        <v>5858.17</v>
      </c>
      <c r="N3268" s="2">
        <f>(Tabla2[[#This Row],[Productividad (kg/TAS)]]*Tabla2[[#This Row],[Precio por kg]]-Tabla2[[#This Row],[Costos (En RD$/Tarea)]])</f>
        <v>9473.7380357143284</v>
      </c>
      <c r="O3268" s="6">
        <f>IF(Tabla2[[#This Row],[Costos (En RD$/Tarea)]]=0,0,Tabla2[[#This Row],[Beneficio Neto  (En RD$/Tarea)]]/Tabla2[[#This Row],[Costos (En RD$/Tarea)]])</f>
        <v>1.6171838706821975</v>
      </c>
      <c r="P3268" s="4">
        <f>Tabla2[[#This Row],[Rentabilidad (%)]]/12</f>
        <v>0.13476532255684978</v>
      </c>
    </row>
    <row r="3269" spans="1:16" x14ac:dyDescent="0.35">
      <c r="A3269" s="1">
        <v>44805</v>
      </c>
      <c r="B3269" t="s">
        <v>22</v>
      </c>
      <c r="C3269" s="2">
        <v>4739</v>
      </c>
      <c r="D3269" s="5" t="s">
        <v>17</v>
      </c>
      <c r="E3269" s="2">
        <f>IF(Tabla2[[#This Row],[Frecuencia]]="Annual", Tabla2[[#This Row],[Cosecha/Tarea]]/12,Tabla2[[#This Row],[Cosecha/Tarea]])</f>
        <v>4739</v>
      </c>
      <c r="F3269" s="2">
        <v>43512</v>
      </c>
      <c r="G3269" t="s">
        <v>18</v>
      </c>
      <c r="H3269">
        <f>F3269/Tabla2[[#This Row],[Cosecha Mensual]]</f>
        <v>9.1816838995568677</v>
      </c>
      <c r="I3269">
        <f>H3269*_xlfn.XLOOKUP(Tabla2[[#This Row],[Unidad de producción]],Tabla3[Medida],Tabla3[Equivalencia en Kg],"ELVIS",0)</f>
        <v>416.48118168389954</v>
      </c>
      <c r="J3269">
        <v>1862.3697916666699</v>
      </c>
      <c r="K3269" t="s">
        <v>18</v>
      </c>
      <c r="L3269">
        <f>J3269/_xlfn.XLOOKUP(Tabla2[[#This Row],[Unidad de precio]],Tabla3[Medida],Tabla3[Equivalencia en Kg],"ELVIS",0)</f>
        <v>41.057535089653214</v>
      </c>
      <c r="M3269">
        <v>12106.08</v>
      </c>
      <c r="N3269" s="2">
        <f>(Tabla2[[#This Row],[Productividad (kg/TAS)]]*Tabla2[[#This Row],[Precio por kg]]-Tabla2[[#This Row],[Costos (En RD$/Tarea)]])</f>
        <v>4993.6107311669421</v>
      </c>
      <c r="O3269" s="6">
        <f>IF(Tabla2[[#This Row],[Costos (En RD$/Tarea)]]=0,0,Tabla2[[#This Row],[Beneficio Neto  (En RD$/Tarea)]]/Tabla2[[#This Row],[Costos (En RD$/Tarea)]])</f>
        <v>0.41248783513465481</v>
      </c>
      <c r="P3269" s="4">
        <f>Tabla2[[#This Row],[Rentabilidad (%)]]/12</f>
        <v>3.4373986261221234E-2</v>
      </c>
    </row>
    <row r="3270" spans="1:16" x14ac:dyDescent="0.35">
      <c r="A3270" s="1">
        <v>44805</v>
      </c>
      <c r="B3270" t="s">
        <v>23</v>
      </c>
      <c r="C3270" s="2">
        <v>4720</v>
      </c>
      <c r="D3270" s="5" t="s">
        <v>17</v>
      </c>
      <c r="E3270" s="2">
        <f>IF(Tabla2[[#This Row],[Frecuencia]]="Annual", Tabla2[[#This Row],[Cosecha/Tarea]]/12,Tabla2[[#This Row],[Cosecha/Tarea]])</f>
        <v>4720</v>
      </c>
      <c r="F3270" s="2">
        <v>198240</v>
      </c>
      <c r="G3270" t="s">
        <v>18</v>
      </c>
      <c r="H3270">
        <f>F3270/Tabla2[[#This Row],[Cosecha Mensual]]</f>
        <v>42</v>
      </c>
      <c r="I3270">
        <f>H3270*_xlfn.XLOOKUP(Tabla2[[#This Row],[Unidad de producción]],Tabla3[Medida],Tabla3[Equivalencia en Kg],"ELVIS",0)</f>
        <v>1905.12</v>
      </c>
      <c r="J3270">
        <v>1206.25</v>
      </c>
      <c r="K3270" t="s">
        <v>18</v>
      </c>
      <c r="L3270">
        <f>J3270/_xlfn.XLOOKUP(Tabla2[[#This Row],[Unidad de precio]],Tabla3[Medida],Tabla3[Equivalencia en Kg],"ELVIS",0)</f>
        <v>26.592813051146386</v>
      </c>
      <c r="M3270">
        <v>30322</v>
      </c>
      <c r="N3270" s="2">
        <f>(Tabla2[[#This Row],[Productividad (kg/TAS)]]*Tabla2[[#This Row],[Precio por kg]]-Tabla2[[#This Row],[Costos (En RD$/Tarea)]])</f>
        <v>20340.5</v>
      </c>
      <c r="O3270" s="6">
        <f>IF(Tabla2[[#This Row],[Costos (En RD$/Tarea)]]=0,0,Tabla2[[#This Row],[Beneficio Neto  (En RD$/Tarea)]]/Tabla2[[#This Row],[Costos (En RD$/Tarea)]])</f>
        <v>0.67081656882791374</v>
      </c>
      <c r="P3270" s="4">
        <f>Tabla2[[#This Row],[Rentabilidad (%)]]/12</f>
        <v>5.5901380735659478E-2</v>
      </c>
    </row>
    <row r="3271" spans="1:16" x14ac:dyDescent="0.35">
      <c r="A3271" s="1">
        <v>44805</v>
      </c>
      <c r="B3271" t="s">
        <v>24</v>
      </c>
      <c r="C3271" s="2">
        <v>5931</v>
      </c>
      <c r="D3271" s="5" t="s">
        <v>17</v>
      </c>
      <c r="E3271" s="2">
        <f>IF(Tabla2[[#This Row],[Frecuencia]]="Annual", Tabla2[[#This Row],[Cosecha/Tarea]]/12,Tabla2[[#This Row],[Cosecha/Tarea]])</f>
        <v>5931</v>
      </c>
      <c r="F3271" s="2">
        <v>86715</v>
      </c>
      <c r="G3271" t="s">
        <v>18</v>
      </c>
      <c r="H3271">
        <f>F3271/Tabla2[[#This Row],[Cosecha Mensual]]</f>
        <v>14.620637329286799</v>
      </c>
      <c r="I3271">
        <f>H3271*_xlfn.XLOOKUP(Tabla2[[#This Row],[Unidad de producción]],Tabla3[Medida],Tabla3[Equivalencia en Kg],"ELVIS",0)</f>
        <v>663.19210925644916</v>
      </c>
      <c r="J3271">
        <v>3347.3988095238101</v>
      </c>
      <c r="K3271" t="s">
        <v>18</v>
      </c>
      <c r="L3271">
        <f>J3271/_xlfn.XLOOKUP(Tabla2[[#This Row],[Unidad de precio]],Tabla3[Medida],Tabla3[Equivalencia en Kg],"ELVIS",0)</f>
        <v>73.79627005123038</v>
      </c>
      <c r="M3271">
        <v>16342.43</v>
      </c>
      <c r="N3271" s="2">
        <f>(Tabla2[[#This Row],[Productividad (kg/TAS)]]*Tabla2[[#This Row],[Precio por kg]]-Tabla2[[#This Row],[Costos (En RD$/Tarea)]])</f>
        <v>32598.673990534007</v>
      </c>
      <c r="O3271" s="6">
        <f>IF(Tabla2[[#This Row],[Costos (En RD$/Tarea)]]=0,0,Tabla2[[#This Row],[Beneficio Neto  (En RD$/Tarea)]]/Tabla2[[#This Row],[Costos (En RD$/Tarea)]])</f>
        <v>1.9947262427028298</v>
      </c>
      <c r="P3271" s="4">
        <f>Tabla2[[#This Row],[Rentabilidad (%)]]/12</f>
        <v>0.1662271868919025</v>
      </c>
    </row>
    <row r="3272" spans="1:16" x14ac:dyDescent="0.35">
      <c r="A3272" s="1">
        <v>44805</v>
      </c>
      <c r="B3272" t="s">
        <v>25</v>
      </c>
      <c r="C3272" s="2">
        <v>28745</v>
      </c>
      <c r="D3272" s="5" t="s">
        <v>17</v>
      </c>
      <c r="E3272" s="2">
        <f>IF(Tabla2[[#This Row],[Frecuencia]]="Annual", Tabla2[[#This Row],[Cosecha/Tarea]]/12,Tabla2[[#This Row],[Cosecha/Tarea]])</f>
        <v>28745</v>
      </c>
      <c r="F3272" s="2">
        <v>346664.7</v>
      </c>
      <c r="G3272" t="s">
        <v>18</v>
      </c>
      <c r="H3272">
        <f>F3272/Tabla2[[#This Row],[Cosecha Mensual]]</f>
        <v>12.06</v>
      </c>
      <c r="I3272">
        <f>H3272*_xlfn.XLOOKUP(Tabla2[[#This Row],[Unidad de producción]],Tabla3[Medida],Tabla3[Equivalencia en Kg],"ELVIS",0)</f>
        <v>547.04160000000002</v>
      </c>
      <c r="J3272">
        <v>1500.9192708333301</v>
      </c>
      <c r="K3272" t="s">
        <v>18</v>
      </c>
      <c r="L3272">
        <f>J3272/_xlfn.XLOOKUP(Tabla2[[#This Row],[Unidad de precio]],Tabla3[Medida],Tabla3[Equivalencia en Kg],"ELVIS",0)</f>
        <v>33.089049180628969</v>
      </c>
      <c r="M3272">
        <v>6557.61</v>
      </c>
      <c r="N3272" s="2">
        <f>(Tabla2[[#This Row],[Productividad (kg/TAS)]]*Tabla2[[#This Row],[Precio por kg]]-Tabla2[[#This Row],[Costos (En RD$/Tarea)]])</f>
        <v>11543.47640624996</v>
      </c>
      <c r="O3272" s="6">
        <f>IF(Tabla2[[#This Row],[Costos (En RD$/Tarea)]]=0,0,Tabla2[[#This Row],[Beneficio Neto  (En RD$/Tarea)]]/Tabla2[[#This Row],[Costos (En RD$/Tarea)]])</f>
        <v>1.7603176166697867</v>
      </c>
      <c r="P3272" s="4">
        <f>Tabla2[[#This Row],[Rentabilidad (%)]]/12</f>
        <v>0.14669313472248222</v>
      </c>
    </row>
    <row r="3273" spans="1:16" x14ac:dyDescent="0.35">
      <c r="A3273" s="1">
        <v>44805</v>
      </c>
      <c r="B3273" t="s">
        <v>26</v>
      </c>
      <c r="C3273" s="2">
        <v>11220</v>
      </c>
      <c r="D3273" s="5" t="s">
        <v>17</v>
      </c>
      <c r="E3273" s="2">
        <f>IF(Tabla2[[#This Row],[Frecuencia]]="Annual", Tabla2[[#This Row],[Cosecha/Tarea]]/12,Tabla2[[#This Row],[Cosecha/Tarea]])</f>
        <v>11220</v>
      </c>
      <c r="F3273" s="2">
        <v>89433</v>
      </c>
      <c r="G3273" t="s">
        <v>18</v>
      </c>
      <c r="H3273">
        <f>F3273/Tabla2[[#This Row],[Cosecha Mensual]]</f>
        <v>7.9708556149732619</v>
      </c>
      <c r="I3273">
        <f>H3273*_xlfn.XLOOKUP(Tabla2[[#This Row],[Unidad de producción]],Tabla3[Medida],Tabla3[Equivalencia en Kg],"ELVIS",0)</f>
        <v>361.55801069518714</v>
      </c>
      <c r="J3273">
        <v>1297.7161458333301</v>
      </c>
      <c r="K3273" t="s">
        <v>18</v>
      </c>
      <c r="L3273">
        <f>J3273/_xlfn.XLOOKUP(Tabla2[[#This Row],[Unidad de precio]],Tabla3[Medida],Tabla3[Equivalencia en Kg],"ELVIS",0)</f>
        <v>28.609262474279763</v>
      </c>
      <c r="M3273">
        <v>2133.92</v>
      </c>
      <c r="N3273" s="2">
        <f>(Tabla2[[#This Row],[Productividad (kg/TAS)]]*Tabla2[[#This Row],[Precio por kg]]-Tabla2[[#This Row],[Costos (En RD$/Tarea)]])</f>
        <v>8209.9880276570584</v>
      </c>
      <c r="O3273" s="6">
        <f>IF(Tabla2[[#This Row],[Costos (En RD$/Tarea)]]=0,0,Tabla2[[#This Row],[Beneficio Neto  (En RD$/Tarea)]]/Tabla2[[#This Row],[Costos (En RD$/Tarea)]])</f>
        <v>3.8473738601527039</v>
      </c>
      <c r="P3273" s="4">
        <f>Tabla2[[#This Row],[Rentabilidad (%)]]/12</f>
        <v>0.32061448834605866</v>
      </c>
    </row>
    <row r="3274" spans="1:16" x14ac:dyDescent="0.35">
      <c r="A3274" s="1">
        <v>44805</v>
      </c>
      <c r="B3274" t="s">
        <v>27</v>
      </c>
      <c r="C3274" s="2">
        <v>4084</v>
      </c>
      <c r="D3274" s="5" t="s">
        <v>17</v>
      </c>
      <c r="E3274" s="2">
        <f>IF(Tabla2[[#This Row],[Frecuencia]]="Annual", Tabla2[[#This Row],[Cosecha/Tarea]]/12,Tabla2[[#This Row],[Cosecha/Tarea]])</f>
        <v>4084</v>
      </c>
      <c r="F3274" s="2">
        <v>37260.022103970499</v>
      </c>
      <c r="G3274" t="s">
        <v>18</v>
      </c>
      <c r="H3274">
        <f>F3274/Tabla2[[#This Row],[Cosecha Mensual]]</f>
        <v>9.123413835448213</v>
      </c>
      <c r="I3274">
        <f>H3274*_xlfn.XLOOKUP(Tabla2[[#This Row],[Unidad de producción]],Tabla3[Medida],Tabla3[Equivalencia en Kg],"ELVIS",0)</f>
        <v>413.83805157593093</v>
      </c>
      <c r="J3274">
        <v>1152.5416666666699</v>
      </c>
      <c r="K3274" t="s">
        <v>18</v>
      </c>
      <c r="L3274">
        <f>J3274/_xlfn.XLOOKUP(Tabla2[[#This Row],[Unidad de precio]],Tabla3[Medida],Tabla3[Equivalencia en Kg],"ELVIS",0)</f>
        <v>25.408766901822531</v>
      </c>
      <c r="M3274">
        <v>11717.05</v>
      </c>
      <c r="N3274" s="2">
        <f>(Tabla2[[#This Row],[Productividad (kg/TAS)]]*Tabla2[[#This Row],[Precio por kg]]-Tabla2[[#This Row],[Costos (En RD$/Tarea)]])</f>
        <v>-1201.9354124027595</v>
      </c>
      <c r="O3274" s="6">
        <f>IF(Tabla2[[#This Row],[Costos (En RD$/Tarea)]]=0,0,Tabla2[[#This Row],[Beneficio Neto  (En RD$/Tarea)]]/Tabla2[[#This Row],[Costos (En RD$/Tarea)]])</f>
        <v>-0.1025800361356109</v>
      </c>
      <c r="P3274" s="4">
        <f>Tabla2[[#This Row],[Rentabilidad (%)]]/12</f>
        <v>-8.5483363446342414E-3</v>
      </c>
    </row>
    <row r="3275" spans="1:16" x14ac:dyDescent="0.35">
      <c r="A3275" s="1">
        <v>44805</v>
      </c>
      <c r="B3275" t="s">
        <v>28</v>
      </c>
      <c r="C3275" s="2">
        <v>89918</v>
      </c>
      <c r="D3275" s="5" t="s">
        <v>17</v>
      </c>
      <c r="E3275" s="2">
        <f>IF(Tabla2[[#This Row],[Frecuencia]]="Annual", Tabla2[[#This Row],[Cosecha/Tarea]]/12,Tabla2[[#This Row],[Cosecha/Tarea]])</f>
        <v>89918</v>
      </c>
      <c r="F3275" s="2">
        <v>2108662.7999999998</v>
      </c>
      <c r="G3275" t="s">
        <v>18</v>
      </c>
      <c r="H3275">
        <f>F3275/Tabla2[[#This Row],[Cosecha Mensual]]</f>
        <v>23.45095309059365</v>
      </c>
      <c r="I3275">
        <f>H3275*_xlfn.XLOOKUP(Tabla2[[#This Row],[Unidad de producción]],Tabla3[Medida],Tabla3[Equivalencia en Kg],"ELVIS",0)</f>
        <v>1063.7352321893279</v>
      </c>
      <c r="J3275">
        <v>4972.9166666666697</v>
      </c>
      <c r="K3275" t="s">
        <v>29</v>
      </c>
      <c r="L3275">
        <f>J3275/_xlfn.XLOOKUP(Tabla2[[#This Row],[Unidad de precio]],Tabla3[Medida],Tabla3[Equivalencia en Kg],"ELVIS",0)</f>
        <v>8.8432561558250686</v>
      </c>
      <c r="M3275">
        <v>8552.64</v>
      </c>
      <c r="N3275" s="2">
        <f>(Tabla2[[#This Row],[Productividad (kg/TAS)]]*Tabla2[[#This Row],[Precio por kg]]-Tabla2[[#This Row],[Costos (En RD$/Tarea)]])</f>
        <v>854.24314022628278</v>
      </c>
      <c r="O3275" s="6">
        <f>IF(Tabla2[[#This Row],[Costos (En RD$/Tarea)]]=0,0,Tabla2[[#This Row],[Beneficio Neto  (En RD$/Tarea)]]/Tabla2[[#This Row],[Costos (En RD$/Tarea)]])</f>
        <v>9.9880638051675602E-2</v>
      </c>
      <c r="P3275" s="4">
        <f>Tabla2[[#This Row],[Rentabilidad (%)]]/12</f>
        <v>8.3233865043063002E-3</v>
      </c>
    </row>
    <row r="3276" spans="1:16" x14ac:dyDescent="0.35">
      <c r="A3276" s="1">
        <v>44805</v>
      </c>
      <c r="B3276" t="s">
        <v>30</v>
      </c>
      <c r="C3276" s="2">
        <v>536697</v>
      </c>
      <c r="D3276" s="2" t="s">
        <v>31</v>
      </c>
      <c r="E3276" s="2">
        <f>IF(Tabla2[[#This Row],[Frecuencia]]="Annual", Tabla2[[#This Row],[Cosecha/Tarea]]/12,Tabla2[[#This Row],[Cosecha/Tarea]])</f>
        <v>44724.75</v>
      </c>
      <c r="F3276" s="2">
        <v>2898163.8</v>
      </c>
      <c r="G3276" t="s">
        <v>18</v>
      </c>
      <c r="H3276">
        <f>F3276/Tabla2[[#This Row],[Cosecha Mensual]]</f>
        <v>64.8</v>
      </c>
      <c r="I3276">
        <f>H3276*_xlfn.XLOOKUP(Tabla2[[#This Row],[Unidad de producción]],Tabla3[Medida],Tabla3[Equivalencia en Kg],"ELVIS",0)</f>
        <v>2939.328</v>
      </c>
      <c r="J3276">
        <v>243.76453125</v>
      </c>
      <c r="K3276" t="s">
        <v>32</v>
      </c>
      <c r="L3276">
        <f>J3276/_xlfn.XLOOKUP(Tabla2[[#This Row],[Unidad de precio]],Tabla3[Medida],Tabla3[Equivalencia en Kg],"ELVIS",0)</f>
        <v>8.9586376791620719</v>
      </c>
      <c r="M3276" s="2">
        <v>47396.15</v>
      </c>
      <c r="N3276" s="2">
        <f>(Tabla2[[#This Row],[Productividad (kg/TAS)]]*Tabla2[[#This Row],[Precio por kg]]-Tabla2[[#This Row],[Costos (En RD$/Tarea)]])</f>
        <v>-21063.775427783909</v>
      </c>
      <c r="O3276" s="6">
        <f>IF(Tabla2[[#This Row],[Costos (En RD$/Tarea)]]=0,0,Tabla2[[#This Row],[Beneficio Neto  (En RD$/Tarea)]]/Tabla2[[#This Row],[Costos (En RD$/Tarea)]])</f>
        <v>-0.4444195452116661</v>
      </c>
      <c r="P3276" s="4">
        <f>Tabla2[[#This Row],[Rentabilidad (%)]]/12</f>
        <v>-3.7034962100972173E-2</v>
      </c>
    </row>
    <row r="3277" spans="1:16" x14ac:dyDescent="0.35">
      <c r="A3277" s="1">
        <v>44805</v>
      </c>
      <c r="B3277" t="s">
        <v>33</v>
      </c>
      <c r="C3277" s="2">
        <v>1150301</v>
      </c>
      <c r="D3277" s="2" t="s">
        <v>31</v>
      </c>
      <c r="E3277" s="8">
        <f>IF(Tabla2[[#This Row],[Frecuencia]]="Annual", Tabla2[[#This Row],[Cosecha/Tarea]]/12,Tabla2[[#This Row],[Cosecha/Tarea]])</f>
        <v>95858.416666666672</v>
      </c>
      <c r="F3277" s="2">
        <v>2795231.43</v>
      </c>
      <c r="G3277" t="s">
        <v>18</v>
      </c>
      <c r="H3277">
        <f>F3277/Tabla2[[#This Row],[Cosecha Mensual]]</f>
        <v>29.16</v>
      </c>
      <c r="I3277">
        <f>H3277*_xlfn.XLOOKUP(Tabla2[[#This Row],[Unidad de producción]],Tabla3[Medida],Tabla3[Equivalencia en Kg],"ELVIS",0)</f>
        <v>1322.6976</v>
      </c>
      <c r="J3277">
        <v>9812.5259114583296</v>
      </c>
      <c r="K3277" t="s">
        <v>34</v>
      </c>
      <c r="L3277">
        <f>J3277/_xlfn.XLOOKUP(Tabla2[[#This Row],[Unidad de precio]],Tabla3[Medida],Tabla3[Equivalencia en Kg],"ELVIS",0)</f>
        <v>24.041469830842413</v>
      </c>
      <c r="M3277" s="2">
        <v>25908.33</v>
      </c>
      <c r="N3277" s="2">
        <f>(Tabla2[[#This Row],[Productividad (kg/TAS)]]*Tabla2[[#This Row],[Precio por kg]]-Tabla2[[#This Row],[Costos (En RD$/Tarea)]])</f>
        <v>5891.264445727662</v>
      </c>
      <c r="O3277" s="6">
        <f>IF(Tabla2[[#This Row],[Costos (En RD$/Tarea)]]=0,0,Tabla2[[#This Row],[Beneficio Neto  (En RD$/Tarea)]]/Tabla2[[#This Row],[Costos (En RD$/Tarea)]])</f>
        <v>0.22738881455221782</v>
      </c>
      <c r="P3277" s="4">
        <f>Tabla2[[#This Row],[Rentabilidad (%)]]/12</f>
        <v>1.8949067879351484E-2</v>
      </c>
    </row>
    <row r="3278" spans="1:16" x14ac:dyDescent="0.35">
      <c r="A3278" s="1">
        <v>44835</v>
      </c>
      <c r="B3278" t="s">
        <v>16</v>
      </c>
      <c r="C3278" s="2">
        <v>329382</v>
      </c>
      <c r="D3278" s="5" t="s">
        <v>17</v>
      </c>
      <c r="E3278" s="2">
        <f>IF(Tabla2[[#This Row],[Frecuencia]]="Annual", Tabla2[[#This Row],[Cosecha/Tarea]]/12,Tabla2[[#This Row],[Cosecha/Tarea]])</f>
        <v>329382</v>
      </c>
      <c r="F3278" s="2">
        <v>1357053.84</v>
      </c>
      <c r="G3278" t="s">
        <v>18</v>
      </c>
      <c r="H3278">
        <f>F3278/Tabla2[[#This Row],[Cosecha Mensual]]</f>
        <v>4.12</v>
      </c>
      <c r="I3278">
        <f>H3278*_xlfn.XLOOKUP(Tabla2[[#This Row],[Unidad de producción]],Tabla3[Medida],Tabla3[Equivalencia en Kg],"ELVIS",0)</f>
        <v>186.88320000000002</v>
      </c>
      <c r="J3278">
        <v>2689.0693756875698</v>
      </c>
      <c r="K3278" t="s">
        <v>19</v>
      </c>
      <c r="L3278">
        <f>J3278/_xlfn.XLOOKUP(Tabla2[[#This Row],[Unidad de precio]],Tabla3[Medida],Tabla3[Equivalencia en Kg],"ELVIS",0)</f>
        <v>24.446085233523362</v>
      </c>
      <c r="M3278">
        <v>10006.778605990599</v>
      </c>
      <c r="N3278" s="2">
        <f>(Tabla2[[#This Row],[Productividad (kg/TAS)]]*Tabla2[[#This Row],[Precio por kg]]-Tabla2[[#This Row],[Costos (En RD$/Tarea)]])</f>
        <v>-5438.2159700770053</v>
      </c>
      <c r="O3278" s="6">
        <f>IF(Tabla2[[#This Row],[Costos (En RD$/Tarea)]]=0,0,Tabla2[[#This Row],[Beneficio Neto  (En RD$/Tarea)]]/Tabla2[[#This Row],[Costos (En RD$/Tarea)]])</f>
        <v>-0.54345321148820014</v>
      </c>
      <c r="P3278" s="4">
        <f>Tabla2[[#This Row],[Rentabilidad (%)]]/12</f>
        <v>-4.5287767624016678E-2</v>
      </c>
    </row>
    <row r="3279" spans="1:16" x14ac:dyDescent="0.35">
      <c r="A3279" s="1">
        <v>44835</v>
      </c>
      <c r="B3279" t="s">
        <v>20</v>
      </c>
      <c r="C3279" s="2">
        <v>71508</v>
      </c>
      <c r="D3279" s="5" t="s">
        <v>17</v>
      </c>
      <c r="E3279" s="2">
        <f>IF(Tabla2[[#This Row],[Frecuencia]]="Annual", Tabla2[[#This Row],[Cosecha/Tarea]]/12,Tabla2[[#This Row],[Cosecha/Tarea]])</f>
        <v>71508</v>
      </c>
      <c r="F3279" s="2">
        <v>190211.28</v>
      </c>
      <c r="G3279" t="s">
        <v>18</v>
      </c>
      <c r="H3279">
        <f>F3279/Tabla2[[#This Row],[Cosecha Mensual]]</f>
        <v>2.66</v>
      </c>
      <c r="I3279">
        <f>H3279*_xlfn.XLOOKUP(Tabla2[[#This Row],[Unidad de producción]],Tabla3[Medida],Tabla3[Equivalencia en Kg],"ELVIS",0)</f>
        <v>120.6576</v>
      </c>
      <c r="J3279">
        <v>1256.6890625000001</v>
      </c>
      <c r="K3279" t="s">
        <v>18</v>
      </c>
      <c r="L3279">
        <f>J3279/_xlfn.XLOOKUP(Tabla2[[#This Row],[Unidad de precio]],Tabla3[Medida],Tabla3[Equivalencia en Kg],"ELVIS",0)</f>
        <v>27.704785328483247</v>
      </c>
      <c r="M3279">
        <v>4130.0977179150004</v>
      </c>
      <c r="N3279" s="2">
        <f>(Tabla2[[#This Row],[Productividad (kg/TAS)]]*Tabla2[[#This Row],[Precio por kg]]-Tabla2[[#This Row],[Costos (En RD$/Tarea)]])</f>
        <v>-787.30481166500022</v>
      </c>
      <c r="O3279" s="6">
        <f>IF(Tabla2[[#This Row],[Costos (En RD$/Tarea)]]=0,0,Tabla2[[#This Row],[Beneficio Neto  (En RD$/Tarea)]]/Tabla2[[#This Row],[Costos (En RD$/Tarea)]])</f>
        <v>-0.19062619469024469</v>
      </c>
      <c r="P3279" s="4">
        <f>Tabla2[[#This Row],[Rentabilidad (%)]]/12</f>
        <v>-1.5885516224187057E-2</v>
      </c>
    </row>
    <row r="3280" spans="1:16" x14ac:dyDescent="0.35">
      <c r="A3280" s="1">
        <v>44835</v>
      </c>
      <c r="B3280" t="s">
        <v>21</v>
      </c>
      <c r="C3280" s="2">
        <v>8483.4</v>
      </c>
      <c r="D3280" s="5" t="s">
        <v>17</v>
      </c>
      <c r="E3280" s="2">
        <f>IF(Tabla2[[#This Row],[Frecuencia]]="Annual", Tabla2[[#This Row],[Cosecha/Tarea]]/12,Tabla2[[#This Row],[Cosecha/Tarea]])</f>
        <v>8483.4</v>
      </c>
      <c r="F3280" s="2">
        <v>110284.2</v>
      </c>
      <c r="G3280" t="s">
        <v>18</v>
      </c>
      <c r="H3280">
        <f>F3280/Tabla2[[#This Row],[Cosecha Mensual]]</f>
        <v>13</v>
      </c>
      <c r="I3280">
        <f>H3280*_xlfn.XLOOKUP(Tabla2[[#This Row],[Unidad de producción]],Tabla3[Medida],Tabla3[Equivalencia en Kg],"ELVIS",0)</f>
        <v>589.67999999999995</v>
      </c>
      <c r="J3280">
        <v>1359.7089285714301</v>
      </c>
      <c r="K3280" t="s">
        <v>18</v>
      </c>
      <c r="L3280">
        <f>J3280/_xlfn.XLOOKUP(Tabla2[[#This Row],[Unidad de precio]],Tabla3[Medida],Tabla3[Equivalencia en Kg],"ELVIS",0)</f>
        <v>29.975946397077383</v>
      </c>
      <c r="M3280">
        <v>5858.17</v>
      </c>
      <c r="N3280" s="2">
        <f>(Tabla2[[#This Row],[Productividad (kg/TAS)]]*Tabla2[[#This Row],[Precio por kg]]-Tabla2[[#This Row],[Costos (En RD$/Tarea)]])</f>
        <v>11818.046071428589</v>
      </c>
      <c r="O3280" s="6">
        <f>IF(Tabla2[[#This Row],[Costos (En RD$/Tarea)]]=0,0,Tabla2[[#This Row],[Beneficio Neto  (En RD$/Tarea)]]/Tabla2[[#This Row],[Costos (En RD$/Tarea)]])</f>
        <v>2.0173614066216223</v>
      </c>
      <c r="P3280" s="4">
        <f>Tabla2[[#This Row],[Rentabilidad (%)]]/12</f>
        <v>0.16811345055180185</v>
      </c>
    </row>
    <row r="3281" spans="1:16" x14ac:dyDescent="0.35">
      <c r="A3281" s="1">
        <v>44835</v>
      </c>
      <c r="B3281" t="s">
        <v>22</v>
      </c>
      <c r="C3281" s="2">
        <v>5906</v>
      </c>
      <c r="D3281" s="5" t="s">
        <v>17</v>
      </c>
      <c r="E3281" s="2">
        <f>IF(Tabla2[[#This Row],[Frecuencia]]="Annual", Tabla2[[#This Row],[Cosecha/Tarea]]/12,Tabla2[[#This Row],[Cosecha/Tarea]])</f>
        <v>5906</v>
      </c>
      <c r="F3281" s="2">
        <v>77939</v>
      </c>
      <c r="G3281" t="s">
        <v>18</v>
      </c>
      <c r="H3281">
        <f>F3281/Tabla2[[#This Row],[Cosecha Mensual]]</f>
        <v>13.196579749407382</v>
      </c>
      <c r="I3281">
        <f>H3281*_xlfn.XLOOKUP(Tabla2[[#This Row],[Unidad de producción]],Tabla3[Medida],Tabla3[Equivalencia en Kg],"ELVIS",0)</f>
        <v>598.59685743311888</v>
      </c>
      <c r="J3281">
        <v>2263.5972222222199</v>
      </c>
      <c r="K3281" t="s">
        <v>18</v>
      </c>
      <c r="L3281">
        <f>J3281/_xlfn.XLOOKUP(Tabla2[[#This Row],[Unidad de precio]],Tabla3[Medida],Tabla3[Equivalencia en Kg],"ELVIS",0)</f>
        <v>49.902936997844357</v>
      </c>
      <c r="M3281">
        <v>12106.08</v>
      </c>
      <c r="N3281" s="2">
        <f>(Tabla2[[#This Row],[Productividad (kg/TAS)]]*Tabla2[[#This Row],[Precio por kg]]-Tabla2[[#This Row],[Costos (En RD$/Tarea)]])</f>
        <v>17765.661263592556</v>
      </c>
      <c r="O3281" s="6">
        <f>IF(Tabla2[[#This Row],[Costos (En RD$/Tarea)]]=0,0,Tabla2[[#This Row],[Beneficio Neto  (En RD$/Tarea)]]/Tabla2[[#This Row],[Costos (En RD$/Tarea)]])</f>
        <v>1.4674990800979801</v>
      </c>
      <c r="P3281" s="4">
        <f>Tabla2[[#This Row],[Rentabilidad (%)]]/12</f>
        <v>0.12229159000816502</v>
      </c>
    </row>
    <row r="3282" spans="1:16" x14ac:dyDescent="0.35">
      <c r="A3282" s="1">
        <v>44835</v>
      </c>
      <c r="B3282" t="s">
        <v>23</v>
      </c>
      <c r="C3282" s="2">
        <v>4237.75</v>
      </c>
      <c r="D3282" s="5" t="s">
        <v>17</v>
      </c>
      <c r="E3282" s="2">
        <f>IF(Tabla2[[#This Row],[Frecuencia]]="Annual", Tabla2[[#This Row],[Cosecha/Tarea]]/12,Tabla2[[#This Row],[Cosecha/Tarea]])</f>
        <v>4237.75</v>
      </c>
      <c r="F3282" s="2">
        <v>169510</v>
      </c>
      <c r="G3282" t="s">
        <v>18</v>
      </c>
      <c r="H3282">
        <f>F3282/Tabla2[[#This Row],[Cosecha Mensual]]</f>
        <v>40</v>
      </c>
      <c r="I3282">
        <f>H3282*_xlfn.XLOOKUP(Tabla2[[#This Row],[Unidad de producción]],Tabla3[Medida],Tabla3[Equivalencia en Kg],"ELVIS",0)</f>
        <v>1814.4</v>
      </c>
      <c r="J3282">
        <v>1375</v>
      </c>
      <c r="K3282" t="s">
        <v>18</v>
      </c>
      <c r="L3282">
        <f>J3282/_xlfn.XLOOKUP(Tabla2[[#This Row],[Unidad de precio]],Tabla3[Medida],Tabla3[Equivalencia en Kg],"ELVIS",0)</f>
        <v>30.313051146384481</v>
      </c>
      <c r="M3282">
        <v>30322</v>
      </c>
      <c r="N3282" s="2">
        <f>(Tabla2[[#This Row],[Productividad (kg/TAS)]]*Tabla2[[#This Row],[Precio por kg]]-Tabla2[[#This Row],[Costos (En RD$/Tarea)]])</f>
        <v>24678.000000000007</v>
      </c>
      <c r="O3282" s="6">
        <f>IF(Tabla2[[#This Row],[Costos (En RD$/Tarea)]]=0,0,Tabla2[[#This Row],[Beneficio Neto  (En RD$/Tarea)]]/Tabla2[[#This Row],[Costos (En RD$/Tarea)]])</f>
        <v>0.81386452080997318</v>
      </c>
      <c r="P3282" s="4">
        <f>Tabla2[[#This Row],[Rentabilidad (%)]]/12</f>
        <v>6.7822043400831103E-2</v>
      </c>
    </row>
    <row r="3283" spans="1:16" x14ac:dyDescent="0.35">
      <c r="A3283" s="1">
        <v>44835</v>
      </c>
      <c r="B3283" t="s">
        <v>24</v>
      </c>
      <c r="C3283" s="2">
        <v>5930</v>
      </c>
      <c r="D3283" s="5" t="s">
        <v>17</v>
      </c>
      <c r="E3283" s="2">
        <f>IF(Tabla2[[#This Row],[Frecuencia]]="Annual", Tabla2[[#This Row],[Cosecha/Tarea]]/12,Tabla2[[#This Row],[Cosecha/Tarea]])</f>
        <v>5930</v>
      </c>
      <c r="F3283" s="2">
        <v>82026</v>
      </c>
      <c r="G3283" t="s">
        <v>18</v>
      </c>
      <c r="H3283">
        <f>F3283/Tabla2[[#This Row],[Cosecha Mensual]]</f>
        <v>13.832377740303542</v>
      </c>
      <c r="I3283">
        <f>H3283*_xlfn.XLOOKUP(Tabla2[[#This Row],[Unidad de producción]],Tabla3[Medida],Tabla3[Equivalencia en Kg],"ELVIS",0)</f>
        <v>627.4366543001687</v>
      </c>
      <c r="J3283">
        <v>3520.6904761904798</v>
      </c>
      <c r="K3283" t="s">
        <v>18</v>
      </c>
      <c r="L3283">
        <f>J3283/_xlfn.XLOOKUP(Tabla2[[#This Row],[Unidad de precio]],Tabla3[Medida],Tabla3[Equivalencia en Kg],"ELVIS",0)</f>
        <v>77.616633072982353</v>
      </c>
      <c r="M3283">
        <v>16342.43</v>
      </c>
      <c r="N3283" s="2">
        <f>(Tabla2[[#This Row],[Productividad (kg/TAS)]]*Tabla2[[#This Row],[Precio por kg]]-Tabla2[[#This Row],[Costos (En RD$/Tarea)]])</f>
        <v>32357.090573355868</v>
      </c>
      <c r="O3283" s="6">
        <f>IF(Tabla2[[#This Row],[Costos (En RD$/Tarea)]]=0,0,Tabla2[[#This Row],[Beneficio Neto  (En RD$/Tarea)]]/Tabla2[[#This Row],[Costos (En RD$/Tarea)]])</f>
        <v>1.9799436542396613</v>
      </c>
      <c r="P3283" s="4">
        <f>Tabla2[[#This Row],[Rentabilidad (%)]]/12</f>
        <v>0.16499530451997177</v>
      </c>
    </row>
    <row r="3284" spans="1:16" x14ac:dyDescent="0.35">
      <c r="A3284" s="1">
        <v>44835</v>
      </c>
      <c r="B3284" t="s">
        <v>25</v>
      </c>
      <c r="C3284" s="2">
        <v>20752</v>
      </c>
      <c r="D3284" s="5" t="s">
        <v>17</v>
      </c>
      <c r="E3284" s="2">
        <f>IF(Tabla2[[#This Row],[Frecuencia]]="Annual", Tabla2[[#This Row],[Cosecha/Tarea]]/12,Tabla2[[#This Row],[Cosecha/Tarea]])</f>
        <v>20752</v>
      </c>
      <c r="F3284" s="2">
        <v>259307</v>
      </c>
      <c r="G3284" t="s">
        <v>18</v>
      </c>
      <c r="H3284">
        <f>F3284/Tabla2[[#This Row],[Cosecha Mensual]]</f>
        <v>12.495518504240556</v>
      </c>
      <c r="I3284">
        <f>H3284*_xlfn.XLOOKUP(Tabla2[[#This Row],[Unidad de producción]],Tabla3[Medida],Tabla3[Equivalencia en Kg],"ELVIS",0)</f>
        <v>566.7967193523516</v>
      </c>
      <c r="J3284">
        <v>1476.8125</v>
      </c>
      <c r="K3284" t="s">
        <v>18</v>
      </c>
      <c r="L3284">
        <f>J3284/_xlfn.XLOOKUP(Tabla2[[#This Row],[Unidad de precio]],Tabla3[Medida],Tabla3[Equivalencia en Kg],"ELVIS",0)</f>
        <v>32.557594797178133</v>
      </c>
      <c r="M3284">
        <v>6557.61</v>
      </c>
      <c r="N3284" s="2">
        <f>(Tabla2[[#This Row],[Productividad (kg/TAS)]]*Tabla2[[#This Row],[Precio por kg]]-Tabla2[[#This Row],[Costos (En RD$/Tarea)]])</f>
        <v>11895.927921043756</v>
      </c>
      <c r="O3284" s="6">
        <f>IF(Tabla2[[#This Row],[Costos (En RD$/Tarea)]]=0,0,Tabla2[[#This Row],[Beneficio Neto  (En RD$/Tarea)]]/Tabla2[[#This Row],[Costos (En RD$/Tarea)]])</f>
        <v>1.8140645633155612</v>
      </c>
      <c r="P3284" s="4">
        <f>Tabla2[[#This Row],[Rentabilidad (%)]]/12</f>
        <v>0.15117204694296343</v>
      </c>
    </row>
    <row r="3285" spans="1:16" x14ac:dyDescent="0.35">
      <c r="A3285" s="1">
        <v>44835</v>
      </c>
      <c r="B3285" t="s">
        <v>26</v>
      </c>
      <c r="C3285" s="2">
        <v>13095</v>
      </c>
      <c r="D3285" s="5" t="s">
        <v>17</v>
      </c>
      <c r="E3285" s="2">
        <f>IF(Tabla2[[#This Row],[Frecuencia]]="Annual", Tabla2[[#This Row],[Cosecha/Tarea]]/12,Tabla2[[#This Row],[Cosecha/Tarea]])</f>
        <v>13095</v>
      </c>
      <c r="F3285" s="2">
        <v>135126</v>
      </c>
      <c r="G3285" t="s">
        <v>18</v>
      </c>
      <c r="H3285">
        <f>F3285/Tabla2[[#This Row],[Cosecha Mensual]]</f>
        <v>10.318900343642612</v>
      </c>
      <c r="I3285">
        <f>H3285*_xlfn.XLOOKUP(Tabla2[[#This Row],[Unidad de producción]],Tabla3[Medida],Tabla3[Equivalencia en Kg],"ELVIS",0)</f>
        <v>468.06531958762889</v>
      </c>
      <c r="J3285">
        <v>1223.0911458333301</v>
      </c>
      <c r="K3285" t="s">
        <v>18</v>
      </c>
      <c r="L3285">
        <f>J3285/_xlfn.XLOOKUP(Tabla2[[#This Row],[Unidad de precio]],Tabla3[Medida],Tabla3[Equivalencia en Kg],"ELVIS",0)</f>
        <v>26.964090516607808</v>
      </c>
      <c r="M3285">
        <v>2133.92</v>
      </c>
      <c r="N3285" s="2">
        <f>(Tabla2[[#This Row],[Productividad (kg/TAS)]]*Tabla2[[#This Row],[Precio por kg]]-Tabla2[[#This Row],[Costos (En RD$/Tarea)]])</f>
        <v>10487.035645045788</v>
      </c>
      <c r="O3285" s="6">
        <f>IF(Tabla2[[#This Row],[Costos (En RD$/Tarea)]]=0,0,Tabla2[[#This Row],[Beneficio Neto  (En RD$/Tarea)]]/Tabla2[[#This Row],[Costos (En RD$/Tarea)]])</f>
        <v>4.9144464858316095</v>
      </c>
      <c r="P3285" s="4">
        <f>Tabla2[[#This Row],[Rentabilidad (%)]]/12</f>
        <v>0.40953720715263414</v>
      </c>
    </row>
    <row r="3286" spans="1:16" x14ac:dyDescent="0.35">
      <c r="A3286" s="1">
        <v>44835</v>
      </c>
      <c r="B3286" t="s">
        <v>27</v>
      </c>
      <c r="C3286" s="2">
        <v>2284</v>
      </c>
      <c r="D3286" s="5" t="s">
        <v>17</v>
      </c>
      <c r="E3286" s="2">
        <f>IF(Tabla2[[#This Row],[Frecuencia]]="Annual", Tabla2[[#This Row],[Cosecha/Tarea]]/12,Tabla2[[#This Row],[Cosecha/Tarea]])</f>
        <v>2284</v>
      </c>
      <c r="F3286" s="2">
        <v>28849</v>
      </c>
      <c r="G3286" t="s">
        <v>18</v>
      </c>
      <c r="H3286">
        <f>F3286/Tabla2[[#This Row],[Cosecha Mensual]]</f>
        <v>12.630910683012258</v>
      </c>
      <c r="I3286">
        <f>H3286*_xlfn.XLOOKUP(Tabla2[[#This Row],[Unidad de producción]],Tabla3[Medida],Tabla3[Equivalencia en Kg],"ELVIS",0)</f>
        <v>572.93810858143604</v>
      </c>
      <c r="J3286">
        <v>1197.3541666666699</v>
      </c>
      <c r="K3286" t="s">
        <v>18</v>
      </c>
      <c r="L3286">
        <f>J3286/_xlfn.XLOOKUP(Tabla2[[#This Row],[Unidad de precio]],Tabla3[Medida],Tabla3[Equivalencia en Kg],"ELVIS",0)</f>
        <v>26.396696796002423</v>
      </c>
      <c r="M3286">
        <v>11717.05</v>
      </c>
      <c r="N3286" s="2">
        <f>(Tabla2[[#This Row],[Productividad (kg/TAS)]]*Tabla2[[#This Row],[Precio por kg]]-Tabla2[[#This Row],[Costos (En RD$/Tarea)]])</f>
        <v>3406.6235350992829</v>
      </c>
      <c r="O3286" s="6">
        <f>IF(Tabla2[[#This Row],[Costos (En RD$/Tarea)]]=0,0,Tabla2[[#This Row],[Beneficio Neto  (En RD$/Tarea)]]/Tabla2[[#This Row],[Costos (En RD$/Tarea)]])</f>
        <v>0.29074071844869509</v>
      </c>
      <c r="P3286" s="4">
        <f>Tabla2[[#This Row],[Rentabilidad (%)]]/12</f>
        <v>2.4228393204057924E-2</v>
      </c>
    </row>
    <row r="3287" spans="1:16" x14ac:dyDescent="0.35">
      <c r="A3287" s="1">
        <v>44835</v>
      </c>
      <c r="B3287" t="s">
        <v>28</v>
      </c>
      <c r="C3287" s="2">
        <v>28199.599999999999</v>
      </c>
      <c r="D3287" s="5" t="s">
        <v>17</v>
      </c>
      <c r="E3287" s="2">
        <f>IF(Tabla2[[#This Row],[Frecuencia]]="Annual", Tabla2[[#This Row],[Cosecha/Tarea]]/12,Tabla2[[#This Row],[Cosecha/Tarea]])</f>
        <v>28199.599999999999</v>
      </c>
      <c r="F3287" s="2">
        <v>1015185.6</v>
      </c>
      <c r="G3287" t="s">
        <v>18</v>
      </c>
      <c r="H3287">
        <f>F3287/Tabla2[[#This Row],[Cosecha Mensual]]</f>
        <v>36</v>
      </c>
      <c r="I3287">
        <f>H3287*_xlfn.XLOOKUP(Tabla2[[#This Row],[Unidad de producción]],Tabla3[Medida],Tabla3[Equivalencia en Kg],"ELVIS",0)</f>
        <v>1632.96</v>
      </c>
      <c r="J3287">
        <v>5853.8233333333301</v>
      </c>
      <c r="K3287" t="s">
        <v>29</v>
      </c>
      <c r="L3287">
        <f>J3287/_xlfn.XLOOKUP(Tabla2[[#This Row],[Unidad de precio]],Tabla3[Medida],Tabla3[Equivalencia en Kg],"ELVIS",0)</f>
        <v>10.409758034878063</v>
      </c>
      <c r="M3287">
        <v>8552.64</v>
      </c>
      <c r="N3287" s="2">
        <f>(Tabla2[[#This Row],[Productividad (kg/TAS)]]*Tabla2[[#This Row],[Precio por kg]]-Tabla2[[#This Row],[Costos (En RD$/Tarea)]])</f>
        <v>8446.0784806344818</v>
      </c>
      <c r="O3287" s="6">
        <f>IF(Tabla2[[#This Row],[Costos (En RD$/Tarea)]]=0,0,Tabla2[[#This Row],[Beneficio Neto  (En RD$/Tarea)]]/Tabla2[[#This Row],[Costos (En RD$/Tarea)]])</f>
        <v>0.98754051154198963</v>
      </c>
      <c r="P3287" s="4">
        <f>Tabla2[[#This Row],[Rentabilidad (%)]]/12</f>
        <v>8.229504262849914E-2</v>
      </c>
    </row>
    <row r="3288" spans="1:16" x14ac:dyDescent="0.35">
      <c r="A3288" s="1">
        <v>44835</v>
      </c>
      <c r="B3288" t="s">
        <v>30</v>
      </c>
      <c r="C3288" s="2">
        <v>361168</v>
      </c>
      <c r="D3288" s="2" t="s">
        <v>31</v>
      </c>
      <c r="E3288" s="2">
        <f>IF(Tabla2[[#This Row],[Frecuencia]]="Annual", Tabla2[[#This Row],[Cosecha/Tarea]]/12,Tabla2[[#This Row],[Cosecha/Tarea]])</f>
        <v>30097.333333333332</v>
      </c>
      <c r="F3288" s="2">
        <v>2383708.7999999998</v>
      </c>
      <c r="G3288" t="s">
        <v>18</v>
      </c>
      <c r="H3288">
        <f>F3288/Tabla2[[#This Row],[Cosecha Mensual]]</f>
        <v>79.2</v>
      </c>
      <c r="I3288">
        <f>H3288*_xlfn.XLOOKUP(Tabla2[[#This Row],[Unidad de producción]],Tabla3[Medida],Tabla3[Equivalencia en Kg],"ELVIS",0)</f>
        <v>3592.5120000000002</v>
      </c>
      <c r="J3288">
        <v>246.94687500000001</v>
      </c>
      <c r="K3288" t="s">
        <v>32</v>
      </c>
      <c r="L3288">
        <f>J3288/_xlfn.XLOOKUP(Tabla2[[#This Row],[Unidad de precio]],Tabla3[Medida],Tabla3[Equivalencia en Kg],"ELVIS",0)</f>
        <v>9.0755926130099223</v>
      </c>
      <c r="M3288" s="2">
        <v>47396.15</v>
      </c>
      <c r="N3288" s="2">
        <f>(Tabla2[[#This Row],[Productividad (kg/TAS)]]*Tabla2[[#This Row],[Precio por kg]]-Tabla2[[#This Row],[Costos (En RD$/Tarea)]])</f>
        <v>-14791.974630650497</v>
      </c>
      <c r="O3288" s="6">
        <f>IF(Tabla2[[#This Row],[Costos (En RD$/Tarea)]]=0,0,Tabla2[[#This Row],[Beneficio Neto  (En RD$/Tarea)]]/Tabla2[[#This Row],[Costos (En RD$/Tarea)]])</f>
        <v>-0.31209232460127029</v>
      </c>
      <c r="P3288" s="4">
        <f>Tabla2[[#This Row],[Rentabilidad (%)]]/12</f>
        <v>-2.6007693716772525E-2</v>
      </c>
    </row>
    <row r="3289" spans="1:16" x14ac:dyDescent="0.35">
      <c r="A3289" s="1">
        <v>44835</v>
      </c>
      <c r="B3289" t="s">
        <v>33</v>
      </c>
      <c r="C3289" s="2">
        <v>585459</v>
      </c>
      <c r="D3289" s="2" t="s">
        <v>31</v>
      </c>
      <c r="E3289" s="8">
        <f>IF(Tabla2[[#This Row],[Frecuencia]]="Annual", Tabla2[[#This Row],[Cosecha/Tarea]]/12,Tabla2[[#This Row],[Cosecha/Tarea]])</f>
        <v>48788.25</v>
      </c>
      <c r="F3289" s="2">
        <v>1844195.85</v>
      </c>
      <c r="G3289" t="s">
        <v>18</v>
      </c>
      <c r="H3289">
        <f>F3289/Tabla2[[#This Row],[Cosecha Mensual]]</f>
        <v>37.800000000000004</v>
      </c>
      <c r="I3289">
        <f>H3289*_xlfn.XLOOKUP(Tabla2[[#This Row],[Unidad de producción]],Tabla3[Medida],Tabla3[Equivalencia en Kg],"ELVIS",0)</f>
        <v>1714.6080000000002</v>
      </c>
      <c r="J3289">
        <v>10066.7109375</v>
      </c>
      <c r="K3289" t="s">
        <v>34</v>
      </c>
      <c r="L3289">
        <f>J3289/_xlfn.XLOOKUP(Tabla2[[#This Row],[Unidad de precio]],Tabla3[Medida],Tabla3[Equivalencia en Kg],"ELVIS",0)</f>
        <v>24.664243384785006</v>
      </c>
      <c r="M3289" s="2">
        <v>25908.33</v>
      </c>
      <c r="N3289" s="2">
        <f>(Tabla2[[#This Row],[Productividad (kg/TAS)]]*Tabla2[[#This Row],[Precio por kg]]-Tabla2[[#This Row],[Costos (En RD$/Tarea)]])</f>
        <v>16381.179021499454</v>
      </c>
      <c r="O3289" s="6">
        <f>IF(Tabla2[[#This Row],[Costos (En RD$/Tarea)]]=0,0,Tabla2[[#This Row],[Beneficio Neto  (En RD$/Tarea)]]/Tabla2[[#This Row],[Costos (En RD$/Tarea)]])</f>
        <v>0.63227460131546309</v>
      </c>
      <c r="P3289" s="4">
        <f>Tabla2[[#This Row],[Rentabilidad (%)]]/12</f>
        <v>5.2689550109621924E-2</v>
      </c>
    </row>
    <row r="3290" spans="1:16" x14ac:dyDescent="0.35">
      <c r="A3290" s="1">
        <v>44866</v>
      </c>
      <c r="B3290" t="s">
        <v>16</v>
      </c>
      <c r="C3290" s="2">
        <v>334822</v>
      </c>
      <c r="D3290" s="5" t="s">
        <v>17</v>
      </c>
      <c r="E3290" s="2">
        <f>IF(Tabla2[[#This Row],[Frecuencia]]="Annual", Tabla2[[#This Row],[Cosecha/Tarea]]/12,Tabla2[[#This Row],[Cosecha/Tarea]])</f>
        <v>334822</v>
      </c>
      <c r="F3290" s="2">
        <v>1055854</v>
      </c>
      <c r="G3290" t="s">
        <v>18</v>
      </c>
      <c r="H3290">
        <f>F3290/Tabla2[[#This Row],[Cosecha Mensual]]</f>
        <v>3.1534785647299164</v>
      </c>
      <c r="I3290">
        <f>H3290*_xlfn.XLOOKUP(Tabla2[[#This Row],[Unidad de producción]],Tabla3[Medida],Tabla3[Equivalencia en Kg],"ELVIS",0)</f>
        <v>143.04178769614902</v>
      </c>
      <c r="J3290">
        <v>2629.3532728272799</v>
      </c>
      <c r="K3290" t="s">
        <v>19</v>
      </c>
      <c r="L3290">
        <f>J3290/_xlfn.XLOOKUP(Tabla2[[#This Row],[Unidad de precio]],Tabla3[Medida],Tabla3[Equivalencia en Kg],"ELVIS",0)</f>
        <v>23.90321157115709</v>
      </c>
      <c r="M3290">
        <v>10006.778605990599</v>
      </c>
      <c r="N3290" s="2">
        <f>(Tabla2[[#This Row],[Productividad (kg/TAS)]]*Tabla2[[#This Row],[Precio por kg]]-Tabla2[[#This Row],[Costos (En RD$/Tarea)]])</f>
        <v>-6587.6204911730147</v>
      </c>
      <c r="O3290" s="6">
        <f>IF(Tabla2[[#This Row],[Costos (En RD$/Tarea)]]=0,0,Tabla2[[#This Row],[Beneficio Neto  (En RD$/Tarea)]]/Tabla2[[#This Row],[Costos (En RD$/Tarea)]])</f>
        <v>-0.65831580277286328</v>
      </c>
      <c r="P3290" s="4">
        <f>Tabla2[[#This Row],[Rentabilidad (%)]]/12</f>
        <v>-5.4859650231071942E-2</v>
      </c>
    </row>
    <row r="3291" spans="1:16" x14ac:dyDescent="0.35">
      <c r="A3291" s="1">
        <v>44866</v>
      </c>
      <c r="B3291" t="s">
        <v>20</v>
      </c>
      <c r="C3291" s="2">
        <v>45644</v>
      </c>
      <c r="D3291" s="5" t="s">
        <v>17</v>
      </c>
      <c r="E3291" s="2">
        <f>IF(Tabla2[[#This Row],[Frecuencia]]="Annual", Tabla2[[#This Row],[Cosecha/Tarea]]/12,Tabla2[[#This Row],[Cosecha/Tarea]])</f>
        <v>45644</v>
      </c>
      <c r="F3291" s="2">
        <v>121413.04</v>
      </c>
      <c r="G3291" t="s">
        <v>18</v>
      </c>
      <c r="H3291">
        <f>F3291/Tabla2[[#This Row],[Cosecha Mensual]]</f>
        <v>2.6599999999999997</v>
      </c>
      <c r="I3291">
        <f>H3291*_xlfn.XLOOKUP(Tabla2[[#This Row],[Unidad de producción]],Tabla3[Medida],Tabla3[Equivalencia en Kg],"ELVIS",0)</f>
        <v>120.65759999999999</v>
      </c>
      <c r="J3291">
        <v>1269.41795833333</v>
      </c>
      <c r="K3291" t="s">
        <v>18</v>
      </c>
      <c r="L3291">
        <f>J3291/_xlfn.XLOOKUP(Tabla2[[#This Row],[Unidad de precio]],Tabla3[Medida],Tabla3[Equivalencia en Kg],"ELVIS",0)</f>
        <v>27.985404725161597</v>
      </c>
      <c r="M3291">
        <v>4130.0977179150004</v>
      </c>
      <c r="N3291" s="2">
        <f>(Tabla2[[#This Row],[Productividad (kg/TAS)]]*Tabla2[[#This Row],[Precio por kg]]-Tabla2[[#This Row],[Costos (En RD$/Tarea)]])</f>
        <v>-753.44594874834274</v>
      </c>
      <c r="O3291" s="6">
        <f>IF(Tabla2[[#This Row],[Costos (En RD$/Tarea)]]=0,0,Tabla2[[#This Row],[Beneficio Neto  (En RD$/Tarea)]]/Tabla2[[#This Row],[Costos (En RD$/Tarea)]])</f>
        <v>-0.1824281167683135</v>
      </c>
      <c r="P3291" s="4">
        <f>Tabla2[[#This Row],[Rentabilidad (%)]]/12</f>
        <v>-1.5202343064026125E-2</v>
      </c>
    </row>
    <row r="3292" spans="1:16" x14ac:dyDescent="0.35">
      <c r="A3292" s="1">
        <v>44866</v>
      </c>
      <c r="B3292" t="s">
        <v>21</v>
      </c>
      <c r="C3292" s="2">
        <v>9023</v>
      </c>
      <c r="D3292" s="5" t="s">
        <v>17</v>
      </c>
      <c r="E3292" s="2">
        <f>IF(Tabla2[[#This Row],[Frecuencia]]="Annual", Tabla2[[#This Row],[Cosecha/Tarea]]/12,Tabla2[[#This Row],[Cosecha/Tarea]])</f>
        <v>9023</v>
      </c>
      <c r="F3292" s="2">
        <v>117299</v>
      </c>
      <c r="G3292" t="s">
        <v>18</v>
      </c>
      <c r="H3292">
        <f>F3292/Tabla2[[#This Row],[Cosecha Mensual]]</f>
        <v>13</v>
      </c>
      <c r="I3292">
        <f>H3292*_xlfn.XLOOKUP(Tabla2[[#This Row],[Unidad de producción]],Tabla3[Medida],Tabla3[Equivalencia en Kg],"ELVIS",0)</f>
        <v>589.67999999999995</v>
      </c>
      <c r="J3292">
        <v>1358.9214285714299</v>
      </c>
      <c r="K3292" t="s">
        <v>18</v>
      </c>
      <c r="L3292">
        <f>J3292/_xlfn.XLOOKUP(Tabla2[[#This Row],[Unidad de precio]],Tabla3[Medida],Tabla3[Equivalencia en Kg],"ELVIS",0)</f>
        <v>29.958585285966269</v>
      </c>
      <c r="M3292">
        <v>5858.17</v>
      </c>
      <c r="N3292" s="2">
        <f>(Tabla2[[#This Row],[Productividad (kg/TAS)]]*Tabla2[[#This Row],[Precio por kg]]-Tabla2[[#This Row],[Costos (En RD$/Tarea)]])</f>
        <v>11807.808571428586</v>
      </c>
      <c r="O3292" s="6">
        <f>IF(Tabla2[[#This Row],[Costos (En RD$/Tarea)]]=0,0,Tabla2[[#This Row],[Beneficio Neto  (En RD$/Tarea)]]/Tabla2[[#This Row],[Costos (En RD$/Tarea)]])</f>
        <v>2.0156138472302079</v>
      </c>
      <c r="P3292" s="4">
        <f>Tabla2[[#This Row],[Rentabilidad (%)]]/12</f>
        <v>0.16796782060251733</v>
      </c>
    </row>
    <row r="3293" spans="1:16" x14ac:dyDescent="0.35">
      <c r="A3293" s="1">
        <v>44866</v>
      </c>
      <c r="B3293" t="s">
        <v>22</v>
      </c>
      <c r="C3293" s="2">
        <v>3995</v>
      </c>
      <c r="D3293" s="5" t="s">
        <v>17</v>
      </c>
      <c r="E3293" s="2">
        <f>IF(Tabla2[[#This Row],[Frecuencia]]="Annual", Tabla2[[#This Row],[Cosecha/Tarea]]/12,Tabla2[[#This Row],[Cosecha/Tarea]])</f>
        <v>3995</v>
      </c>
      <c r="F3293" s="2">
        <v>58047.35</v>
      </c>
      <c r="G3293" t="s">
        <v>18</v>
      </c>
      <c r="H3293">
        <f>F3293/Tabla2[[#This Row],[Cosecha Mensual]]</f>
        <v>14.53</v>
      </c>
      <c r="I3293">
        <f>H3293*_xlfn.XLOOKUP(Tabla2[[#This Row],[Unidad de producción]],Tabla3[Medida],Tabla3[Equivalencia en Kg],"ELVIS",0)</f>
        <v>659.08079999999995</v>
      </c>
      <c r="J3293">
        <v>2068.9809523809499</v>
      </c>
      <c r="K3293" t="s">
        <v>18</v>
      </c>
      <c r="L3293">
        <f>J3293/_xlfn.XLOOKUP(Tabla2[[#This Row],[Unidad de precio]],Tabla3[Medida],Tabla3[Equivalencia en Kg],"ELVIS",0)</f>
        <v>45.612454858486551</v>
      </c>
      <c r="M3293">
        <v>12106.08</v>
      </c>
      <c r="N3293" s="2">
        <f>(Tabla2[[#This Row],[Productividad (kg/TAS)]]*Tabla2[[#This Row],[Precio por kg]]-Tabla2[[#This Row],[Costos (En RD$/Tarea)]])</f>
        <v>17956.213238095203</v>
      </c>
      <c r="O3293" s="6">
        <f>IF(Tabla2[[#This Row],[Costos (En RD$/Tarea)]]=0,0,Tabla2[[#This Row],[Beneficio Neto  (En RD$/Tarea)]]/Tabla2[[#This Row],[Costos (En RD$/Tarea)]])</f>
        <v>1.4832392680450817</v>
      </c>
      <c r="P3293" s="4">
        <f>Tabla2[[#This Row],[Rentabilidad (%)]]/12</f>
        <v>0.12360327233709013</v>
      </c>
    </row>
    <row r="3294" spans="1:16" x14ac:dyDescent="0.35">
      <c r="A3294" s="1">
        <v>44866</v>
      </c>
      <c r="B3294" t="s">
        <v>23</v>
      </c>
      <c r="C3294" s="2">
        <v>4600</v>
      </c>
      <c r="D3294" s="5" t="s">
        <v>17</v>
      </c>
      <c r="E3294" s="2">
        <f>IF(Tabla2[[#This Row],[Frecuencia]]="Annual", Tabla2[[#This Row],[Cosecha/Tarea]]/12,Tabla2[[#This Row],[Cosecha/Tarea]])</f>
        <v>4600</v>
      </c>
      <c r="F3294" s="2">
        <v>161000</v>
      </c>
      <c r="G3294" t="s">
        <v>18</v>
      </c>
      <c r="H3294">
        <f>F3294/Tabla2[[#This Row],[Cosecha Mensual]]</f>
        <v>35</v>
      </c>
      <c r="I3294">
        <f>H3294*_xlfn.XLOOKUP(Tabla2[[#This Row],[Unidad de producción]],Tabla3[Medida],Tabla3[Equivalencia en Kg],"ELVIS",0)</f>
        <v>1587.6</v>
      </c>
      <c r="J3294">
        <v>1647.5</v>
      </c>
      <c r="K3294" t="s">
        <v>18</v>
      </c>
      <c r="L3294">
        <f>J3294/_xlfn.XLOOKUP(Tabla2[[#This Row],[Unidad de precio]],Tabla3[Medida],Tabla3[Equivalencia en Kg],"ELVIS",0)</f>
        <v>36.320546737213405</v>
      </c>
      <c r="M3294">
        <v>30322</v>
      </c>
      <c r="N3294" s="2">
        <f>(Tabla2[[#This Row],[Productividad (kg/TAS)]]*Tabla2[[#This Row],[Precio por kg]]-Tabla2[[#This Row],[Costos (En RD$/Tarea)]])</f>
        <v>27340.5</v>
      </c>
      <c r="O3294" s="6">
        <f>IF(Tabla2[[#This Row],[Costos (En RD$/Tarea)]]=0,0,Tabla2[[#This Row],[Beneficio Neto  (En RD$/Tarea)]]/Tabla2[[#This Row],[Costos (En RD$/Tarea)]])</f>
        <v>0.90167205329463751</v>
      </c>
      <c r="P3294" s="4">
        <f>Tabla2[[#This Row],[Rentabilidad (%)]]/12</f>
        <v>7.513933777455313E-2</v>
      </c>
    </row>
    <row r="3295" spans="1:16" x14ac:dyDescent="0.35">
      <c r="A3295" s="1">
        <v>44866</v>
      </c>
      <c r="B3295" t="s">
        <v>24</v>
      </c>
      <c r="C3295" s="2">
        <v>7991</v>
      </c>
      <c r="D3295" s="5" t="s">
        <v>17</v>
      </c>
      <c r="E3295" s="2">
        <f>IF(Tabla2[[#This Row],[Frecuencia]]="Annual", Tabla2[[#This Row],[Cosecha/Tarea]]/12,Tabla2[[#This Row],[Cosecha/Tarea]])</f>
        <v>7991</v>
      </c>
      <c r="F3295" s="2">
        <v>126417.62</v>
      </c>
      <c r="G3295" t="s">
        <v>18</v>
      </c>
      <c r="H3295">
        <f>F3295/Tabla2[[#This Row],[Cosecha Mensual]]</f>
        <v>15.82</v>
      </c>
      <c r="I3295">
        <f>H3295*_xlfn.XLOOKUP(Tabla2[[#This Row],[Unidad de producción]],Tabla3[Medida],Tabla3[Equivalencia en Kg],"ELVIS",0)</f>
        <v>717.59519999999998</v>
      </c>
      <c r="J3295">
        <v>3638.8095238095202</v>
      </c>
      <c r="K3295" t="s">
        <v>18</v>
      </c>
      <c r="L3295">
        <f>J3295/_xlfn.XLOOKUP(Tabla2[[#This Row],[Unidad de precio]],Tabla3[Medida],Tabla3[Equivalencia en Kg],"ELVIS",0)</f>
        <v>80.220668514319229</v>
      </c>
      <c r="M3295">
        <v>16342.43</v>
      </c>
      <c r="N3295" s="2">
        <f>(Tabla2[[#This Row],[Productividad (kg/TAS)]]*Tabla2[[#This Row],[Precio por kg]]-Tabla2[[#This Row],[Costos (En RD$/Tarea)]])</f>
        <v>41223.536666666609</v>
      </c>
      <c r="O3295" s="6">
        <f>IF(Tabla2[[#This Row],[Costos (En RD$/Tarea)]]=0,0,Tabla2[[#This Row],[Beneficio Neto  (En RD$/Tarea)]]/Tabla2[[#This Row],[Costos (En RD$/Tarea)]])</f>
        <v>2.5224851302203288</v>
      </c>
      <c r="P3295" s="4">
        <f>Tabla2[[#This Row],[Rentabilidad (%)]]/12</f>
        <v>0.21020709418502739</v>
      </c>
    </row>
    <row r="3296" spans="1:16" x14ac:dyDescent="0.35">
      <c r="A3296" s="1">
        <v>44866</v>
      </c>
      <c r="B3296" t="s">
        <v>25</v>
      </c>
      <c r="C3296" s="2">
        <v>24672</v>
      </c>
      <c r="D3296" s="5" t="s">
        <v>17</v>
      </c>
      <c r="E3296" s="2">
        <f>IF(Tabla2[[#This Row],[Frecuencia]]="Annual", Tabla2[[#This Row],[Cosecha/Tarea]]/12,Tabla2[[#This Row],[Cosecha/Tarea]])</f>
        <v>24672</v>
      </c>
      <c r="F3296" s="2">
        <v>308289.43253662298</v>
      </c>
      <c r="G3296" t="s">
        <v>18</v>
      </c>
      <c r="H3296">
        <f>F3296/Tabla2[[#This Row],[Cosecha Mensual]]</f>
        <v>12.495518504240556</v>
      </c>
      <c r="I3296">
        <f>H3296*_xlfn.XLOOKUP(Tabla2[[#This Row],[Unidad de producción]],Tabla3[Medida],Tabla3[Equivalencia en Kg],"ELVIS",0)</f>
        <v>566.7967193523516</v>
      </c>
      <c r="J3296">
        <v>1464.0125</v>
      </c>
      <c r="K3296" t="s">
        <v>18</v>
      </c>
      <c r="L3296">
        <f>J3296/_xlfn.XLOOKUP(Tabla2[[#This Row],[Unidad de precio]],Tabla3[Medida],Tabla3[Equivalencia en Kg],"ELVIS",0)</f>
        <v>32.275407848324519</v>
      </c>
      <c r="M3296">
        <v>6557.61</v>
      </c>
      <c r="N3296" s="2">
        <f>(Tabla2[[#This Row],[Productividad (kg/TAS)]]*Tabla2[[#This Row],[Precio por kg]]-Tabla2[[#This Row],[Costos (En RD$/Tarea)]])</f>
        <v>11735.985284189479</v>
      </c>
      <c r="O3296" s="6">
        <f>IF(Tabla2[[#This Row],[Costos (En RD$/Tarea)]]=0,0,Tabla2[[#This Row],[Beneficio Neto  (En RD$/Tarea)]]/Tabla2[[#This Row],[Costos (En RD$/Tarea)]])</f>
        <v>1.7896741776637342</v>
      </c>
      <c r="P3296" s="4">
        <f>Tabla2[[#This Row],[Rentabilidad (%)]]/12</f>
        <v>0.14913951480531118</v>
      </c>
    </row>
    <row r="3297" spans="1:16" x14ac:dyDescent="0.35">
      <c r="A3297" s="1">
        <v>44866</v>
      </c>
      <c r="B3297" t="s">
        <v>26</v>
      </c>
      <c r="C3297" s="2">
        <v>9805</v>
      </c>
      <c r="D3297" s="5" t="s">
        <v>17</v>
      </c>
      <c r="E3297" s="2">
        <f>IF(Tabla2[[#This Row],[Frecuencia]]="Annual", Tabla2[[#This Row],[Cosecha/Tarea]]/12,Tabla2[[#This Row],[Cosecha/Tarea]])</f>
        <v>9805</v>
      </c>
      <c r="F3297" s="2">
        <v>101176.817869416</v>
      </c>
      <c r="G3297" t="s">
        <v>18</v>
      </c>
      <c r="H3297">
        <f>F3297/Tabla2[[#This Row],[Cosecha Mensual]]</f>
        <v>10.318900343642632</v>
      </c>
      <c r="I3297">
        <f>H3297*_xlfn.XLOOKUP(Tabla2[[#This Row],[Unidad de producción]],Tabla3[Medida],Tabla3[Equivalencia en Kg],"ELVIS",0)</f>
        <v>468.0653195876298</v>
      </c>
      <c r="J3297">
        <v>1423.2142857142901</v>
      </c>
      <c r="K3297" t="s">
        <v>18</v>
      </c>
      <c r="L3297">
        <f>J3297/_xlfn.XLOOKUP(Tabla2[[#This Row],[Unidad de precio]],Tabla3[Medida],Tabla3[Equivalencia en Kg],"ELVIS",0)</f>
        <v>31.375976316452604</v>
      </c>
      <c r="M3297">
        <v>2133.92</v>
      </c>
      <c r="N3297" s="2">
        <f>(Tabla2[[#This Row],[Productividad (kg/TAS)]]*Tabla2[[#This Row],[Precio por kg]]-Tabla2[[#This Row],[Costos (En RD$/Tarea)]])</f>
        <v>12552.086381934292</v>
      </c>
      <c r="O3297" s="6">
        <f>IF(Tabla2[[#This Row],[Costos (En RD$/Tarea)]]=0,0,Tabla2[[#This Row],[Beneficio Neto  (En RD$/Tarea)]]/Tabla2[[#This Row],[Costos (En RD$/Tarea)]])</f>
        <v>5.8821728939858531</v>
      </c>
      <c r="P3297" s="4">
        <f>Tabla2[[#This Row],[Rentabilidad (%)]]/12</f>
        <v>0.49018107449882109</v>
      </c>
    </row>
    <row r="3298" spans="1:16" x14ac:dyDescent="0.35">
      <c r="A3298" s="1">
        <v>44866</v>
      </c>
      <c r="B3298" t="s">
        <v>27</v>
      </c>
      <c r="C3298" s="2">
        <v>1989</v>
      </c>
      <c r="D3298" s="5" t="s">
        <v>17</v>
      </c>
      <c r="E3298" s="2">
        <f>IF(Tabla2[[#This Row],[Frecuencia]]="Annual", Tabla2[[#This Row],[Cosecha/Tarea]]/12,Tabla2[[#This Row],[Cosecha/Tarea]])</f>
        <v>1989</v>
      </c>
      <c r="F3298" s="2">
        <v>25122.881348511401</v>
      </c>
      <c r="G3298" t="s">
        <v>18</v>
      </c>
      <c r="H3298">
        <f>F3298/Tabla2[[#This Row],[Cosecha Mensual]]</f>
        <v>12.630910683012267</v>
      </c>
      <c r="I3298">
        <f>H3298*_xlfn.XLOOKUP(Tabla2[[#This Row],[Unidad de producción]],Tabla3[Medida],Tabla3[Equivalencia en Kg],"ELVIS",0)</f>
        <v>572.93810858143638</v>
      </c>
      <c r="J3298">
        <v>1212.6666666666699</v>
      </c>
      <c r="K3298" t="s">
        <v>18</v>
      </c>
      <c r="L3298">
        <f>J3298/_xlfn.XLOOKUP(Tabla2[[#This Row],[Unidad de precio]],Tabla3[Medida],Tabla3[Equivalencia en Kg],"ELVIS",0)</f>
        <v>26.734273956496249</v>
      </c>
      <c r="M3298">
        <v>11717.05</v>
      </c>
      <c r="N3298" s="2">
        <f>(Tabla2[[#This Row],[Productividad (kg/TAS)]]*Tabla2[[#This Row],[Precio por kg]]-Tabla2[[#This Row],[Costos (En RD$/Tarea)]])</f>
        <v>3600.0343549329154</v>
      </c>
      <c r="O3298" s="6">
        <f>IF(Tabla2[[#This Row],[Costos (En RD$/Tarea)]]=0,0,Tabla2[[#This Row],[Beneficio Neto  (En RD$/Tarea)]]/Tabla2[[#This Row],[Costos (En RD$/Tarea)]])</f>
        <v>0.30724750299204284</v>
      </c>
      <c r="P3298" s="4">
        <f>Tabla2[[#This Row],[Rentabilidad (%)]]/12</f>
        <v>2.5603958582670238E-2</v>
      </c>
    </row>
    <row r="3299" spans="1:16" x14ac:dyDescent="0.35">
      <c r="A3299" s="1">
        <v>44866</v>
      </c>
      <c r="B3299" t="s">
        <v>28</v>
      </c>
      <c r="C3299" s="2">
        <v>48980</v>
      </c>
      <c r="D3299" s="5" t="s">
        <v>17</v>
      </c>
      <c r="E3299" s="2">
        <f>IF(Tabla2[[#This Row],[Frecuencia]]="Annual", Tabla2[[#This Row],[Cosecha/Tarea]]/12,Tabla2[[#This Row],[Cosecha/Tarea]])</f>
        <v>48980</v>
      </c>
      <c r="F3299" s="2">
        <v>1763280</v>
      </c>
      <c r="G3299" t="s">
        <v>18</v>
      </c>
      <c r="H3299">
        <f>F3299/Tabla2[[#This Row],[Cosecha Mensual]]</f>
        <v>36</v>
      </c>
      <c r="I3299">
        <f>H3299*_xlfn.XLOOKUP(Tabla2[[#This Row],[Unidad de producción]],Tabla3[Medida],Tabla3[Equivalencia en Kg],"ELVIS",0)</f>
        <v>1632.96</v>
      </c>
      <c r="J3299">
        <v>7423.2255555555603</v>
      </c>
      <c r="K3299" t="s">
        <v>29</v>
      </c>
      <c r="L3299">
        <f>J3299/_xlfn.XLOOKUP(Tabla2[[#This Row],[Unidad de precio]],Tabla3[Medida],Tabla3[Equivalencia en Kg],"ELVIS",0)</f>
        <v>13.200600269508767</v>
      </c>
      <c r="M3299">
        <v>8552.64</v>
      </c>
      <c r="N3299" s="2">
        <f>(Tabla2[[#This Row],[Productividad (kg/TAS)]]*Tabla2[[#This Row],[Precio por kg]]-Tabla2[[#This Row],[Costos (En RD$/Tarea)]])</f>
        <v>13003.412216097036</v>
      </c>
      <c r="O3299" s="6">
        <f>IF(Tabla2[[#This Row],[Costos (En RD$/Tarea)]]=0,0,Tabla2[[#This Row],[Beneficio Neto  (En RD$/Tarea)]]/Tabla2[[#This Row],[Costos (En RD$/Tarea)]])</f>
        <v>1.5203974697984526</v>
      </c>
      <c r="P3299" s="4">
        <f>Tabla2[[#This Row],[Rentabilidad (%)]]/12</f>
        <v>0.12669978914987104</v>
      </c>
    </row>
    <row r="3300" spans="1:16" x14ac:dyDescent="0.35">
      <c r="A3300" s="1">
        <v>44866</v>
      </c>
      <c r="B3300" t="s">
        <v>30</v>
      </c>
      <c r="C3300" s="2">
        <v>523319</v>
      </c>
      <c r="D3300" s="2" t="s">
        <v>31</v>
      </c>
      <c r="E3300" s="2">
        <f>IF(Tabla2[[#This Row],[Frecuencia]]="Annual", Tabla2[[#This Row],[Cosecha/Tarea]]/12,Tabla2[[#This Row],[Cosecha/Tarea]])</f>
        <v>43609.916666666664</v>
      </c>
      <c r="F3300" s="2">
        <v>2166540.66</v>
      </c>
      <c r="G3300" t="s">
        <v>18</v>
      </c>
      <c r="H3300">
        <f>F3300/Tabla2[[#This Row],[Cosecha Mensual]]</f>
        <v>49.680000000000007</v>
      </c>
      <c r="I3300">
        <f>H3300*_xlfn.XLOOKUP(Tabla2[[#This Row],[Unidad de producción]],Tabla3[Medida],Tabla3[Equivalencia en Kg],"ELVIS",0)</f>
        <v>2253.4848000000002</v>
      </c>
      <c r="J3300">
        <v>269.15833333333302</v>
      </c>
      <c r="K3300" t="s">
        <v>32</v>
      </c>
      <c r="L3300">
        <f>J3300/_xlfn.XLOOKUP(Tabla2[[#This Row],[Unidad de precio]],Tabla3[Medida],Tabla3[Equivalencia en Kg],"ELVIS",0)</f>
        <v>9.8918902364326726</v>
      </c>
      <c r="M3300" s="2">
        <v>47396.15</v>
      </c>
      <c r="N3300" s="2">
        <f>(Tabla2[[#This Row],[Productividad (kg/TAS)]]*Tabla2[[#This Row],[Precio por kg]]-Tabla2[[#This Row],[Costos (En RD$/Tarea)]])</f>
        <v>-25104.925708930565</v>
      </c>
      <c r="O3300" s="6">
        <f>IF(Tabla2[[#This Row],[Costos (En RD$/Tarea)]]=0,0,Tabla2[[#This Row],[Beneficio Neto  (En RD$/Tarea)]]/Tabla2[[#This Row],[Costos (En RD$/Tarea)]])</f>
        <v>-0.52968280564836101</v>
      </c>
      <c r="P3300" s="4">
        <f>Tabla2[[#This Row],[Rentabilidad (%)]]/12</f>
        <v>-4.4140233804030087E-2</v>
      </c>
    </row>
    <row r="3301" spans="1:16" x14ac:dyDescent="0.35">
      <c r="A3301" s="1">
        <v>44866</v>
      </c>
      <c r="B3301" t="s">
        <v>33</v>
      </c>
      <c r="C3301" s="2">
        <v>788161</v>
      </c>
      <c r="D3301" s="2" t="s">
        <v>31</v>
      </c>
      <c r="E3301" s="2">
        <f>IF(Tabla2[[#This Row],[Frecuencia]]="Annual", Tabla2[[#This Row],[Cosecha/Tarea]]/12,Tabla2[[#This Row],[Cosecha/Tarea]])</f>
        <v>65680.083333333328</v>
      </c>
      <c r="F3301" s="2">
        <v>1276820.82</v>
      </c>
      <c r="G3301" t="s">
        <v>18</v>
      </c>
      <c r="H3301">
        <f>F3301/Tabla2[[#This Row],[Cosecha Mensual]]</f>
        <v>19.440000000000001</v>
      </c>
      <c r="I3301">
        <f>H3301*_xlfn.XLOOKUP(Tabla2[[#This Row],[Unidad de producción]],Tabla3[Medida],Tabla3[Equivalencia en Kg],"ELVIS",0)</f>
        <v>881.79840000000002</v>
      </c>
      <c r="J3301">
        <v>11698.295833333301</v>
      </c>
      <c r="K3301" t="s">
        <v>34</v>
      </c>
      <c r="L3301">
        <f>J3301/_xlfn.XLOOKUP(Tabla2[[#This Row],[Unidad de precio]],Tabla3[Medida],Tabla3[Equivalencia en Kg],"ELVIS",0)</f>
        <v>28.661756298746297</v>
      </c>
      <c r="M3301" s="2">
        <v>25908.33</v>
      </c>
      <c r="N3301" s="2">
        <f>(Tabla2[[#This Row],[Productividad (kg/TAS)]]*Tabla2[[#This Row],[Precio por kg]]-Tabla2[[#This Row],[Costos (En RD$/Tarea)]])</f>
        <v>-634.43915457559342</v>
      </c>
      <c r="O3301" s="6">
        <f>IF(Tabla2[[#This Row],[Costos (En RD$/Tarea)]]=0,0,Tabla2[[#This Row],[Beneficio Neto  (En RD$/Tarea)]]/Tabla2[[#This Row],[Costos (En RD$/Tarea)]])</f>
        <v>-2.4487844433647148E-2</v>
      </c>
      <c r="P3301" s="4">
        <f>Tabla2[[#This Row],[Rentabilidad (%)]]/12</f>
        <v>-2.0406537028039291E-3</v>
      </c>
    </row>
    <row r="3302" spans="1:16" x14ac:dyDescent="0.35">
      <c r="A3302" s="1">
        <v>44896</v>
      </c>
      <c r="B3302" t="s">
        <v>16</v>
      </c>
      <c r="C3302" s="2">
        <v>135423.110999347</v>
      </c>
      <c r="D3302" s="5" t="s">
        <v>17</v>
      </c>
      <c r="E3302" s="2">
        <f>IF(Tabla2[[#This Row],[Frecuencia]]="Annual", Tabla2[[#This Row],[Cosecha/Tarea]]/12,Tabla2[[#This Row],[Cosecha/Tarea]])</f>
        <v>135423.110999347</v>
      </c>
      <c r="F3302" s="2">
        <v>512300</v>
      </c>
      <c r="G3302" t="s">
        <v>18</v>
      </c>
      <c r="H3302">
        <f>F3302/Tabla2[[#This Row],[Cosecha Mensual]]</f>
        <v>3.7829584346387541</v>
      </c>
      <c r="I3302">
        <f>H3302*_xlfn.XLOOKUP(Tabla2[[#This Row],[Unidad de producción]],Tabla3[Medida],Tabla3[Equivalencia en Kg],"ELVIS",0)</f>
        <v>171.59499459521388</v>
      </c>
      <c r="J3302">
        <v>2702.5151570712601</v>
      </c>
      <c r="K3302" t="s">
        <v>19</v>
      </c>
      <c r="L3302">
        <f>J3302/_xlfn.XLOOKUP(Tabla2[[#This Row],[Unidad de precio]],Tabla3[Medida],Tabla3[Equivalencia en Kg],"ELVIS",0)</f>
        <v>24.56831960973873</v>
      </c>
      <c r="M3302">
        <v>10006.778605990599</v>
      </c>
      <c r="N3302" s="2">
        <f>(Tabla2[[#This Row],[Productividad (kg/TAS)]]*Tabla2[[#This Row],[Precio por kg]]-Tabla2[[#This Row],[Costos (En RD$/Tarea)]])</f>
        <v>-5790.9779353439953</v>
      </c>
      <c r="O3302" s="6">
        <f>IF(Tabla2[[#This Row],[Costos (En RD$/Tarea)]]=0,0,Tabla2[[#This Row],[Beneficio Neto  (En RD$/Tarea)]]/Tabla2[[#This Row],[Costos (En RD$/Tarea)]])</f>
        <v>-0.57870551186944441</v>
      </c>
      <c r="P3302" s="4">
        <f>Tabla2[[#This Row],[Rentabilidad (%)]]/12</f>
        <v>-4.8225459322453701E-2</v>
      </c>
    </row>
    <row r="3303" spans="1:16" x14ac:dyDescent="0.35">
      <c r="A3303" s="1">
        <v>44896</v>
      </c>
      <c r="B3303" t="s">
        <v>20</v>
      </c>
      <c r="C3303" s="2">
        <v>43300.835020799997</v>
      </c>
      <c r="D3303" s="5" t="s">
        <v>17</v>
      </c>
      <c r="E3303" s="2">
        <f>IF(Tabla2[[#This Row],[Frecuencia]]="Annual", Tabla2[[#This Row],[Cosecha/Tarea]]/12,Tabla2[[#This Row],[Cosecha/Tarea]])</f>
        <v>43300.835020799997</v>
      </c>
      <c r="F3303" s="2">
        <v>115419.912727273</v>
      </c>
      <c r="G3303" t="s">
        <v>18</v>
      </c>
      <c r="H3303">
        <f>F3303/Tabla2[[#This Row],[Cosecha Mensual]]</f>
        <v>2.6655354953739314</v>
      </c>
      <c r="I3303">
        <f>H3303*_xlfn.XLOOKUP(Tabla2[[#This Row],[Unidad de producción]],Tabla3[Medida],Tabla3[Equivalencia en Kg],"ELVIS",0)</f>
        <v>120.90869007016153</v>
      </c>
      <c r="J3303">
        <v>1294.859375</v>
      </c>
      <c r="K3303" t="s">
        <v>18</v>
      </c>
      <c r="L3303">
        <f>J3303/_xlfn.XLOOKUP(Tabla2[[#This Row],[Unidad de precio]],Tabla3[Medida],Tabla3[Equivalencia en Kg],"ELVIS",0)</f>
        <v>28.546282517636683</v>
      </c>
      <c r="M3303">
        <v>4130.0977179150004</v>
      </c>
      <c r="N3303" s="2">
        <f>(Tabla2[[#This Row],[Productividad (kg/TAS)]]*Tabla2[[#This Row],[Precio por kg]]-Tabla2[[#This Row],[Costos (En RD$/Tarea)]])</f>
        <v>-678.60409233479641</v>
      </c>
      <c r="O3303" s="6">
        <f>IF(Tabla2[[#This Row],[Costos (En RD$/Tarea)]]=0,0,Tabla2[[#This Row],[Beneficio Neto  (En RD$/Tarea)]]/Tabla2[[#This Row],[Costos (En RD$/Tarea)]])</f>
        <v>-0.16430703065238284</v>
      </c>
      <c r="P3303" s="4">
        <f>Tabla2[[#This Row],[Rentabilidad (%)]]/12</f>
        <v>-1.3692252554365236E-2</v>
      </c>
    </row>
    <row r="3304" spans="1:16" x14ac:dyDescent="0.35">
      <c r="A3304" s="1">
        <v>44896</v>
      </c>
      <c r="B3304" t="s">
        <v>21</v>
      </c>
      <c r="C3304" s="2">
        <v>9974.9669407158908</v>
      </c>
      <c r="D3304" s="5" t="s">
        <v>17</v>
      </c>
      <c r="E3304" s="2">
        <f>IF(Tabla2[[#This Row],[Frecuencia]]="Annual", Tabla2[[#This Row],[Cosecha/Tarea]]/12,Tabla2[[#This Row],[Cosecha/Tarea]])</f>
        <v>9974.9669407158908</v>
      </c>
      <c r="F3304" s="2">
        <v>114351.368498549</v>
      </c>
      <c r="G3304" t="s">
        <v>18</v>
      </c>
      <c r="H3304">
        <f>F3304/Tabla2[[#This Row],[Cosecha Mensual]]</f>
        <v>11.46383433430629</v>
      </c>
      <c r="I3304">
        <f>H3304*_xlfn.XLOOKUP(Tabla2[[#This Row],[Unidad de producción]],Tabla3[Medida],Tabla3[Equivalencia en Kg],"ELVIS",0)</f>
        <v>519.99952540413324</v>
      </c>
      <c r="J3304">
        <v>1218.0234375</v>
      </c>
      <c r="K3304" t="s">
        <v>18</v>
      </c>
      <c r="L3304">
        <f>J3304/_xlfn.XLOOKUP(Tabla2[[#This Row],[Unidad de precio]],Tabla3[Medida],Tabla3[Equivalencia en Kg],"ELVIS",0)</f>
        <v>26.852368551587301</v>
      </c>
      <c r="M3304">
        <v>5858.17</v>
      </c>
      <c r="N3304" s="2">
        <f>(Tabla2[[#This Row],[Productividad (kg/TAS)]]*Tabla2[[#This Row],[Precio por kg]]-Tabla2[[#This Row],[Costos (En RD$/Tarea)]])</f>
        <v>8105.0489028022694</v>
      </c>
      <c r="O3304" s="6">
        <f>IF(Tabla2[[#This Row],[Costos (En RD$/Tarea)]]=0,0,Tabla2[[#This Row],[Beneficio Neto  (En RD$/Tarea)]]/Tabla2[[#This Row],[Costos (En RD$/Tarea)]])</f>
        <v>1.3835462103015566</v>
      </c>
      <c r="P3304" s="4">
        <f>Tabla2[[#This Row],[Rentabilidad (%)]]/12</f>
        <v>0.11529551752512972</v>
      </c>
    </row>
    <row r="3305" spans="1:16" x14ac:dyDescent="0.35">
      <c r="A3305" s="1">
        <v>44896</v>
      </c>
      <c r="B3305" t="s">
        <v>22</v>
      </c>
      <c r="C3305" s="2">
        <v>5425.34643681334</v>
      </c>
      <c r="D3305" s="5" t="s">
        <v>17</v>
      </c>
      <c r="E3305" s="2">
        <f>IF(Tabla2[[#This Row],[Frecuencia]]="Annual", Tabla2[[#This Row],[Cosecha/Tarea]]/12,Tabla2[[#This Row],[Cosecha/Tarea]])</f>
        <v>5425.34643681334</v>
      </c>
      <c r="F3305" s="2">
        <v>68120.0318181818</v>
      </c>
      <c r="G3305" t="s">
        <v>18</v>
      </c>
      <c r="H3305">
        <f>F3305/Tabla2[[#This Row],[Cosecha Mensual]]</f>
        <v>12.55588608239977</v>
      </c>
      <c r="I3305">
        <f>H3305*_xlfn.XLOOKUP(Tabla2[[#This Row],[Unidad de producción]],Tabla3[Medida],Tabla3[Equivalencia en Kg],"ELVIS",0)</f>
        <v>569.53499269765359</v>
      </c>
      <c r="J3305">
        <v>2256.1220238095202</v>
      </c>
      <c r="K3305" t="s">
        <v>18</v>
      </c>
      <c r="L3305">
        <f>J3305/_xlfn.XLOOKUP(Tabla2[[#This Row],[Unidad de precio]],Tabla3[Medida],Tabla3[Equivalencia en Kg],"ELVIS",0)</f>
        <v>49.738139854707235</v>
      </c>
      <c r="M3305">
        <v>12106.08</v>
      </c>
      <c r="N3305" s="2">
        <f>(Tabla2[[#This Row],[Productividad (kg/TAS)]]*Tabla2[[#This Row],[Precio por kg]]-Tabla2[[#This Row],[Costos (En RD$/Tarea)]])</f>
        <v>16221.531118945559</v>
      </c>
      <c r="O3305" s="6">
        <f>IF(Tabla2[[#This Row],[Costos (En RD$/Tarea)]]=0,0,Tabla2[[#This Row],[Beneficio Neto  (En RD$/Tarea)]]/Tabla2[[#This Row],[Costos (En RD$/Tarea)]])</f>
        <v>1.33994910978166</v>
      </c>
      <c r="P3305" s="4">
        <f>Tabla2[[#This Row],[Rentabilidad (%)]]/12</f>
        <v>0.11166242581513834</v>
      </c>
    </row>
    <row r="3306" spans="1:16" x14ac:dyDescent="0.35">
      <c r="A3306" s="1">
        <v>44896</v>
      </c>
      <c r="B3306" t="s">
        <v>23</v>
      </c>
      <c r="C3306" s="2">
        <v>4376.3288161582504</v>
      </c>
      <c r="D3306" s="5" t="s">
        <v>17</v>
      </c>
      <c r="E3306" s="2">
        <f>IF(Tabla2[[#This Row],[Frecuencia]]="Annual", Tabla2[[#This Row],[Cosecha/Tarea]]/12,Tabla2[[#This Row],[Cosecha/Tarea]])</f>
        <v>4376.3288161582504</v>
      </c>
      <c r="F3306" s="2">
        <v>169800.181818182</v>
      </c>
      <c r="G3306" t="s">
        <v>18</v>
      </c>
      <c r="H3306">
        <f>F3306/Tabla2[[#This Row],[Cosecha Mensual]]</f>
        <v>38.799685524370787</v>
      </c>
      <c r="I3306">
        <f>H3306*_xlfn.XLOOKUP(Tabla2[[#This Row],[Unidad de producción]],Tabla3[Medida],Tabla3[Equivalencia en Kg],"ELVIS",0)</f>
        <v>1759.9537353854589</v>
      </c>
      <c r="J3306">
        <v>2456.25</v>
      </c>
      <c r="K3306" t="s">
        <v>18</v>
      </c>
      <c r="L3306">
        <f>J3306/_xlfn.XLOOKUP(Tabla2[[#This Row],[Unidad de precio]],Tabla3[Medida],Tabla3[Equivalencia en Kg],"ELVIS",0)</f>
        <v>54.150132275132279</v>
      </c>
      <c r="M3306">
        <v>30322</v>
      </c>
      <c r="N3306" s="2">
        <f>(Tabla2[[#This Row],[Productividad (kg/TAS)]]*Tabla2[[#This Row],[Precio por kg]]-Tabla2[[#This Row],[Costos (En RD$/Tarea)]])</f>
        <v>64979.727569235751</v>
      </c>
      <c r="O3306" s="6">
        <f>IF(Tabla2[[#This Row],[Costos (En RD$/Tarea)]]=0,0,Tabla2[[#This Row],[Beneficio Neto  (En RD$/Tarea)]]/Tabla2[[#This Row],[Costos (En RD$/Tarea)]])</f>
        <v>2.1429894983588071</v>
      </c>
      <c r="P3306" s="4">
        <f>Tabla2[[#This Row],[Rentabilidad (%)]]/12</f>
        <v>0.17858245819656726</v>
      </c>
    </row>
    <row r="3307" spans="1:16" x14ac:dyDescent="0.35">
      <c r="A3307" s="1">
        <v>44896</v>
      </c>
      <c r="B3307" t="s">
        <v>24</v>
      </c>
      <c r="C3307" s="2">
        <v>8825.6729000000105</v>
      </c>
      <c r="D3307" s="5" t="s">
        <v>17</v>
      </c>
      <c r="E3307" s="2">
        <f>IF(Tabla2[[#This Row],[Frecuencia]]="Annual", Tabla2[[#This Row],[Cosecha/Tarea]]/12,Tabla2[[#This Row],[Cosecha/Tarea]])</f>
        <v>8825.6729000000105</v>
      </c>
      <c r="F3307" s="2">
        <v>103019</v>
      </c>
      <c r="G3307" t="s">
        <v>18</v>
      </c>
      <c r="H3307">
        <f>F3307/Tabla2[[#This Row],[Cosecha Mensual]]</f>
        <v>11.672651045111799</v>
      </c>
      <c r="I3307">
        <f>H3307*_xlfn.XLOOKUP(Tabla2[[#This Row],[Unidad de producción]],Tabla3[Medida],Tabla3[Equivalencia en Kg],"ELVIS",0)</f>
        <v>529.47145140627117</v>
      </c>
      <c r="J3307">
        <v>4047.8333333333298</v>
      </c>
      <c r="K3307" t="s">
        <v>18</v>
      </c>
      <c r="L3307">
        <f>J3307/_xlfn.XLOOKUP(Tabla2[[#This Row],[Unidad de precio]],Tabla3[Medida],Tabla3[Equivalencia en Kg],"ELVIS",0)</f>
        <v>89.237948265725962</v>
      </c>
      <c r="M3307">
        <v>16342.43</v>
      </c>
      <c r="N3307" s="2">
        <f>(Tabla2[[#This Row],[Productividad (kg/TAS)]]*Tabla2[[#This Row],[Precio por kg]]-Tabla2[[#This Row],[Costos (En RD$/Tarea)]])</f>
        <v>30906.515988771665</v>
      </c>
      <c r="O3307" s="6">
        <f>IF(Tabla2[[#This Row],[Costos (En RD$/Tarea)]]=0,0,Tabla2[[#This Row],[Beneficio Neto  (En RD$/Tarea)]]/Tabla2[[#This Row],[Costos (En RD$/Tarea)]])</f>
        <v>1.8911823999718318</v>
      </c>
      <c r="P3307" s="4">
        <f>Tabla2[[#This Row],[Rentabilidad (%)]]/12</f>
        <v>0.15759853333098597</v>
      </c>
    </row>
    <row r="3308" spans="1:16" x14ac:dyDescent="0.35">
      <c r="A3308" s="1">
        <v>44896</v>
      </c>
      <c r="B3308" t="s">
        <v>25</v>
      </c>
      <c r="C3308" s="2">
        <v>28903.898296875101</v>
      </c>
      <c r="D3308" s="5" t="s">
        <v>17</v>
      </c>
      <c r="E3308" s="2">
        <f>IF(Tabla2[[#This Row],[Frecuencia]]="Annual", Tabla2[[#This Row],[Cosecha/Tarea]]/12,Tabla2[[#This Row],[Cosecha/Tarea]])</f>
        <v>28903.898296875101</v>
      </c>
      <c r="F3308" s="2">
        <v>324087.012048784</v>
      </c>
      <c r="G3308" t="s">
        <v>18</v>
      </c>
      <c r="H3308">
        <f>F3308/Tabla2[[#This Row],[Cosecha Mensual]]</f>
        <v>11.212571007552368</v>
      </c>
      <c r="I3308">
        <f>H3308*_xlfn.XLOOKUP(Tabla2[[#This Row],[Unidad de producción]],Tabla3[Medida],Tabla3[Equivalencia en Kg],"ELVIS",0)</f>
        <v>508.60222090257543</v>
      </c>
      <c r="J3308">
        <v>1482.99830729167</v>
      </c>
      <c r="K3308" t="s">
        <v>18</v>
      </c>
      <c r="L3308">
        <f>J3308/_xlfn.XLOOKUP(Tabla2[[#This Row],[Unidad de precio]],Tabla3[Medida],Tabla3[Equivalencia en Kg],"ELVIS",0)</f>
        <v>32.693966210133816</v>
      </c>
      <c r="M3308">
        <v>6557.61</v>
      </c>
      <c r="N3308" s="2">
        <f>(Tabla2[[#This Row],[Productividad (kg/TAS)]]*Tabla2[[#This Row],[Precio por kg]]-Tabla2[[#This Row],[Costos (En RD$/Tarea)]])</f>
        <v>10070.613824587814</v>
      </c>
      <c r="O3308" s="6">
        <f>IF(Tabla2[[#This Row],[Costos (En RD$/Tarea)]]=0,0,Tabla2[[#This Row],[Beneficio Neto  (En RD$/Tarea)]]/Tabla2[[#This Row],[Costos (En RD$/Tarea)]])</f>
        <v>1.5357140520079442</v>
      </c>
      <c r="P3308" s="4">
        <f>Tabla2[[#This Row],[Rentabilidad (%)]]/12</f>
        <v>0.12797617100066203</v>
      </c>
    </row>
    <row r="3309" spans="1:16" x14ac:dyDescent="0.35">
      <c r="A3309" s="1">
        <v>44896</v>
      </c>
      <c r="B3309" t="s">
        <v>26</v>
      </c>
      <c r="C3309" s="2">
        <v>12954.4789019697</v>
      </c>
      <c r="D3309" s="5" t="s">
        <v>17</v>
      </c>
      <c r="E3309" s="2">
        <f>IF(Tabla2[[#This Row],[Frecuencia]]="Annual", Tabla2[[#This Row],[Cosecha/Tarea]]/12,Tabla2[[#This Row],[Cosecha/Tarea]])</f>
        <v>12954.4789019697</v>
      </c>
      <c r="F3309" s="2">
        <v>98293.383442674196</v>
      </c>
      <c r="G3309" t="s">
        <v>18</v>
      </c>
      <c r="H3309">
        <f>F3309/Tabla2[[#This Row],[Cosecha Mensual]]</f>
        <v>7.5875984041109445</v>
      </c>
      <c r="I3309">
        <f>H3309*_xlfn.XLOOKUP(Tabla2[[#This Row],[Unidad de producción]],Tabla3[Medida],Tabla3[Equivalencia en Kg],"ELVIS",0)</f>
        <v>344.17346361047242</v>
      </c>
      <c r="J3309">
        <v>1424.953125</v>
      </c>
      <c r="K3309" t="s">
        <v>18</v>
      </c>
      <c r="L3309">
        <f>J3309/_xlfn.XLOOKUP(Tabla2[[#This Row],[Unidad de precio]],Tabla3[Medida],Tabla3[Equivalencia en Kg],"ELVIS",0)</f>
        <v>31.414310515873016</v>
      </c>
      <c r="M3309">
        <v>2133.92</v>
      </c>
      <c r="N3309" s="2">
        <f>(Tabla2[[#This Row],[Productividad (kg/TAS)]]*Tabla2[[#This Row],[Precio por kg]]-Tabla2[[#This Row],[Costos (En RD$/Tarea)]])</f>
        <v>8678.052057182902</v>
      </c>
      <c r="O3309" s="6">
        <f>IF(Tabla2[[#This Row],[Costos (En RD$/Tarea)]]=0,0,Tabla2[[#This Row],[Beneficio Neto  (En RD$/Tarea)]]/Tabla2[[#This Row],[Costos (En RD$/Tarea)]])</f>
        <v>4.0667185542020796</v>
      </c>
      <c r="P3309" s="4">
        <f>Tabla2[[#This Row],[Rentabilidad (%)]]/12</f>
        <v>0.33889321285017332</v>
      </c>
    </row>
    <row r="3310" spans="1:16" x14ac:dyDescent="0.35">
      <c r="A3310" s="1">
        <v>44896</v>
      </c>
      <c r="B3310" t="s">
        <v>27</v>
      </c>
      <c r="C3310" s="2">
        <v>5624.8663459999998</v>
      </c>
      <c r="D3310" s="5" t="s">
        <v>17</v>
      </c>
      <c r="E3310" s="2">
        <f>IF(Tabla2[[#This Row],[Frecuencia]]="Annual", Tabla2[[#This Row],[Cosecha/Tarea]]/12,Tabla2[[#This Row],[Cosecha/Tarea]])</f>
        <v>5624.8663459999998</v>
      </c>
      <c r="F3310" s="2">
        <v>46643.176076928903</v>
      </c>
      <c r="G3310" t="s">
        <v>18</v>
      </c>
      <c r="H3310">
        <f>F3310/Tabla2[[#This Row],[Cosecha Mensual]]</f>
        <v>8.2923172228080002</v>
      </c>
      <c r="I3310">
        <f>H3310*_xlfn.XLOOKUP(Tabla2[[#This Row],[Unidad de producción]],Tabla3[Medida],Tabla3[Equivalencia en Kg],"ELVIS",0)</f>
        <v>376.13950922657091</v>
      </c>
      <c r="J3310">
        <v>874.98055555555595</v>
      </c>
      <c r="K3310" t="s">
        <v>18</v>
      </c>
      <c r="L3310">
        <f>J3310/_xlfn.XLOOKUP(Tabla2[[#This Row],[Unidad de precio]],Tabla3[Medida],Tabla3[Equivalencia en Kg],"ELVIS",0)</f>
        <v>19.289694787379982</v>
      </c>
      <c r="M3310">
        <v>11717.05</v>
      </c>
      <c r="N3310" s="2">
        <f>(Tabla2[[#This Row],[Productividad (kg/TAS)]]*Tabla2[[#This Row],[Precio por kg]]-Tabla2[[#This Row],[Costos (En RD$/Tarea)]])</f>
        <v>-4461.43366954455</v>
      </c>
      <c r="O3310" s="6">
        <f>IF(Tabla2[[#This Row],[Costos (En RD$/Tarea)]]=0,0,Tabla2[[#This Row],[Beneficio Neto  (En RD$/Tarea)]]/Tabla2[[#This Row],[Costos (En RD$/Tarea)]])</f>
        <v>-0.38076424266727121</v>
      </c>
      <c r="P3310" s="4">
        <f>Tabla2[[#This Row],[Rentabilidad (%)]]/12</f>
        <v>-3.1730353555605932E-2</v>
      </c>
    </row>
    <row r="3311" spans="1:16" x14ac:dyDescent="0.35">
      <c r="A3311" s="1">
        <v>44896</v>
      </c>
      <c r="B3311" t="s">
        <v>28</v>
      </c>
      <c r="C3311" s="2">
        <v>62927.883619333399</v>
      </c>
      <c r="D3311" s="5" t="s">
        <v>17</v>
      </c>
      <c r="E3311" s="2">
        <f>IF(Tabla2[[#This Row],[Frecuencia]]="Annual", Tabla2[[#This Row],[Cosecha/Tarea]]/12,Tabla2[[#This Row],[Cosecha/Tarea]])</f>
        <v>62927.883619333399</v>
      </c>
      <c r="F3311" s="2">
        <v>1354361.09180059</v>
      </c>
      <c r="G3311" t="s">
        <v>18</v>
      </c>
      <c r="H3311">
        <f>F3311/Tabla2[[#This Row],[Cosecha Mensual]]</f>
        <v>21.522431931661028</v>
      </c>
      <c r="I3311">
        <f>H3311*_xlfn.XLOOKUP(Tabla2[[#This Row],[Unidad de producción]],Tabla3[Medida],Tabla3[Equivalencia en Kg],"ELVIS",0)</f>
        <v>976.25751242014428</v>
      </c>
      <c r="J3311">
        <v>4759.375</v>
      </c>
      <c r="K3311" t="s">
        <v>29</v>
      </c>
      <c r="L3311">
        <f>J3311/_xlfn.XLOOKUP(Tabla2[[#This Row],[Unidad de precio]],Tabla3[Medida],Tabla3[Equivalencia en Kg],"ELVIS",0)</f>
        <v>8.463518511932282</v>
      </c>
      <c r="M3311">
        <v>8552.64</v>
      </c>
      <c r="N3311" s="2">
        <f>(Tabla2[[#This Row],[Productividad (kg/TAS)]]*Tabla2[[#This Row],[Precio por kg]]-Tabla2[[#This Row],[Costos (En RD$/Tarea)]])</f>
        <v>-290.0664712191483</v>
      </c>
      <c r="O3311" s="6">
        <f>IF(Tabla2[[#This Row],[Costos (En RD$/Tarea)]]=0,0,Tabla2[[#This Row],[Beneficio Neto  (En RD$/Tarea)]]/Tabla2[[#This Row],[Costos (En RD$/Tarea)]])</f>
        <v>-3.3915430933506886E-2</v>
      </c>
      <c r="P3311" s="4">
        <f>Tabla2[[#This Row],[Rentabilidad (%)]]/12</f>
        <v>-2.8262859111255739E-3</v>
      </c>
    </row>
    <row r="3312" spans="1:16" x14ac:dyDescent="0.35">
      <c r="A3312" s="1">
        <v>44896</v>
      </c>
      <c r="B3312" t="s">
        <v>30</v>
      </c>
      <c r="C3312" s="2">
        <v>473184.4</v>
      </c>
      <c r="D3312" s="2" t="s">
        <v>31</v>
      </c>
      <c r="E3312" s="2">
        <f>IF(Tabla2[[#This Row],[Frecuencia]]="Annual", Tabla2[[#This Row],[Cosecha/Tarea]]/12,Tabla2[[#This Row],[Cosecha/Tarea]])</f>
        <v>39432.033333333333</v>
      </c>
      <c r="F3312" s="2">
        <v>2567333.8370760102</v>
      </c>
      <c r="G3312" t="s">
        <v>18</v>
      </c>
      <c r="H3312">
        <f>F3312/Tabla2[[#This Row],[Cosecha Mensual]]</f>
        <v>65.107822753480718</v>
      </c>
      <c r="I3312">
        <f>H3312*_xlfn.XLOOKUP(Tabla2[[#This Row],[Unidad de producción]],Tabla3[Medida],Tabla3[Equivalencia en Kg],"ELVIS",0)</f>
        <v>2953.2908400978854</v>
      </c>
      <c r="J3312">
        <v>286.88229166666702</v>
      </c>
      <c r="K3312" t="s">
        <v>32</v>
      </c>
      <c r="L3312">
        <f>J3312/_xlfn.XLOOKUP(Tabla2[[#This Row],[Unidad de precio]],Tabla3[Medida],Tabla3[Equivalencia en Kg],"ELVIS",0)</f>
        <v>10.543266874923447</v>
      </c>
      <c r="M3312" s="2">
        <v>47396.15</v>
      </c>
      <c r="N3312" s="2">
        <f>(Tabla2[[#This Row],[Productividad (kg/TAS)]]*Tabla2[[#This Row],[Precio por kg]]-Tabla2[[#This Row],[Costos (En RD$/Tarea)]])</f>
        <v>-16258.816513581129</v>
      </c>
      <c r="O3312" s="6">
        <f>IF(Tabla2[[#This Row],[Costos (En RD$/Tarea)]]=0,0,Tabla2[[#This Row],[Beneficio Neto  (En RD$/Tarea)]]/Tabla2[[#This Row],[Costos (En RD$/Tarea)]])</f>
        <v>-0.34304086963985742</v>
      </c>
      <c r="P3312" s="4">
        <f>Tabla2[[#This Row],[Rentabilidad (%)]]/12</f>
        <v>-2.8586739136654785E-2</v>
      </c>
    </row>
    <row r="3313" spans="1:16" x14ac:dyDescent="0.35">
      <c r="A3313" s="1">
        <v>44896</v>
      </c>
      <c r="B3313" t="s">
        <v>33</v>
      </c>
      <c r="C3313" s="2">
        <v>702426.6</v>
      </c>
      <c r="D3313" s="2" t="s">
        <v>31</v>
      </c>
      <c r="E3313" s="8">
        <f>IF(Tabla2[[#This Row],[Frecuencia]]="Annual", Tabla2[[#This Row],[Cosecha/Tarea]]/12,Tabla2[[#This Row],[Cosecha/Tarea]])</f>
        <v>58535.549999999996</v>
      </c>
      <c r="F3313" s="2">
        <v>1606671</v>
      </c>
      <c r="G3313" t="s">
        <v>18</v>
      </c>
      <c r="H3313">
        <f>F3313/Tabla2[[#This Row],[Cosecha Mensual]]</f>
        <v>27.447781732639399</v>
      </c>
      <c r="I3313">
        <f>H3313*_xlfn.XLOOKUP(Tabla2[[#This Row],[Unidad de producción]],Tabla3[Medida],Tabla3[Equivalencia en Kg],"ELVIS",0)</f>
        <v>1245.0313793925231</v>
      </c>
      <c r="J3313">
        <v>13019.921875</v>
      </c>
      <c r="K3313" t="s">
        <v>34</v>
      </c>
      <c r="L3313">
        <f>J3313/_xlfn.XLOOKUP(Tabla2[[#This Row],[Unidad de precio]],Tabla3[Medida],Tabla3[Equivalencia en Kg],"ELVIS",0)</f>
        <v>31.899845338723509</v>
      </c>
      <c r="M3313" s="2">
        <v>25908.33</v>
      </c>
      <c r="N3313" s="2">
        <f>(Tabla2[[#This Row],[Productividad (kg/TAS)]]*Tabla2[[#This Row],[Precio por kg]]-Tabla2[[#This Row],[Costos (En RD$/Tarea)]])</f>
        <v>13807.978444479078</v>
      </c>
      <c r="O3313" s="6">
        <f>IF(Tabla2[[#This Row],[Costos (En RD$/Tarea)]]=0,0,Tabla2[[#This Row],[Beneficio Neto  (En RD$/Tarea)]]/Tabla2[[#This Row],[Costos (En RD$/Tarea)]])</f>
        <v>0.53295517096158174</v>
      </c>
      <c r="P3313" s="4">
        <f>Tabla2[[#This Row],[Rentabilidad (%)]]/12</f>
        <v>4.4412930913465147E-2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7"/>
  <sheetViews>
    <sheetView tabSelected="1" zoomScale="93" zoomScaleNormal="93" workbookViewId="0">
      <selection activeCell="C1" sqref="C1"/>
    </sheetView>
  </sheetViews>
  <sheetFormatPr baseColWidth="10" defaultColWidth="10.54296875" defaultRowHeight="14.5" x14ac:dyDescent="0.35"/>
  <cols>
    <col min="1" max="1" width="6" customWidth="1"/>
    <col min="2" max="2" width="8.453125" bestFit="1" customWidth="1"/>
    <col min="3" max="3" width="18.08984375" customWidth="1"/>
    <col min="4" max="4" width="17.453125" customWidth="1"/>
    <col min="5" max="5" width="13.26953125" customWidth="1"/>
    <col min="6" max="6" width="17.81640625" customWidth="1"/>
    <col min="7" max="7" width="13.26953125" customWidth="1"/>
    <col min="8" max="8" width="14.36328125" customWidth="1"/>
    <col min="9" max="9" width="14" customWidth="1"/>
    <col min="10" max="10" width="14.26953125" customWidth="1"/>
    <col min="11" max="11" width="11.6328125" customWidth="1"/>
    <col min="12" max="12" width="13.7265625" customWidth="1"/>
    <col min="13" max="14" width="16" style="9" customWidth="1"/>
  </cols>
  <sheetData>
    <row r="1" spans="1:14" x14ac:dyDescent="0.35">
      <c r="A1" s="10" t="s">
        <v>35</v>
      </c>
      <c r="B1" s="10" t="s">
        <v>0</v>
      </c>
      <c r="C1" s="10" t="s">
        <v>1</v>
      </c>
      <c r="D1" s="10" t="s">
        <v>36</v>
      </c>
      <c r="E1" s="10" t="s">
        <v>7</v>
      </c>
      <c r="F1" s="10" t="s">
        <v>37</v>
      </c>
      <c r="G1" s="10" t="s">
        <v>9</v>
      </c>
      <c r="H1" s="10" t="s">
        <v>38</v>
      </c>
      <c r="I1" s="10" t="s">
        <v>86</v>
      </c>
      <c r="J1" s="10" t="s">
        <v>39</v>
      </c>
      <c r="K1" s="10" t="s">
        <v>40</v>
      </c>
      <c r="L1" s="10" t="s">
        <v>41</v>
      </c>
      <c r="M1" s="11" t="s">
        <v>42</v>
      </c>
      <c r="N1" s="11" t="s">
        <v>43</v>
      </c>
    </row>
    <row r="2" spans="1:14" x14ac:dyDescent="0.35">
      <c r="A2" s="12">
        <v>2000</v>
      </c>
      <c r="B2" s="13">
        <f t="shared" ref="B2:B65" si="0">DATE(A2,12,31)</f>
        <v>36891</v>
      </c>
      <c r="C2" s="14" t="s">
        <v>16</v>
      </c>
      <c r="D2" s="14" t="s">
        <v>18</v>
      </c>
      <c r="E2" s="14">
        <v>4.1721914731178602</v>
      </c>
      <c r="F2" s="15">
        <f>E2*_xlfn.XLOOKUP(D2,conversiones!$A$2:$A$6,conversiones!$B$2:$B$6,0)</f>
        <v>189.25060522062614</v>
      </c>
      <c r="G2" s="14">
        <v>1045.44774477448</v>
      </c>
      <c r="H2" s="14" t="s">
        <v>19</v>
      </c>
      <c r="I2" s="15">
        <f>G2/_xlfn.XLOOKUP(H2,conversiones!$A$2:$A$6,conversiones!$B$2:$B$6,0)</f>
        <v>9.5040704070407269</v>
      </c>
      <c r="J2" s="14"/>
      <c r="K2" s="15">
        <f>_xlfn.XLOOKUP(C2,Ciclo!$A$2:$A$13,Ciclo!$D$2:$D$13,0)</f>
        <v>2.4</v>
      </c>
      <c r="L2" s="15">
        <f t="shared" ref="L2:L65" si="1">F2*I2-J2</f>
        <v>1798.6510765919002</v>
      </c>
      <c r="M2" s="16">
        <f t="shared" ref="M2:M65" si="2">IF(J2=0,0,L2/J2)</f>
        <v>0</v>
      </c>
      <c r="N2" s="17">
        <f t="shared" ref="N2:N65" si="3">M2*K2</f>
        <v>0</v>
      </c>
    </row>
    <row r="3" spans="1:14" x14ac:dyDescent="0.35">
      <c r="A3" s="12">
        <v>2000</v>
      </c>
      <c r="B3" s="13">
        <f t="shared" si="0"/>
        <v>36891</v>
      </c>
      <c r="C3" s="14" t="s">
        <v>20</v>
      </c>
      <c r="D3" s="14" t="s">
        <v>18</v>
      </c>
      <c r="E3" s="14">
        <v>1.7113680104115601</v>
      </c>
      <c r="F3" s="15">
        <f>E3*_xlfn.XLOOKUP(D3,conversiones!$A$2:$A$6,conversiones!$B$2:$B$6,0)</f>
        <v>77.627652952268363</v>
      </c>
      <c r="G3" s="14">
        <v>126.92990420634899</v>
      </c>
      <c r="H3" s="14" t="s">
        <v>18</v>
      </c>
      <c r="I3" s="15">
        <f>G3/_xlfn.XLOOKUP(H3,conversiones!$A$2:$A$6,conversiones!$B$2:$B$6,0)</f>
        <v>2.7982783114274468</v>
      </c>
      <c r="J3" s="14"/>
      <c r="K3" s="15">
        <f>_xlfn.XLOOKUP(C3,Ciclo!$A$2:$A$13,Ciclo!$D$2:$D$13,0)</f>
        <v>3</v>
      </c>
      <c r="L3" s="15">
        <f t="shared" si="1"/>
        <v>217.22377762334938</v>
      </c>
      <c r="M3" s="16">
        <f t="shared" si="2"/>
        <v>0</v>
      </c>
      <c r="N3" s="17">
        <f t="shared" si="3"/>
        <v>0</v>
      </c>
    </row>
    <row r="4" spans="1:14" x14ac:dyDescent="0.35">
      <c r="A4" s="12">
        <v>2000</v>
      </c>
      <c r="B4" s="13">
        <f t="shared" si="0"/>
        <v>36891</v>
      </c>
      <c r="C4" s="14" t="s">
        <v>23</v>
      </c>
      <c r="D4" s="14" t="s">
        <v>18</v>
      </c>
      <c r="E4" s="14">
        <v>19.745052889112799</v>
      </c>
      <c r="F4" s="15">
        <f>E4*_xlfn.XLOOKUP(D4,conversiones!$A$2:$A$6,conversiones!$B$2:$B$6,0)</f>
        <v>895.63559905015654</v>
      </c>
      <c r="G4" s="14">
        <v>288.35712812499997</v>
      </c>
      <c r="H4" s="14" t="s">
        <v>18</v>
      </c>
      <c r="I4" s="15">
        <f>G4/_xlfn.XLOOKUP(H4,conversiones!$A$2:$A$6,conversiones!$B$2:$B$6,0)</f>
        <v>6.3570795442019392</v>
      </c>
      <c r="J4" s="14"/>
      <c r="K4" s="15">
        <f>_xlfn.XLOOKUP(C4,Ciclo!$A$2:$A$13,Ciclo!$D$2:$D$13,0)</f>
        <v>4</v>
      </c>
      <c r="L4" s="15">
        <f t="shared" si="1"/>
        <v>5693.6267457807999</v>
      </c>
      <c r="M4" s="16">
        <f t="shared" si="2"/>
        <v>0</v>
      </c>
      <c r="N4" s="17">
        <f t="shared" si="3"/>
        <v>0</v>
      </c>
    </row>
    <row r="5" spans="1:14" x14ac:dyDescent="0.35">
      <c r="A5" s="12">
        <v>2000</v>
      </c>
      <c r="B5" s="13">
        <f t="shared" si="0"/>
        <v>36891</v>
      </c>
      <c r="C5" s="14" t="s">
        <v>21</v>
      </c>
      <c r="D5" s="14" t="s">
        <v>18</v>
      </c>
      <c r="E5" s="14">
        <v>8.3967827031500502</v>
      </c>
      <c r="F5" s="15">
        <f>E5*_xlfn.XLOOKUP(D5,conversiones!$A$2:$A$6,conversiones!$B$2:$B$6,0)</f>
        <v>380.87806341488624</v>
      </c>
      <c r="G5" s="14">
        <v>140.726611111111</v>
      </c>
      <c r="H5" s="14" t="s">
        <v>18</v>
      </c>
      <c r="I5" s="15">
        <f>G5/_xlfn.XLOOKUP(H5,conversiones!$A$2:$A$6,conversiones!$B$2:$B$6,0)</f>
        <v>3.1024385165588844</v>
      </c>
      <c r="J5" s="14"/>
      <c r="K5" s="15">
        <f>_xlfn.XLOOKUP(C5,Ciclo!$A$2:$A$13,Ciclo!$D$2:$D$13,0)</f>
        <v>2</v>
      </c>
      <c r="L5" s="15">
        <f t="shared" si="1"/>
        <v>1181.6507740507004</v>
      </c>
      <c r="M5" s="16">
        <f t="shared" si="2"/>
        <v>0</v>
      </c>
      <c r="N5" s="17">
        <f t="shared" si="3"/>
        <v>0</v>
      </c>
    </row>
    <row r="6" spans="1:14" x14ac:dyDescent="0.35">
      <c r="A6" s="12">
        <v>2000</v>
      </c>
      <c r="B6" s="13">
        <f t="shared" si="0"/>
        <v>36891</v>
      </c>
      <c r="C6" s="14" t="s">
        <v>25</v>
      </c>
      <c r="D6" s="14" t="s">
        <v>18</v>
      </c>
      <c r="E6" s="14">
        <v>9.0633371251224695</v>
      </c>
      <c r="F6" s="15">
        <f>E6*_xlfn.XLOOKUP(D6,conversiones!$A$2:$A$6,conversiones!$B$2:$B$6,0)</f>
        <v>411.1129719955552</v>
      </c>
      <c r="G6" s="14">
        <v>122.077633680556</v>
      </c>
      <c r="H6" s="14" t="s">
        <v>18</v>
      </c>
      <c r="I6" s="15">
        <f>G6/_xlfn.XLOOKUP(H6,conversiones!$A$2:$A$6,conversiones!$B$2:$B$6,0)</f>
        <v>2.6913058571551147</v>
      </c>
      <c r="J6" s="14"/>
      <c r="K6" s="15">
        <f>_xlfn.XLOOKUP(C6,Ciclo!$A$2:$A$13,Ciclo!$D$2:$D$13,0)</f>
        <v>1.2</v>
      </c>
      <c r="L6" s="15">
        <f t="shared" si="1"/>
        <v>1106.4307494840843</v>
      </c>
      <c r="M6" s="16">
        <f t="shared" si="2"/>
        <v>0</v>
      </c>
      <c r="N6" s="17">
        <f t="shared" si="3"/>
        <v>0</v>
      </c>
    </row>
    <row r="7" spans="1:14" x14ac:dyDescent="0.35">
      <c r="A7" s="12">
        <v>2000</v>
      </c>
      <c r="B7" s="13">
        <f t="shared" si="0"/>
        <v>36891</v>
      </c>
      <c r="C7" s="14" t="s">
        <v>22</v>
      </c>
      <c r="D7" s="14" t="s">
        <v>18</v>
      </c>
      <c r="E7" s="14">
        <v>9.0010521569216895</v>
      </c>
      <c r="F7" s="15">
        <f>E7*_xlfn.XLOOKUP(D7,conversiones!$A$2:$A$6,conversiones!$B$2:$B$6,0)</f>
        <v>408.28772583796786</v>
      </c>
      <c r="G7" s="14">
        <v>293.81691269841298</v>
      </c>
      <c r="H7" s="14" t="s">
        <v>18</v>
      </c>
      <c r="I7" s="15">
        <f>G7/_xlfn.XLOOKUP(H7,conversiones!$A$2:$A$6,conversiones!$B$2:$B$6,0)</f>
        <v>6.4774451653089278</v>
      </c>
      <c r="J7" s="14"/>
      <c r="K7" s="15">
        <f>_xlfn.XLOOKUP(C7,Ciclo!$A$2:$A$13,Ciclo!$D$2:$D$13,0)</f>
        <v>1</v>
      </c>
      <c r="L7" s="15">
        <f t="shared" si="1"/>
        <v>2644.661355784122</v>
      </c>
      <c r="M7" s="16">
        <f t="shared" si="2"/>
        <v>0</v>
      </c>
      <c r="N7" s="17">
        <f t="shared" si="3"/>
        <v>0</v>
      </c>
    </row>
    <row r="8" spans="1:14" x14ac:dyDescent="0.35">
      <c r="A8" s="12">
        <v>2000</v>
      </c>
      <c r="B8" s="13">
        <f t="shared" si="0"/>
        <v>36891</v>
      </c>
      <c r="C8" s="14" t="s">
        <v>24</v>
      </c>
      <c r="D8" s="14" t="s">
        <v>18</v>
      </c>
      <c r="E8" s="14">
        <v>11.003948787884999</v>
      </c>
      <c r="F8" s="15">
        <f>E8*_xlfn.XLOOKUP(D8,conversiones!$A$2:$A$6,conversiones!$B$2:$B$6,0)</f>
        <v>499.13911701846354</v>
      </c>
      <c r="G8" s="14">
        <v>427.44141865079399</v>
      </c>
      <c r="H8" s="14" t="s">
        <v>18</v>
      </c>
      <c r="I8" s="15">
        <f>G8/_xlfn.XLOOKUP(H8,conversiones!$A$2:$A$6,conversiones!$B$2:$B$6,0)</f>
        <v>9.4233116986506609</v>
      </c>
      <c r="J8" s="14"/>
      <c r="K8" s="15">
        <f>_xlfn.XLOOKUP(C8,Ciclo!$A$2:$A$13,Ciclo!$D$2:$D$13,0)</f>
        <v>1</v>
      </c>
      <c r="L8" s="15">
        <f t="shared" si="1"/>
        <v>4703.5434806542489</v>
      </c>
      <c r="M8" s="16">
        <f t="shared" si="2"/>
        <v>0</v>
      </c>
      <c r="N8" s="17">
        <f t="shared" si="3"/>
        <v>0</v>
      </c>
    </row>
    <row r="9" spans="1:14" x14ac:dyDescent="0.35">
      <c r="A9" s="12">
        <v>2000</v>
      </c>
      <c r="B9" s="13">
        <f t="shared" si="0"/>
        <v>36891</v>
      </c>
      <c r="C9" s="14" t="s">
        <v>30</v>
      </c>
      <c r="D9" s="14" t="s">
        <v>32</v>
      </c>
      <c r="E9" s="14">
        <v>72.9519980677793</v>
      </c>
      <c r="F9" s="15">
        <f>E9*_xlfn.XLOOKUP(D9,conversiones!$A$2:$A$6,conversiones!$B$2:$B$6,0)</f>
        <v>1985.0238674242748</v>
      </c>
      <c r="G9" s="14">
        <v>20.206024801587301</v>
      </c>
      <c r="H9" s="14" t="s">
        <v>32</v>
      </c>
      <c r="I9" s="15">
        <f>G9/_xlfn.XLOOKUP(H9,conversiones!$A$2:$A$6,conversiones!$B$2:$B$6,0)</f>
        <v>0.74259554581357223</v>
      </c>
      <c r="J9" s="14"/>
      <c r="K9" s="15">
        <f>_xlfn.XLOOKUP(C9,Ciclo!$A$2:$A$13,Ciclo!$D$2:$D$13,0)</f>
        <v>1</v>
      </c>
      <c r="L9" s="15">
        <f t="shared" si="1"/>
        <v>1474.0698822828974</v>
      </c>
      <c r="M9" s="16">
        <f t="shared" si="2"/>
        <v>0</v>
      </c>
      <c r="N9" s="17">
        <f t="shared" si="3"/>
        <v>0</v>
      </c>
    </row>
    <row r="10" spans="1:14" x14ac:dyDescent="0.35">
      <c r="A10" s="12">
        <v>2000</v>
      </c>
      <c r="B10" s="13">
        <f t="shared" si="0"/>
        <v>36891</v>
      </c>
      <c r="C10" s="14" t="s">
        <v>33</v>
      </c>
      <c r="D10" s="14" t="s">
        <v>34</v>
      </c>
      <c r="E10" s="14">
        <v>2.2153820070819998</v>
      </c>
      <c r="F10" s="15">
        <f>E10*_xlfn.XLOOKUP(D10,conversiones!$A$2:$A$6,conversiones!$B$2:$B$6,0)</f>
        <v>904.20816619051823</v>
      </c>
      <c r="G10" s="14">
        <v>997.60236011904794</v>
      </c>
      <c r="H10" s="14" t="s">
        <v>34</v>
      </c>
      <c r="I10" s="15">
        <f>G10/_xlfn.XLOOKUP(H10,conversiones!$A$2:$A$6,conversiones!$B$2:$B$6,0)</f>
        <v>2.444205218961284</v>
      </c>
      <c r="J10" s="14"/>
      <c r="K10" s="15">
        <f>_xlfn.XLOOKUP(C10,Ciclo!$A$2:$A$13,Ciclo!$D$2:$D$13,0)</f>
        <v>1</v>
      </c>
      <c r="L10" s="15">
        <f t="shared" si="1"/>
        <v>2210.0703188302768</v>
      </c>
      <c r="M10" s="16">
        <f t="shared" si="2"/>
        <v>0</v>
      </c>
      <c r="N10" s="17">
        <f t="shared" si="3"/>
        <v>0</v>
      </c>
    </row>
    <row r="11" spans="1:14" x14ac:dyDescent="0.35">
      <c r="A11" s="12">
        <v>2000</v>
      </c>
      <c r="B11" s="13">
        <f t="shared" si="0"/>
        <v>36891</v>
      </c>
      <c r="C11" s="14" t="s">
        <v>28</v>
      </c>
      <c r="D11" s="14" t="s">
        <v>29</v>
      </c>
      <c r="E11" s="14">
        <v>1.8576612612241099</v>
      </c>
      <c r="F11" s="15">
        <f>E11*_xlfn.XLOOKUP(D11,conversiones!$A$2:$A$6,conversiones!$B$2:$B$6,0)</f>
        <v>1044.637233636766</v>
      </c>
      <c r="G11" s="14">
        <v>1532.16783333333</v>
      </c>
      <c r="H11" s="14" t="s">
        <v>29</v>
      </c>
      <c r="I11" s="15">
        <f>G11/_xlfn.XLOOKUP(H11,conversiones!$A$2:$A$6,conversiones!$B$2:$B$6,0)</f>
        <v>2.7246289314886543</v>
      </c>
      <c r="J11" s="14"/>
      <c r="K11" s="15">
        <f>_xlfn.XLOOKUP(C11,Ciclo!$A$2:$A$13,Ciclo!$D$2:$D$13,0)</f>
        <v>3</v>
      </c>
      <c r="L11" s="15">
        <f t="shared" si="1"/>
        <v>2846.2488296770057</v>
      </c>
      <c r="M11" s="16">
        <f t="shared" si="2"/>
        <v>0</v>
      </c>
      <c r="N11" s="17">
        <f t="shared" si="3"/>
        <v>0</v>
      </c>
    </row>
    <row r="12" spans="1:14" x14ac:dyDescent="0.35">
      <c r="A12" s="12">
        <v>2000</v>
      </c>
      <c r="B12" s="13">
        <f t="shared" si="0"/>
        <v>36891</v>
      </c>
      <c r="C12" s="14" t="s">
        <v>26</v>
      </c>
      <c r="D12" s="14" t="s">
        <v>18</v>
      </c>
      <c r="E12" s="14">
        <v>5.9253982310805204</v>
      </c>
      <c r="F12" s="15">
        <f>E12*_xlfn.XLOOKUP(D12,conversiones!$A$2:$A$6,conversiones!$B$2:$B$6,0)</f>
        <v>268.7760637618124</v>
      </c>
      <c r="G12" s="14">
        <v>233.39956547619099</v>
      </c>
      <c r="H12" s="14" t="s">
        <v>18</v>
      </c>
      <c r="I12" s="15">
        <f>G12/_xlfn.XLOOKUP(H12,conversiones!$A$2:$A$6,conversiones!$B$2:$B$6,0)</f>
        <v>5.1454930660535929</v>
      </c>
      <c r="J12" s="14"/>
      <c r="K12" s="15">
        <f>_xlfn.XLOOKUP(C12,Ciclo!$A$2:$A$13,Ciclo!$D$2:$D$13,0)</f>
        <v>3</v>
      </c>
      <c r="L12" s="15">
        <f t="shared" si="1"/>
        <v>1382.985372407584</v>
      </c>
      <c r="M12" s="16">
        <f t="shared" si="2"/>
        <v>0</v>
      </c>
      <c r="N12" s="17">
        <f t="shared" si="3"/>
        <v>0</v>
      </c>
    </row>
    <row r="13" spans="1:14" x14ac:dyDescent="0.35">
      <c r="A13" s="12">
        <v>2000</v>
      </c>
      <c r="B13" s="13">
        <f t="shared" si="0"/>
        <v>36891</v>
      </c>
      <c r="C13" s="14" t="s">
        <v>27</v>
      </c>
      <c r="D13" s="14" t="s">
        <v>18</v>
      </c>
      <c r="E13" s="14">
        <v>8.8162710284004806</v>
      </c>
      <c r="F13" s="15">
        <f>E13*_xlfn.XLOOKUP(D13,conversiones!$A$2:$A$6,conversiones!$B$2:$B$6,0)</f>
        <v>399.90605384824579</v>
      </c>
      <c r="G13" s="14">
        <v>158.904356150794</v>
      </c>
      <c r="H13" s="14" t="s">
        <v>18</v>
      </c>
      <c r="I13" s="15">
        <f>G13/_xlfn.XLOOKUP(H13,conversiones!$A$2:$A$6,conversiones!$B$2:$B$6,0)</f>
        <v>3.5031824548235009</v>
      </c>
      <c r="J13" s="14"/>
      <c r="K13" s="15">
        <f>_xlfn.XLOOKUP(C13,Ciclo!$A$2:$A$13,Ciclo!$D$2:$D$13,0)</f>
        <v>2.4</v>
      </c>
      <c r="L13" s="15">
        <f t="shared" si="1"/>
        <v>1400.9438714188768</v>
      </c>
      <c r="M13" s="16">
        <f t="shared" si="2"/>
        <v>0</v>
      </c>
      <c r="N13" s="17">
        <f t="shared" si="3"/>
        <v>0</v>
      </c>
    </row>
    <row r="14" spans="1:14" x14ac:dyDescent="0.35">
      <c r="A14" s="12">
        <v>2001</v>
      </c>
      <c r="B14" s="13">
        <f t="shared" si="0"/>
        <v>37256</v>
      </c>
      <c r="C14" s="14" t="s">
        <v>16</v>
      </c>
      <c r="D14" s="14" t="s">
        <v>18</v>
      </c>
      <c r="E14" s="14">
        <v>4.4116120346208403</v>
      </c>
      <c r="F14" s="15">
        <f>E14*_xlfn.XLOOKUP(D14,conversiones!$A$2:$A$6,conversiones!$B$2:$B$6,0)</f>
        <v>200.11072189040132</v>
      </c>
      <c r="G14" s="14">
        <v>989.42519251925205</v>
      </c>
      <c r="H14" s="14" t="s">
        <v>19</v>
      </c>
      <c r="I14" s="15">
        <f>G14/_xlfn.XLOOKUP(H14,conversiones!$A$2:$A$6,conversiones!$B$2:$B$6,0)</f>
        <v>8.9947744774477467</v>
      </c>
      <c r="J14" s="14"/>
      <c r="K14" s="15">
        <f>_xlfn.XLOOKUP(C14,Ciclo!$A$2:$A$13,Ciclo!$D$2:$D$13,0)</f>
        <v>2.4</v>
      </c>
      <c r="L14" s="15">
        <f t="shared" si="1"/>
        <v>1799.9508139234258</v>
      </c>
      <c r="M14" s="16">
        <f t="shared" si="2"/>
        <v>0</v>
      </c>
      <c r="N14" s="17">
        <f t="shared" si="3"/>
        <v>0</v>
      </c>
    </row>
    <row r="15" spans="1:14" x14ac:dyDescent="0.35">
      <c r="A15" s="12">
        <v>2001</v>
      </c>
      <c r="B15" s="13">
        <f t="shared" si="0"/>
        <v>37256</v>
      </c>
      <c r="C15" s="14" t="s">
        <v>20</v>
      </c>
      <c r="D15" s="14" t="s">
        <v>18</v>
      </c>
      <c r="E15" s="14">
        <v>1.85652380469175</v>
      </c>
      <c r="F15" s="15">
        <f>E15*_xlfn.XLOOKUP(D15,conversiones!$A$2:$A$6,conversiones!$B$2:$B$6,0)</f>
        <v>84.21191978081778</v>
      </c>
      <c r="G15" s="14">
        <v>125.316942013889</v>
      </c>
      <c r="H15" s="14" t="s">
        <v>18</v>
      </c>
      <c r="I15" s="15">
        <f>G15/_xlfn.XLOOKUP(H15,conversiones!$A$2:$A$6,conversiones!$B$2:$B$6,0)</f>
        <v>2.7627191802003748</v>
      </c>
      <c r="J15" s="14"/>
      <c r="K15" s="15">
        <f>_xlfn.XLOOKUP(C15,Ciclo!$A$2:$A$13,Ciclo!$D$2:$D$13,0)</f>
        <v>3</v>
      </c>
      <c r="L15" s="15">
        <f t="shared" si="1"/>
        <v>232.65388597996062</v>
      </c>
      <c r="M15" s="16">
        <f t="shared" si="2"/>
        <v>0</v>
      </c>
      <c r="N15" s="17">
        <f t="shared" si="3"/>
        <v>0</v>
      </c>
    </row>
    <row r="16" spans="1:14" x14ac:dyDescent="0.35">
      <c r="A16" s="12">
        <v>2001</v>
      </c>
      <c r="B16" s="13">
        <f t="shared" si="0"/>
        <v>37256</v>
      </c>
      <c r="C16" s="14" t="s">
        <v>23</v>
      </c>
      <c r="D16" s="14" t="s">
        <v>18</v>
      </c>
      <c r="E16" s="14">
        <v>25.485367683841901</v>
      </c>
      <c r="F16" s="15">
        <f>E16*_xlfn.XLOOKUP(D16,conversiones!$A$2:$A$6,conversiones!$B$2:$B$6,0)</f>
        <v>1156.0162781390686</v>
      </c>
      <c r="G16" s="14">
        <v>285.81532986111102</v>
      </c>
      <c r="H16" s="14" t="s">
        <v>18</v>
      </c>
      <c r="I16" s="15">
        <f>G16/_xlfn.XLOOKUP(H16,conversiones!$A$2:$A$6,conversiones!$B$2:$B$6,0)</f>
        <v>6.3010434272731706</v>
      </c>
      <c r="J16" s="14"/>
      <c r="K16" s="15">
        <f>_xlfn.XLOOKUP(C16,Ciclo!$A$2:$A$13,Ciclo!$D$2:$D$13,0)</f>
        <v>4</v>
      </c>
      <c r="L16" s="15">
        <f t="shared" si="1"/>
        <v>7284.1087711889713</v>
      </c>
      <c r="M16" s="16">
        <f t="shared" si="2"/>
        <v>0</v>
      </c>
      <c r="N16" s="17">
        <f t="shared" si="3"/>
        <v>0</v>
      </c>
    </row>
    <row r="17" spans="1:14" x14ac:dyDescent="0.35">
      <c r="A17" s="12">
        <v>2001</v>
      </c>
      <c r="B17" s="13">
        <f t="shared" si="0"/>
        <v>37256</v>
      </c>
      <c r="C17" s="14" t="s">
        <v>21</v>
      </c>
      <c r="D17" s="14" t="s">
        <v>18</v>
      </c>
      <c r="E17" s="14">
        <v>8.3538326300984505</v>
      </c>
      <c r="F17" s="15">
        <f>E17*_xlfn.XLOOKUP(D17,conversiones!$A$2:$A$6,conversiones!$B$2:$B$6,0)</f>
        <v>378.92984810126569</v>
      </c>
      <c r="G17" s="14">
        <v>154.272410714286</v>
      </c>
      <c r="H17" s="14" t="s">
        <v>18</v>
      </c>
      <c r="I17" s="15">
        <f>G17/_xlfn.XLOOKUP(H17,conversiones!$A$2:$A$6,conversiones!$B$2:$B$6,0)</f>
        <v>3.4010672556059522</v>
      </c>
      <c r="J17" s="14"/>
      <c r="K17" s="15">
        <f>_xlfn.XLOOKUP(C17,Ciclo!$A$2:$A$13,Ciclo!$D$2:$D$13,0)</f>
        <v>2</v>
      </c>
      <c r="L17" s="15">
        <f t="shared" si="1"/>
        <v>1288.765898548952</v>
      </c>
      <c r="M17" s="16">
        <f t="shared" si="2"/>
        <v>0</v>
      </c>
      <c r="N17" s="17">
        <f t="shared" si="3"/>
        <v>0</v>
      </c>
    </row>
    <row r="18" spans="1:14" x14ac:dyDescent="0.35">
      <c r="A18" s="12">
        <v>2001</v>
      </c>
      <c r="B18" s="13">
        <f t="shared" si="0"/>
        <v>37256</v>
      </c>
      <c r="C18" s="14" t="s">
        <v>25</v>
      </c>
      <c r="D18" s="14" t="s">
        <v>18</v>
      </c>
      <c r="E18" s="14">
        <v>9.6731417034164</v>
      </c>
      <c r="F18" s="15">
        <f>E18*_xlfn.XLOOKUP(D18,conversiones!$A$2:$A$6,conversiones!$B$2:$B$6,0)</f>
        <v>438.77370766696788</v>
      </c>
      <c r="G18" s="14">
        <v>108.61574289087299</v>
      </c>
      <c r="H18" s="14" t="s">
        <v>18</v>
      </c>
      <c r="I18" s="15">
        <f>G18/_xlfn.XLOOKUP(H18,conversiones!$A$2:$A$6,conversiones!$B$2:$B$6,0)</f>
        <v>2.3945269596753307</v>
      </c>
      <c r="J18" s="14"/>
      <c r="K18" s="15">
        <f>_xlfn.XLOOKUP(C18,Ciclo!$A$2:$A$13,Ciclo!$D$2:$D$13,0)</f>
        <v>1.2</v>
      </c>
      <c r="L18" s="15">
        <f t="shared" si="1"/>
        <v>1050.655472205257</v>
      </c>
      <c r="M18" s="16">
        <f t="shared" si="2"/>
        <v>0</v>
      </c>
      <c r="N18" s="17">
        <f t="shared" si="3"/>
        <v>0</v>
      </c>
    </row>
    <row r="19" spans="1:14" x14ac:dyDescent="0.35">
      <c r="A19" s="12">
        <v>2001</v>
      </c>
      <c r="B19" s="13">
        <f t="shared" si="0"/>
        <v>37256</v>
      </c>
      <c r="C19" s="14" t="s">
        <v>22</v>
      </c>
      <c r="D19" s="14" t="s">
        <v>18</v>
      </c>
      <c r="E19" s="14">
        <v>8.7033609032427499</v>
      </c>
      <c r="F19" s="15">
        <f>E19*_xlfn.XLOOKUP(D19,conversiones!$A$2:$A$6,conversiones!$B$2:$B$6,0)</f>
        <v>394.78445057109116</v>
      </c>
      <c r="G19" s="14">
        <v>278.56636111111101</v>
      </c>
      <c r="H19" s="14" t="s">
        <v>18</v>
      </c>
      <c r="I19" s="15">
        <f>G19/_xlfn.XLOOKUP(H19,conversiones!$A$2:$A$6,conversiones!$B$2:$B$6,0)</f>
        <v>6.1412337105624122</v>
      </c>
      <c r="J19" s="14"/>
      <c r="K19" s="15">
        <f>_xlfn.XLOOKUP(C19,Ciclo!$A$2:$A$13,Ciclo!$D$2:$D$13,0)</f>
        <v>1</v>
      </c>
      <c r="L19" s="15">
        <f t="shared" si="1"/>
        <v>2424.4635762530452</v>
      </c>
      <c r="M19" s="16">
        <f t="shared" si="2"/>
        <v>0</v>
      </c>
      <c r="N19" s="17">
        <f t="shared" si="3"/>
        <v>0</v>
      </c>
    </row>
    <row r="20" spans="1:14" x14ac:dyDescent="0.35">
      <c r="A20" s="12">
        <v>2001</v>
      </c>
      <c r="B20" s="13">
        <f t="shared" si="0"/>
        <v>37256</v>
      </c>
      <c r="C20" s="14" t="s">
        <v>24</v>
      </c>
      <c r="D20" s="14" t="s">
        <v>18</v>
      </c>
      <c r="E20" s="14">
        <v>10.6239170225747</v>
      </c>
      <c r="F20" s="15">
        <f>E20*_xlfn.XLOOKUP(D20,conversiones!$A$2:$A$6,conversiones!$B$2:$B$6,0)</f>
        <v>481.9008761439884</v>
      </c>
      <c r="G20" s="14">
        <v>484.91972817460299</v>
      </c>
      <c r="H20" s="14" t="s">
        <v>18</v>
      </c>
      <c r="I20" s="15">
        <f>G20/_xlfn.XLOOKUP(H20,conversiones!$A$2:$A$6,conversiones!$B$2:$B$6,0)</f>
        <v>10.6904701978528</v>
      </c>
      <c r="J20" s="14"/>
      <c r="K20" s="15">
        <f>_xlfn.XLOOKUP(C20,Ciclo!$A$2:$A$13,Ciclo!$D$2:$D$13,0)</f>
        <v>1</v>
      </c>
      <c r="L20" s="15">
        <f t="shared" si="1"/>
        <v>5151.7469547364617</v>
      </c>
      <c r="M20" s="16">
        <f t="shared" si="2"/>
        <v>0</v>
      </c>
      <c r="N20" s="17">
        <f t="shared" si="3"/>
        <v>0</v>
      </c>
    </row>
    <row r="21" spans="1:14" x14ac:dyDescent="0.35">
      <c r="A21" s="12">
        <v>2001</v>
      </c>
      <c r="B21" s="13">
        <f t="shared" si="0"/>
        <v>37256</v>
      </c>
      <c r="C21" s="14" t="s">
        <v>30</v>
      </c>
      <c r="D21" s="14" t="s">
        <v>32</v>
      </c>
      <c r="E21" s="14">
        <v>71.878833183352498</v>
      </c>
      <c r="F21" s="15">
        <f>E21*_xlfn.XLOOKUP(D21,conversiones!$A$2:$A$6,conversiones!$B$2:$B$6,0)</f>
        <v>1955.8230509190216</v>
      </c>
      <c r="G21" s="14">
        <v>27.9820704365079</v>
      </c>
      <c r="H21" s="14" t="s">
        <v>32</v>
      </c>
      <c r="I21" s="15">
        <f>G21/_xlfn.XLOOKUP(H21,conversiones!$A$2:$A$6,conversiones!$B$2:$B$6,0)</f>
        <v>1.0283745107132636</v>
      </c>
      <c r="J21" s="14"/>
      <c r="K21" s="15">
        <f>_xlfn.XLOOKUP(C21,Ciclo!$A$2:$A$13,Ciclo!$D$2:$D$13,0)</f>
        <v>1</v>
      </c>
      <c r="L21" s="15">
        <f t="shared" si="1"/>
        <v>2011.3185730305713</v>
      </c>
      <c r="M21" s="16">
        <f t="shared" si="2"/>
        <v>0</v>
      </c>
      <c r="N21" s="17">
        <f t="shared" si="3"/>
        <v>0</v>
      </c>
    </row>
    <row r="22" spans="1:14" x14ac:dyDescent="0.35">
      <c r="A22" s="12">
        <v>2001</v>
      </c>
      <c r="B22" s="13">
        <f t="shared" si="0"/>
        <v>37256</v>
      </c>
      <c r="C22" s="14" t="s">
        <v>33</v>
      </c>
      <c r="D22" s="14" t="s">
        <v>34</v>
      </c>
      <c r="E22" s="14">
        <v>1.9917396601374799</v>
      </c>
      <c r="F22" s="15">
        <f>E22*_xlfn.XLOOKUP(D22,conversiones!$A$2:$A$6,conversiones!$B$2:$B$6,0)</f>
        <v>812.92854228511237</v>
      </c>
      <c r="G22" s="14">
        <v>1084.48174007937</v>
      </c>
      <c r="H22" s="14" t="s">
        <v>34</v>
      </c>
      <c r="I22" s="15">
        <f>G22/_xlfn.XLOOKUP(H22,conversiones!$A$2:$A$6,conversiones!$B$2:$B$6,0)</f>
        <v>2.6570666178595368</v>
      </c>
      <c r="J22" s="14"/>
      <c r="K22" s="15">
        <f>_xlfn.XLOOKUP(C22,Ciclo!$A$2:$A$13,Ciclo!$D$2:$D$13,0)</f>
        <v>1</v>
      </c>
      <c r="L22" s="15">
        <f t="shared" si="1"/>
        <v>2160.0052924109868</v>
      </c>
      <c r="M22" s="16">
        <f t="shared" si="2"/>
        <v>0</v>
      </c>
      <c r="N22" s="17">
        <f t="shared" si="3"/>
        <v>0</v>
      </c>
    </row>
    <row r="23" spans="1:14" x14ac:dyDescent="0.35">
      <c r="A23" s="12">
        <v>2001</v>
      </c>
      <c r="B23" s="13">
        <f t="shared" si="0"/>
        <v>37256</v>
      </c>
      <c r="C23" s="14" t="s">
        <v>28</v>
      </c>
      <c r="D23" s="14" t="s">
        <v>29</v>
      </c>
      <c r="E23" s="14">
        <v>1.7690807014501599</v>
      </c>
      <c r="F23" s="15">
        <f>E23*_xlfn.XLOOKUP(D23,conversiones!$A$2:$A$6,conversiones!$B$2:$B$6,0)</f>
        <v>994.82484165348296</v>
      </c>
      <c r="G23" s="14">
        <v>2130.3490833333299</v>
      </c>
      <c r="H23" s="14" t="s">
        <v>29</v>
      </c>
      <c r="I23" s="15">
        <f>G23/_xlfn.XLOOKUP(H23,conversiones!$A$2:$A$6,conversiones!$B$2:$B$6,0)</f>
        <v>3.7883648385911188</v>
      </c>
      <c r="J23" s="14"/>
      <c r="K23" s="15">
        <f>_xlfn.XLOOKUP(C23,Ciclo!$A$2:$A$13,Ciclo!$D$2:$D$13,0)</f>
        <v>3</v>
      </c>
      <c r="L23" s="15">
        <f t="shared" si="1"/>
        <v>3768.7594506770324</v>
      </c>
      <c r="M23" s="16">
        <f t="shared" si="2"/>
        <v>0</v>
      </c>
      <c r="N23" s="17">
        <f t="shared" si="3"/>
        <v>0</v>
      </c>
    </row>
    <row r="24" spans="1:14" x14ac:dyDescent="0.35">
      <c r="A24" s="12">
        <v>2001</v>
      </c>
      <c r="B24" s="13">
        <f t="shared" si="0"/>
        <v>37256</v>
      </c>
      <c r="C24" s="14" t="s">
        <v>26</v>
      </c>
      <c r="D24" s="14" t="s">
        <v>18</v>
      </c>
      <c r="E24" s="14">
        <v>5.9243550790867001</v>
      </c>
      <c r="F24" s="15">
        <f>E24*_xlfn.XLOOKUP(D24,conversiones!$A$2:$A$6,conversiones!$B$2:$B$6,0)</f>
        <v>268.72874638737272</v>
      </c>
      <c r="G24" s="14">
        <v>191.68133333333299</v>
      </c>
      <c r="H24" s="14" t="s">
        <v>18</v>
      </c>
      <c r="I24" s="15">
        <f>G24/_xlfn.XLOOKUP(H24,conversiones!$A$2:$A$6,conversiones!$B$2:$B$6,0)</f>
        <v>4.2257789535567234</v>
      </c>
      <c r="J24" s="14"/>
      <c r="K24" s="15">
        <f>_xlfn.XLOOKUP(C24,Ciclo!$A$2:$A$13,Ciclo!$D$2:$D$13,0)</f>
        <v>3</v>
      </c>
      <c r="L24" s="15">
        <f t="shared" si="1"/>
        <v>1135.5882806994421</v>
      </c>
      <c r="M24" s="16">
        <f t="shared" si="2"/>
        <v>0</v>
      </c>
      <c r="N24" s="17">
        <f t="shared" si="3"/>
        <v>0</v>
      </c>
    </row>
    <row r="25" spans="1:14" x14ac:dyDescent="0.35">
      <c r="A25" s="12">
        <v>2001</v>
      </c>
      <c r="B25" s="13">
        <f t="shared" si="0"/>
        <v>37256</v>
      </c>
      <c r="C25" s="14" t="s">
        <v>27</v>
      </c>
      <c r="D25" s="14" t="s">
        <v>18</v>
      </c>
      <c r="E25" s="14">
        <v>8.6117380934818399</v>
      </c>
      <c r="F25" s="15">
        <f>E25*_xlfn.XLOOKUP(D25,conversiones!$A$2:$A$6,conversiones!$B$2:$B$6,0)</f>
        <v>390.62843992033623</v>
      </c>
      <c r="G25" s="14">
        <v>209.19451388888899</v>
      </c>
      <c r="H25" s="14" t="s">
        <v>18</v>
      </c>
      <c r="I25" s="15">
        <f>G25/_xlfn.XLOOKUP(H25,conversiones!$A$2:$A$6,conversiones!$B$2:$B$6,0)</f>
        <v>4.6118719993141308</v>
      </c>
      <c r="J25" s="14"/>
      <c r="K25" s="15">
        <f>_xlfn.XLOOKUP(C25,Ciclo!$A$2:$A$13,Ciclo!$D$2:$D$13,0)</f>
        <v>2.4</v>
      </c>
      <c r="L25" s="15">
        <f t="shared" si="1"/>
        <v>1801.528364204361</v>
      </c>
      <c r="M25" s="16">
        <f t="shared" si="2"/>
        <v>0</v>
      </c>
      <c r="N25" s="17">
        <f t="shared" si="3"/>
        <v>0</v>
      </c>
    </row>
    <row r="26" spans="1:14" x14ac:dyDescent="0.35">
      <c r="A26" s="12">
        <v>2002</v>
      </c>
      <c r="B26" s="13">
        <f t="shared" si="0"/>
        <v>37621</v>
      </c>
      <c r="C26" s="14" t="s">
        <v>16</v>
      </c>
      <c r="D26" s="14" t="s">
        <v>18</v>
      </c>
      <c r="E26" s="14">
        <v>4.3794112283683804</v>
      </c>
      <c r="F26" s="15">
        <f>E26*_xlfn.XLOOKUP(D26,conversiones!$A$2:$A$6,conversiones!$B$2:$B$6,0)</f>
        <v>198.65009331878974</v>
      </c>
      <c r="G26" s="14">
        <v>873.17895122845596</v>
      </c>
      <c r="H26" s="14" t="s">
        <v>19</v>
      </c>
      <c r="I26" s="15">
        <f>G26/_xlfn.XLOOKUP(H26,conversiones!$A$2:$A$6,conversiones!$B$2:$B$6,0)</f>
        <v>7.9379904657132361</v>
      </c>
      <c r="J26" s="14">
        <v>1921.06</v>
      </c>
      <c r="K26" s="15">
        <f>_xlfn.XLOOKUP(C26,Ciclo!$A$2:$A$13,Ciclo!$D$2:$D$13,0)</f>
        <v>2.4</v>
      </c>
      <c r="L26" s="15">
        <f t="shared" si="1"/>
        <v>-344.17745322240239</v>
      </c>
      <c r="M26" s="16">
        <f t="shared" si="2"/>
        <v>-0.17916017887124941</v>
      </c>
      <c r="N26" s="17">
        <f t="shared" si="3"/>
        <v>-0.42998442929099856</v>
      </c>
    </row>
    <row r="27" spans="1:14" x14ac:dyDescent="0.35">
      <c r="A27" s="12">
        <v>2002</v>
      </c>
      <c r="B27" s="13">
        <f t="shared" si="0"/>
        <v>37621</v>
      </c>
      <c r="C27" s="14" t="s">
        <v>20</v>
      </c>
      <c r="D27" s="14" t="s">
        <v>18</v>
      </c>
      <c r="E27" s="14">
        <v>1.7968558133522901</v>
      </c>
      <c r="F27" s="15">
        <f>E27*_xlfn.XLOOKUP(D27,conversiones!$A$2:$A$6,conversiones!$B$2:$B$6,0)</f>
        <v>81.505379693659876</v>
      </c>
      <c r="G27" s="14">
        <v>125.81119397023799</v>
      </c>
      <c r="H27" s="14" t="s">
        <v>18</v>
      </c>
      <c r="I27" s="15">
        <f>G27/_xlfn.XLOOKUP(H27,conversiones!$A$2:$A$6,conversiones!$B$2:$B$6,0)</f>
        <v>2.7736153873509259</v>
      </c>
      <c r="J27" s="14">
        <v>531.93499999999995</v>
      </c>
      <c r="K27" s="15">
        <f>_xlfn.XLOOKUP(C27,Ciclo!$A$2:$A$13,Ciclo!$D$2:$D$13,0)</f>
        <v>3</v>
      </c>
      <c r="L27" s="15">
        <f t="shared" si="1"/>
        <v>-305.87042472978521</v>
      </c>
      <c r="M27" s="16">
        <f t="shared" si="2"/>
        <v>-0.57501466293773718</v>
      </c>
      <c r="N27" s="17">
        <f t="shared" si="3"/>
        <v>-1.7250439888132116</v>
      </c>
    </row>
    <row r="28" spans="1:14" x14ac:dyDescent="0.35">
      <c r="A28" s="12">
        <v>2002</v>
      </c>
      <c r="B28" s="13">
        <f t="shared" si="0"/>
        <v>37621</v>
      </c>
      <c r="C28" s="14" t="s">
        <v>23</v>
      </c>
      <c r="D28" s="14" t="s">
        <v>18</v>
      </c>
      <c r="E28" s="14">
        <v>23.064823189904001</v>
      </c>
      <c r="F28" s="15">
        <f>E28*_xlfn.XLOOKUP(D28,conversiones!$A$2:$A$6,conversiones!$B$2:$B$6,0)</f>
        <v>1046.2203798940454</v>
      </c>
      <c r="G28" s="14">
        <v>207.378628472222</v>
      </c>
      <c r="H28" s="14" t="s">
        <v>18</v>
      </c>
      <c r="I28" s="15">
        <f>G28/_xlfn.XLOOKUP(H28,conversiones!$A$2:$A$6,conversiones!$B$2:$B$6,0)</f>
        <v>4.5718392520331133</v>
      </c>
      <c r="J28" s="14">
        <v>5786.34</v>
      </c>
      <c r="K28" s="15">
        <f>_xlfn.XLOOKUP(C28,Ciclo!$A$2:$A$13,Ciclo!$D$2:$D$13,0)</f>
        <v>4</v>
      </c>
      <c r="L28" s="15">
        <f t="shared" si="1"/>
        <v>-1003.1886009234076</v>
      </c>
      <c r="M28" s="16">
        <f t="shared" si="2"/>
        <v>-0.17337187253486791</v>
      </c>
      <c r="N28" s="17">
        <f t="shared" si="3"/>
        <v>-0.69348749013947164</v>
      </c>
    </row>
    <row r="29" spans="1:14" x14ac:dyDescent="0.35">
      <c r="A29" s="12">
        <v>2002</v>
      </c>
      <c r="B29" s="13">
        <f t="shared" si="0"/>
        <v>37621</v>
      </c>
      <c r="C29" s="14" t="s">
        <v>21</v>
      </c>
      <c r="D29" s="14" t="s">
        <v>18</v>
      </c>
      <c r="E29" s="14">
        <v>8.3908371972603408</v>
      </c>
      <c r="F29" s="15">
        <f>E29*_xlfn.XLOOKUP(D29,conversiones!$A$2:$A$6,conversiones!$B$2:$B$6,0)</f>
        <v>380.60837526772906</v>
      </c>
      <c r="G29" s="14">
        <v>120.590532162698</v>
      </c>
      <c r="H29" s="14" t="s">
        <v>18</v>
      </c>
      <c r="I29" s="15">
        <f>G29/_xlfn.XLOOKUP(H29,conversiones!$A$2:$A$6,conversiones!$B$2:$B$6,0)</f>
        <v>2.6585214321582451</v>
      </c>
      <c r="J29" s="14">
        <v>945.93</v>
      </c>
      <c r="K29" s="15">
        <f>_xlfn.XLOOKUP(C29,Ciclo!$A$2:$A$13,Ciclo!$D$2:$D$13,0)</f>
        <v>2</v>
      </c>
      <c r="L29" s="15">
        <f t="shared" si="1"/>
        <v>65.92552290818594</v>
      </c>
      <c r="M29" s="16">
        <f t="shared" si="2"/>
        <v>6.9693870485327603E-2</v>
      </c>
      <c r="N29" s="17">
        <f t="shared" si="3"/>
        <v>0.13938774097065521</v>
      </c>
    </row>
    <row r="30" spans="1:14" x14ac:dyDescent="0.35">
      <c r="A30" s="12">
        <v>2002</v>
      </c>
      <c r="B30" s="13">
        <f t="shared" si="0"/>
        <v>37621</v>
      </c>
      <c r="C30" s="14" t="s">
        <v>25</v>
      </c>
      <c r="D30" s="14" t="s">
        <v>18</v>
      </c>
      <c r="E30" s="14">
        <v>9.6952706977832896</v>
      </c>
      <c r="F30" s="15">
        <f>E30*_xlfn.XLOOKUP(D30,conversiones!$A$2:$A$6,conversiones!$B$2:$B$6,0)</f>
        <v>439.77747885144998</v>
      </c>
      <c r="G30" s="14">
        <v>94.639889608134894</v>
      </c>
      <c r="H30" s="14" t="s">
        <v>18</v>
      </c>
      <c r="I30" s="15">
        <f>G30/_xlfn.XLOOKUP(H30,conversiones!$A$2:$A$6,conversiones!$B$2:$B$6,0)</f>
        <v>2.0864173194033264</v>
      </c>
      <c r="J30" s="14">
        <v>966.8</v>
      </c>
      <c r="K30" s="15">
        <f>_xlfn.XLOOKUP(C30,Ciclo!$A$2:$A$13,Ciclo!$D$2:$D$13,0)</f>
        <v>1.2</v>
      </c>
      <c r="L30" s="15">
        <f t="shared" si="1"/>
        <v>-49.240651440804641</v>
      </c>
      <c r="M30" s="16">
        <f t="shared" si="2"/>
        <v>-5.0931579893260907E-2</v>
      </c>
      <c r="N30" s="17">
        <f t="shared" si="3"/>
        <v>-6.1117895871913089E-2</v>
      </c>
    </row>
    <row r="31" spans="1:14" x14ac:dyDescent="0.35">
      <c r="A31" s="12">
        <v>2002</v>
      </c>
      <c r="B31" s="13">
        <f t="shared" si="0"/>
        <v>37621</v>
      </c>
      <c r="C31" s="14" t="s">
        <v>22</v>
      </c>
      <c r="D31" s="14" t="s">
        <v>18</v>
      </c>
      <c r="E31" s="14">
        <v>9.3446182223417704</v>
      </c>
      <c r="F31" s="15">
        <f>E31*_xlfn.XLOOKUP(D31,conversiones!$A$2:$A$6,conversiones!$B$2:$B$6,0)</f>
        <v>423.87188256542271</v>
      </c>
      <c r="G31" s="14">
        <v>327.28705555555598</v>
      </c>
      <c r="H31" s="14" t="s">
        <v>18</v>
      </c>
      <c r="I31" s="15">
        <f>G31/_xlfn.XLOOKUP(H31,conversiones!$A$2:$A$6,conversiones!$B$2:$B$6,0)</f>
        <v>7.2153230942582889</v>
      </c>
      <c r="J31" s="14">
        <v>2751.22</v>
      </c>
      <c r="K31" s="15">
        <f>_xlfn.XLOOKUP(C31,Ciclo!$A$2:$A$13,Ciclo!$D$2:$D$13,0)</f>
        <v>1</v>
      </c>
      <c r="L31" s="15">
        <f t="shared" si="1"/>
        <v>307.15258328103209</v>
      </c>
      <c r="M31" s="16">
        <f t="shared" si="2"/>
        <v>0.11164231987301347</v>
      </c>
      <c r="N31" s="17">
        <f t="shared" si="3"/>
        <v>0.11164231987301347</v>
      </c>
    </row>
    <row r="32" spans="1:14" x14ac:dyDescent="0.35">
      <c r="A32" s="12">
        <v>2002</v>
      </c>
      <c r="B32" s="13">
        <f t="shared" si="0"/>
        <v>37621</v>
      </c>
      <c r="C32" s="14" t="s">
        <v>24</v>
      </c>
      <c r="D32" s="14" t="s">
        <v>18</v>
      </c>
      <c r="E32" s="14">
        <v>10.967118814368201</v>
      </c>
      <c r="F32" s="15">
        <f>E32*_xlfn.XLOOKUP(D32,conversiones!$A$2:$A$6,conversiones!$B$2:$B$6,0)</f>
        <v>497.46850941974157</v>
      </c>
      <c r="G32" s="14">
        <v>391.23312797619099</v>
      </c>
      <c r="H32" s="14" t="s">
        <v>18</v>
      </c>
      <c r="I32" s="15">
        <f>G32/_xlfn.XLOOKUP(H32,conversiones!$A$2:$A$6,conversiones!$B$2:$B$6,0)</f>
        <v>8.6250689589107363</v>
      </c>
      <c r="J32" s="14">
        <v>1994.96</v>
      </c>
      <c r="K32" s="15">
        <f>_xlfn.XLOOKUP(C32,Ciclo!$A$2:$A$13,Ciclo!$D$2:$D$13,0)</f>
        <v>1</v>
      </c>
      <c r="L32" s="15">
        <f t="shared" si="1"/>
        <v>2295.7401986318064</v>
      </c>
      <c r="M32" s="16">
        <f t="shared" si="2"/>
        <v>1.1507700398162402</v>
      </c>
      <c r="N32" s="17">
        <f t="shared" si="3"/>
        <v>1.1507700398162402</v>
      </c>
    </row>
    <row r="33" spans="1:14" x14ac:dyDescent="0.35">
      <c r="A33" s="12">
        <v>2002</v>
      </c>
      <c r="B33" s="13">
        <f t="shared" si="0"/>
        <v>37621</v>
      </c>
      <c r="C33" s="14" t="s">
        <v>30</v>
      </c>
      <c r="D33" s="14" t="s">
        <v>32</v>
      </c>
      <c r="E33" s="14">
        <v>81.418559045047601</v>
      </c>
      <c r="F33" s="15">
        <f>E33*_xlfn.XLOOKUP(D33,conversiones!$A$2:$A$6,conversiones!$B$2:$B$6,0)</f>
        <v>2215.3989916157452</v>
      </c>
      <c r="G33" s="14">
        <v>26.230742063492102</v>
      </c>
      <c r="H33" s="14" t="s">
        <v>32</v>
      </c>
      <c r="I33" s="15">
        <f>G33/_xlfn.XLOOKUP(H33,conversiones!$A$2:$A$6,conversiones!$B$2:$B$6,0)</f>
        <v>0.96401110119412348</v>
      </c>
      <c r="J33" s="14">
        <v>3727.21</v>
      </c>
      <c r="K33" s="15">
        <f>_xlfn.XLOOKUP(C33,Ciclo!$A$2:$A$13,Ciclo!$D$2:$D$13,0)</f>
        <v>1</v>
      </c>
      <c r="L33" s="15">
        <f t="shared" si="1"/>
        <v>-1591.5407785081547</v>
      </c>
      <c r="M33" s="16">
        <f t="shared" si="2"/>
        <v>-0.4270059316507937</v>
      </c>
      <c r="N33" s="17">
        <f t="shared" si="3"/>
        <v>-0.4270059316507937</v>
      </c>
    </row>
    <row r="34" spans="1:14" x14ac:dyDescent="0.35">
      <c r="A34" s="12">
        <v>2002</v>
      </c>
      <c r="B34" s="13">
        <f t="shared" si="0"/>
        <v>37621</v>
      </c>
      <c r="C34" s="14" t="s">
        <v>33</v>
      </c>
      <c r="D34" s="14" t="s">
        <v>34</v>
      </c>
      <c r="E34" s="14">
        <v>1.8493944485037701</v>
      </c>
      <c r="F34" s="15">
        <f>E34*_xlfn.XLOOKUP(D34,conversiones!$A$2:$A$6,conversiones!$B$2:$B$6,0)</f>
        <v>754.83034415681368</v>
      </c>
      <c r="G34" s="14">
        <v>1184.58313948413</v>
      </c>
      <c r="H34" s="14" t="s">
        <v>34</v>
      </c>
      <c r="I34" s="15">
        <f>G34/_xlfn.XLOOKUP(H34,conversiones!$A$2:$A$6,conversiones!$B$2:$B$6,0)</f>
        <v>2.902323017234179</v>
      </c>
      <c r="J34" s="14">
        <v>3949.84</v>
      </c>
      <c r="K34" s="15">
        <f>_xlfn.XLOOKUP(C34,Ciclo!$A$2:$A$13,Ciclo!$D$2:$D$13,0)</f>
        <v>1</v>
      </c>
      <c r="L34" s="15">
        <f t="shared" si="1"/>
        <v>-1759.0785180468829</v>
      </c>
      <c r="M34" s="16">
        <f t="shared" si="2"/>
        <v>-0.44535437335357453</v>
      </c>
      <c r="N34" s="17">
        <f t="shared" si="3"/>
        <v>-0.44535437335357453</v>
      </c>
    </row>
    <row r="35" spans="1:14" x14ac:dyDescent="0.35">
      <c r="A35" s="12">
        <v>2002</v>
      </c>
      <c r="B35" s="13">
        <f t="shared" si="0"/>
        <v>37621</v>
      </c>
      <c r="C35" s="14" t="s">
        <v>28</v>
      </c>
      <c r="D35" s="14" t="s">
        <v>29</v>
      </c>
      <c r="E35" s="14">
        <v>1.7971124997928001</v>
      </c>
      <c r="F35" s="15">
        <f>E35*_xlfn.XLOOKUP(D35,conversiones!$A$2:$A$6,conversiones!$B$2:$B$6,0)</f>
        <v>1010.5882431334833</v>
      </c>
      <c r="G35" s="14">
        <v>2767.6697916666699</v>
      </c>
      <c r="H35" s="14" t="s">
        <v>29</v>
      </c>
      <c r="I35" s="15">
        <f>G35/_xlfn.XLOOKUP(H35,conversiones!$A$2:$A$6,conversiones!$B$2:$B$6,0)</f>
        <v>4.9217018025868153</v>
      </c>
      <c r="J35" s="14">
        <v>3619.46</v>
      </c>
      <c r="K35" s="15">
        <f>_xlfn.XLOOKUP(C35,Ciclo!$A$2:$A$13,Ciclo!$D$2:$D$13,0)</f>
        <v>3</v>
      </c>
      <c r="L35" s="15">
        <f t="shared" si="1"/>
        <v>1354.3539779031071</v>
      </c>
      <c r="M35" s="16">
        <f t="shared" si="2"/>
        <v>0.37418675103554316</v>
      </c>
      <c r="N35" s="17">
        <f t="shared" si="3"/>
        <v>1.1225602531066294</v>
      </c>
    </row>
    <row r="36" spans="1:14" x14ac:dyDescent="0.35">
      <c r="A36" s="12">
        <v>2002</v>
      </c>
      <c r="B36" s="13">
        <f t="shared" si="0"/>
        <v>37621</v>
      </c>
      <c r="C36" s="14" t="s">
        <v>26</v>
      </c>
      <c r="D36" s="14" t="s">
        <v>18</v>
      </c>
      <c r="E36" s="14">
        <v>6.1150977467221503</v>
      </c>
      <c r="F36" s="15">
        <f>E36*_xlfn.XLOOKUP(D36,conversiones!$A$2:$A$6,conversiones!$B$2:$B$6,0)</f>
        <v>277.38083379131672</v>
      </c>
      <c r="G36" s="14">
        <v>208.94</v>
      </c>
      <c r="H36" s="14" t="s">
        <v>18</v>
      </c>
      <c r="I36" s="15">
        <f>G36/_xlfn.XLOOKUP(H36,conversiones!$A$2:$A$6,conversiones!$B$2:$B$6,0)</f>
        <v>4.6062610229276899</v>
      </c>
      <c r="J36" s="14">
        <v>360.52</v>
      </c>
      <c r="K36" s="15">
        <f>_xlfn.XLOOKUP(C36,Ciclo!$A$2:$A$13,Ciclo!$D$2:$D$13,0)</f>
        <v>3</v>
      </c>
      <c r="L36" s="15">
        <f t="shared" si="1"/>
        <v>917.16852320012617</v>
      </c>
      <c r="M36" s="16">
        <f t="shared" si="2"/>
        <v>2.5440156529460953</v>
      </c>
      <c r="N36" s="17">
        <f t="shared" si="3"/>
        <v>7.632046958838286</v>
      </c>
    </row>
    <row r="37" spans="1:14" x14ac:dyDescent="0.35">
      <c r="A37" s="12">
        <v>2002</v>
      </c>
      <c r="B37" s="13">
        <f t="shared" si="0"/>
        <v>37621</v>
      </c>
      <c r="C37" s="14" t="s">
        <v>27</v>
      </c>
      <c r="D37" s="14" t="s">
        <v>18</v>
      </c>
      <c r="E37" s="14">
        <v>9.4227337353532405</v>
      </c>
      <c r="F37" s="15">
        <f>E37*_xlfn.XLOOKUP(D37,conversiones!$A$2:$A$6,conversiones!$B$2:$B$6,0)</f>
        <v>427.41520223562298</v>
      </c>
      <c r="G37" s="14">
        <v>207.8</v>
      </c>
      <c r="H37" s="14" t="s">
        <v>18</v>
      </c>
      <c r="I37" s="15">
        <f>G37/_xlfn.XLOOKUP(H37,conversiones!$A$2:$A$6,conversiones!$B$2:$B$6,0)</f>
        <v>4.5811287477954146</v>
      </c>
      <c r="J37" s="14">
        <v>2321.75</v>
      </c>
      <c r="K37" s="15">
        <f>_xlfn.XLOOKUP(C37,Ciclo!$A$2:$A$13,Ciclo!$D$2:$D$13,0)</f>
        <v>2.4</v>
      </c>
      <c r="L37" s="15">
        <f t="shared" si="1"/>
        <v>-363.70592979359662</v>
      </c>
      <c r="M37" s="16">
        <f t="shared" si="2"/>
        <v>-0.15665163337723553</v>
      </c>
      <c r="N37" s="17">
        <f t="shared" si="3"/>
        <v>-0.37596392010536528</v>
      </c>
    </row>
    <row r="38" spans="1:14" x14ac:dyDescent="0.35">
      <c r="A38" s="12">
        <v>2003</v>
      </c>
      <c r="B38" s="13">
        <f t="shared" si="0"/>
        <v>37986</v>
      </c>
      <c r="C38" s="14" t="s">
        <v>16</v>
      </c>
      <c r="D38" s="14" t="s">
        <v>18</v>
      </c>
      <c r="E38" s="14">
        <v>4.1810992993523</v>
      </c>
      <c r="F38" s="15">
        <f>E38*_xlfn.XLOOKUP(D38,conversiones!$A$2:$A$6,conversiones!$B$2:$B$6,0)</f>
        <v>189.65466421862033</v>
      </c>
      <c r="G38" s="14">
        <v>1089.47799779978</v>
      </c>
      <c r="H38" s="14" t="s">
        <v>19</v>
      </c>
      <c r="I38" s="15">
        <f>G38/_xlfn.XLOOKUP(H38,conversiones!$A$2:$A$6,conversiones!$B$2:$B$6,0)</f>
        <v>9.9043454345434547</v>
      </c>
      <c r="J38" s="14">
        <v>4275.41</v>
      </c>
      <c r="K38" s="15">
        <f>_xlfn.XLOOKUP(C38,Ciclo!$A$2:$A$13,Ciclo!$D$2:$D$13,0)</f>
        <v>2.4</v>
      </c>
      <c r="L38" s="15">
        <f t="shared" si="1"/>
        <v>-2397.0046923064356</v>
      </c>
      <c r="M38" s="16">
        <f t="shared" si="2"/>
        <v>-0.5606490821480129</v>
      </c>
      <c r="N38" s="17">
        <f t="shared" si="3"/>
        <v>-1.3455577971552308</v>
      </c>
    </row>
    <row r="39" spans="1:14" x14ac:dyDescent="0.35">
      <c r="A39" s="12">
        <v>2003</v>
      </c>
      <c r="B39" s="13">
        <f t="shared" si="0"/>
        <v>37986</v>
      </c>
      <c r="C39" s="14" t="s">
        <v>20</v>
      </c>
      <c r="D39" s="14" t="s">
        <v>18</v>
      </c>
      <c r="E39" s="14">
        <v>1.96555330360762</v>
      </c>
      <c r="F39" s="15">
        <f>E39*_xlfn.XLOOKUP(D39,conversiones!$A$2:$A$6,conversiones!$B$2:$B$6,0)</f>
        <v>89.157497851641651</v>
      </c>
      <c r="G39" s="14">
        <v>210.54613601190499</v>
      </c>
      <c r="H39" s="14" t="s">
        <v>18</v>
      </c>
      <c r="I39" s="15">
        <f>G39/_xlfn.XLOOKUP(H39,conversiones!$A$2:$A$6,conversiones!$B$2:$B$6,0)</f>
        <v>4.6416696651654537</v>
      </c>
      <c r="J39" s="14">
        <v>938.62</v>
      </c>
      <c r="K39" s="15">
        <f>_xlfn.XLOOKUP(C39,Ciclo!$A$2:$A$13,Ciclo!$D$2:$D$13,0)</f>
        <v>3</v>
      </c>
      <c r="L39" s="15">
        <f t="shared" si="1"/>
        <v>-524.78034679998086</v>
      </c>
      <c r="M39" s="16">
        <f t="shared" si="2"/>
        <v>-0.55909776778673037</v>
      </c>
      <c r="N39" s="17">
        <f t="shared" si="3"/>
        <v>-1.6772933033601911</v>
      </c>
    </row>
    <row r="40" spans="1:14" x14ac:dyDescent="0.35">
      <c r="A40" s="12">
        <v>2003</v>
      </c>
      <c r="B40" s="13">
        <f t="shared" si="0"/>
        <v>37986</v>
      </c>
      <c r="C40" s="14" t="s">
        <v>23</v>
      </c>
      <c r="D40" s="14" t="s">
        <v>18</v>
      </c>
      <c r="E40" s="14">
        <v>25.464552719773099</v>
      </c>
      <c r="F40" s="15">
        <f>E40*_xlfn.XLOOKUP(D40,conversiones!$A$2:$A$6,conversiones!$B$2:$B$6,0)</f>
        <v>1155.0721113689078</v>
      </c>
      <c r="G40" s="14">
        <v>275.20256944444401</v>
      </c>
      <c r="H40" s="14" t="s">
        <v>18</v>
      </c>
      <c r="I40" s="15">
        <f>G40/_xlfn.XLOOKUP(H40,conversiones!$A$2:$A$6,conversiones!$B$2:$B$6,0)</f>
        <v>6.0670760459533515</v>
      </c>
      <c r="J40" s="14">
        <v>9309.9599999999991</v>
      </c>
      <c r="K40" s="15">
        <f>_xlfn.XLOOKUP(C40,Ciclo!$A$2:$A$13,Ciclo!$D$2:$D$13,0)</f>
        <v>4</v>
      </c>
      <c r="L40" s="15">
        <f t="shared" si="1"/>
        <v>-2302.0496617649369</v>
      </c>
      <c r="M40" s="16">
        <f t="shared" si="2"/>
        <v>-0.24726740627939725</v>
      </c>
      <c r="N40" s="17">
        <f t="shared" si="3"/>
        <v>-0.989069625117589</v>
      </c>
    </row>
    <row r="41" spans="1:14" x14ac:dyDescent="0.35">
      <c r="A41" s="12">
        <v>2003</v>
      </c>
      <c r="B41" s="13">
        <f t="shared" si="0"/>
        <v>37986</v>
      </c>
      <c r="C41" s="14" t="s">
        <v>21</v>
      </c>
      <c r="D41" s="14" t="s">
        <v>18</v>
      </c>
      <c r="E41" s="14">
        <v>9.0045672555494001</v>
      </c>
      <c r="F41" s="15">
        <f>E41*_xlfn.XLOOKUP(D41,conversiones!$A$2:$A$6,conversiones!$B$2:$B$6,0)</f>
        <v>408.44717071172079</v>
      </c>
      <c r="G41" s="14">
        <v>109.714219434524</v>
      </c>
      <c r="H41" s="14" t="s">
        <v>18</v>
      </c>
      <c r="I41" s="15">
        <f>G41/_xlfn.XLOOKUP(H41,conversiones!$A$2:$A$6,conversiones!$B$2:$B$6,0)</f>
        <v>2.4187438146940918</v>
      </c>
      <c r="J41" s="14">
        <v>1545.78</v>
      </c>
      <c r="K41" s="15">
        <f>_xlfn.XLOOKUP(C41,Ciclo!$A$2:$A$13,Ciclo!$D$2:$D$13,0)</f>
        <v>2</v>
      </c>
      <c r="L41" s="15">
        <f t="shared" si="1"/>
        <v>-557.85093221172349</v>
      </c>
      <c r="M41" s="16">
        <f t="shared" si="2"/>
        <v>-0.36088636947801339</v>
      </c>
      <c r="N41" s="17">
        <f t="shared" si="3"/>
        <v>-0.72177273895602678</v>
      </c>
    </row>
    <row r="42" spans="1:14" x14ac:dyDescent="0.35">
      <c r="A42" s="12">
        <v>2003</v>
      </c>
      <c r="B42" s="13">
        <f t="shared" si="0"/>
        <v>37986</v>
      </c>
      <c r="C42" s="14" t="s">
        <v>25</v>
      </c>
      <c r="D42" s="14" t="s">
        <v>18</v>
      </c>
      <c r="E42" s="14">
        <v>10.136639054927199</v>
      </c>
      <c r="F42" s="15">
        <f>E42*_xlfn.XLOOKUP(D42,conversiones!$A$2:$A$6,conversiones!$B$2:$B$6,0)</f>
        <v>459.79794753149775</v>
      </c>
      <c r="G42" s="14">
        <v>102.463844146825</v>
      </c>
      <c r="H42" s="14" t="s">
        <v>18</v>
      </c>
      <c r="I42" s="15">
        <f>G42/_xlfn.XLOOKUP(H42,conversiones!$A$2:$A$6,conversiones!$B$2:$B$6,0)</f>
        <v>2.2589030896566356</v>
      </c>
      <c r="J42" s="14">
        <v>1396.74</v>
      </c>
      <c r="K42" s="15">
        <f>_xlfn.XLOOKUP(C42,Ciclo!$A$2:$A$13,Ciclo!$D$2:$D$13,0)</f>
        <v>1.2</v>
      </c>
      <c r="L42" s="15">
        <f t="shared" si="1"/>
        <v>-358.10099570332022</v>
      </c>
      <c r="M42" s="16">
        <f t="shared" si="2"/>
        <v>-0.25638343263837238</v>
      </c>
      <c r="N42" s="17">
        <f t="shared" si="3"/>
        <v>-0.30766011916604685</v>
      </c>
    </row>
    <row r="43" spans="1:14" x14ac:dyDescent="0.35">
      <c r="A43" s="12">
        <v>2003</v>
      </c>
      <c r="B43" s="13">
        <f t="shared" si="0"/>
        <v>37986</v>
      </c>
      <c r="C43" s="14" t="s">
        <v>22</v>
      </c>
      <c r="D43" s="14" t="s">
        <v>18</v>
      </c>
      <c r="E43" s="14">
        <v>9.6123181360157002</v>
      </c>
      <c r="F43" s="15">
        <f>E43*_xlfn.XLOOKUP(D43,conversiones!$A$2:$A$6,conversiones!$B$2:$B$6,0)</f>
        <v>436.01475064967218</v>
      </c>
      <c r="G43" s="14">
        <v>341.84286458333298</v>
      </c>
      <c r="H43" s="14" t="s">
        <v>18</v>
      </c>
      <c r="I43" s="15">
        <f>G43/_xlfn.XLOOKUP(H43,conversiones!$A$2:$A$6,conversiones!$B$2:$B$6,0)</f>
        <v>7.5362183550117505</v>
      </c>
      <c r="J43" s="14">
        <v>3985.46</v>
      </c>
      <c r="K43" s="15">
        <f>_xlfn.XLOOKUP(C43,Ciclo!$A$2:$A$13,Ciclo!$D$2:$D$13,0)</f>
        <v>1</v>
      </c>
      <c r="L43" s="15">
        <f t="shared" si="1"/>
        <v>-699.55763309806889</v>
      </c>
      <c r="M43" s="16">
        <f t="shared" si="2"/>
        <v>-0.17552745055729299</v>
      </c>
      <c r="N43" s="17">
        <f t="shared" si="3"/>
        <v>-0.17552745055729299</v>
      </c>
    </row>
    <row r="44" spans="1:14" x14ac:dyDescent="0.35">
      <c r="A44" s="12">
        <v>2003</v>
      </c>
      <c r="B44" s="13">
        <f t="shared" si="0"/>
        <v>37986</v>
      </c>
      <c r="C44" s="14" t="s">
        <v>24</v>
      </c>
      <c r="D44" s="14" t="s">
        <v>18</v>
      </c>
      <c r="E44" s="14">
        <v>15.4505143260783</v>
      </c>
      <c r="F44" s="15">
        <f>E44*_xlfn.XLOOKUP(D44,conversiones!$A$2:$A$6,conversiones!$B$2:$B$6,0)</f>
        <v>700.83532983091175</v>
      </c>
      <c r="G44" s="14">
        <v>363.08765277777798</v>
      </c>
      <c r="H44" s="14" t="s">
        <v>18</v>
      </c>
      <c r="I44" s="15">
        <f>G44/_xlfn.XLOOKUP(H44,conversiones!$A$2:$A$6,conversiones!$B$2:$B$6,0)</f>
        <v>8.0045778831079808</v>
      </c>
      <c r="J44" s="14">
        <v>3188.34</v>
      </c>
      <c r="K44" s="15">
        <f>_xlfn.XLOOKUP(C44,Ciclo!$A$2:$A$13,Ciclo!$D$2:$D$13,0)</f>
        <v>1</v>
      </c>
      <c r="L44" s="15">
        <f t="shared" si="1"/>
        <v>2421.5509808652032</v>
      </c>
      <c r="M44" s="16">
        <f t="shared" si="2"/>
        <v>0.75950211736050832</v>
      </c>
      <c r="N44" s="17">
        <f t="shared" si="3"/>
        <v>0.75950211736050832</v>
      </c>
    </row>
    <row r="45" spans="1:14" x14ac:dyDescent="0.35">
      <c r="A45" s="12">
        <v>2003</v>
      </c>
      <c r="B45" s="13">
        <f t="shared" si="0"/>
        <v>37986</v>
      </c>
      <c r="C45" s="14" t="s">
        <v>30</v>
      </c>
      <c r="D45" s="14" t="s">
        <v>32</v>
      </c>
      <c r="E45" s="14">
        <v>81.446171100713499</v>
      </c>
      <c r="F45" s="15">
        <f>E45*_xlfn.XLOOKUP(D45,conversiones!$A$2:$A$6,conversiones!$B$2:$B$6,0)</f>
        <v>2216.1503156504145</v>
      </c>
      <c r="G45" s="14">
        <v>32.0912182539683</v>
      </c>
      <c r="H45" s="14" t="s">
        <v>32</v>
      </c>
      <c r="I45" s="15">
        <f>G45/_xlfn.XLOOKUP(H45,conversiones!$A$2:$A$6,conversiones!$B$2:$B$6,0)</f>
        <v>1.1793906010278683</v>
      </c>
      <c r="J45" s="14">
        <v>6435.96</v>
      </c>
      <c r="K45" s="15">
        <f>_xlfn.XLOOKUP(C45,Ciclo!$A$2:$A$13,Ciclo!$D$2:$D$13,0)</f>
        <v>1</v>
      </c>
      <c r="L45" s="15">
        <f t="shared" si="1"/>
        <v>-3822.2531472569576</v>
      </c>
      <c r="M45" s="16">
        <f t="shared" si="2"/>
        <v>-0.59389013406810442</v>
      </c>
      <c r="N45" s="17">
        <f t="shared" si="3"/>
        <v>-0.59389013406810442</v>
      </c>
    </row>
    <row r="46" spans="1:14" x14ac:dyDescent="0.35">
      <c r="A46" s="12">
        <v>2003</v>
      </c>
      <c r="B46" s="13">
        <f t="shared" si="0"/>
        <v>37986</v>
      </c>
      <c r="C46" s="14" t="s">
        <v>33</v>
      </c>
      <c r="D46" s="14" t="s">
        <v>34</v>
      </c>
      <c r="E46" s="14">
        <v>1.90893290785429</v>
      </c>
      <c r="F46" s="15">
        <f>E46*_xlfn.XLOOKUP(D46,conversiones!$A$2:$A$6,conversiones!$B$2:$B$6,0)</f>
        <v>779.13096634072849</v>
      </c>
      <c r="G46" s="14">
        <v>1376.2829960317499</v>
      </c>
      <c r="H46" s="14" t="s">
        <v>34</v>
      </c>
      <c r="I46" s="15">
        <f>G46/_xlfn.XLOOKUP(H46,conversiones!$A$2:$A$6,conversiones!$B$2:$B$6,0)</f>
        <v>3.3720029303730246</v>
      </c>
      <c r="J46" s="14">
        <v>8666.64</v>
      </c>
      <c r="K46" s="15">
        <f>_xlfn.XLOOKUP(C46,Ciclo!$A$2:$A$13,Ciclo!$D$2:$D$13,0)</f>
        <v>1</v>
      </c>
      <c r="L46" s="15">
        <f t="shared" si="1"/>
        <v>-6039.4080983546964</v>
      </c>
      <c r="M46" s="16">
        <f t="shared" si="2"/>
        <v>-0.6968569247545412</v>
      </c>
      <c r="N46" s="17">
        <f t="shared" si="3"/>
        <v>-0.6968569247545412</v>
      </c>
    </row>
    <row r="47" spans="1:14" x14ac:dyDescent="0.35">
      <c r="A47" s="12">
        <v>2003</v>
      </c>
      <c r="B47" s="13">
        <f t="shared" si="0"/>
        <v>37986</v>
      </c>
      <c r="C47" s="14" t="s">
        <v>28</v>
      </c>
      <c r="D47" s="14" t="s">
        <v>29</v>
      </c>
      <c r="E47" s="14">
        <v>1.9223098618480801</v>
      </c>
      <c r="F47" s="15">
        <f>E47*_xlfn.XLOOKUP(D47,conversiones!$A$2:$A$6,conversiones!$B$2:$B$6,0)</f>
        <v>1080.9917277116494</v>
      </c>
      <c r="G47" s="14">
        <v>2131.1735868254</v>
      </c>
      <c r="H47" s="14" t="s">
        <v>29</v>
      </c>
      <c r="I47" s="15">
        <f>G47/_xlfn.XLOOKUP(H47,conversiones!$A$2:$A$6,conversiones!$B$2:$B$6,0)</f>
        <v>3.7898310396297612</v>
      </c>
      <c r="J47" s="14">
        <v>7517.1463872000004</v>
      </c>
      <c r="K47" s="15">
        <f>_xlfn.XLOOKUP(C47,Ciclo!$A$2:$A$13,Ciclo!$D$2:$D$13,0)</f>
        <v>3</v>
      </c>
      <c r="L47" s="15">
        <f t="shared" si="1"/>
        <v>-3420.3703839353884</v>
      </c>
      <c r="M47" s="16">
        <f t="shared" si="2"/>
        <v>-0.45500914945058213</v>
      </c>
      <c r="N47" s="17">
        <f t="shared" si="3"/>
        <v>-1.3650274483517464</v>
      </c>
    </row>
    <row r="48" spans="1:14" x14ac:dyDescent="0.35">
      <c r="A48" s="12">
        <v>2003</v>
      </c>
      <c r="B48" s="13">
        <f t="shared" si="0"/>
        <v>37986</v>
      </c>
      <c r="C48" s="14" t="s">
        <v>26</v>
      </c>
      <c r="D48" s="14" t="s">
        <v>18</v>
      </c>
      <c r="E48" s="14">
        <v>5.9166048653274101</v>
      </c>
      <c r="F48" s="15">
        <f>E48*_xlfn.XLOOKUP(D48,conversiones!$A$2:$A$6,conversiones!$B$2:$B$6,0)</f>
        <v>268.3771966912513</v>
      </c>
      <c r="G48" s="14">
        <v>247.46</v>
      </c>
      <c r="H48" s="14" t="s">
        <v>18</v>
      </c>
      <c r="I48" s="15">
        <f>G48/_xlfn.XLOOKUP(H48,conversiones!$A$2:$A$6,conversiones!$B$2:$B$6,0)</f>
        <v>5.4554673721340388</v>
      </c>
      <c r="J48" s="14">
        <v>1217.1099999999999</v>
      </c>
      <c r="K48" s="15">
        <f>_xlfn.XLOOKUP(C48,Ciclo!$A$2:$A$13,Ciclo!$D$2:$D$13,0)</f>
        <v>3</v>
      </c>
      <c r="L48" s="15">
        <f t="shared" si="1"/>
        <v>247.01303997392097</v>
      </c>
      <c r="M48" s="16">
        <f t="shared" si="2"/>
        <v>0.20295046460379176</v>
      </c>
      <c r="N48" s="17">
        <f t="shared" si="3"/>
        <v>0.60885139381137532</v>
      </c>
    </row>
    <row r="49" spans="1:14" x14ac:dyDescent="0.35">
      <c r="A49" s="12">
        <v>2003</v>
      </c>
      <c r="B49" s="13">
        <f t="shared" si="0"/>
        <v>37986</v>
      </c>
      <c r="C49" s="14" t="s">
        <v>27</v>
      </c>
      <c r="D49" s="14" t="s">
        <v>18</v>
      </c>
      <c r="E49" s="14">
        <v>9.4173869415494096</v>
      </c>
      <c r="F49" s="15">
        <f>E49*_xlfn.XLOOKUP(D49,conversiones!$A$2:$A$6,conversiones!$B$2:$B$6,0)</f>
        <v>427.17267166868123</v>
      </c>
      <c r="G49" s="14">
        <v>263.374045634921</v>
      </c>
      <c r="H49" s="14" t="s">
        <v>18</v>
      </c>
      <c r="I49" s="15">
        <f>G49/_xlfn.XLOOKUP(H49,conversiones!$A$2:$A$6,conversiones!$B$2:$B$6,0)</f>
        <v>5.8063061206993165</v>
      </c>
      <c r="J49" s="14">
        <v>3938.29</v>
      </c>
      <c r="K49" s="15">
        <f>_xlfn.XLOOKUP(C49,Ciclo!$A$2:$A$13,Ciclo!$D$2:$D$13,0)</f>
        <v>2.4</v>
      </c>
      <c r="L49" s="15">
        <f t="shared" si="1"/>
        <v>-1457.9947018946568</v>
      </c>
      <c r="M49" s="16">
        <f t="shared" si="2"/>
        <v>-0.37021009166279195</v>
      </c>
      <c r="N49" s="17">
        <f t="shared" si="3"/>
        <v>-0.88850421999070062</v>
      </c>
    </row>
    <row r="50" spans="1:14" x14ac:dyDescent="0.35">
      <c r="A50" s="12">
        <v>2004</v>
      </c>
      <c r="B50" s="13">
        <f t="shared" si="0"/>
        <v>38352</v>
      </c>
      <c r="C50" s="14" t="s">
        <v>16</v>
      </c>
      <c r="D50" s="14" t="s">
        <v>18</v>
      </c>
      <c r="E50" s="14">
        <v>3.87959372235879</v>
      </c>
      <c r="F50" s="15">
        <f>E50*_xlfn.XLOOKUP(D50,conversiones!$A$2:$A$6,conversiones!$B$2:$B$6,0)</f>
        <v>175.97837124619471</v>
      </c>
      <c r="G50" s="14">
        <v>1097.4265277777799</v>
      </c>
      <c r="H50" s="14" t="s">
        <v>19</v>
      </c>
      <c r="I50" s="15">
        <f>G50/_xlfn.XLOOKUP(H50,conversiones!$A$2:$A$6,conversiones!$B$2:$B$6,0)</f>
        <v>9.9766047979798174</v>
      </c>
      <c r="J50" s="14">
        <v>4376.41</v>
      </c>
      <c r="K50" s="15">
        <f>_xlfn.XLOOKUP(C50,Ciclo!$A$2:$A$13,Ciclo!$D$2:$D$13,0)</f>
        <v>2.4</v>
      </c>
      <c r="L50" s="15">
        <f t="shared" si="1"/>
        <v>-2620.7433370845401</v>
      </c>
      <c r="M50" s="16">
        <f t="shared" si="2"/>
        <v>-0.59883405281601587</v>
      </c>
      <c r="N50" s="17">
        <f t="shared" si="3"/>
        <v>-1.437201726758438</v>
      </c>
    </row>
    <row r="51" spans="1:14" x14ac:dyDescent="0.35">
      <c r="A51" s="12">
        <v>2004</v>
      </c>
      <c r="B51" s="13">
        <f t="shared" si="0"/>
        <v>38352</v>
      </c>
      <c r="C51" s="14" t="s">
        <v>20</v>
      </c>
      <c r="D51" s="14" t="s">
        <v>18</v>
      </c>
      <c r="E51" s="14">
        <v>2.0692226699888199</v>
      </c>
      <c r="F51" s="15">
        <f>E51*_xlfn.XLOOKUP(D51,conversiones!$A$2:$A$6,conversiones!$B$2:$B$6,0)</f>
        <v>93.859940310692863</v>
      </c>
      <c r="G51" s="14">
        <v>394.344316666667</v>
      </c>
      <c r="H51" s="14" t="s">
        <v>18</v>
      </c>
      <c r="I51" s="15">
        <f>G51/_xlfn.XLOOKUP(H51,conversiones!$A$2:$A$6,conversiones!$B$2:$B$6,0)</f>
        <v>8.6936577748383375</v>
      </c>
      <c r="J51" s="14">
        <v>1100.6600000000001</v>
      </c>
      <c r="K51" s="15">
        <f>_xlfn.XLOOKUP(C51,Ciclo!$A$2:$A$13,Ciclo!$D$2:$D$13,0)</f>
        <v>3</v>
      </c>
      <c r="L51" s="15">
        <f t="shared" si="1"/>
        <v>-284.67380017208279</v>
      </c>
      <c r="M51" s="16">
        <f t="shared" si="2"/>
        <v>-0.25863918028463173</v>
      </c>
      <c r="N51" s="17">
        <f t="shared" si="3"/>
        <v>-0.77591754085389519</v>
      </c>
    </row>
    <row r="52" spans="1:14" x14ac:dyDescent="0.35">
      <c r="A52" s="12">
        <v>2004</v>
      </c>
      <c r="B52" s="13">
        <f t="shared" si="0"/>
        <v>38352</v>
      </c>
      <c r="C52" s="14" t="s">
        <v>23</v>
      </c>
      <c r="D52" s="14" t="s">
        <v>18</v>
      </c>
      <c r="E52" s="14">
        <v>24.9046537328094</v>
      </c>
      <c r="F52" s="15">
        <f>E52*_xlfn.XLOOKUP(D52,conversiones!$A$2:$A$6,conversiones!$B$2:$B$6,0)</f>
        <v>1129.6750933202343</v>
      </c>
      <c r="G52" s="14">
        <v>584.11458333333303</v>
      </c>
      <c r="H52" s="14" t="s">
        <v>18</v>
      </c>
      <c r="I52" s="15">
        <f>G52/_xlfn.XLOOKUP(H52,conversiones!$A$2:$A$6,conversiones!$B$2:$B$6,0)</f>
        <v>12.877305629041734</v>
      </c>
      <c r="J52" s="14">
        <v>9274.52</v>
      </c>
      <c r="K52" s="15">
        <f>_xlfn.XLOOKUP(C52,Ciclo!$A$2:$A$13,Ciclo!$D$2:$D$13,0)</f>
        <v>4</v>
      </c>
      <c r="L52" s="15">
        <f t="shared" si="1"/>
        <v>5272.6514382008991</v>
      </c>
      <c r="M52" s="16">
        <f t="shared" si="2"/>
        <v>0.56850936093737447</v>
      </c>
      <c r="N52" s="17">
        <f t="shared" si="3"/>
        <v>2.2740374437494979</v>
      </c>
    </row>
    <row r="53" spans="1:14" x14ac:dyDescent="0.35">
      <c r="A53" s="12">
        <v>2004</v>
      </c>
      <c r="B53" s="13">
        <f t="shared" si="0"/>
        <v>38352</v>
      </c>
      <c r="C53" s="14" t="s">
        <v>21</v>
      </c>
      <c r="D53" s="14" t="s">
        <v>18</v>
      </c>
      <c r="E53" s="14">
        <v>8.8938663393822495</v>
      </c>
      <c r="F53" s="15">
        <f>E53*_xlfn.XLOOKUP(D53,conversiones!$A$2:$A$6,conversiones!$B$2:$B$6,0)</f>
        <v>403.42577715437881</v>
      </c>
      <c r="G53" s="14">
        <v>305.803256944444</v>
      </c>
      <c r="H53" s="14" t="s">
        <v>18</v>
      </c>
      <c r="I53" s="15">
        <f>G53/_xlfn.XLOOKUP(H53,conversiones!$A$2:$A$6,conversiones!$B$2:$B$6,0)</f>
        <v>6.7416943770820987</v>
      </c>
      <c r="J53" s="14">
        <v>3591.85</v>
      </c>
      <c r="K53" s="15">
        <f>_xlfn.XLOOKUP(C53,Ciclo!$A$2:$A$13,Ciclo!$D$2:$D$13,0)</f>
        <v>2</v>
      </c>
      <c r="L53" s="15">
        <f t="shared" si="1"/>
        <v>-872.07670658834832</v>
      </c>
      <c r="M53" s="16">
        <f t="shared" si="2"/>
        <v>-0.24279318640487446</v>
      </c>
      <c r="N53" s="17">
        <f t="shared" si="3"/>
        <v>-0.48558637280974892</v>
      </c>
    </row>
    <row r="54" spans="1:14" x14ac:dyDescent="0.35">
      <c r="A54" s="12">
        <v>2004</v>
      </c>
      <c r="B54" s="13">
        <f t="shared" si="0"/>
        <v>38352</v>
      </c>
      <c r="C54" s="14" t="s">
        <v>25</v>
      </c>
      <c r="D54" s="14" t="s">
        <v>18</v>
      </c>
      <c r="E54" s="14">
        <v>9.0825656337617904</v>
      </c>
      <c r="F54" s="15">
        <f>E54*_xlfn.XLOOKUP(D54,conversiones!$A$2:$A$6,conversiones!$B$2:$B$6,0)</f>
        <v>411.9851771474348</v>
      </c>
      <c r="G54" s="14">
        <v>490.194916574074</v>
      </c>
      <c r="H54" s="14" t="s">
        <v>18</v>
      </c>
      <c r="I54" s="15">
        <f>G54/_xlfn.XLOOKUP(H54,conversiones!$A$2:$A$6,conversiones!$B$2:$B$6,0)</f>
        <v>10.806766238405512</v>
      </c>
      <c r="J54" s="14">
        <v>1852.92</v>
      </c>
      <c r="K54" s="15">
        <f>_xlfn.XLOOKUP(C54,Ciclo!$A$2:$A$13,Ciclo!$D$2:$D$13,0)</f>
        <v>1.2</v>
      </c>
      <c r="L54" s="15">
        <f t="shared" si="1"/>
        <v>2599.3075031204125</v>
      </c>
      <c r="M54" s="16">
        <f t="shared" si="2"/>
        <v>1.4028169068931267</v>
      </c>
      <c r="N54" s="17">
        <f t="shared" si="3"/>
        <v>1.6833802882717519</v>
      </c>
    </row>
    <row r="55" spans="1:14" x14ac:dyDescent="0.35">
      <c r="A55" s="12">
        <v>2004</v>
      </c>
      <c r="B55" s="13">
        <f t="shared" si="0"/>
        <v>38352</v>
      </c>
      <c r="C55" s="14" t="s">
        <v>22</v>
      </c>
      <c r="D55" s="14" t="s">
        <v>18</v>
      </c>
      <c r="E55" s="14">
        <v>8.9556057933570195</v>
      </c>
      <c r="F55" s="15">
        <f>E55*_xlfn.XLOOKUP(D55,conversiones!$A$2:$A$6,conversiones!$B$2:$B$6,0)</f>
        <v>406.22627878667441</v>
      </c>
      <c r="G55" s="14">
        <v>632.25916666666706</v>
      </c>
      <c r="H55" s="14" t="s">
        <v>18</v>
      </c>
      <c r="I55" s="15">
        <f>G55/_xlfn.XLOOKUP(H55,conversiones!$A$2:$A$6,conversiones!$B$2:$B$6,0)</f>
        <v>13.938694150499714</v>
      </c>
      <c r="J55" s="14">
        <v>3985.16</v>
      </c>
      <c r="K55" s="15">
        <f>_xlfn.XLOOKUP(C55,Ciclo!$A$2:$A$13,Ciclo!$D$2:$D$13,0)</f>
        <v>1</v>
      </c>
      <c r="L55" s="15">
        <f t="shared" si="1"/>
        <v>1677.1038559030849</v>
      </c>
      <c r="M55" s="16">
        <f t="shared" si="2"/>
        <v>0.42083727024839279</v>
      </c>
      <c r="N55" s="17">
        <f t="shared" si="3"/>
        <v>0.42083727024839279</v>
      </c>
    </row>
    <row r="56" spans="1:14" x14ac:dyDescent="0.35">
      <c r="A56" s="12">
        <v>2004</v>
      </c>
      <c r="B56" s="13">
        <f t="shared" si="0"/>
        <v>38352</v>
      </c>
      <c r="C56" s="14" t="s">
        <v>24</v>
      </c>
      <c r="D56" s="14" t="s">
        <v>18</v>
      </c>
      <c r="E56" s="14">
        <v>18.1437833986462</v>
      </c>
      <c r="F56" s="15">
        <f>E56*_xlfn.XLOOKUP(D56,conversiones!$A$2:$A$6,conversiones!$B$2:$B$6,0)</f>
        <v>823.0020149625916</v>
      </c>
      <c r="G56" s="14">
        <v>927.12934027777806</v>
      </c>
      <c r="H56" s="14" t="s">
        <v>18</v>
      </c>
      <c r="I56" s="15">
        <f>G56/_xlfn.XLOOKUP(H56,conversiones!$A$2:$A$6,conversiones!$B$2:$B$6,0)</f>
        <v>20.439359353566537</v>
      </c>
      <c r="J56" s="14">
        <v>2563.46</v>
      </c>
      <c r="K56" s="15">
        <f>_xlfn.XLOOKUP(C56,Ciclo!$A$2:$A$13,Ciclo!$D$2:$D$13,0)</f>
        <v>1</v>
      </c>
      <c r="L56" s="15">
        <f t="shared" si="1"/>
        <v>14258.173932529757</v>
      </c>
      <c r="M56" s="16">
        <f t="shared" si="2"/>
        <v>5.5620816913584594</v>
      </c>
      <c r="N56" s="17">
        <f t="shared" si="3"/>
        <v>5.5620816913584594</v>
      </c>
    </row>
    <row r="57" spans="1:14" x14ac:dyDescent="0.35">
      <c r="A57" s="12">
        <v>2004</v>
      </c>
      <c r="B57" s="13">
        <f t="shared" si="0"/>
        <v>38352</v>
      </c>
      <c r="C57" s="14" t="s">
        <v>30</v>
      </c>
      <c r="D57" s="14" t="s">
        <v>32</v>
      </c>
      <c r="E57" s="14">
        <v>80.257807105363099</v>
      </c>
      <c r="F57" s="15">
        <f>E57*_xlfn.XLOOKUP(D57,conversiones!$A$2:$A$6,conversiones!$B$2:$B$6,0)</f>
        <v>2183.8149313369299</v>
      </c>
      <c r="G57" s="14">
        <v>78.239999999999995</v>
      </c>
      <c r="H57" s="14" t="s">
        <v>32</v>
      </c>
      <c r="I57" s="15">
        <f>G57/_xlfn.XLOOKUP(H57,conversiones!$A$2:$A$6,conversiones!$B$2:$B$6,0)</f>
        <v>2.8754134509371552</v>
      </c>
      <c r="J57" s="14">
        <v>6693.79</v>
      </c>
      <c r="K57" s="15">
        <f>_xlfn.XLOOKUP(C57,Ciclo!$A$2:$A$13,Ciclo!$D$2:$D$13,0)</f>
        <v>1</v>
      </c>
      <c r="L57" s="15">
        <f t="shared" si="1"/>
        <v>-414.41917207639199</v>
      </c>
      <c r="M57" s="16">
        <f t="shared" si="2"/>
        <v>-6.1910990944799883E-2</v>
      </c>
      <c r="N57" s="17">
        <f t="shared" si="3"/>
        <v>-6.1910990944799883E-2</v>
      </c>
    </row>
    <row r="58" spans="1:14" x14ac:dyDescent="0.35">
      <c r="A58" s="12">
        <v>2004</v>
      </c>
      <c r="B58" s="13">
        <f t="shared" si="0"/>
        <v>38352</v>
      </c>
      <c r="C58" s="14" t="s">
        <v>33</v>
      </c>
      <c r="D58" s="14" t="s">
        <v>34</v>
      </c>
      <c r="E58" s="14">
        <v>2.0192439058164502</v>
      </c>
      <c r="F58" s="15">
        <f>E58*_xlfn.XLOOKUP(D58,conversiones!$A$2:$A$6,conversiones!$B$2:$B$6,0)</f>
        <v>824.15440015898412</v>
      </c>
      <c r="G58" s="14">
        <v>2519.0500000000002</v>
      </c>
      <c r="H58" s="14" t="s">
        <v>34</v>
      </c>
      <c r="I58" s="15">
        <f>G58/_xlfn.XLOOKUP(H58,conversiones!$A$2:$A$6,conversiones!$B$2:$B$6,0)</f>
        <v>6.1718730858752915</v>
      </c>
      <c r="J58" s="14">
        <v>8906.2800000000007</v>
      </c>
      <c r="K58" s="15">
        <f>_xlfn.XLOOKUP(C58,Ciclo!$A$2:$A$13,Ciclo!$D$2:$D$13,0)</f>
        <v>1</v>
      </c>
      <c r="L58" s="15">
        <f t="shared" si="1"/>
        <v>-3819.7036390530711</v>
      </c>
      <c r="M58" s="16">
        <f t="shared" si="2"/>
        <v>-0.42887756044645697</v>
      </c>
      <c r="N58" s="17">
        <f t="shared" si="3"/>
        <v>-0.42887756044645697</v>
      </c>
    </row>
    <row r="59" spans="1:14" x14ac:dyDescent="0.35">
      <c r="A59" s="12">
        <v>2004</v>
      </c>
      <c r="B59" s="13">
        <f t="shared" si="0"/>
        <v>38352</v>
      </c>
      <c r="C59" s="14" t="s">
        <v>28</v>
      </c>
      <c r="D59" s="14" t="s">
        <v>29</v>
      </c>
      <c r="E59" s="14">
        <v>1.4834351665347301</v>
      </c>
      <c r="F59" s="15">
        <f>E59*_xlfn.XLOOKUP(D59,conversiones!$A$2:$A$6,conversiones!$B$2:$B$6,0)</f>
        <v>834.19493154914016</v>
      </c>
      <c r="G59" s="14">
        <v>3223.7152777777801</v>
      </c>
      <c r="H59" s="14" t="s">
        <v>29</v>
      </c>
      <c r="I59" s="15">
        <f>G59/_xlfn.XLOOKUP(H59,conversiones!$A$2:$A$6,conversiones!$B$2:$B$6,0)</f>
        <v>5.7326800116971581</v>
      </c>
      <c r="J59" s="14">
        <v>7896.8729194799998</v>
      </c>
      <c r="K59" s="15">
        <f>_xlfn.XLOOKUP(C59,Ciclo!$A$2:$A$13,Ciclo!$D$2:$D$13,0)</f>
        <v>3</v>
      </c>
      <c r="L59" s="15">
        <f t="shared" si="1"/>
        <v>-3114.7003095291648</v>
      </c>
      <c r="M59" s="16">
        <f t="shared" si="2"/>
        <v>-0.39442198719518767</v>
      </c>
      <c r="N59" s="17">
        <f t="shared" si="3"/>
        <v>-1.183265961585563</v>
      </c>
    </row>
    <row r="60" spans="1:14" x14ac:dyDescent="0.35">
      <c r="A60" s="12">
        <v>2004</v>
      </c>
      <c r="B60" s="13">
        <f t="shared" si="0"/>
        <v>38352</v>
      </c>
      <c r="C60" s="14" t="s">
        <v>26</v>
      </c>
      <c r="D60" s="14" t="s">
        <v>18</v>
      </c>
      <c r="E60" s="14">
        <v>6.8042780546745201</v>
      </c>
      <c r="F60" s="15">
        <f>E60*_xlfn.XLOOKUP(D60,conversiones!$A$2:$A$6,conversiones!$B$2:$B$6,0)</f>
        <v>308.64205256003623</v>
      </c>
      <c r="G60" s="14">
        <v>440.77</v>
      </c>
      <c r="H60" s="14" t="s">
        <v>18</v>
      </c>
      <c r="I60" s="15">
        <f>G60/_xlfn.XLOOKUP(H60,conversiones!$A$2:$A$6,conversiones!$B$2:$B$6,0)</f>
        <v>9.7171516754850078</v>
      </c>
      <c r="J60" s="14">
        <v>1244.4000000000001</v>
      </c>
      <c r="K60" s="15">
        <f>_xlfn.XLOOKUP(C60,Ciclo!$A$2:$A$13,Ciclo!$D$2:$D$13,0)</f>
        <v>3</v>
      </c>
      <c r="L60" s="15">
        <f t="shared" si="1"/>
        <v>1754.7216381588878</v>
      </c>
      <c r="M60" s="16">
        <f t="shared" si="2"/>
        <v>1.4100945340396076</v>
      </c>
      <c r="N60" s="17">
        <f t="shared" si="3"/>
        <v>4.2302836021188224</v>
      </c>
    </row>
    <row r="61" spans="1:14" x14ac:dyDescent="0.35">
      <c r="A61" s="12">
        <v>2004</v>
      </c>
      <c r="B61" s="13">
        <f t="shared" si="0"/>
        <v>38352</v>
      </c>
      <c r="C61" s="14" t="s">
        <v>27</v>
      </c>
      <c r="D61" s="14" t="s">
        <v>18</v>
      </c>
      <c r="E61" s="14">
        <v>8.4197757670449693</v>
      </c>
      <c r="F61" s="15">
        <f>E61*_xlfn.XLOOKUP(D61,conversiones!$A$2:$A$6,conversiones!$B$2:$B$6,0)</f>
        <v>381.92102879315979</v>
      </c>
      <c r="G61" s="14">
        <v>381.37</v>
      </c>
      <c r="H61" s="14" t="s">
        <v>18</v>
      </c>
      <c r="I61" s="15">
        <f>G61/_xlfn.XLOOKUP(H61,conversiones!$A$2:$A$6,conversiones!$B$2:$B$6,0)</f>
        <v>8.4076278659611994</v>
      </c>
      <c r="J61" s="14">
        <v>4235.82</v>
      </c>
      <c r="K61" s="15">
        <f>_xlfn.XLOOKUP(C61,Ciclo!$A$2:$A$13,Ciclo!$D$2:$D$13,0)</f>
        <v>2.4</v>
      </c>
      <c r="L61" s="15">
        <f t="shared" si="1"/>
        <v>-1024.7701157220599</v>
      </c>
      <c r="M61" s="16">
        <f t="shared" si="2"/>
        <v>-0.24192957106818985</v>
      </c>
      <c r="N61" s="17">
        <f t="shared" si="3"/>
        <v>-0.58063097056365565</v>
      </c>
    </row>
    <row r="62" spans="1:14" x14ac:dyDescent="0.35">
      <c r="A62" s="12">
        <v>2005</v>
      </c>
      <c r="B62" s="13">
        <f t="shared" si="0"/>
        <v>38717</v>
      </c>
      <c r="C62" s="14" t="s">
        <v>16</v>
      </c>
      <c r="D62" s="14" t="s">
        <v>18</v>
      </c>
      <c r="E62" s="14">
        <v>3.7894884022256599</v>
      </c>
      <c r="F62" s="15">
        <f>E62*_xlfn.XLOOKUP(D62,conversiones!$A$2:$A$6,conversiones!$B$2:$B$6,0)</f>
        <v>171.89119392495593</v>
      </c>
      <c r="G62" s="14">
        <v>1040.53</v>
      </c>
      <c r="H62" s="14" t="s">
        <v>19</v>
      </c>
      <c r="I62" s="15">
        <f>G62/_xlfn.XLOOKUP(H62,conversiones!$A$2:$A$6,conversiones!$B$2:$B$6,0)</f>
        <v>9.4593636363636353</v>
      </c>
      <c r="J62" s="14">
        <v>4807.32</v>
      </c>
      <c r="K62" s="15">
        <f>_xlfn.XLOOKUP(C62,Ciclo!$A$2:$A$13,Ciclo!$D$2:$D$13,0)</f>
        <v>2.4</v>
      </c>
      <c r="L62" s="15">
        <f t="shared" si="1"/>
        <v>-3181.3386907751419</v>
      </c>
      <c r="M62" s="16">
        <f t="shared" si="2"/>
        <v>-0.66176969512642014</v>
      </c>
      <c r="N62" s="17">
        <f t="shared" si="3"/>
        <v>-1.5882472683034083</v>
      </c>
    </row>
    <row r="63" spans="1:14" x14ac:dyDescent="0.35">
      <c r="A63" s="12">
        <v>2005</v>
      </c>
      <c r="B63" s="13">
        <f t="shared" si="0"/>
        <v>38717</v>
      </c>
      <c r="C63" s="14" t="s">
        <v>20</v>
      </c>
      <c r="D63" s="14" t="s">
        <v>18</v>
      </c>
      <c r="E63" s="14">
        <v>1.9696955070394599</v>
      </c>
      <c r="F63" s="15">
        <f>E63*_xlfn.XLOOKUP(D63,conversiones!$A$2:$A$6,conversiones!$B$2:$B$6,0)</f>
        <v>89.345388199309909</v>
      </c>
      <c r="G63" s="14">
        <v>349.15601207010599</v>
      </c>
      <c r="H63" s="14" t="s">
        <v>18</v>
      </c>
      <c r="I63" s="15">
        <f>G63/_xlfn.XLOOKUP(H63,conversiones!$A$2:$A$6,conversiones!$B$2:$B$6,0)</f>
        <v>7.6974429468718251</v>
      </c>
      <c r="J63" s="14">
        <v>1327.7</v>
      </c>
      <c r="K63" s="15">
        <f>_xlfn.XLOOKUP(C63,Ciclo!$A$2:$A$13,Ciclo!$D$2:$D$13,0)</f>
        <v>3</v>
      </c>
      <c r="L63" s="15">
        <f t="shared" si="1"/>
        <v>-639.96897176969685</v>
      </c>
      <c r="M63" s="16">
        <f t="shared" si="2"/>
        <v>-0.48201323474406632</v>
      </c>
      <c r="N63" s="17">
        <f t="shared" si="3"/>
        <v>-1.4460397042321991</v>
      </c>
    </row>
    <row r="64" spans="1:14" x14ac:dyDescent="0.35">
      <c r="A64" s="12">
        <v>2005</v>
      </c>
      <c r="B64" s="13">
        <f t="shared" si="0"/>
        <v>38717</v>
      </c>
      <c r="C64" s="14" t="s">
        <v>23</v>
      </c>
      <c r="D64" s="14" t="s">
        <v>18</v>
      </c>
      <c r="E64" s="14">
        <v>30.609309791332301</v>
      </c>
      <c r="F64" s="15">
        <f>E64*_xlfn.XLOOKUP(D64,conversiones!$A$2:$A$6,conversiones!$B$2:$B$6,0)</f>
        <v>1388.4382921348331</v>
      </c>
      <c r="G64" s="14">
        <v>607.59427430555604</v>
      </c>
      <c r="H64" s="14" t="s">
        <v>18</v>
      </c>
      <c r="I64" s="15">
        <f>G64/_xlfn.XLOOKUP(H64,conversiones!$A$2:$A$6,conversiones!$B$2:$B$6,0)</f>
        <v>13.394935500563404</v>
      </c>
      <c r="J64" s="14">
        <v>10163.530000000001</v>
      </c>
      <c r="K64" s="15">
        <f>_xlfn.XLOOKUP(C64,Ciclo!$A$2:$A$13,Ciclo!$D$2:$D$13,0)</f>
        <v>4</v>
      </c>
      <c r="L64" s="15">
        <f t="shared" si="1"/>
        <v>8434.5113696584976</v>
      </c>
      <c r="M64" s="16">
        <f t="shared" si="2"/>
        <v>0.82988010756680963</v>
      </c>
      <c r="N64" s="17">
        <f t="shared" si="3"/>
        <v>3.3195204302672385</v>
      </c>
    </row>
    <row r="65" spans="1:14" x14ac:dyDescent="0.35">
      <c r="A65" s="12">
        <v>2005</v>
      </c>
      <c r="B65" s="13">
        <f t="shared" si="0"/>
        <v>38717</v>
      </c>
      <c r="C65" s="14" t="s">
        <v>21</v>
      </c>
      <c r="D65" s="14" t="s">
        <v>18</v>
      </c>
      <c r="E65" s="14">
        <v>8.6433978132884803</v>
      </c>
      <c r="F65" s="15">
        <f>E65*_xlfn.XLOOKUP(D65,conversiones!$A$2:$A$6,conversiones!$B$2:$B$6,0)</f>
        <v>392.06452481076548</v>
      </c>
      <c r="G65" s="14">
        <v>332.51862499999999</v>
      </c>
      <c r="H65" s="14" t="s">
        <v>18</v>
      </c>
      <c r="I65" s="15">
        <f>G65/_xlfn.XLOOKUP(H65,conversiones!$A$2:$A$6,conversiones!$B$2:$B$6,0)</f>
        <v>7.3306575176366842</v>
      </c>
      <c r="J65" s="14">
        <v>2092.86</v>
      </c>
      <c r="K65" s="15">
        <f>_xlfn.XLOOKUP(C65,Ciclo!$A$2:$A$13,Ciclo!$D$2:$D$13,0)</f>
        <v>2</v>
      </c>
      <c r="L65" s="15">
        <f t="shared" si="1"/>
        <v>781.23075620269219</v>
      </c>
      <c r="M65" s="16">
        <f t="shared" si="2"/>
        <v>0.37328381076741501</v>
      </c>
      <c r="N65" s="17">
        <f t="shared" si="3"/>
        <v>0.74656762153483003</v>
      </c>
    </row>
    <row r="66" spans="1:14" x14ac:dyDescent="0.35">
      <c r="A66" s="12">
        <v>2005</v>
      </c>
      <c r="B66" s="13">
        <f t="shared" ref="B66:B129" si="4">DATE(A66,12,31)</f>
        <v>38717</v>
      </c>
      <c r="C66" s="14" t="s">
        <v>25</v>
      </c>
      <c r="D66" s="14" t="s">
        <v>18</v>
      </c>
      <c r="E66" s="14">
        <v>9.2285059488564496</v>
      </c>
      <c r="F66" s="15">
        <f>E66*_xlfn.XLOOKUP(D66,conversiones!$A$2:$A$6,conversiones!$B$2:$B$6,0)</f>
        <v>418.60502984012857</v>
      </c>
      <c r="G66" s="14">
        <v>494.74740525793601</v>
      </c>
      <c r="H66" s="14" t="s">
        <v>18</v>
      </c>
      <c r="I66" s="15">
        <f>G66/_xlfn.XLOOKUP(H66,conversiones!$A$2:$A$6,conversiones!$B$2:$B$6,0)</f>
        <v>10.907129745545326</v>
      </c>
      <c r="J66" s="14">
        <v>2314.2150000000001</v>
      </c>
      <c r="K66" s="15">
        <f>_xlfn.XLOOKUP(C66,Ciclo!$A$2:$A$13,Ciclo!$D$2:$D$13,0)</f>
        <v>1.2</v>
      </c>
      <c r="L66" s="15">
        <f t="shared" ref="L66:L129" si="5">F66*I66-J66</f>
        <v>2251.5643726041553</v>
      </c>
      <c r="M66" s="16">
        <f t="shared" ref="M66:M129" si="6">IF(J66=0,0,L66/J66)</f>
        <v>0.9729279140460827</v>
      </c>
      <c r="N66" s="17">
        <f t="shared" ref="N66:N129" si="7">M66*K66</f>
        <v>1.1675134968552991</v>
      </c>
    </row>
    <row r="67" spans="1:14" x14ac:dyDescent="0.35">
      <c r="A67" s="12">
        <v>2005</v>
      </c>
      <c r="B67" s="13">
        <f t="shared" si="4"/>
        <v>38717</v>
      </c>
      <c r="C67" s="14" t="s">
        <v>22</v>
      </c>
      <c r="D67" s="14" t="s">
        <v>18</v>
      </c>
      <c r="E67" s="14">
        <v>7.8113116227615302</v>
      </c>
      <c r="F67" s="15">
        <f>E67*_xlfn.XLOOKUP(D67,conversiones!$A$2:$A$6,conversiones!$B$2:$B$6,0)</f>
        <v>354.32109520846302</v>
      </c>
      <c r="G67" s="14">
        <v>986.90534722222196</v>
      </c>
      <c r="H67" s="14" t="s">
        <v>18</v>
      </c>
      <c r="I67" s="15">
        <f>G67/_xlfn.XLOOKUP(H67,conversiones!$A$2:$A$6,conversiones!$B$2:$B$6,0)</f>
        <v>21.757172557809128</v>
      </c>
      <c r="J67" s="14">
        <v>5853.83</v>
      </c>
      <c r="K67" s="15">
        <f>_xlfn.XLOOKUP(C67,Ciclo!$A$2:$A$13,Ciclo!$D$2:$D$13,0)</f>
        <v>1</v>
      </c>
      <c r="L67" s="15">
        <f t="shared" si="5"/>
        <v>1855.1952093224472</v>
      </c>
      <c r="M67" s="16">
        <f t="shared" si="6"/>
        <v>0.3169198984805584</v>
      </c>
      <c r="N67" s="17">
        <f t="shared" si="7"/>
        <v>0.3169198984805584</v>
      </c>
    </row>
    <row r="68" spans="1:14" x14ac:dyDescent="0.35">
      <c r="A68" s="12">
        <v>2005</v>
      </c>
      <c r="B68" s="13">
        <f t="shared" si="4"/>
        <v>38717</v>
      </c>
      <c r="C68" s="14" t="s">
        <v>24</v>
      </c>
      <c r="D68" s="14" t="s">
        <v>18</v>
      </c>
      <c r="E68" s="14">
        <v>8.9149099984070492</v>
      </c>
      <c r="F68" s="15">
        <f>E68*_xlfn.XLOOKUP(D68,conversiones!$A$2:$A$6,conversiones!$B$2:$B$6,0)</f>
        <v>404.38031752774373</v>
      </c>
      <c r="G68" s="14">
        <v>1043.6854166666701</v>
      </c>
      <c r="H68" s="14" t="s">
        <v>18</v>
      </c>
      <c r="I68" s="15">
        <f>G68/_xlfn.XLOOKUP(H68,conversiones!$A$2:$A$6,conversiones!$B$2:$B$6,0)</f>
        <v>23.008937757201721</v>
      </c>
      <c r="J68" s="14">
        <v>4680.83</v>
      </c>
      <c r="K68" s="15">
        <f>_xlfn.XLOOKUP(C68,Ciclo!$A$2:$A$13,Ciclo!$D$2:$D$13,0)</f>
        <v>1</v>
      </c>
      <c r="L68" s="15">
        <f t="shared" si="5"/>
        <v>4623.5315562333235</v>
      </c>
      <c r="M68" s="16">
        <f t="shared" si="6"/>
        <v>0.98775891374677649</v>
      </c>
      <c r="N68" s="17">
        <f t="shared" si="7"/>
        <v>0.98775891374677649</v>
      </c>
    </row>
    <row r="69" spans="1:14" x14ac:dyDescent="0.35">
      <c r="A69" s="12">
        <v>2005</v>
      </c>
      <c r="B69" s="13">
        <f t="shared" si="4"/>
        <v>38717</v>
      </c>
      <c r="C69" s="14" t="s">
        <v>30</v>
      </c>
      <c r="D69" s="14" t="s">
        <v>32</v>
      </c>
      <c r="E69" s="14">
        <v>78.658912002692801</v>
      </c>
      <c r="F69" s="15">
        <f>E69*_xlfn.XLOOKUP(D69,conversiones!$A$2:$A$6,conversiones!$B$2:$B$6,0)</f>
        <v>2140.308995593271</v>
      </c>
      <c r="G69" s="14">
        <v>64.67</v>
      </c>
      <c r="H69" s="14" t="s">
        <v>32</v>
      </c>
      <c r="I69" s="15">
        <f>G69/_xlfn.XLOOKUP(H69,conversiones!$A$2:$A$6,conversiones!$B$2:$B$6,0)</f>
        <v>2.3766997427416392</v>
      </c>
      <c r="J69" s="14">
        <v>7918.62</v>
      </c>
      <c r="K69" s="15">
        <f>_xlfn.XLOOKUP(C69,Ciclo!$A$2:$A$13,Ciclo!$D$2:$D$13,0)</f>
        <v>1</v>
      </c>
      <c r="L69" s="15">
        <f t="shared" si="5"/>
        <v>-2831.7481607858563</v>
      </c>
      <c r="M69" s="16">
        <f t="shared" si="6"/>
        <v>-0.3576062698785718</v>
      </c>
      <c r="N69" s="17">
        <f t="shared" si="7"/>
        <v>-0.3576062698785718</v>
      </c>
    </row>
    <row r="70" spans="1:14" x14ac:dyDescent="0.35">
      <c r="A70" s="12">
        <v>2005</v>
      </c>
      <c r="B70" s="13">
        <f t="shared" si="4"/>
        <v>38717</v>
      </c>
      <c r="C70" s="14" t="s">
        <v>33</v>
      </c>
      <c r="D70" s="14" t="s">
        <v>34</v>
      </c>
      <c r="E70" s="14">
        <v>2.4473286359958202</v>
      </c>
      <c r="F70" s="15">
        <f>E70*_xlfn.XLOOKUP(D70,conversiones!$A$2:$A$6,conversiones!$B$2:$B$6,0)</f>
        <v>998.87718278169393</v>
      </c>
      <c r="G70" s="14">
        <v>2614.64</v>
      </c>
      <c r="H70" s="14" t="s">
        <v>34</v>
      </c>
      <c r="I70" s="15">
        <f>G70/_xlfn.XLOOKUP(H70,conversiones!$A$2:$A$6,conversiones!$B$2:$B$6,0)</f>
        <v>6.406076197476418</v>
      </c>
      <c r="J70" s="14">
        <v>9928.24</v>
      </c>
      <c r="K70" s="15">
        <f>_xlfn.XLOOKUP(C70,Ciclo!$A$2:$A$13,Ciclo!$D$2:$D$13,0)</f>
        <v>1</v>
      </c>
      <c r="L70" s="15">
        <f t="shared" si="5"/>
        <v>-3529.3566551798885</v>
      </c>
      <c r="M70" s="16">
        <f t="shared" si="6"/>
        <v>-0.35548663762961902</v>
      </c>
      <c r="N70" s="17">
        <f t="shared" si="7"/>
        <v>-0.35548663762961902</v>
      </c>
    </row>
    <row r="71" spans="1:14" x14ac:dyDescent="0.35">
      <c r="A71" s="12">
        <v>2005</v>
      </c>
      <c r="B71" s="13">
        <f t="shared" si="4"/>
        <v>38717</v>
      </c>
      <c r="C71" s="14" t="s">
        <v>28</v>
      </c>
      <c r="D71" s="14" t="s">
        <v>29</v>
      </c>
      <c r="E71" s="14">
        <v>1.02450016286712</v>
      </c>
      <c r="F71" s="15">
        <f>E71*_xlfn.XLOOKUP(D71,conversiones!$A$2:$A$6,conversiones!$B$2:$B$6,0)</f>
        <v>576.11742158669631</v>
      </c>
      <c r="G71" s="14">
        <v>3080.5510416666698</v>
      </c>
      <c r="H71" s="14" t="s">
        <v>29</v>
      </c>
      <c r="I71" s="15">
        <f>G71/_xlfn.XLOOKUP(H71,conversiones!$A$2:$A$6,conversiones!$B$2:$B$6,0)</f>
        <v>5.4780933984185181</v>
      </c>
      <c r="J71" s="14">
        <v>9027.66</v>
      </c>
      <c r="K71" s="15">
        <f>_xlfn.XLOOKUP(C71,Ciclo!$A$2:$A$13,Ciclo!$D$2:$D$13,0)</f>
        <v>3</v>
      </c>
      <c r="L71" s="15">
        <f t="shared" si="5"/>
        <v>-5871.6349560920207</v>
      </c>
      <c r="M71" s="16">
        <f t="shared" si="6"/>
        <v>-0.65040497272737574</v>
      </c>
      <c r="N71" s="17">
        <f t="shared" si="7"/>
        <v>-1.9512149181821272</v>
      </c>
    </row>
    <row r="72" spans="1:14" x14ac:dyDescent="0.35">
      <c r="A72" s="12">
        <v>2005</v>
      </c>
      <c r="B72" s="13">
        <f t="shared" si="4"/>
        <v>38717</v>
      </c>
      <c r="C72" s="14" t="s">
        <v>26</v>
      </c>
      <c r="D72" s="14" t="s">
        <v>18</v>
      </c>
      <c r="E72" s="14">
        <v>6.1850406456173399</v>
      </c>
      <c r="F72" s="15">
        <f>E72*_xlfn.XLOOKUP(D72,conversiones!$A$2:$A$6,conversiones!$B$2:$B$6,0)</f>
        <v>280.55344368520252</v>
      </c>
      <c r="G72" s="14">
        <v>483.43</v>
      </c>
      <c r="H72" s="14" t="s">
        <v>18</v>
      </c>
      <c r="I72" s="15">
        <f>G72/_xlfn.XLOOKUP(H72,conversiones!$A$2:$A$6,conversiones!$B$2:$B$6,0)</f>
        <v>10.657627865961199</v>
      </c>
      <c r="J72" s="14">
        <v>906.4</v>
      </c>
      <c r="K72" s="15">
        <f>_xlfn.XLOOKUP(C72,Ciclo!$A$2:$A$13,Ciclo!$D$2:$D$13,0)</f>
        <v>3</v>
      </c>
      <c r="L72" s="15">
        <f t="shared" si="5"/>
        <v>2083.6341993107903</v>
      </c>
      <c r="M72" s="16">
        <f t="shared" si="6"/>
        <v>2.2988020733790715</v>
      </c>
      <c r="N72" s="17">
        <f t="shared" si="7"/>
        <v>6.896406220137214</v>
      </c>
    </row>
    <row r="73" spans="1:14" x14ac:dyDescent="0.35">
      <c r="A73" s="12">
        <v>2005</v>
      </c>
      <c r="B73" s="13">
        <f t="shared" si="4"/>
        <v>38717</v>
      </c>
      <c r="C73" s="14" t="s">
        <v>27</v>
      </c>
      <c r="D73" s="14" t="s">
        <v>18</v>
      </c>
      <c r="E73" s="14">
        <v>7.8636438311154899</v>
      </c>
      <c r="F73" s="15">
        <f>E73*_xlfn.XLOOKUP(D73,conversiones!$A$2:$A$6,conversiones!$B$2:$B$6,0)</f>
        <v>356.69488417939863</v>
      </c>
      <c r="G73" s="14">
        <v>251.940288194445</v>
      </c>
      <c r="H73" s="14" t="s">
        <v>18</v>
      </c>
      <c r="I73" s="15">
        <f>G73/_xlfn.XLOOKUP(H73,conversiones!$A$2:$A$6,conversiones!$B$2:$B$6,0)</f>
        <v>5.5542391577258599</v>
      </c>
      <c r="J73" s="14">
        <v>5157.3900000000003</v>
      </c>
      <c r="K73" s="15">
        <f>_xlfn.XLOOKUP(C73,Ciclo!$A$2:$A$13,Ciclo!$D$2:$D$13,0)</f>
        <v>2.4</v>
      </c>
      <c r="L73" s="15">
        <f t="shared" si="5"/>
        <v>-3176.2213069302943</v>
      </c>
      <c r="M73" s="16">
        <f t="shared" si="6"/>
        <v>-0.61585827461764464</v>
      </c>
      <c r="N73" s="17">
        <f t="shared" si="7"/>
        <v>-1.478059859082347</v>
      </c>
    </row>
    <row r="74" spans="1:14" x14ac:dyDescent="0.35">
      <c r="A74" s="12">
        <v>2006</v>
      </c>
      <c r="B74" s="13">
        <f t="shared" si="4"/>
        <v>39082</v>
      </c>
      <c r="C74" s="14" t="s">
        <v>16</v>
      </c>
      <c r="D74" s="14" t="s">
        <v>18</v>
      </c>
      <c r="E74" s="14">
        <v>4.2237593893064203</v>
      </c>
      <c r="F74" s="15">
        <f>E74*_xlfn.XLOOKUP(D74,conversiones!$A$2:$A$6,conversiones!$B$2:$B$6,0)</f>
        <v>191.58972589893921</v>
      </c>
      <c r="G74" s="14">
        <v>1006.56892222222</v>
      </c>
      <c r="H74" s="14" t="s">
        <v>19</v>
      </c>
      <c r="I74" s="15">
        <f>G74/_xlfn.XLOOKUP(H74,conversiones!$A$2:$A$6,conversiones!$B$2:$B$6,0)</f>
        <v>9.1506265656565446</v>
      </c>
      <c r="J74" s="14">
        <v>4756.7749999999996</v>
      </c>
      <c r="K74" s="15">
        <f>_xlfn.XLOOKUP(C74,Ciclo!$A$2:$A$13,Ciclo!$D$2:$D$13,0)</f>
        <v>2.4</v>
      </c>
      <c r="L74" s="15">
        <f t="shared" si="5"/>
        <v>-3003.6089644823105</v>
      </c>
      <c r="M74" s="16">
        <f t="shared" si="6"/>
        <v>-0.63143809923368477</v>
      </c>
      <c r="N74" s="17">
        <f t="shared" si="7"/>
        <v>-1.5154514381608435</v>
      </c>
    </row>
    <row r="75" spans="1:14" x14ac:dyDescent="0.35">
      <c r="A75" s="12">
        <v>2006</v>
      </c>
      <c r="B75" s="13">
        <f t="shared" si="4"/>
        <v>39082</v>
      </c>
      <c r="C75" s="14" t="s">
        <v>20</v>
      </c>
      <c r="D75" s="14" t="s">
        <v>18</v>
      </c>
      <c r="E75" s="14">
        <v>1.92727987755021</v>
      </c>
      <c r="F75" s="15">
        <f>E75*_xlfn.XLOOKUP(D75,conversiones!$A$2:$A$6,conversiones!$B$2:$B$6,0)</f>
        <v>87.421415245677522</v>
      </c>
      <c r="G75" s="14">
        <v>418.261740555556</v>
      </c>
      <c r="H75" s="14" t="s">
        <v>18</v>
      </c>
      <c r="I75" s="15">
        <f>G75/_xlfn.XLOOKUP(H75,conversiones!$A$2:$A$6,conversiones!$B$2:$B$6,0)</f>
        <v>9.2209378429355375</v>
      </c>
      <c r="J75" s="14">
        <v>1341.48</v>
      </c>
      <c r="K75" s="15">
        <f>_xlfn.XLOOKUP(C75,Ciclo!$A$2:$A$13,Ciclo!$D$2:$D$13,0)</f>
        <v>3</v>
      </c>
      <c r="L75" s="15">
        <f t="shared" si="5"/>
        <v>-535.37256387815046</v>
      </c>
      <c r="M75" s="16">
        <f t="shared" si="6"/>
        <v>-0.39909097703890511</v>
      </c>
      <c r="N75" s="17">
        <f t="shared" si="7"/>
        <v>-1.1972729311167154</v>
      </c>
    </row>
    <row r="76" spans="1:14" x14ac:dyDescent="0.35">
      <c r="A76" s="12">
        <v>2006</v>
      </c>
      <c r="B76" s="13">
        <f t="shared" si="4"/>
        <v>39082</v>
      </c>
      <c r="C76" s="14" t="s">
        <v>23</v>
      </c>
      <c r="D76" s="14" t="s">
        <v>18</v>
      </c>
      <c r="E76" s="14">
        <v>30.799894403379099</v>
      </c>
      <c r="F76" s="15">
        <f>E76*_xlfn.XLOOKUP(D76,conversiones!$A$2:$A$6,conversiones!$B$2:$B$6,0)</f>
        <v>1397.083210137276</v>
      </c>
      <c r="G76" s="14">
        <v>547.82358235479796</v>
      </c>
      <c r="H76" s="14" t="s">
        <v>18</v>
      </c>
      <c r="I76" s="15">
        <f>G76/_xlfn.XLOOKUP(H76,conversiones!$A$2:$A$6,conversiones!$B$2:$B$6,0)</f>
        <v>12.077239469902953</v>
      </c>
      <c r="J76" s="14">
        <v>10412.049999999999</v>
      </c>
      <c r="K76" s="15">
        <f>_xlfn.XLOOKUP(C76,Ciclo!$A$2:$A$13,Ciclo!$D$2:$D$13,0)</f>
        <v>4</v>
      </c>
      <c r="L76" s="15">
        <f t="shared" si="5"/>
        <v>6460.8584882086325</v>
      </c>
      <c r="M76" s="16">
        <f t="shared" si="6"/>
        <v>0.62051742819220357</v>
      </c>
      <c r="N76" s="17">
        <f t="shared" si="7"/>
        <v>2.4820697127688143</v>
      </c>
    </row>
    <row r="77" spans="1:14" x14ac:dyDescent="0.35">
      <c r="A77" s="12">
        <v>2006</v>
      </c>
      <c r="B77" s="13">
        <f t="shared" si="4"/>
        <v>39082</v>
      </c>
      <c r="C77" s="14" t="s">
        <v>21</v>
      </c>
      <c r="D77" s="14" t="s">
        <v>18</v>
      </c>
      <c r="E77" s="14">
        <v>9.7263684646793394</v>
      </c>
      <c r="F77" s="15">
        <f>E77*_xlfn.XLOOKUP(D77,conversiones!$A$2:$A$6,conversiones!$B$2:$B$6,0)</f>
        <v>441.18807355785481</v>
      </c>
      <c r="G77" s="14">
        <v>303.85092388888899</v>
      </c>
      <c r="H77" s="14" t="s">
        <v>18</v>
      </c>
      <c r="I77" s="15">
        <f>G77/_xlfn.XLOOKUP(H77,conversiones!$A$2:$A$6,conversiones!$B$2:$B$6,0)</f>
        <v>6.6986535248873231</v>
      </c>
      <c r="J77" s="14">
        <v>2058.7550000000001</v>
      </c>
      <c r="K77" s="15">
        <f>_xlfn.XLOOKUP(C77,Ciclo!$A$2:$A$13,Ciclo!$D$2:$D$13,0)</f>
        <v>2</v>
      </c>
      <c r="L77" s="15">
        <f t="shared" si="5"/>
        <v>896.61104407657149</v>
      </c>
      <c r="M77" s="16">
        <f t="shared" si="6"/>
        <v>0.43551128914153042</v>
      </c>
      <c r="N77" s="17">
        <f t="shared" si="7"/>
        <v>0.87102257828306084</v>
      </c>
    </row>
    <row r="78" spans="1:14" x14ac:dyDescent="0.35">
      <c r="A78" s="12">
        <v>2006</v>
      </c>
      <c r="B78" s="13">
        <f t="shared" si="4"/>
        <v>39082</v>
      </c>
      <c r="C78" s="14" t="s">
        <v>25</v>
      </c>
      <c r="D78" s="14" t="s">
        <v>18</v>
      </c>
      <c r="E78" s="14">
        <v>10.0084381321526</v>
      </c>
      <c r="F78" s="15">
        <f>E78*_xlfn.XLOOKUP(D78,conversiones!$A$2:$A$6,conversiones!$B$2:$B$6,0)</f>
        <v>453.98275367444194</v>
      </c>
      <c r="G78" s="14">
        <v>368.11180247023799</v>
      </c>
      <c r="H78" s="14" t="s">
        <v>18</v>
      </c>
      <c r="I78" s="15">
        <f>G78/_xlfn.XLOOKUP(H78,conversiones!$A$2:$A$6,conversiones!$B$2:$B$6,0)</f>
        <v>8.1153395606313499</v>
      </c>
      <c r="J78" s="14">
        <v>2287.145</v>
      </c>
      <c r="K78" s="15">
        <f>_xlfn.XLOOKUP(C78,Ciclo!$A$2:$A$13,Ciclo!$D$2:$D$13,0)</f>
        <v>1.2</v>
      </c>
      <c r="L78" s="15">
        <f t="shared" si="5"/>
        <v>1397.0792007385562</v>
      </c>
      <c r="M78" s="16">
        <f t="shared" si="6"/>
        <v>0.61083980278406325</v>
      </c>
      <c r="N78" s="17">
        <f t="shared" si="7"/>
        <v>0.73300776334087592</v>
      </c>
    </row>
    <row r="79" spans="1:14" x14ac:dyDescent="0.35">
      <c r="A79" s="12">
        <v>2006</v>
      </c>
      <c r="B79" s="13">
        <f t="shared" si="4"/>
        <v>39082</v>
      </c>
      <c r="C79" s="14" t="s">
        <v>22</v>
      </c>
      <c r="D79" s="14" t="s">
        <v>18</v>
      </c>
      <c r="E79" s="14">
        <v>8.8720386758966292</v>
      </c>
      <c r="F79" s="15">
        <f>E79*_xlfn.XLOOKUP(D79,conversiones!$A$2:$A$6,conversiones!$B$2:$B$6,0)</f>
        <v>402.43567433867111</v>
      </c>
      <c r="G79" s="14">
        <v>926.36881944444394</v>
      </c>
      <c r="H79" s="14" t="s">
        <v>18</v>
      </c>
      <c r="I79" s="15">
        <f>G79/_xlfn.XLOOKUP(H79,conversiones!$A$2:$A$6,conversiones!$B$2:$B$6,0)</f>
        <v>20.422593021261992</v>
      </c>
      <c r="J79" s="14">
        <v>5691.88</v>
      </c>
      <c r="K79" s="15">
        <f>_xlfn.XLOOKUP(C79,Ciclo!$A$2:$A$13,Ciclo!$D$2:$D$13,0)</f>
        <v>1</v>
      </c>
      <c r="L79" s="15">
        <f t="shared" si="5"/>
        <v>2526.8999942558085</v>
      </c>
      <c r="M79" s="16">
        <f t="shared" si="6"/>
        <v>0.44394821996525019</v>
      </c>
      <c r="N79" s="17">
        <f t="shared" si="7"/>
        <v>0.44394821996525019</v>
      </c>
    </row>
    <row r="80" spans="1:14" x14ac:dyDescent="0.35">
      <c r="A80" s="12">
        <v>2006</v>
      </c>
      <c r="B80" s="13">
        <f t="shared" si="4"/>
        <v>39082</v>
      </c>
      <c r="C80" s="14" t="s">
        <v>24</v>
      </c>
      <c r="D80" s="14" t="s">
        <v>18</v>
      </c>
      <c r="E80" s="14">
        <v>8.1856476669382303</v>
      </c>
      <c r="F80" s="15">
        <f>E80*_xlfn.XLOOKUP(D80,conversiones!$A$2:$A$6,conversiones!$B$2:$B$6,0)</f>
        <v>371.30097817231814</v>
      </c>
      <c r="G80" s="14">
        <v>898.59490972222204</v>
      </c>
      <c r="H80" s="14" t="s">
        <v>18</v>
      </c>
      <c r="I80" s="15">
        <f>G80/_xlfn.XLOOKUP(H80,conversiones!$A$2:$A$6,conversiones!$B$2:$B$6,0)</f>
        <v>19.810293424211245</v>
      </c>
      <c r="J80" s="14">
        <v>4593.1000000000004</v>
      </c>
      <c r="K80" s="15">
        <f>_xlfn.XLOOKUP(C80,Ciclo!$A$2:$A$13,Ciclo!$D$2:$D$13,0)</f>
        <v>1</v>
      </c>
      <c r="L80" s="15">
        <f t="shared" si="5"/>
        <v>2762.4813262902771</v>
      </c>
      <c r="M80" s="16">
        <f t="shared" si="6"/>
        <v>0.60144158113045154</v>
      </c>
      <c r="N80" s="17">
        <f t="shared" si="7"/>
        <v>0.60144158113045154</v>
      </c>
    </row>
    <row r="81" spans="1:14" x14ac:dyDescent="0.35">
      <c r="A81" s="12">
        <v>2006</v>
      </c>
      <c r="B81" s="13">
        <f t="shared" si="4"/>
        <v>39082</v>
      </c>
      <c r="C81" s="14" t="s">
        <v>30</v>
      </c>
      <c r="D81" s="14" t="s">
        <v>32</v>
      </c>
      <c r="E81" s="14">
        <v>66.625434566025902</v>
      </c>
      <c r="F81" s="15">
        <f>E81*_xlfn.XLOOKUP(D81,conversiones!$A$2:$A$6,conversiones!$B$2:$B$6,0)</f>
        <v>1812.878074541565</v>
      </c>
      <c r="G81" s="14">
        <v>62.67</v>
      </c>
      <c r="H81" s="14" t="s">
        <v>32</v>
      </c>
      <c r="I81" s="15">
        <f>G81/_xlfn.XLOOKUP(H81,conversiones!$A$2:$A$6,conversiones!$B$2:$B$6,0)</f>
        <v>2.303197353914002</v>
      </c>
      <c r="J81" s="14">
        <v>7154.19</v>
      </c>
      <c r="K81" s="15">
        <f>_xlfn.XLOOKUP(C81,Ciclo!$A$2:$A$13,Ciclo!$D$2:$D$13,0)</f>
        <v>1</v>
      </c>
      <c r="L81" s="15">
        <f t="shared" si="5"/>
        <v>-2978.7740157471562</v>
      </c>
      <c r="M81" s="16">
        <f t="shared" si="6"/>
        <v>-0.4163677531274898</v>
      </c>
      <c r="N81" s="17">
        <f t="shared" si="7"/>
        <v>-0.4163677531274898</v>
      </c>
    </row>
    <row r="82" spans="1:14" x14ac:dyDescent="0.35">
      <c r="A82" s="12">
        <v>2006</v>
      </c>
      <c r="B82" s="13">
        <f t="shared" si="4"/>
        <v>39082</v>
      </c>
      <c r="C82" s="14" t="s">
        <v>33</v>
      </c>
      <c r="D82" s="14" t="s">
        <v>34</v>
      </c>
      <c r="E82" s="14">
        <v>2.8670285599104801</v>
      </c>
      <c r="F82" s="15">
        <f>E82*_xlfn.XLOOKUP(D82,conversiones!$A$2:$A$6,conversiones!$B$2:$B$6,0)</f>
        <v>1170.1777067274625</v>
      </c>
      <c r="G82" s="14">
        <v>2327.75</v>
      </c>
      <c r="H82" s="14" t="s">
        <v>34</v>
      </c>
      <c r="I82" s="15">
        <f>G82/_xlfn.XLOOKUP(H82,conversiones!$A$2:$A$6,conversiones!$B$2:$B$6,0)</f>
        <v>5.703172853117727</v>
      </c>
      <c r="J82" s="14">
        <v>9504.44</v>
      </c>
      <c r="K82" s="15">
        <f>_xlfn.XLOOKUP(C82,Ciclo!$A$2:$A$13,Ciclo!$D$2:$D$13,0)</f>
        <v>1</v>
      </c>
      <c r="L82" s="15">
        <f t="shared" si="5"/>
        <v>-2830.7142696683795</v>
      </c>
      <c r="M82" s="16">
        <f t="shared" si="6"/>
        <v>-0.297830726446627</v>
      </c>
      <c r="N82" s="17">
        <f t="shared" si="7"/>
        <v>-0.297830726446627</v>
      </c>
    </row>
    <row r="83" spans="1:14" x14ac:dyDescent="0.35">
      <c r="A83" s="12">
        <v>2006</v>
      </c>
      <c r="B83" s="13">
        <f t="shared" si="4"/>
        <v>39082</v>
      </c>
      <c r="C83" s="14" t="s">
        <v>28</v>
      </c>
      <c r="D83" s="14" t="s">
        <v>29</v>
      </c>
      <c r="E83" s="14">
        <v>1.3985809780696601</v>
      </c>
      <c r="F83" s="15">
        <f>E83*_xlfn.XLOOKUP(D83,conversiones!$A$2:$A$6,conversiones!$B$2:$B$6,0)</f>
        <v>786.47802720769266</v>
      </c>
      <c r="G83" s="14">
        <v>3939.4146904761901</v>
      </c>
      <c r="H83" s="14" t="s">
        <v>29</v>
      </c>
      <c r="I83" s="15">
        <f>G83/_xlfn.XLOOKUP(H83,conversiones!$A$2:$A$6,conversiones!$B$2:$B$6,0)</f>
        <v>7.0053965403069141</v>
      </c>
      <c r="J83" s="14">
        <v>8196.8700000000008</v>
      </c>
      <c r="K83" s="15">
        <f>_xlfn.XLOOKUP(C83,Ciclo!$A$2:$A$13,Ciclo!$D$2:$D$13,0)</f>
        <v>3</v>
      </c>
      <c r="L83" s="15">
        <f t="shared" si="5"/>
        <v>-2687.2795491718234</v>
      </c>
      <c r="M83" s="16">
        <f t="shared" si="6"/>
        <v>-0.32784215794221733</v>
      </c>
      <c r="N83" s="17">
        <f t="shared" si="7"/>
        <v>-0.98352647382665204</v>
      </c>
    </row>
    <row r="84" spans="1:14" x14ac:dyDescent="0.35">
      <c r="A84" s="12">
        <v>2006</v>
      </c>
      <c r="B84" s="13">
        <f t="shared" si="4"/>
        <v>39082</v>
      </c>
      <c r="C84" s="14" t="s">
        <v>26</v>
      </c>
      <c r="D84" s="14" t="s">
        <v>18</v>
      </c>
      <c r="E84" s="14">
        <v>6.3652655925985</v>
      </c>
      <c r="F84" s="15">
        <f>E84*_xlfn.XLOOKUP(D84,conversiones!$A$2:$A$6,conversiones!$B$2:$B$6,0)</f>
        <v>288.72844728026797</v>
      </c>
      <c r="G84" s="14">
        <v>466.1</v>
      </c>
      <c r="H84" s="14" t="s">
        <v>18</v>
      </c>
      <c r="I84" s="15">
        <f>G84/_xlfn.XLOOKUP(H84,conversiones!$A$2:$A$6,conversiones!$B$2:$B$6,0)</f>
        <v>10.275573192239859</v>
      </c>
      <c r="J84" s="14">
        <v>864.56</v>
      </c>
      <c r="K84" s="15">
        <f>_xlfn.XLOOKUP(C84,Ciclo!$A$2:$A$13,Ciclo!$D$2:$D$13,0)</f>
        <v>3</v>
      </c>
      <c r="L84" s="15">
        <f t="shared" si="5"/>
        <v>2102.2902927101609</v>
      </c>
      <c r="M84" s="16">
        <f t="shared" si="6"/>
        <v>2.4316303006270945</v>
      </c>
      <c r="N84" s="17">
        <f t="shared" si="7"/>
        <v>7.2948909018812831</v>
      </c>
    </row>
    <row r="85" spans="1:14" x14ac:dyDescent="0.35">
      <c r="A85" s="12">
        <v>2006</v>
      </c>
      <c r="B85" s="13">
        <f t="shared" si="4"/>
        <v>39082</v>
      </c>
      <c r="C85" s="14" t="s">
        <v>27</v>
      </c>
      <c r="D85" s="14" t="s">
        <v>18</v>
      </c>
      <c r="E85" s="14">
        <v>8.5859202577527203</v>
      </c>
      <c r="F85" s="15">
        <f>E85*_xlfn.XLOOKUP(D85,conversiones!$A$2:$A$6,conversiones!$B$2:$B$6,0)</f>
        <v>389.45734289166336</v>
      </c>
      <c r="G85" s="14">
        <v>244.09203655555601</v>
      </c>
      <c r="H85" s="14" t="s">
        <v>18</v>
      </c>
      <c r="I85" s="15">
        <f>G85/_xlfn.XLOOKUP(H85,conversiones!$A$2:$A$6,conversiones!$B$2:$B$6,0)</f>
        <v>5.3812177371154322</v>
      </c>
      <c r="J85" s="14">
        <v>4742.13</v>
      </c>
      <c r="K85" s="15">
        <f>_xlfn.XLOOKUP(C85,Ciclo!$A$2:$A$13,Ciclo!$D$2:$D$13,0)</f>
        <v>2.4</v>
      </c>
      <c r="L85" s="15">
        <f t="shared" si="5"/>
        <v>-2646.3752385815346</v>
      </c>
      <c r="M85" s="16">
        <f t="shared" si="6"/>
        <v>-0.55805624025101264</v>
      </c>
      <c r="N85" s="17">
        <f t="shared" si="7"/>
        <v>-1.3393349766024303</v>
      </c>
    </row>
    <row r="86" spans="1:14" x14ac:dyDescent="0.35">
      <c r="A86" s="12">
        <v>2007</v>
      </c>
      <c r="B86" s="13">
        <f t="shared" si="4"/>
        <v>39447</v>
      </c>
      <c r="C86" s="14" t="s">
        <v>16</v>
      </c>
      <c r="D86" s="14" t="s">
        <v>18</v>
      </c>
      <c r="E86" s="14">
        <v>4.32656924811028</v>
      </c>
      <c r="F86" s="15">
        <f>E86*_xlfn.XLOOKUP(D86,conversiones!$A$2:$A$6,conversiones!$B$2:$B$6,0)</f>
        <v>196.2531810942823</v>
      </c>
      <c r="G86" s="14">
        <v>1292.2835416666701</v>
      </c>
      <c r="H86" s="14" t="s">
        <v>19</v>
      </c>
      <c r="I86" s="15">
        <f>G86/_xlfn.XLOOKUP(H86,conversiones!$A$2:$A$6,conversiones!$B$2:$B$6,0)</f>
        <v>11.748032196969728</v>
      </c>
      <c r="J86" s="14">
        <v>5339.5</v>
      </c>
      <c r="K86" s="15">
        <f>_xlfn.XLOOKUP(C86,Ciclo!$A$2:$A$13,Ciclo!$D$2:$D$13,0)</f>
        <v>2.4</v>
      </c>
      <c r="L86" s="15">
        <f t="shared" si="5"/>
        <v>-3033.9113097466407</v>
      </c>
      <c r="M86" s="16">
        <f t="shared" si="6"/>
        <v>-0.56820138772294049</v>
      </c>
      <c r="N86" s="17">
        <f t="shared" si="7"/>
        <v>-1.3636833305350571</v>
      </c>
    </row>
    <row r="87" spans="1:14" x14ac:dyDescent="0.35">
      <c r="A87" s="12">
        <v>2007</v>
      </c>
      <c r="B87" s="13">
        <f t="shared" si="4"/>
        <v>39447</v>
      </c>
      <c r="C87" s="14" t="s">
        <v>20</v>
      </c>
      <c r="D87" s="14" t="s">
        <v>18</v>
      </c>
      <c r="E87" s="14">
        <v>1.85103966949694</v>
      </c>
      <c r="F87" s="15">
        <f>E87*_xlfn.XLOOKUP(D87,conversiones!$A$2:$A$6,conversiones!$B$2:$B$6,0)</f>
        <v>83.963159408381202</v>
      </c>
      <c r="G87" s="14">
        <v>392.74776431233499</v>
      </c>
      <c r="H87" s="14" t="s">
        <v>18</v>
      </c>
      <c r="I87" s="15">
        <f>G87/_xlfn.XLOOKUP(H87,conversiones!$A$2:$A$6,conversiones!$B$2:$B$6,0)</f>
        <v>8.6584604125294309</v>
      </c>
      <c r="J87" s="14">
        <v>1417.48</v>
      </c>
      <c r="K87" s="15">
        <f>_xlfn.XLOOKUP(C87,Ciclo!$A$2:$A$13,Ciclo!$D$2:$D$13,0)</f>
        <v>3</v>
      </c>
      <c r="L87" s="15">
        <f t="shared" si="5"/>
        <v>-690.4883081516333</v>
      </c>
      <c r="M87" s="16">
        <f t="shared" si="6"/>
        <v>-0.48712384524059127</v>
      </c>
      <c r="N87" s="17">
        <f t="shared" si="7"/>
        <v>-1.4613715357217738</v>
      </c>
    </row>
    <row r="88" spans="1:14" x14ac:dyDescent="0.35">
      <c r="A88" s="12">
        <v>2007</v>
      </c>
      <c r="B88" s="13">
        <f t="shared" si="4"/>
        <v>39447</v>
      </c>
      <c r="C88" s="14" t="s">
        <v>23</v>
      </c>
      <c r="D88" s="14" t="s">
        <v>18</v>
      </c>
      <c r="E88" s="14">
        <v>29.997037374658198</v>
      </c>
      <c r="F88" s="15">
        <f>E88*_xlfn.XLOOKUP(D88,conversiones!$A$2:$A$6,conversiones!$B$2:$B$6,0)</f>
        <v>1360.6656153144959</v>
      </c>
      <c r="G88" s="14">
        <v>723.99524305555599</v>
      </c>
      <c r="H88" s="14" t="s">
        <v>18</v>
      </c>
      <c r="I88" s="15">
        <f>G88/_xlfn.XLOOKUP(H88,conversiones!$A$2:$A$6,conversiones!$B$2:$B$6,0)</f>
        <v>15.961094423623368</v>
      </c>
      <c r="J88" s="14">
        <v>12092.41</v>
      </c>
      <c r="K88" s="15">
        <f>_xlfn.XLOOKUP(C88,Ciclo!$A$2:$A$13,Ciclo!$D$2:$D$13,0)</f>
        <v>4</v>
      </c>
      <c r="L88" s="15">
        <f t="shared" si="5"/>
        <v>9625.3023650122595</v>
      </c>
      <c r="M88" s="16">
        <f t="shared" si="6"/>
        <v>0.79597883011014836</v>
      </c>
      <c r="N88" s="17">
        <f t="shared" si="7"/>
        <v>3.1839153204405934</v>
      </c>
    </row>
    <row r="89" spans="1:14" x14ac:dyDescent="0.35">
      <c r="A89" s="12">
        <v>2007</v>
      </c>
      <c r="B89" s="13">
        <f t="shared" si="4"/>
        <v>39447</v>
      </c>
      <c r="C89" s="14" t="s">
        <v>21</v>
      </c>
      <c r="D89" s="14" t="s">
        <v>18</v>
      </c>
      <c r="E89" s="14">
        <v>10.4954683964793</v>
      </c>
      <c r="F89" s="15">
        <f>E89*_xlfn.XLOOKUP(D89,conversiones!$A$2:$A$6,conversiones!$B$2:$B$6,0)</f>
        <v>476.07444646430105</v>
      </c>
      <c r="G89" s="14">
        <v>280.07187936507898</v>
      </c>
      <c r="H89" s="14" t="s">
        <v>18</v>
      </c>
      <c r="I89" s="15">
        <f>G89/_xlfn.XLOOKUP(H89,conversiones!$A$2:$A$6,conversiones!$B$2:$B$6,0)</f>
        <v>6.174424148260119</v>
      </c>
      <c r="J89" s="14">
        <v>2131.605</v>
      </c>
      <c r="K89" s="15">
        <f>_xlfn.XLOOKUP(C89,Ciclo!$A$2:$A$13,Ciclo!$D$2:$D$13,0)</f>
        <v>2</v>
      </c>
      <c r="L89" s="15">
        <f t="shared" si="5"/>
        <v>807.88055861874955</v>
      </c>
      <c r="M89" s="16">
        <f t="shared" si="6"/>
        <v>0.37900106193161937</v>
      </c>
      <c r="N89" s="17">
        <f t="shared" si="7"/>
        <v>0.75800212386323873</v>
      </c>
    </row>
    <row r="90" spans="1:14" x14ac:dyDescent="0.35">
      <c r="A90" s="12">
        <v>2007</v>
      </c>
      <c r="B90" s="13">
        <f t="shared" si="4"/>
        <v>39447</v>
      </c>
      <c r="C90" s="14" t="s">
        <v>25</v>
      </c>
      <c r="D90" s="14" t="s">
        <v>18</v>
      </c>
      <c r="E90" s="14">
        <v>10.480548318332501</v>
      </c>
      <c r="F90" s="15">
        <f>E90*_xlfn.XLOOKUP(D90,conversiones!$A$2:$A$6,conversiones!$B$2:$B$6,0)</f>
        <v>475.3976717195622</v>
      </c>
      <c r="G90" s="14">
        <v>286.08468799603202</v>
      </c>
      <c r="H90" s="14" t="s">
        <v>18</v>
      </c>
      <c r="I90" s="15">
        <f>G90/_xlfn.XLOOKUP(H90,conversiones!$A$2:$A$6,conversiones!$B$2:$B$6,0)</f>
        <v>6.3069816577608471</v>
      </c>
      <c r="J90" s="14">
        <v>2341.04</v>
      </c>
      <c r="K90" s="15">
        <f>_xlfn.XLOOKUP(C90,Ciclo!$A$2:$A$13,Ciclo!$D$2:$D$13,0)</f>
        <v>1.2</v>
      </c>
      <c r="L90" s="15">
        <f t="shared" si="5"/>
        <v>657.28439567749137</v>
      </c>
      <c r="M90" s="16">
        <f t="shared" si="6"/>
        <v>0.28076598250243112</v>
      </c>
      <c r="N90" s="17">
        <f t="shared" si="7"/>
        <v>0.33691917900291735</v>
      </c>
    </row>
    <row r="91" spans="1:14" x14ac:dyDescent="0.35">
      <c r="A91" s="12">
        <v>2007</v>
      </c>
      <c r="B91" s="13">
        <f t="shared" si="4"/>
        <v>39447</v>
      </c>
      <c r="C91" s="14" t="s">
        <v>22</v>
      </c>
      <c r="D91" s="14" t="s">
        <v>18</v>
      </c>
      <c r="E91" s="14">
        <v>8.9913994418180803</v>
      </c>
      <c r="F91" s="15">
        <f>E91*_xlfn.XLOOKUP(D91,conversiones!$A$2:$A$6,conversiones!$B$2:$B$6,0)</f>
        <v>407.84987868086813</v>
      </c>
      <c r="G91" s="14">
        <v>943.50511904761902</v>
      </c>
      <c r="H91" s="14" t="s">
        <v>18</v>
      </c>
      <c r="I91" s="15">
        <f>G91/_xlfn.XLOOKUP(H91,conversiones!$A$2:$A$6,conversiones!$B$2:$B$6,0)</f>
        <v>20.800377404048039</v>
      </c>
      <c r="J91" s="14">
        <v>6063.13</v>
      </c>
      <c r="K91" s="15">
        <f>_xlfn.XLOOKUP(C91,Ciclo!$A$2:$A$13,Ciclo!$D$2:$D$13,0)</f>
        <v>1</v>
      </c>
      <c r="L91" s="15">
        <f t="shared" si="5"/>
        <v>2420.3014007572629</v>
      </c>
      <c r="M91" s="16">
        <f t="shared" si="6"/>
        <v>0.39918349116005475</v>
      </c>
      <c r="N91" s="17">
        <f t="shared" si="7"/>
        <v>0.39918349116005475</v>
      </c>
    </row>
    <row r="92" spans="1:14" x14ac:dyDescent="0.35">
      <c r="A92" s="12">
        <v>2007</v>
      </c>
      <c r="B92" s="13">
        <f t="shared" si="4"/>
        <v>39447</v>
      </c>
      <c r="C92" s="14" t="s">
        <v>24</v>
      </c>
      <c r="D92" s="14" t="s">
        <v>18</v>
      </c>
      <c r="E92" s="14">
        <v>8.7193794952095303</v>
      </c>
      <c r="F92" s="15">
        <f>E92*_xlfn.XLOOKUP(D92,conversiones!$A$2:$A$6,conversiones!$B$2:$B$6,0)</f>
        <v>395.5110539027043</v>
      </c>
      <c r="G92" s="14">
        <v>901.60539186507901</v>
      </c>
      <c r="H92" s="14" t="s">
        <v>18</v>
      </c>
      <c r="I92" s="15">
        <f>G92/_xlfn.XLOOKUP(H92,conversiones!$A$2:$A$6,conversiones!$B$2:$B$6,0)</f>
        <v>19.8766620781543</v>
      </c>
      <c r="J92" s="14">
        <v>4803.45</v>
      </c>
      <c r="K92" s="15">
        <f>_xlfn.XLOOKUP(C92,Ciclo!$A$2:$A$13,Ciclo!$D$2:$D$13,0)</f>
        <v>1</v>
      </c>
      <c r="L92" s="15">
        <f t="shared" si="5"/>
        <v>3057.9895665987242</v>
      </c>
      <c r="M92" s="16">
        <f t="shared" si="6"/>
        <v>0.63662358650526696</v>
      </c>
      <c r="N92" s="17">
        <f t="shared" si="7"/>
        <v>0.63662358650526696</v>
      </c>
    </row>
    <row r="93" spans="1:14" x14ac:dyDescent="0.35">
      <c r="A93" s="12">
        <v>2007</v>
      </c>
      <c r="B93" s="13">
        <f t="shared" si="4"/>
        <v>39447</v>
      </c>
      <c r="C93" s="14" t="s">
        <v>30</v>
      </c>
      <c r="D93" s="14" t="s">
        <v>32</v>
      </c>
      <c r="E93" s="14">
        <v>68.231640327942003</v>
      </c>
      <c r="F93" s="15">
        <f>E93*_xlfn.XLOOKUP(D93,conversiones!$A$2:$A$6,conversiones!$B$2:$B$6,0)</f>
        <v>1856.5829333233019</v>
      </c>
      <c r="G93" s="14">
        <v>75.260000000000005</v>
      </c>
      <c r="H93" s="14" t="s">
        <v>32</v>
      </c>
      <c r="I93" s="15">
        <f>G93/_xlfn.XLOOKUP(H93,conversiones!$A$2:$A$6,conversiones!$B$2:$B$6,0)</f>
        <v>2.7658948915839767</v>
      </c>
      <c r="J93" s="14">
        <v>8303.36</v>
      </c>
      <c r="K93" s="15">
        <f>_xlfn.XLOOKUP(C93,Ciclo!$A$2:$A$13,Ciclo!$D$2:$D$13,0)</f>
        <v>1</v>
      </c>
      <c r="L93" s="15">
        <f t="shared" si="5"/>
        <v>-3168.2467489190849</v>
      </c>
      <c r="M93" s="16">
        <f t="shared" si="6"/>
        <v>-0.38156201211546709</v>
      </c>
      <c r="N93" s="17">
        <f t="shared" si="7"/>
        <v>-0.38156201211546709</v>
      </c>
    </row>
    <row r="94" spans="1:14" x14ac:dyDescent="0.35">
      <c r="A94" s="12">
        <v>2007</v>
      </c>
      <c r="B94" s="13">
        <f t="shared" si="4"/>
        <v>39447</v>
      </c>
      <c r="C94" s="14" t="s">
        <v>33</v>
      </c>
      <c r="D94" s="14" t="s">
        <v>34</v>
      </c>
      <c r="E94" s="14">
        <v>2.5327568751038898</v>
      </c>
      <c r="F94" s="15">
        <f>E94*_xlfn.XLOOKUP(D94,conversiones!$A$2:$A$6,conversiones!$B$2:$B$6,0)</f>
        <v>1033.7447185736526</v>
      </c>
      <c r="G94" s="14">
        <v>2852.43</v>
      </c>
      <c r="H94" s="14" t="s">
        <v>34</v>
      </c>
      <c r="I94" s="15">
        <f>G94/_xlfn.XLOOKUP(H94,conversiones!$A$2:$A$6,conversiones!$B$2:$B$6,0)</f>
        <v>6.9886806321205439</v>
      </c>
      <c r="J94" s="14">
        <v>11167.89</v>
      </c>
      <c r="K94" s="15">
        <f>_xlfn.XLOOKUP(C94,Ciclo!$A$2:$A$13,Ciclo!$D$2:$D$13,0)</f>
        <v>1</v>
      </c>
      <c r="L94" s="15">
        <f t="shared" si="5"/>
        <v>-3943.3783067474114</v>
      </c>
      <c r="M94" s="16">
        <f t="shared" si="6"/>
        <v>-0.35309967296843109</v>
      </c>
      <c r="N94" s="17">
        <f t="shared" si="7"/>
        <v>-0.35309967296843109</v>
      </c>
    </row>
    <row r="95" spans="1:14" x14ac:dyDescent="0.35">
      <c r="A95" s="12">
        <v>2007</v>
      </c>
      <c r="B95" s="13">
        <f t="shared" si="4"/>
        <v>39447</v>
      </c>
      <c r="C95" s="14" t="s">
        <v>28</v>
      </c>
      <c r="D95" s="14" t="s">
        <v>29</v>
      </c>
      <c r="E95" s="14">
        <v>1.2171330386348</v>
      </c>
      <c r="F95" s="15">
        <f>E95*_xlfn.XLOOKUP(D95,conversiones!$A$2:$A$6,conversiones!$B$2:$B$6,0)</f>
        <v>684.44259294589347</v>
      </c>
      <c r="G95" s="14">
        <v>5604.43</v>
      </c>
      <c r="H95" s="14" t="s">
        <v>29</v>
      </c>
      <c r="I95" s="15">
        <f>G95/_xlfn.XLOOKUP(H95,conversiones!$A$2:$A$6,conversiones!$B$2:$B$6,0)</f>
        <v>9.9662659600953152</v>
      </c>
      <c r="J95" s="14">
        <v>10097.26</v>
      </c>
      <c r="K95" s="15">
        <f>_xlfn.XLOOKUP(C95,Ciclo!$A$2:$A$13,Ciclo!$D$2:$D$13,0)</f>
        <v>3</v>
      </c>
      <c r="L95" s="15">
        <f t="shared" si="5"/>
        <v>-3275.9230842839679</v>
      </c>
      <c r="M95" s="16">
        <f t="shared" si="6"/>
        <v>-0.32443683576375848</v>
      </c>
      <c r="N95" s="17">
        <f t="shared" si="7"/>
        <v>-0.97331050729127544</v>
      </c>
    </row>
    <row r="96" spans="1:14" x14ac:dyDescent="0.35">
      <c r="A96" s="12">
        <v>2007</v>
      </c>
      <c r="B96" s="13">
        <f t="shared" si="4"/>
        <v>39447</v>
      </c>
      <c r="C96" s="14" t="s">
        <v>26</v>
      </c>
      <c r="D96" s="14" t="s">
        <v>18</v>
      </c>
      <c r="E96" s="14">
        <v>6.5017678398450096</v>
      </c>
      <c r="F96" s="15">
        <f>E96*_xlfn.XLOOKUP(D96,conversiones!$A$2:$A$6,conversiones!$B$2:$B$6,0)</f>
        <v>294.92018921536965</v>
      </c>
      <c r="G96" s="14">
        <v>511.86</v>
      </c>
      <c r="H96" s="14" t="s">
        <v>18</v>
      </c>
      <c r="I96" s="15">
        <f>G96/_xlfn.XLOOKUP(H96,conversiones!$A$2:$A$6,conversiones!$B$2:$B$6,0)</f>
        <v>11.284391534391535</v>
      </c>
      <c r="J96" s="14">
        <v>970.18</v>
      </c>
      <c r="K96" s="15">
        <f>_xlfn.XLOOKUP(C96,Ciclo!$A$2:$A$13,Ciclo!$D$2:$D$13,0)</f>
        <v>3</v>
      </c>
      <c r="L96" s="15">
        <f t="shared" si="5"/>
        <v>2357.8148865030671</v>
      </c>
      <c r="M96" s="16">
        <f t="shared" si="6"/>
        <v>2.4302860154848247</v>
      </c>
      <c r="N96" s="17">
        <f t="shared" si="7"/>
        <v>7.2908580464544741</v>
      </c>
    </row>
    <row r="97" spans="1:14" x14ac:dyDescent="0.35">
      <c r="A97" s="12">
        <v>2007</v>
      </c>
      <c r="B97" s="13">
        <f t="shared" si="4"/>
        <v>39447</v>
      </c>
      <c r="C97" s="14" t="s">
        <v>27</v>
      </c>
      <c r="D97" s="14" t="s">
        <v>18</v>
      </c>
      <c r="E97" s="14">
        <v>7.6879755633596698</v>
      </c>
      <c r="F97" s="15">
        <f>E97*_xlfn.XLOOKUP(D97,conversiones!$A$2:$A$6,conversiones!$B$2:$B$6,0)</f>
        <v>348.72657155399463</v>
      </c>
      <c r="G97" s="14">
        <v>263.37833333333401</v>
      </c>
      <c r="H97" s="14" t="s">
        <v>18</v>
      </c>
      <c r="I97" s="15">
        <f>G97/_xlfn.XLOOKUP(H97,conversiones!$A$2:$A$6,conversiones!$B$2:$B$6,0)</f>
        <v>5.8064006466784397</v>
      </c>
      <c r="J97" s="14">
        <v>5280.51</v>
      </c>
      <c r="K97" s="15">
        <f>_xlfn.XLOOKUP(C97,Ciclo!$A$2:$A$13,Ciclo!$D$2:$D$13,0)</f>
        <v>2.4</v>
      </c>
      <c r="L97" s="15">
        <f t="shared" si="5"/>
        <v>-3255.6638094149307</v>
      </c>
      <c r="M97" s="16">
        <f t="shared" si="6"/>
        <v>-0.61654344171584385</v>
      </c>
      <c r="N97" s="17">
        <f t="shared" si="7"/>
        <v>-1.4797042601180252</v>
      </c>
    </row>
    <row r="98" spans="1:14" x14ac:dyDescent="0.35">
      <c r="A98" s="12">
        <v>2008</v>
      </c>
      <c r="B98" s="13">
        <f t="shared" si="4"/>
        <v>39813</v>
      </c>
      <c r="C98" s="14" t="s">
        <v>16</v>
      </c>
      <c r="D98" s="14" t="s">
        <v>18</v>
      </c>
      <c r="E98" s="14">
        <v>4.35020762550434</v>
      </c>
      <c r="F98" s="15">
        <f>E98*_xlfn.XLOOKUP(D98,conversiones!$A$2:$A$6,conversiones!$B$2:$B$6,0)</f>
        <v>197.32541789287686</v>
      </c>
      <c r="G98" s="14">
        <v>1244.1099999999999</v>
      </c>
      <c r="H98" s="14" t="s">
        <v>19</v>
      </c>
      <c r="I98" s="15">
        <f>G98/_xlfn.XLOOKUP(H98,conversiones!$A$2:$A$6,conversiones!$B$2:$B$6,0)</f>
        <v>11.310090909090908</v>
      </c>
      <c r="J98" s="14">
        <v>6402.1671715266002</v>
      </c>
      <c r="K98" s="15">
        <f>_xlfn.XLOOKUP(C98,Ciclo!$A$2:$A$13,Ciclo!$D$2:$D$13,0)</f>
        <v>2.4</v>
      </c>
      <c r="L98" s="15">
        <f t="shared" si="5"/>
        <v>-4170.3987564838098</v>
      </c>
      <c r="M98" s="16">
        <f t="shared" si="6"/>
        <v>-0.65140422684235777</v>
      </c>
      <c r="N98" s="17">
        <f t="shared" si="7"/>
        <v>-1.5633701444216586</v>
      </c>
    </row>
    <row r="99" spans="1:14" x14ac:dyDescent="0.35">
      <c r="A99" s="12">
        <v>2008</v>
      </c>
      <c r="B99" s="13">
        <f t="shared" si="4"/>
        <v>39813</v>
      </c>
      <c r="C99" s="14" t="s">
        <v>20</v>
      </c>
      <c r="D99" s="14" t="s">
        <v>18</v>
      </c>
      <c r="E99" s="14">
        <v>2.0148290247957998</v>
      </c>
      <c r="F99" s="15">
        <f>E99*_xlfn.XLOOKUP(D99,conversiones!$A$2:$A$6,conversiones!$B$2:$B$6,0)</f>
        <v>91.392644564737481</v>
      </c>
      <c r="G99" s="14">
        <v>649.95830417460297</v>
      </c>
      <c r="H99" s="14" t="s">
        <v>18</v>
      </c>
      <c r="I99" s="15">
        <f>G99/_xlfn.XLOOKUP(H99,conversiones!$A$2:$A$6,conversiones!$B$2:$B$6,0)</f>
        <v>14.328886776336045</v>
      </c>
      <c r="J99" s="14">
        <v>1490.9040199825199</v>
      </c>
      <c r="K99" s="15">
        <f>_xlfn.XLOOKUP(C99,Ciclo!$A$2:$A$13,Ciclo!$D$2:$D$13,0)</f>
        <v>3</v>
      </c>
      <c r="L99" s="15">
        <f t="shared" si="5"/>
        <v>-181.34916382447273</v>
      </c>
      <c r="M99" s="16">
        <f t="shared" si="6"/>
        <v>-0.12163704798823935</v>
      </c>
      <c r="N99" s="17">
        <f t="shared" si="7"/>
        <v>-0.36491114396471802</v>
      </c>
    </row>
    <row r="100" spans="1:14" x14ac:dyDescent="0.35">
      <c r="A100" s="12">
        <v>2008</v>
      </c>
      <c r="B100" s="13">
        <f t="shared" si="4"/>
        <v>39813</v>
      </c>
      <c r="C100" s="14" t="s">
        <v>23</v>
      </c>
      <c r="D100" s="14" t="s">
        <v>18</v>
      </c>
      <c r="E100" s="14">
        <v>28.486671715259401</v>
      </c>
      <c r="F100" s="15">
        <f>E100*_xlfn.XLOOKUP(D100,conversiones!$A$2:$A$6,conversiones!$B$2:$B$6,0)</f>
        <v>1292.1554290041665</v>
      </c>
      <c r="G100" s="14">
        <v>900.70152777777798</v>
      </c>
      <c r="H100" s="14" t="s">
        <v>18</v>
      </c>
      <c r="I100" s="15">
        <f>G100/_xlfn.XLOOKUP(H100,conversiones!$A$2:$A$6,conversiones!$B$2:$B$6,0)</f>
        <v>19.856735621203217</v>
      </c>
      <c r="J100" s="14">
        <v>17874.25</v>
      </c>
      <c r="K100" s="15">
        <f>_xlfn.XLOOKUP(C100,Ciclo!$A$2:$A$13,Ciclo!$D$2:$D$13,0)</f>
        <v>4</v>
      </c>
      <c r="L100" s="15">
        <f t="shared" si="5"/>
        <v>7783.7387352381593</v>
      </c>
      <c r="M100" s="16">
        <f t="shared" si="6"/>
        <v>0.43547218681836491</v>
      </c>
      <c r="N100" s="17">
        <f t="shared" si="7"/>
        <v>1.7418887472734597</v>
      </c>
    </row>
    <row r="101" spans="1:14" x14ac:dyDescent="0.35">
      <c r="A101" s="12">
        <v>2008</v>
      </c>
      <c r="B101" s="13">
        <f t="shared" si="4"/>
        <v>39813</v>
      </c>
      <c r="C101" s="14" t="s">
        <v>21</v>
      </c>
      <c r="D101" s="14" t="s">
        <v>18</v>
      </c>
      <c r="E101" s="14">
        <v>9.8486486486486502</v>
      </c>
      <c r="F101" s="15">
        <f>E101*_xlfn.XLOOKUP(D101,conversiones!$A$2:$A$6,conversiones!$B$2:$B$6,0)</f>
        <v>446.73470270270275</v>
      </c>
      <c r="G101" s="14">
        <v>488.552096486111</v>
      </c>
      <c r="H101" s="14" t="s">
        <v>18</v>
      </c>
      <c r="I101" s="15">
        <f>G101/_xlfn.XLOOKUP(H101,conversiones!$A$2:$A$6,conversiones!$B$2:$B$6,0)</f>
        <v>10.770548864332254</v>
      </c>
      <c r="J101" s="14">
        <v>3935.0401959000001</v>
      </c>
      <c r="K101" s="15">
        <f>_xlfn.XLOOKUP(C101,Ciclo!$A$2:$A$13,Ciclo!$D$2:$D$13,0)</f>
        <v>2</v>
      </c>
      <c r="L101" s="15">
        <f t="shared" si="5"/>
        <v>876.53774895240167</v>
      </c>
      <c r="M101" s="16">
        <f t="shared" si="6"/>
        <v>0.22275191746851392</v>
      </c>
      <c r="N101" s="17">
        <f t="shared" si="7"/>
        <v>0.44550383493702783</v>
      </c>
    </row>
    <row r="102" spans="1:14" x14ac:dyDescent="0.35">
      <c r="A102" s="12">
        <v>2008</v>
      </c>
      <c r="B102" s="13">
        <f t="shared" si="4"/>
        <v>39813</v>
      </c>
      <c r="C102" s="14" t="s">
        <v>25</v>
      </c>
      <c r="D102" s="14" t="s">
        <v>18</v>
      </c>
      <c r="E102" s="14">
        <v>10.4186222289408</v>
      </c>
      <c r="F102" s="15">
        <f>E102*_xlfn.XLOOKUP(D102,conversiones!$A$2:$A$6,conversiones!$B$2:$B$6,0)</f>
        <v>472.58870430475469</v>
      </c>
      <c r="G102" s="14">
        <v>781.94149067460296</v>
      </c>
      <c r="H102" s="14" t="s">
        <v>18</v>
      </c>
      <c r="I102" s="15">
        <f>G102/_xlfn.XLOOKUP(H102,conversiones!$A$2:$A$6,conversiones!$B$2:$B$6,0)</f>
        <v>17.238569018399538</v>
      </c>
      <c r="J102" s="14">
        <v>3201.64901153456</v>
      </c>
      <c r="K102" s="15">
        <f>_xlfn.XLOOKUP(C102,Ciclo!$A$2:$A$13,Ciclo!$D$2:$D$13,0)</f>
        <v>1.2</v>
      </c>
      <c r="L102" s="15">
        <f t="shared" si="5"/>
        <v>4945.1039849389635</v>
      </c>
      <c r="M102" s="16">
        <f t="shared" si="6"/>
        <v>1.5445490642863318</v>
      </c>
      <c r="N102" s="17">
        <f t="shared" si="7"/>
        <v>1.853458877143598</v>
      </c>
    </row>
    <row r="103" spans="1:14" x14ac:dyDescent="0.35">
      <c r="A103" s="12">
        <v>2008</v>
      </c>
      <c r="B103" s="13">
        <f t="shared" si="4"/>
        <v>39813</v>
      </c>
      <c r="C103" s="14" t="s">
        <v>22</v>
      </c>
      <c r="D103" s="14" t="s">
        <v>18</v>
      </c>
      <c r="E103" s="14">
        <v>9.6263230209418609</v>
      </c>
      <c r="F103" s="15">
        <f>E103*_xlfn.XLOOKUP(D103,conversiones!$A$2:$A$6,conversiones!$B$2:$B$6,0)</f>
        <v>436.65001222992282</v>
      </c>
      <c r="G103" s="14">
        <v>1241.5657777777801</v>
      </c>
      <c r="H103" s="14" t="s">
        <v>18</v>
      </c>
      <c r="I103" s="15">
        <f>G103/_xlfn.XLOOKUP(H103,conversiones!$A$2:$A$6,conversiones!$B$2:$B$6,0)</f>
        <v>27.371379580638891</v>
      </c>
      <c r="J103" s="14">
        <v>6901.0735717535999</v>
      </c>
      <c r="K103" s="15">
        <f>_xlfn.XLOOKUP(C103,Ciclo!$A$2:$A$13,Ciclo!$D$2:$D$13,0)</f>
        <v>1</v>
      </c>
      <c r="L103" s="15">
        <f t="shared" si="5"/>
        <v>5050.639656882232</v>
      </c>
      <c r="M103" s="16">
        <f t="shared" si="6"/>
        <v>0.73186289123980997</v>
      </c>
      <c r="N103" s="17">
        <f t="shared" si="7"/>
        <v>0.73186289123980997</v>
      </c>
    </row>
    <row r="104" spans="1:14" x14ac:dyDescent="0.35">
      <c r="A104" s="12">
        <v>2008</v>
      </c>
      <c r="B104" s="13">
        <f t="shared" si="4"/>
        <v>39813</v>
      </c>
      <c r="C104" s="14" t="s">
        <v>24</v>
      </c>
      <c r="D104" s="14" t="s">
        <v>18</v>
      </c>
      <c r="E104" s="14">
        <v>8.5957783894507802</v>
      </c>
      <c r="F104" s="15">
        <f>E104*_xlfn.XLOOKUP(D104,conversiones!$A$2:$A$6,conversiones!$B$2:$B$6,0)</f>
        <v>389.90450774548736</v>
      </c>
      <c r="G104" s="14">
        <v>1159.7951388888901</v>
      </c>
      <c r="H104" s="14" t="s">
        <v>18</v>
      </c>
      <c r="I104" s="15">
        <f>G104/_xlfn.XLOOKUP(H104,conversiones!$A$2:$A$6,conversiones!$B$2:$B$6,0)</f>
        <v>25.568675901430556</v>
      </c>
      <c r="J104" s="14">
        <v>5602.3420621674204</v>
      </c>
      <c r="K104" s="15">
        <f>_xlfn.XLOOKUP(C104,Ciclo!$A$2:$A$13,Ciclo!$D$2:$D$13,0)</f>
        <v>1</v>
      </c>
      <c r="L104" s="15">
        <f t="shared" si="5"/>
        <v>4366.9999288837653</v>
      </c>
      <c r="M104" s="16">
        <f t="shared" si="6"/>
        <v>0.77949541110209741</v>
      </c>
      <c r="N104" s="17">
        <f t="shared" si="7"/>
        <v>0.77949541110209741</v>
      </c>
    </row>
    <row r="105" spans="1:14" x14ac:dyDescent="0.35">
      <c r="A105" s="12">
        <v>2008</v>
      </c>
      <c r="B105" s="13">
        <f t="shared" si="4"/>
        <v>39813</v>
      </c>
      <c r="C105" s="14" t="s">
        <v>30</v>
      </c>
      <c r="D105" s="14" t="s">
        <v>32</v>
      </c>
      <c r="E105" s="14">
        <v>62.2845919299874</v>
      </c>
      <c r="F105" s="15">
        <f>E105*_xlfn.XLOOKUP(D105,conversiones!$A$2:$A$6,conversiones!$B$2:$B$6,0)</f>
        <v>1694.7637464149573</v>
      </c>
      <c r="G105" s="14">
        <v>112.71151785714299</v>
      </c>
      <c r="H105" s="14" t="s">
        <v>32</v>
      </c>
      <c r="I105" s="15">
        <f>G105/_xlfn.XLOOKUP(H105,conversiones!$A$2:$A$6,conversiones!$B$2:$B$6,0)</f>
        <v>4.1422829054444321</v>
      </c>
      <c r="J105" s="14">
        <v>8644.7793050524706</v>
      </c>
      <c r="K105" s="15">
        <f>_xlfn.XLOOKUP(C105,Ciclo!$A$2:$A$13,Ciclo!$D$2:$D$13,0)</f>
        <v>1</v>
      </c>
      <c r="L105" s="15">
        <f t="shared" si="5"/>
        <v>-1624.5884095108304</v>
      </c>
      <c r="M105" s="16">
        <f t="shared" si="6"/>
        <v>-0.18792711209658461</v>
      </c>
      <c r="N105" s="17">
        <f t="shared" si="7"/>
        <v>-0.18792711209658461</v>
      </c>
    </row>
    <row r="106" spans="1:14" x14ac:dyDescent="0.35">
      <c r="A106" s="12">
        <v>2008</v>
      </c>
      <c r="B106" s="13">
        <f t="shared" si="4"/>
        <v>39813</v>
      </c>
      <c r="C106" s="14" t="s">
        <v>33</v>
      </c>
      <c r="D106" s="14" t="s">
        <v>34</v>
      </c>
      <c r="E106" s="14">
        <v>2.2318028059111601</v>
      </c>
      <c r="F106" s="15">
        <f>E106*_xlfn.XLOOKUP(D106,conversiones!$A$2:$A$6,conversiones!$B$2:$B$6,0)</f>
        <v>910.91031523263996</v>
      </c>
      <c r="G106" s="14">
        <v>4869.3090019841302</v>
      </c>
      <c r="H106" s="14" t="s">
        <v>34</v>
      </c>
      <c r="I106" s="15">
        <f>G106/_xlfn.XLOOKUP(H106,conversiones!$A$2:$A$6,conversiones!$B$2:$B$6,0)</f>
        <v>11.93019478619167</v>
      </c>
      <c r="J106" s="14">
        <v>8418.1288680949201</v>
      </c>
      <c r="K106" s="15">
        <f>_xlfn.XLOOKUP(C106,Ciclo!$A$2:$A$13,Ciclo!$D$2:$D$13,0)</f>
        <v>1</v>
      </c>
      <c r="L106" s="15">
        <f t="shared" si="5"/>
        <v>2449.2086253817324</v>
      </c>
      <c r="M106" s="16">
        <f t="shared" si="6"/>
        <v>0.29094453931019532</v>
      </c>
      <c r="N106" s="17">
        <f t="shared" si="7"/>
        <v>0.29094453931019532</v>
      </c>
    </row>
    <row r="107" spans="1:14" x14ac:dyDescent="0.35">
      <c r="A107" s="12">
        <v>2008</v>
      </c>
      <c r="B107" s="13">
        <f t="shared" si="4"/>
        <v>39813</v>
      </c>
      <c r="C107" s="14" t="s">
        <v>28</v>
      </c>
      <c r="D107" s="14" t="s">
        <v>29</v>
      </c>
      <c r="E107" s="14">
        <v>1.49111132681198</v>
      </c>
      <c r="F107" s="15">
        <f>E107*_xlfn.XLOOKUP(D107,conversiones!$A$2:$A$6,conversiones!$B$2:$B$6,0)</f>
        <v>838.51154351944888</v>
      </c>
      <c r="G107" s="14">
        <v>5628.4876309523797</v>
      </c>
      <c r="H107" s="14" t="s">
        <v>29</v>
      </c>
      <c r="I107" s="15">
        <f>G107/_xlfn.XLOOKUP(H107,conversiones!$A$2:$A$6,conversiones!$B$2:$B$6,0)</f>
        <v>10.009047250688871</v>
      </c>
      <c r="J107" s="14">
        <v>4903.3716657183304</v>
      </c>
      <c r="K107" s="15">
        <f>_xlfn.XLOOKUP(C107,Ciclo!$A$2:$A$13,Ciclo!$D$2:$D$13,0)</f>
        <v>3</v>
      </c>
      <c r="L107" s="15">
        <f t="shared" si="5"/>
        <v>3489.329993615891</v>
      </c>
      <c r="M107" s="16">
        <f t="shared" si="6"/>
        <v>0.71161850079841216</v>
      </c>
      <c r="N107" s="17">
        <f t="shared" si="7"/>
        <v>2.1348555023952365</v>
      </c>
    </row>
    <row r="108" spans="1:14" x14ac:dyDescent="0.35">
      <c r="A108" s="12">
        <v>2008</v>
      </c>
      <c r="B108" s="13">
        <f t="shared" si="4"/>
        <v>39813</v>
      </c>
      <c r="C108" s="14" t="s">
        <v>26</v>
      </c>
      <c r="D108" s="14" t="s">
        <v>18</v>
      </c>
      <c r="E108" s="14">
        <v>5.9089309311666698</v>
      </c>
      <c r="F108" s="15">
        <f>E108*_xlfn.XLOOKUP(D108,conversiones!$A$2:$A$6,conversiones!$B$2:$B$6,0)</f>
        <v>268.02910703772017</v>
      </c>
      <c r="G108" s="14">
        <v>707.96550000000002</v>
      </c>
      <c r="H108" s="14" t="s">
        <v>18</v>
      </c>
      <c r="I108" s="15">
        <f>G108/_xlfn.XLOOKUP(H108,conversiones!$A$2:$A$6,conversiones!$B$2:$B$6,0)</f>
        <v>15.607705026455028</v>
      </c>
      <c r="J108" s="14">
        <v>1294.9257376989401</v>
      </c>
      <c r="K108" s="15">
        <f>_xlfn.XLOOKUP(C108,Ciclo!$A$2:$A$13,Ciclo!$D$2:$D$13,0)</f>
        <v>3</v>
      </c>
      <c r="L108" s="15">
        <f t="shared" si="5"/>
        <v>2888.3935034499382</v>
      </c>
      <c r="M108" s="16">
        <f t="shared" si="6"/>
        <v>2.2305476054422719</v>
      </c>
      <c r="N108" s="17">
        <f t="shared" si="7"/>
        <v>6.6916428163268158</v>
      </c>
    </row>
    <row r="109" spans="1:14" x14ac:dyDescent="0.35">
      <c r="A109" s="12">
        <v>2008</v>
      </c>
      <c r="B109" s="13">
        <f t="shared" si="4"/>
        <v>39813</v>
      </c>
      <c r="C109" s="14" t="s">
        <v>27</v>
      </c>
      <c r="D109" s="14" t="s">
        <v>18</v>
      </c>
      <c r="E109" s="14">
        <v>7.2165397019573003</v>
      </c>
      <c r="F109" s="15">
        <f>E109*_xlfn.XLOOKUP(D109,conversiones!$A$2:$A$6,conversiones!$B$2:$B$6,0)</f>
        <v>327.34224088078315</v>
      </c>
      <c r="G109" s="14">
        <v>388.63185763888902</v>
      </c>
      <c r="H109" s="14" t="s">
        <v>18</v>
      </c>
      <c r="I109" s="15">
        <f>G109/_xlfn.XLOOKUP(H109,conversiones!$A$2:$A$6,conversiones!$B$2:$B$6,0)</f>
        <v>8.5677217292524031</v>
      </c>
      <c r="J109" s="14">
        <v>5429.7257056660201</v>
      </c>
      <c r="K109" s="15">
        <f>_xlfn.XLOOKUP(C109,Ciclo!$A$2:$A$13,Ciclo!$D$2:$D$13,0)</f>
        <v>2.4</v>
      </c>
      <c r="L109" s="15">
        <f t="shared" si="5"/>
        <v>-2625.1484755695601</v>
      </c>
      <c r="M109" s="16">
        <f t="shared" si="6"/>
        <v>-0.48347718059315015</v>
      </c>
      <c r="N109" s="17">
        <f t="shared" si="7"/>
        <v>-1.1603452334235602</v>
      </c>
    </row>
    <row r="110" spans="1:14" x14ac:dyDescent="0.35">
      <c r="A110" s="12">
        <v>2009</v>
      </c>
      <c r="B110" s="13">
        <f t="shared" si="4"/>
        <v>40178</v>
      </c>
      <c r="C110" s="14" t="s">
        <v>16</v>
      </c>
      <c r="D110" s="14" t="s">
        <v>18</v>
      </c>
      <c r="E110" s="14">
        <v>4.2002286811339102</v>
      </c>
      <c r="F110" s="15">
        <f>E110*_xlfn.XLOOKUP(D110,conversiones!$A$2:$A$6,conversiones!$B$2:$B$6,0)</f>
        <v>190.52237297623415</v>
      </c>
      <c r="G110" s="14">
        <v>1999.1411985371601</v>
      </c>
      <c r="H110" s="14" t="s">
        <v>19</v>
      </c>
      <c r="I110" s="15">
        <f>G110/_xlfn.XLOOKUP(H110,conversiones!$A$2:$A$6,conversiones!$B$2:$B$6,0)</f>
        <v>18.174010895792364</v>
      </c>
      <c r="J110" s="14">
        <v>6526.78</v>
      </c>
      <c r="K110" s="15">
        <f>_xlfn.XLOOKUP(C110,Ciclo!$A$2:$A$13,Ciclo!$D$2:$D$13,0)</f>
        <v>2.4</v>
      </c>
      <c r="L110" s="15">
        <f t="shared" si="5"/>
        <v>-3064.2243176377037</v>
      </c>
      <c r="M110" s="16">
        <f t="shared" si="6"/>
        <v>-0.46948484821576703</v>
      </c>
      <c r="N110" s="17">
        <f t="shared" si="7"/>
        <v>-1.1267636357178408</v>
      </c>
    </row>
    <row r="111" spans="1:14" x14ac:dyDescent="0.35">
      <c r="A111" s="12">
        <v>2009</v>
      </c>
      <c r="B111" s="13">
        <f t="shared" si="4"/>
        <v>40178</v>
      </c>
      <c r="C111" s="14" t="s">
        <v>20</v>
      </c>
      <c r="D111" s="14" t="s">
        <v>18</v>
      </c>
      <c r="E111" s="14">
        <v>2.0304962040756198</v>
      </c>
      <c r="F111" s="15">
        <f>E111*_xlfn.XLOOKUP(D111,conversiones!$A$2:$A$6,conversiones!$B$2:$B$6,0)</f>
        <v>92.103307816870114</v>
      </c>
      <c r="G111" s="14">
        <v>601.31799999999998</v>
      </c>
      <c r="H111" s="14" t="s">
        <v>18</v>
      </c>
      <c r="I111" s="15">
        <f>G111/_xlfn.XLOOKUP(H111,conversiones!$A$2:$A$6,conversiones!$B$2:$B$6,0)</f>
        <v>13.256569664902997</v>
      </c>
      <c r="J111" s="14">
        <v>1590.1032460281599</v>
      </c>
      <c r="K111" s="15">
        <f>_xlfn.XLOOKUP(C111,Ciclo!$A$2:$A$13,Ciclo!$D$2:$D$13,0)</f>
        <v>3</v>
      </c>
      <c r="L111" s="15">
        <f t="shared" si="5"/>
        <v>-369.12932958581655</v>
      </c>
      <c r="M111" s="16">
        <f t="shared" si="6"/>
        <v>-0.23214173702735744</v>
      </c>
      <c r="N111" s="17">
        <f t="shared" si="7"/>
        <v>-0.69642521108207234</v>
      </c>
    </row>
    <row r="112" spans="1:14" x14ac:dyDescent="0.35">
      <c r="A112" s="12">
        <v>2009</v>
      </c>
      <c r="B112" s="13">
        <f t="shared" si="4"/>
        <v>40178</v>
      </c>
      <c r="C112" s="14" t="s">
        <v>23</v>
      </c>
      <c r="D112" s="14" t="s">
        <v>18</v>
      </c>
      <c r="E112" s="14">
        <v>30.4595805529075</v>
      </c>
      <c r="F112" s="15">
        <f>E112*_xlfn.XLOOKUP(D112,conversiones!$A$2:$A$6,conversiones!$B$2:$B$6,0)</f>
        <v>1381.6465738798843</v>
      </c>
      <c r="G112" s="14">
        <v>615.46354166666697</v>
      </c>
      <c r="H112" s="14" t="s">
        <v>18</v>
      </c>
      <c r="I112" s="15">
        <f>G112/_xlfn.XLOOKUP(H112,conversiones!$A$2:$A$6,conversiones!$B$2:$B$6,0)</f>
        <v>13.568420230746627</v>
      </c>
      <c r="J112" s="14">
        <v>17661.808667508602</v>
      </c>
      <c r="K112" s="15">
        <f>_xlfn.XLOOKUP(C112,Ciclo!$A$2:$A$13,Ciclo!$D$2:$D$13,0)</f>
        <v>4</v>
      </c>
      <c r="L112" s="15">
        <f t="shared" si="5"/>
        <v>1084.9526572649847</v>
      </c>
      <c r="M112" s="16">
        <f t="shared" si="6"/>
        <v>6.1429306459474267E-2</v>
      </c>
      <c r="N112" s="17">
        <f t="shared" si="7"/>
        <v>0.24571722583789707</v>
      </c>
    </row>
    <row r="113" spans="1:14" x14ac:dyDescent="0.35">
      <c r="A113" s="12">
        <v>2009</v>
      </c>
      <c r="B113" s="13">
        <f t="shared" si="4"/>
        <v>40178</v>
      </c>
      <c r="C113" s="14" t="s">
        <v>21</v>
      </c>
      <c r="D113" s="14" t="s">
        <v>18</v>
      </c>
      <c r="E113" s="14">
        <v>10.741667786240599</v>
      </c>
      <c r="F113" s="15">
        <f>E113*_xlfn.XLOOKUP(D113,conversiones!$A$2:$A$6,conversiones!$B$2:$B$6,0)</f>
        <v>487.24205078387359</v>
      </c>
      <c r="G113" s="14">
        <v>336.31103048941799</v>
      </c>
      <c r="H113" s="14" t="s">
        <v>18</v>
      </c>
      <c r="I113" s="15">
        <f>G113/_xlfn.XLOOKUP(H113,conversiones!$A$2:$A$6,conversiones!$B$2:$B$6,0)</f>
        <v>7.4142643405956346</v>
      </c>
      <c r="J113" s="14">
        <v>4038.1847174999998</v>
      </c>
      <c r="K113" s="15">
        <f>_xlfn.XLOOKUP(C113,Ciclo!$A$2:$A$13,Ciclo!$D$2:$D$13,0)</f>
        <v>2</v>
      </c>
      <c r="L113" s="15">
        <f t="shared" si="5"/>
        <v>-425.64335513443848</v>
      </c>
      <c r="M113" s="16">
        <f t="shared" si="6"/>
        <v>-0.10540462730440674</v>
      </c>
      <c r="N113" s="17">
        <f t="shared" si="7"/>
        <v>-0.21080925460881347</v>
      </c>
    </row>
    <row r="114" spans="1:14" x14ac:dyDescent="0.35">
      <c r="A114" s="12">
        <v>2009</v>
      </c>
      <c r="B114" s="13">
        <f t="shared" si="4"/>
        <v>40178</v>
      </c>
      <c r="C114" s="14" t="s">
        <v>25</v>
      </c>
      <c r="D114" s="14" t="s">
        <v>18</v>
      </c>
      <c r="E114" s="14">
        <v>10.7015694535185</v>
      </c>
      <c r="F114" s="15">
        <f>E114*_xlfn.XLOOKUP(D114,conversiones!$A$2:$A$6,conversiones!$B$2:$B$6,0)</f>
        <v>485.42319041159914</v>
      </c>
      <c r="G114" s="14">
        <v>407.44123611111098</v>
      </c>
      <c r="H114" s="14" t="s">
        <v>18</v>
      </c>
      <c r="I114" s="15">
        <f>G114/_xlfn.XLOOKUP(H114,conversiones!$A$2:$A$6,conversiones!$B$2:$B$6,0)</f>
        <v>8.982390566823435</v>
      </c>
      <c r="J114" s="14">
        <v>3380.6681837157598</v>
      </c>
      <c r="K114" s="15">
        <f>_xlfn.XLOOKUP(C114,Ciclo!$A$2:$A$13,Ciclo!$D$2:$D$13,0)</f>
        <v>1.2</v>
      </c>
      <c r="L114" s="15">
        <f t="shared" si="5"/>
        <v>979.59250275472414</v>
      </c>
      <c r="M114" s="16">
        <f t="shared" si="6"/>
        <v>0.28976298457011967</v>
      </c>
      <c r="N114" s="17">
        <f t="shared" si="7"/>
        <v>0.34771558148414361</v>
      </c>
    </row>
    <row r="115" spans="1:14" x14ac:dyDescent="0.35">
      <c r="A115" s="12">
        <v>2009</v>
      </c>
      <c r="B115" s="13">
        <f t="shared" si="4"/>
        <v>40178</v>
      </c>
      <c r="C115" s="14" t="s">
        <v>22</v>
      </c>
      <c r="D115" s="14" t="s">
        <v>18</v>
      </c>
      <c r="E115" s="14">
        <v>9.7285269676260206</v>
      </c>
      <c r="F115" s="15">
        <f>E115*_xlfn.XLOOKUP(D115,conversiones!$A$2:$A$6,conversiones!$B$2:$B$6,0)</f>
        <v>441.28598325151631</v>
      </c>
      <c r="G115" s="14">
        <v>1188.5136656745999</v>
      </c>
      <c r="H115" s="14" t="s">
        <v>18</v>
      </c>
      <c r="I115" s="15">
        <f>G115/_xlfn.XLOOKUP(H115,conversiones!$A$2:$A$6,conversiones!$B$2:$B$6,0)</f>
        <v>26.201800389651673</v>
      </c>
      <c r="J115" s="14">
        <v>7095.7961171999996</v>
      </c>
      <c r="K115" s="15">
        <f>_xlfn.XLOOKUP(C115,Ciclo!$A$2:$A$13,Ciclo!$D$2:$D$13,0)</f>
        <v>1</v>
      </c>
      <c r="L115" s="15">
        <f t="shared" si="5"/>
        <v>4466.6911307074024</v>
      </c>
      <c r="M115" s="16">
        <f t="shared" si="6"/>
        <v>0.62948414200913627</v>
      </c>
      <c r="N115" s="17">
        <f t="shared" si="7"/>
        <v>0.62948414200913627</v>
      </c>
    </row>
    <row r="116" spans="1:14" x14ac:dyDescent="0.35">
      <c r="A116" s="12">
        <v>2009</v>
      </c>
      <c r="B116" s="13">
        <f t="shared" si="4"/>
        <v>40178</v>
      </c>
      <c r="C116" s="14" t="s">
        <v>24</v>
      </c>
      <c r="D116" s="14" t="s">
        <v>18</v>
      </c>
      <c r="E116" s="14">
        <v>8.9544131639335092</v>
      </c>
      <c r="F116" s="15">
        <f>E116*_xlfn.XLOOKUP(D116,conversiones!$A$2:$A$6,conversiones!$B$2:$B$6,0)</f>
        <v>406.17218111602398</v>
      </c>
      <c r="G116" s="14">
        <v>1219.1711806972801</v>
      </c>
      <c r="H116" s="14" t="s">
        <v>18</v>
      </c>
      <c r="I116" s="15">
        <f>G116/_xlfn.XLOOKUP(H116,conversiones!$A$2:$A$6,conversiones!$B$2:$B$6,0)</f>
        <v>26.877671532126985</v>
      </c>
      <c r="J116" s="14">
        <v>5745.6881190335998</v>
      </c>
      <c r="K116" s="15">
        <f>_xlfn.XLOOKUP(C116,Ciclo!$A$2:$A$13,Ciclo!$D$2:$D$13,0)</f>
        <v>1</v>
      </c>
      <c r="L116" s="15">
        <f t="shared" si="5"/>
        <v>5171.2743504904838</v>
      </c>
      <c r="M116" s="16">
        <f t="shared" si="6"/>
        <v>0.90002698429796957</v>
      </c>
      <c r="N116" s="17">
        <f t="shared" si="7"/>
        <v>0.90002698429796957</v>
      </c>
    </row>
    <row r="117" spans="1:14" x14ac:dyDescent="0.35">
      <c r="A117" s="12">
        <v>2009</v>
      </c>
      <c r="B117" s="13">
        <f t="shared" si="4"/>
        <v>40178</v>
      </c>
      <c r="C117" s="14" t="s">
        <v>30</v>
      </c>
      <c r="D117" s="14" t="s">
        <v>32</v>
      </c>
      <c r="E117" s="14">
        <v>83.810888047625298</v>
      </c>
      <c r="F117" s="15">
        <f>E117*_xlfn.XLOOKUP(D117,conversiones!$A$2:$A$6,conversiones!$B$2:$B$6,0)</f>
        <v>2280.4942637758845</v>
      </c>
      <c r="G117" s="14">
        <v>104.78</v>
      </c>
      <c r="H117" s="14" t="s">
        <v>32</v>
      </c>
      <c r="I117" s="15">
        <f>G117/_xlfn.XLOOKUP(H117,conversiones!$A$2:$A$6,conversiones!$B$2:$B$6,0)</f>
        <v>3.8507901506798969</v>
      </c>
      <c r="J117" s="14">
        <v>9253.9447792029805</v>
      </c>
      <c r="K117" s="15">
        <f>_xlfn.XLOOKUP(C117,Ciclo!$A$2:$A$13,Ciclo!$D$2:$D$13,0)</f>
        <v>1</v>
      </c>
      <c r="L117" s="15">
        <f t="shared" si="5"/>
        <v>-472.23992957280097</v>
      </c>
      <c r="M117" s="16">
        <f t="shared" si="6"/>
        <v>-5.1031202459095919E-2</v>
      </c>
      <c r="N117" s="17">
        <f t="shared" si="7"/>
        <v>-5.1031202459095919E-2</v>
      </c>
    </row>
    <row r="118" spans="1:14" x14ac:dyDescent="0.35">
      <c r="A118" s="12">
        <v>2009</v>
      </c>
      <c r="B118" s="13">
        <f t="shared" si="4"/>
        <v>40178</v>
      </c>
      <c r="C118" s="14" t="s">
        <v>33</v>
      </c>
      <c r="D118" s="14" t="s">
        <v>34</v>
      </c>
      <c r="E118" s="14">
        <v>2.8965725496758599</v>
      </c>
      <c r="F118" s="15">
        <f>E118*_xlfn.XLOOKUP(D118,conversiones!$A$2:$A$6,conversiones!$B$2:$B$6,0)</f>
        <v>1182.236086150202</v>
      </c>
      <c r="G118" s="14">
        <v>2985.92782242064</v>
      </c>
      <c r="H118" s="14" t="s">
        <v>34</v>
      </c>
      <c r="I118" s="15">
        <f>G118/_xlfn.XLOOKUP(H118,conversiones!$A$2:$A$6,conversiones!$B$2:$B$6,0)</f>
        <v>7.3157609271607011</v>
      </c>
      <c r="J118" s="14">
        <v>8960.6721575976007</v>
      </c>
      <c r="K118" s="15">
        <f>_xlfn.XLOOKUP(C118,Ciclo!$A$2:$A$13,Ciclo!$D$2:$D$13,0)</f>
        <v>1</v>
      </c>
      <c r="L118" s="15">
        <f t="shared" si="5"/>
        <v>-311.71559186056038</v>
      </c>
      <c r="M118" s="16">
        <f t="shared" si="6"/>
        <v>-3.4787076948938706E-2</v>
      </c>
      <c r="N118" s="17">
        <f t="shared" si="7"/>
        <v>-3.4787076948938706E-2</v>
      </c>
    </row>
    <row r="119" spans="1:14" x14ac:dyDescent="0.35">
      <c r="A119" s="12">
        <v>2009</v>
      </c>
      <c r="B119" s="13">
        <f t="shared" si="4"/>
        <v>40178</v>
      </c>
      <c r="C119" s="14" t="s">
        <v>28</v>
      </c>
      <c r="D119" s="14" t="s">
        <v>29</v>
      </c>
      <c r="E119" s="14">
        <v>1.1861595169372601</v>
      </c>
      <c r="F119" s="15">
        <f>E119*_xlfn.XLOOKUP(D119,conversiones!$A$2:$A$6,conversiones!$B$2:$B$6,0)</f>
        <v>667.02494275449885</v>
      </c>
      <c r="G119" s="14">
        <v>5259.8068287037004</v>
      </c>
      <c r="H119" s="14" t="s">
        <v>29</v>
      </c>
      <c r="I119" s="15">
        <f>G119/_xlfn.XLOOKUP(H119,conversiones!$A$2:$A$6,conversiones!$B$2:$B$6,0)</f>
        <v>9.3534282261686883</v>
      </c>
      <c r="J119" s="14">
        <v>5157.1623197653698</v>
      </c>
      <c r="K119" s="15">
        <f>_xlfn.XLOOKUP(C119,Ciclo!$A$2:$A$13,Ciclo!$D$2:$D$13,0)</f>
        <v>3</v>
      </c>
      <c r="L119" s="15">
        <f t="shared" si="5"/>
        <v>1081.8076073531129</v>
      </c>
      <c r="M119" s="16">
        <f t="shared" si="6"/>
        <v>0.20976799648267241</v>
      </c>
      <c r="N119" s="17">
        <f t="shared" si="7"/>
        <v>0.62930398944801724</v>
      </c>
    </row>
    <row r="120" spans="1:14" x14ac:dyDescent="0.35">
      <c r="A120" s="12">
        <v>2009</v>
      </c>
      <c r="B120" s="13">
        <f t="shared" si="4"/>
        <v>40178</v>
      </c>
      <c r="C120" s="14" t="s">
        <v>26</v>
      </c>
      <c r="D120" s="14" t="s">
        <v>18</v>
      </c>
      <c r="E120" s="14">
        <v>6.1029461118824999</v>
      </c>
      <c r="F120" s="15">
        <f>E120*_xlfn.XLOOKUP(D120,conversiones!$A$2:$A$6,conversiones!$B$2:$B$6,0)</f>
        <v>276.82963563499021</v>
      </c>
      <c r="G120" s="14">
        <v>619.23526785714296</v>
      </c>
      <c r="H120" s="14" t="s">
        <v>18</v>
      </c>
      <c r="I120" s="15">
        <f>G120/_xlfn.XLOOKUP(H120,conversiones!$A$2:$A$6,conversiones!$B$2:$B$6,0)</f>
        <v>13.651571160871759</v>
      </c>
      <c r="J120" s="14">
        <v>1376.3165203125</v>
      </c>
      <c r="K120" s="15">
        <f>_xlfn.XLOOKUP(C120,Ciclo!$A$2:$A$13,Ciclo!$D$2:$D$13,0)</f>
        <v>3</v>
      </c>
      <c r="L120" s="15">
        <f t="shared" si="5"/>
        <v>2402.8429499967697</v>
      </c>
      <c r="M120" s="16">
        <f t="shared" si="6"/>
        <v>1.7458505471191985</v>
      </c>
      <c r="N120" s="17">
        <f t="shared" si="7"/>
        <v>5.2375516413575953</v>
      </c>
    </row>
    <row r="121" spans="1:14" x14ac:dyDescent="0.35">
      <c r="A121" s="12">
        <v>2009</v>
      </c>
      <c r="B121" s="13">
        <f t="shared" si="4"/>
        <v>40178</v>
      </c>
      <c r="C121" s="14" t="s">
        <v>27</v>
      </c>
      <c r="D121" s="14" t="s">
        <v>18</v>
      </c>
      <c r="E121" s="14">
        <v>7.2560812035526601</v>
      </c>
      <c r="F121" s="15">
        <f>E121*_xlfn.XLOOKUP(D121,conversiones!$A$2:$A$6,conversiones!$B$2:$B$6,0)</f>
        <v>329.13584339314866</v>
      </c>
      <c r="G121" s="14">
        <v>289.16887309523798</v>
      </c>
      <c r="H121" s="14" t="s">
        <v>18</v>
      </c>
      <c r="I121" s="15">
        <f>G121/_xlfn.XLOOKUP(H121,conversiones!$A$2:$A$6,conversiones!$B$2:$B$6,0)</f>
        <v>6.3749751564205903</v>
      </c>
      <c r="J121" s="14">
        <v>5690.0383784955002</v>
      </c>
      <c r="K121" s="15">
        <f>_xlfn.XLOOKUP(C121,Ciclo!$A$2:$A$13,Ciclo!$D$2:$D$13,0)</f>
        <v>2.4</v>
      </c>
      <c r="L121" s="15">
        <f t="shared" si="5"/>
        <v>-3591.8055537766395</v>
      </c>
      <c r="M121" s="16">
        <f t="shared" si="6"/>
        <v>-0.63124452153982602</v>
      </c>
      <c r="N121" s="17">
        <f t="shared" si="7"/>
        <v>-1.5149868516955824</v>
      </c>
    </row>
    <row r="122" spans="1:14" x14ac:dyDescent="0.35">
      <c r="A122" s="12">
        <v>2010</v>
      </c>
      <c r="B122" s="13">
        <f t="shared" si="4"/>
        <v>40543</v>
      </c>
      <c r="C122" s="14" t="s">
        <v>16</v>
      </c>
      <c r="D122" s="14" t="s">
        <v>18</v>
      </c>
      <c r="E122" s="14">
        <v>4.40859735604249</v>
      </c>
      <c r="F122" s="15">
        <f>E122*_xlfn.XLOOKUP(D122,conversiones!$A$2:$A$6,conversiones!$B$2:$B$6,0)</f>
        <v>199.97397607008733</v>
      </c>
      <c r="G122" s="14">
        <v>1883.3638490537201</v>
      </c>
      <c r="H122" s="14" t="s">
        <v>19</v>
      </c>
      <c r="I122" s="15">
        <f>G122/_xlfn.XLOOKUP(H122,conversiones!$A$2:$A$6,conversiones!$B$2:$B$6,0)</f>
        <v>17.121489536852</v>
      </c>
      <c r="J122" s="14">
        <v>7449.8087382093299</v>
      </c>
      <c r="K122" s="15">
        <f>_xlfn.XLOOKUP(C122,Ciclo!$A$2:$A$13,Ciclo!$D$2:$D$13,0)</f>
        <v>2.4</v>
      </c>
      <c r="L122" s="15">
        <f t="shared" si="5"/>
        <v>-4025.9563992826374</v>
      </c>
      <c r="M122" s="16">
        <f t="shared" si="6"/>
        <v>-0.54041070593314788</v>
      </c>
      <c r="N122" s="17">
        <f t="shared" si="7"/>
        <v>-1.2969856942395548</v>
      </c>
    </row>
    <row r="123" spans="1:14" x14ac:dyDescent="0.35">
      <c r="A123" s="12">
        <v>2010</v>
      </c>
      <c r="B123" s="13">
        <f t="shared" si="4"/>
        <v>40543</v>
      </c>
      <c r="C123" s="14" t="s">
        <v>20</v>
      </c>
      <c r="D123" s="14" t="s">
        <v>18</v>
      </c>
      <c r="E123" s="14">
        <v>2.33184275673247</v>
      </c>
      <c r="F123" s="15">
        <f>E123*_xlfn.XLOOKUP(D123,conversiones!$A$2:$A$6,conversiones!$B$2:$B$6,0)</f>
        <v>105.77238744538484</v>
      </c>
      <c r="G123" s="14">
        <v>613.42964229695804</v>
      </c>
      <c r="H123" s="14" t="s">
        <v>18</v>
      </c>
      <c r="I123" s="15">
        <f>G123/_xlfn.XLOOKUP(H123,conversiones!$A$2:$A$6,conversiones!$B$2:$B$6,0)</f>
        <v>13.5235811793862</v>
      </c>
      <c r="J123" s="14">
        <v>2162.02023182316</v>
      </c>
      <c r="K123" s="15">
        <f>_xlfn.XLOOKUP(C123,Ciclo!$A$2:$A$13,Ciclo!$D$2:$D$13,0)</f>
        <v>3</v>
      </c>
      <c r="L123" s="15">
        <f t="shared" si="5"/>
        <v>-731.59876366800836</v>
      </c>
      <c r="M123" s="16">
        <f t="shared" si="6"/>
        <v>-0.33838664083687847</v>
      </c>
      <c r="N123" s="17">
        <f t="shared" si="7"/>
        <v>-1.0151599225106354</v>
      </c>
    </row>
    <row r="124" spans="1:14" x14ac:dyDescent="0.35">
      <c r="A124" s="12">
        <v>2010</v>
      </c>
      <c r="B124" s="13">
        <f t="shared" si="4"/>
        <v>40543</v>
      </c>
      <c r="C124" s="14" t="s">
        <v>23</v>
      </c>
      <c r="D124" s="14" t="s">
        <v>18</v>
      </c>
      <c r="E124" s="14">
        <v>32.904858241914802</v>
      </c>
      <c r="F124" s="15">
        <f>E124*_xlfn.XLOOKUP(D124,conversiones!$A$2:$A$6,conversiones!$B$2:$B$6,0)</f>
        <v>1492.5643698532554</v>
      </c>
      <c r="G124" s="14">
        <v>769.19849537036998</v>
      </c>
      <c r="H124" s="14" t="s">
        <v>18</v>
      </c>
      <c r="I124" s="15">
        <f>G124/_xlfn.XLOOKUP(H124,conversiones!$A$2:$A$6,conversiones!$B$2:$B$6,0)</f>
        <v>16.957638786824734</v>
      </c>
      <c r="J124" s="14">
        <v>20327.21</v>
      </c>
      <c r="K124" s="15">
        <f>_xlfn.XLOOKUP(C124,Ciclo!$A$2:$A$13,Ciclo!$D$2:$D$13,0)</f>
        <v>4</v>
      </c>
      <c r="L124" s="15">
        <f t="shared" si="5"/>
        <v>4983.1574500561837</v>
      </c>
      <c r="M124" s="16">
        <f t="shared" si="6"/>
        <v>0.24514714267507365</v>
      </c>
      <c r="N124" s="17">
        <f t="shared" si="7"/>
        <v>0.98058857070029459</v>
      </c>
    </row>
    <row r="125" spans="1:14" x14ac:dyDescent="0.35">
      <c r="A125" s="12">
        <v>2010</v>
      </c>
      <c r="B125" s="13">
        <f t="shared" si="4"/>
        <v>40543</v>
      </c>
      <c r="C125" s="14" t="s">
        <v>21</v>
      </c>
      <c r="D125" s="14" t="s">
        <v>18</v>
      </c>
      <c r="E125" s="14">
        <v>11.278538068339801</v>
      </c>
      <c r="F125" s="15">
        <f>E125*_xlfn.XLOOKUP(D125,conversiones!$A$2:$A$6,conversiones!$B$2:$B$6,0)</f>
        <v>511.59448677989337</v>
      </c>
      <c r="G125" s="14">
        <v>403.43013723544999</v>
      </c>
      <c r="H125" s="14" t="s">
        <v>18</v>
      </c>
      <c r="I125" s="15">
        <f>G125/_xlfn.XLOOKUP(H125,conversiones!$A$2:$A$6,conversiones!$B$2:$B$6,0)</f>
        <v>8.8939624610989849</v>
      </c>
      <c r="J125" s="14">
        <v>4521.4268874999998</v>
      </c>
      <c r="K125" s="15">
        <f>_xlfn.XLOOKUP(C125,Ciclo!$A$2:$A$13,Ciclo!$D$2:$D$13,0)</f>
        <v>2</v>
      </c>
      <c r="L125" s="15">
        <f t="shared" si="5"/>
        <v>28.67527322557271</v>
      </c>
      <c r="M125" s="16">
        <f t="shared" si="6"/>
        <v>6.3420849079410691E-3</v>
      </c>
      <c r="N125" s="17">
        <f t="shared" si="7"/>
        <v>1.2684169815882138E-2</v>
      </c>
    </row>
    <row r="126" spans="1:14" x14ac:dyDescent="0.35">
      <c r="A126" s="12">
        <v>2010</v>
      </c>
      <c r="B126" s="13">
        <f t="shared" si="4"/>
        <v>40543</v>
      </c>
      <c r="C126" s="14" t="s">
        <v>25</v>
      </c>
      <c r="D126" s="14" t="s">
        <v>18</v>
      </c>
      <c r="E126" s="14">
        <v>11.7309961413221</v>
      </c>
      <c r="F126" s="15">
        <f>E126*_xlfn.XLOOKUP(D126,conversiones!$A$2:$A$6,conversiones!$B$2:$B$6,0)</f>
        <v>532.11798497037046</v>
      </c>
      <c r="G126" s="14">
        <v>262.05298958333299</v>
      </c>
      <c r="H126" s="14" t="s">
        <v>18</v>
      </c>
      <c r="I126" s="15">
        <f>G126/_xlfn.XLOOKUP(H126,conversiones!$A$2:$A$6,conversiones!$B$2:$B$6,0)</f>
        <v>5.7771823100382056</v>
      </c>
      <c r="J126" s="14">
        <v>3734.0064399798498</v>
      </c>
      <c r="K126" s="15">
        <f>_xlfn.XLOOKUP(C126,Ciclo!$A$2:$A$13,Ciclo!$D$2:$D$13,0)</f>
        <v>1.2</v>
      </c>
      <c r="L126" s="15">
        <f t="shared" si="5"/>
        <v>-659.86383035585004</v>
      </c>
      <c r="M126" s="16">
        <f t="shared" si="6"/>
        <v>-0.17671737876258481</v>
      </c>
      <c r="N126" s="17">
        <f t="shared" si="7"/>
        <v>-0.21206085451510176</v>
      </c>
    </row>
    <row r="127" spans="1:14" x14ac:dyDescent="0.35">
      <c r="A127" s="12">
        <v>2010</v>
      </c>
      <c r="B127" s="13">
        <f t="shared" si="4"/>
        <v>40543</v>
      </c>
      <c r="C127" s="14" t="s">
        <v>22</v>
      </c>
      <c r="D127" s="14" t="s">
        <v>18</v>
      </c>
      <c r="E127" s="14">
        <v>9.6129882733522098</v>
      </c>
      <c r="F127" s="15">
        <f>E127*_xlfn.XLOOKUP(D127,conversiones!$A$2:$A$6,conversiones!$B$2:$B$6,0)</f>
        <v>436.04514807925625</v>
      </c>
      <c r="G127" s="14">
        <v>1223.08692708333</v>
      </c>
      <c r="H127" s="14" t="s">
        <v>18</v>
      </c>
      <c r="I127" s="15">
        <f>G127/_xlfn.XLOOKUP(H127,conversiones!$A$2:$A$6,conversiones!$B$2:$B$6,0)</f>
        <v>26.963997510655425</v>
      </c>
      <c r="J127" s="14">
        <v>7599.7694060736003</v>
      </c>
      <c r="K127" s="15">
        <f>_xlfn.XLOOKUP(C127,Ciclo!$A$2:$A$13,Ciclo!$D$2:$D$13,0)</f>
        <v>1</v>
      </c>
      <c r="L127" s="15">
        <f t="shared" si="5"/>
        <v>4157.750881268842</v>
      </c>
      <c r="M127" s="16">
        <f t="shared" si="6"/>
        <v>0.54708908377483689</v>
      </c>
      <c r="N127" s="17">
        <f t="shared" si="7"/>
        <v>0.54708908377483689</v>
      </c>
    </row>
    <row r="128" spans="1:14" x14ac:dyDescent="0.35">
      <c r="A128" s="12">
        <v>2010</v>
      </c>
      <c r="B128" s="13">
        <f t="shared" si="4"/>
        <v>40543</v>
      </c>
      <c r="C128" s="14" t="s">
        <v>24</v>
      </c>
      <c r="D128" s="14" t="s">
        <v>18</v>
      </c>
      <c r="E128" s="14">
        <v>9.1347918531781591</v>
      </c>
      <c r="F128" s="15">
        <f>E128*_xlfn.XLOOKUP(D128,conversiones!$A$2:$A$6,conversiones!$B$2:$B$6,0)</f>
        <v>414.35415846016127</v>
      </c>
      <c r="G128" s="14">
        <v>1252.7204633763199</v>
      </c>
      <c r="H128" s="14" t="s">
        <v>18</v>
      </c>
      <c r="I128" s="15">
        <f>G128/_xlfn.XLOOKUP(H128,conversiones!$A$2:$A$6,conversiones!$B$2:$B$6,0)</f>
        <v>27.617294166144621</v>
      </c>
      <c r="J128" s="14">
        <v>6579.6044973695998</v>
      </c>
      <c r="K128" s="15">
        <f>_xlfn.XLOOKUP(C128,Ciclo!$A$2:$A$13,Ciclo!$D$2:$D$13,0)</f>
        <v>1</v>
      </c>
      <c r="L128" s="15">
        <f t="shared" si="5"/>
        <v>4863.7361857899768</v>
      </c>
      <c r="M128" s="16">
        <f t="shared" si="6"/>
        <v>0.73921406487797336</v>
      </c>
      <c r="N128" s="17">
        <f t="shared" si="7"/>
        <v>0.73921406487797336</v>
      </c>
    </row>
    <row r="129" spans="1:14" x14ac:dyDescent="0.35">
      <c r="A129" s="12">
        <v>2010</v>
      </c>
      <c r="B129" s="13">
        <f t="shared" si="4"/>
        <v>40543</v>
      </c>
      <c r="C129" s="14" t="s">
        <v>30</v>
      </c>
      <c r="D129" s="14" t="s">
        <v>32</v>
      </c>
      <c r="E129" s="14">
        <v>93.651103905810999</v>
      </c>
      <c r="F129" s="15">
        <f>E129*_xlfn.XLOOKUP(D129,conversiones!$A$2:$A$6,conversiones!$B$2:$B$6,0)</f>
        <v>2548.2465372771176</v>
      </c>
      <c r="G129" s="14">
        <v>109.944596064815</v>
      </c>
      <c r="H129" s="14" t="s">
        <v>32</v>
      </c>
      <c r="I129" s="15">
        <f>G129/_xlfn.XLOOKUP(H129,conversiones!$A$2:$A$6,conversiones!$B$2:$B$6,0)</f>
        <v>4.0405952247267551</v>
      </c>
      <c r="J129" s="14">
        <v>10497.9114219602</v>
      </c>
      <c r="K129" s="15">
        <f>_xlfn.XLOOKUP(C129,Ciclo!$A$2:$A$13,Ciclo!$D$2:$D$13,0)</f>
        <v>1</v>
      </c>
      <c r="L129" s="15">
        <f t="shared" si="5"/>
        <v>-201.47863201178916</v>
      </c>
      <c r="M129" s="16">
        <f t="shared" si="6"/>
        <v>-1.9192258718274506E-2</v>
      </c>
      <c r="N129" s="17">
        <f t="shared" si="7"/>
        <v>-1.9192258718274506E-2</v>
      </c>
    </row>
    <row r="130" spans="1:14" x14ac:dyDescent="0.35">
      <c r="A130" s="12">
        <v>2010</v>
      </c>
      <c r="B130" s="13">
        <f t="shared" ref="B130:B193" si="8">DATE(A130,12,31)</f>
        <v>40543</v>
      </c>
      <c r="C130" s="14" t="s">
        <v>33</v>
      </c>
      <c r="D130" s="14" t="s">
        <v>34</v>
      </c>
      <c r="E130" s="14">
        <v>2.5796595258621799</v>
      </c>
      <c r="F130" s="15">
        <f>E130*_xlfn.XLOOKUP(D130,conversiones!$A$2:$A$6,conversiones!$B$2:$B$6,0)</f>
        <v>1052.8880354806488</v>
      </c>
      <c r="G130" s="14">
        <v>3672.19584986772</v>
      </c>
      <c r="H130" s="14" t="s">
        <v>34</v>
      </c>
      <c r="I130" s="15">
        <f>G130/_xlfn.XLOOKUP(H130,conversiones!$A$2:$A$6,conversiones!$B$2:$B$6,0)</f>
        <v>8.9971722402737235</v>
      </c>
      <c r="J130" s="14">
        <v>9292.9734969082201</v>
      </c>
      <c r="K130" s="15">
        <f>_xlfn.XLOOKUP(C130,Ciclo!$A$2:$A$13,Ciclo!$D$2:$D$13,0)</f>
        <v>1</v>
      </c>
      <c r="L130" s="15">
        <f t="shared" ref="L130:L193" si="9">F130*I130-J130</f>
        <v>180.04150803460834</v>
      </c>
      <c r="M130" s="16">
        <f t="shared" ref="M130:M193" si="10">IF(J130=0,0,L130/J130)</f>
        <v>1.9373939686205745E-2</v>
      </c>
      <c r="N130" s="17">
        <f t="shared" ref="N130:N193" si="11">M130*K130</f>
        <v>1.9373939686205745E-2</v>
      </c>
    </row>
    <row r="131" spans="1:14" x14ac:dyDescent="0.35">
      <c r="A131" s="12">
        <v>2010</v>
      </c>
      <c r="B131" s="13">
        <f t="shared" si="8"/>
        <v>40543</v>
      </c>
      <c r="C131" s="14" t="s">
        <v>28</v>
      </c>
      <c r="D131" s="14" t="s">
        <v>29</v>
      </c>
      <c r="E131" s="14">
        <v>1.2501975735191899</v>
      </c>
      <c r="F131" s="15">
        <f>E131*_xlfn.XLOOKUP(D131,conversiones!$A$2:$A$6,conversiones!$B$2:$B$6,0)</f>
        <v>703.03610349278131</v>
      </c>
      <c r="G131" s="14">
        <v>5908.0593749999998</v>
      </c>
      <c r="H131" s="14" t="s">
        <v>29</v>
      </c>
      <c r="I131" s="15">
        <f>G131/_xlfn.XLOOKUP(H131,conversiones!$A$2:$A$6,conversiones!$B$2:$B$6,0)</f>
        <v>10.506205098339082</v>
      </c>
      <c r="J131" s="14">
        <v>6158.1190308947398</v>
      </c>
      <c r="K131" s="15">
        <f>_xlfn.XLOOKUP(C131,Ciclo!$A$2:$A$13,Ciclo!$D$2:$D$13,0)</f>
        <v>3</v>
      </c>
      <c r="L131" s="15">
        <f t="shared" si="9"/>
        <v>1228.1224639375614</v>
      </c>
      <c r="M131" s="16">
        <f t="shared" si="10"/>
        <v>0.19943142667041339</v>
      </c>
      <c r="N131" s="17">
        <f t="shared" si="11"/>
        <v>0.59829428001124019</v>
      </c>
    </row>
    <row r="132" spans="1:14" x14ac:dyDescent="0.35">
      <c r="A132" s="12">
        <v>2010</v>
      </c>
      <c r="B132" s="13">
        <f t="shared" si="8"/>
        <v>40543</v>
      </c>
      <c r="C132" s="14" t="s">
        <v>26</v>
      </c>
      <c r="D132" s="14" t="s">
        <v>18</v>
      </c>
      <c r="E132" s="14">
        <v>6.3148820802408601</v>
      </c>
      <c r="F132" s="15">
        <f>E132*_xlfn.XLOOKUP(D132,conversiones!$A$2:$A$6,conversiones!$B$2:$B$6,0)</f>
        <v>286.44305115972543</v>
      </c>
      <c r="G132" s="14">
        <v>613.91349537037001</v>
      </c>
      <c r="H132" s="14" t="s">
        <v>18</v>
      </c>
      <c r="I132" s="15">
        <f>G132/_xlfn.XLOOKUP(H132,conversiones!$A$2:$A$6,conversiones!$B$2:$B$6,0)</f>
        <v>13.534248134267417</v>
      </c>
      <c r="J132" s="14">
        <v>1771.21219288463</v>
      </c>
      <c r="K132" s="15">
        <f>_xlfn.XLOOKUP(C132,Ciclo!$A$2:$A$13,Ciclo!$D$2:$D$13,0)</f>
        <v>3</v>
      </c>
      <c r="L132" s="15">
        <f t="shared" si="9"/>
        <v>2105.5791378477502</v>
      </c>
      <c r="M132" s="16">
        <f t="shared" si="10"/>
        <v>1.1887785925968384</v>
      </c>
      <c r="N132" s="17">
        <f t="shared" si="11"/>
        <v>3.5663357777905151</v>
      </c>
    </row>
    <row r="133" spans="1:14" x14ac:dyDescent="0.35">
      <c r="A133" s="12">
        <v>2010</v>
      </c>
      <c r="B133" s="13">
        <f t="shared" si="8"/>
        <v>40543</v>
      </c>
      <c r="C133" s="14" t="s">
        <v>27</v>
      </c>
      <c r="D133" s="14" t="s">
        <v>18</v>
      </c>
      <c r="E133" s="14">
        <v>6.5225250389050702</v>
      </c>
      <c r="F133" s="15">
        <f>E133*_xlfn.XLOOKUP(D133,conversiones!$A$2:$A$6,conversiones!$B$2:$B$6,0)</f>
        <v>295.86173576473396</v>
      </c>
      <c r="G133" s="14">
        <v>289.16887309523798</v>
      </c>
      <c r="H133" s="14" t="s">
        <v>18</v>
      </c>
      <c r="I133" s="15">
        <f>G133/_xlfn.XLOOKUP(H133,conversiones!$A$2:$A$6,conversiones!$B$2:$B$6,0)</f>
        <v>6.3749751564205903</v>
      </c>
      <c r="J133" s="14">
        <v>6142.3910746455704</v>
      </c>
      <c r="K133" s="15">
        <f>_xlfn.XLOOKUP(C133,Ciclo!$A$2:$A$13,Ciclo!$D$2:$D$13,0)</f>
        <v>2.4</v>
      </c>
      <c r="L133" s="15">
        <f t="shared" si="9"/>
        <v>-4256.2798594099186</v>
      </c>
      <c r="M133" s="16">
        <f t="shared" si="10"/>
        <v>-0.69293534190274841</v>
      </c>
      <c r="N133" s="17">
        <f t="shared" si="11"/>
        <v>-1.6630448205665962</v>
      </c>
    </row>
    <row r="134" spans="1:14" x14ac:dyDescent="0.35">
      <c r="A134" s="12">
        <v>2011</v>
      </c>
      <c r="B134" s="13">
        <f t="shared" si="8"/>
        <v>40908</v>
      </c>
      <c r="C134" s="14" t="s">
        <v>16</v>
      </c>
      <c r="D134" s="14" t="s">
        <v>18</v>
      </c>
      <c r="E134" s="14">
        <v>4.3733270081930504</v>
      </c>
      <c r="F134" s="15">
        <f>E134*_xlfn.XLOOKUP(D134,conversiones!$A$2:$A$6,conversiones!$B$2:$B$6,0)</f>
        <v>198.37411309163676</v>
      </c>
      <c r="G134" s="14">
        <v>1689.4249469696999</v>
      </c>
      <c r="H134" s="14" t="s">
        <v>19</v>
      </c>
      <c r="I134" s="15">
        <f>G134/_xlfn.XLOOKUP(H134,conversiones!$A$2:$A$6,conversiones!$B$2:$B$6,0)</f>
        <v>15.358408608815454</v>
      </c>
      <c r="J134" s="14">
        <v>7569</v>
      </c>
      <c r="K134" s="15">
        <f>_xlfn.XLOOKUP(C134,Ciclo!$A$2:$A$13,Ciclo!$D$2:$D$13,0)</f>
        <v>2.4</v>
      </c>
      <c r="L134" s="15">
        <f t="shared" si="9"/>
        <v>-4522.2893137272749</v>
      </c>
      <c r="M134" s="16">
        <f t="shared" si="10"/>
        <v>-0.59747513723441337</v>
      </c>
      <c r="N134" s="17">
        <f t="shared" si="11"/>
        <v>-1.4339403293625921</v>
      </c>
    </row>
    <row r="135" spans="1:14" x14ac:dyDescent="0.35">
      <c r="A135" s="12">
        <v>2011</v>
      </c>
      <c r="B135" s="13">
        <f t="shared" si="8"/>
        <v>40908</v>
      </c>
      <c r="C135" s="14" t="s">
        <v>20</v>
      </c>
      <c r="D135" s="14" t="s">
        <v>18</v>
      </c>
      <c r="E135" s="14">
        <v>2.2501627607292498</v>
      </c>
      <c r="F135" s="15">
        <f>E135*_xlfn.XLOOKUP(D135,conversiones!$A$2:$A$6,conversiones!$B$2:$B$6,0)</f>
        <v>102.06738282667877</v>
      </c>
      <c r="G135" s="14">
        <v>642.39781898148203</v>
      </c>
      <c r="H135" s="14" t="s">
        <v>18</v>
      </c>
      <c r="I135" s="15">
        <f>G135/_xlfn.XLOOKUP(H135,conversiones!$A$2:$A$6,conversiones!$B$2:$B$6,0)</f>
        <v>14.162209413172002</v>
      </c>
      <c r="J135" s="14">
        <v>2249.6320342847998</v>
      </c>
      <c r="K135" s="15">
        <f>_xlfn.XLOOKUP(C135,Ciclo!$A$2:$A$13,Ciclo!$D$2:$D$13,0)</f>
        <v>3</v>
      </c>
      <c r="L135" s="15">
        <f t="shared" si="9"/>
        <v>-804.13238443897944</v>
      </c>
      <c r="M135" s="16">
        <f t="shared" si="10"/>
        <v>-0.35745062845116721</v>
      </c>
      <c r="N135" s="17">
        <f t="shared" si="11"/>
        <v>-1.0723518853535017</v>
      </c>
    </row>
    <row r="136" spans="1:14" x14ac:dyDescent="0.35">
      <c r="A136" s="12">
        <v>2011</v>
      </c>
      <c r="B136" s="13">
        <f t="shared" si="8"/>
        <v>40908</v>
      </c>
      <c r="C136" s="14" t="s">
        <v>23</v>
      </c>
      <c r="D136" s="14" t="s">
        <v>18</v>
      </c>
      <c r="E136" s="14">
        <v>32.751479125836603</v>
      </c>
      <c r="F136" s="15">
        <f>E136*_xlfn.XLOOKUP(D136,conversiones!$A$2:$A$6,conversiones!$B$2:$B$6,0)</f>
        <v>1485.6070931479483</v>
      </c>
      <c r="G136" s="14">
        <v>903.47727272727298</v>
      </c>
      <c r="H136" s="14" t="s">
        <v>18</v>
      </c>
      <c r="I136" s="15">
        <f>G136/_xlfn.XLOOKUP(H136,conversiones!$A$2:$A$6,conversiones!$B$2:$B$6,0)</f>
        <v>19.917929292929298</v>
      </c>
      <c r="J136" s="14">
        <v>22831.198995686002</v>
      </c>
      <c r="K136" s="15">
        <f>_xlfn.XLOOKUP(C136,Ciclo!$A$2:$A$13,Ciclo!$D$2:$D$13,0)</f>
        <v>4</v>
      </c>
      <c r="L136" s="15">
        <f t="shared" si="9"/>
        <v>6759.01804270906</v>
      </c>
      <c r="M136" s="16">
        <f t="shared" si="10"/>
        <v>0.29604306125079938</v>
      </c>
      <c r="N136" s="17">
        <f t="shared" si="11"/>
        <v>1.1841722450031975</v>
      </c>
    </row>
    <row r="137" spans="1:14" x14ac:dyDescent="0.35">
      <c r="A137" s="12">
        <v>2011</v>
      </c>
      <c r="B137" s="13">
        <f t="shared" si="8"/>
        <v>40908</v>
      </c>
      <c r="C137" s="14" t="s">
        <v>21</v>
      </c>
      <c r="D137" s="14" t="s">
        <v>18</v>
      </c>
      <c r="E137" s="14">
        <v>11.2181916345038</v>
      </c>
      <c r="F137" s="15">
        <f>E137*_xlfn.XLOOKUP(D137,conversiones!$A$2:$A$6,conversiones!$B$2:$B$6,0)</f>
        <v>508.85717254109232</v>
      </c>
      <c r="G137" s="14">
        <v>494.75772888888901</v>
      </c>
      <c r="H137" s="14" t="s">
        <v>18</v>
      </c>
      <c r="I137" s="15">
        <f>G137/_xlfn.XLOOKUP(H137,conversiones!$A$2:$A$6,conversiones!$B$2:$B$6,0)</f>
        <v>10.907357338820304</v>
      </c>
      <c r="J137" s="14">
        <v>4921.4416007500004</v>
      </c>
      <c r="K137" s="15">
        <f>_xlfn.XLOOKUP(C137,Ciclo!$A$2:$A$13,Ciclo!$D$2:$D$13,0)</f>
        <v>2</v>
      </c>
      <c r="L137" s="15">
        <f t="shared" si="9"/>
        <v>628.84541457743308</v>
      </c>
      <c r="M137" s="16">
        <f t="shared" si="10"/>
        <v>0.1277766690316107</v>
      </c>
      <c r="N137" s="17">
        <f t="shared" si="11"/>
        <v>0.25555333806322139</v>
      </c>
    </row>
    <row r="138" spans="1:14" x14ac:dyDescent="0.35">
      <c r="A138" s="12">
        <v>2011</v>
      </c>
      <c r="B138" s="13">
        <f t="shared" si="8"/>
        <v>40908</v>
      </c>
      <c r="C138" s="14" t="s">
        <v>25</v>
      </c>
      <c r="D138" s="14" t="s">
        <v>18</v>
      </c>
      <c r="E138" s="14">
        <v>10.9099641774151</v>
      </c>
      <c r="F138" s="15">
        <f>E138*_xlfn.XLOOKUP(D138,conversiones!$A$2:$A$6,conversiones!$B$2:$B$6,0)</f>
        <v>494.87597508754891</v>
      </c>
      <c r="G138" s="14">
        <v>669.75129664021199</v>
      </c>
      <c r="H138" s="14" t="s">
        <v>18</v>
      </c>
      <c r="I138" s="15">
        <f>G138/_xlfn.XLOOKUP(H138,conversiones!$A$2:$A$6,conversiones!$B$2:$B$6,0)</f>
        <v>14.765240225754233</v>
      </c>
      <c r="J138" s="14">
        <v>4283.9889411321201</v>
      </c>
      <c r="K138" s="15">
        <f>_xlfn.XLOOKUP(C138,Ciclo!$A$2:$A$13,Ciclo!$D$2:$D$13,0)</f>
        <v>1.2</v>
      </c>
      <c r="L138" s="15">
        <f t="shared" si="9"/>
        <v>3022.9737129899067</v>
      </c>
      <c r="M138" s="16">
        <f t="shared" si="10"/>
        <v>0.70564461172279136</v>
      </c>
      <c r="N138" s="17">
        <f t="shared" si="11"/>
        <v>0.84677353406734956</v>
      </c>
    </row>
    <row r="139" spans="1:14" x14ac:dyDescent="0.35">
      <c r="A139" s="12">
        <v>2011</v>
      </c>
      <c r="B139" s="13">
        <f t="shared" si="8"/>
        <v>40908</v>
      </c>
      <c r="C139" s="14" t="s">
        <v>22</v>
      </c>
      <c r="D139" s="14" t="s">
        <v>18</v>
      </c>
      <c r="E139" s="14">
        <v>9.3079825704146302</v>
      </c>
      <c r="F139" s="15">
        <f>E139*_xlfn.XLOOKUP(D139,conversiones!$A$2:$A$6,conversiones!$B$2:$B$6,0)</f>
        <v>422.21008939400764</v>
      </c>
      <c r="G139" s="14">
        <v>1215.66506944444</v>
      </c>
      <c r="H139" s="14" t="s">
        <v>18</v>
      </c>
      <c r="I139" s="15">
        <f>G139/_xlfn.XLOOKUP(H139,conversiones!$A$2:$A$6,conversiones!$B$2:$B$6,0)</f>
        <v>26.800376310503527</v>
      </c>
      <c r="J139" s="14">
        <v>8263.3527360768003</v>
      </c>
      <c r="K139" s="15">
        <f>_xlfn.XLOOKUP(C139,Ciclo!$A$2:$A$13,Ciclo!$D$2:$D$13,0)</f>
        <v>1</v>
      </c>
      <c r="L139" s="15">
        <f t="shared" si="9"/>
        <v>3052.0365417739376</v>
      </c>
      <c r="M139" s="16">
        <f t="shared" si="10"/>
        <v>0.36934603172016545</v>
      </c>
      <c r="N139" s="17">
        <f t="shared" si="11"/>
        <v>0.36934603172016545</v>
      </c>
    </row>
    <row r="140" spans="1:14" x14ac:dyDescent="0.35">
      <c r="A140" s="12">
        <v>2011</v>
      </c>
      <c r="B140" s="13">
        <f t="shared" si="8"/>
        <v>40908</v>
      </c>
      <c r="C140" s="14" t="s">
        <v>24</v>
      </c>
      <c r="D140" s="14" t="s">
        <v>18</v>
      </c>
      <c r="E140" s="14">
        <v>9.0558788418263596</v>
      </c>
      <c r="F140" s="15">
        <f>E140*_xlfn.XLOOKUP(D140,conversiones!$A$2:$A$6,conversiones!$B$2:$B$6,0)</f>
        <v>410.77466426524364</v>
      </c>
      <c r="G140" s="14">
        <v>1235.0631944444399</v>
      </c>
      <c r="H140" s="14" t="s">
        <v>18</v>
      </c>
      <c r="I140" s="15">
        <f>G140/_xlfn.XLOOKUP(H140,conversiones!$A$2:$A$6,conversiones!$B$2:$B$6,0)</f>
        <v>27.228024568880951</v>
      </c>
      <c r="J140" s="14">
        <v>6908.3833517736002</v>
      </c>
      <c r="K140" s="15">
        <f>_xlfn.XLOOKUP(C140,Ciclo!$A$2:$A$13,Ciclo!$D$2:$D$13,0)</f>
        <v>1</v>
      </c>
      <c r="L140" s="15">
        <f t="shared" si="9"/>
        <v>4276.1992991142779</v>
      </c>
      <c r="M140" s="16">
        <f t="shared" si="10"/>
        <v>0.61898697298210048</v>
      </c>
      <c r="N140" s="17">
        <f t="shared" si="11"/>
        <v>0.61898697298210048</v>
      </c>
    </row>
    <row r="141" spans="1:14" x14ac:dyDescent="0.35">
      <c r="A141" s="12">
        <v>2011</v>
      </c>
      <c r="B141" s="13">
        <f t="shared" si="8"/>
        <v>40908</v>
      </c>
      <c r="C141" s="14" t="s">
        <v>30</v>
      </c>
      <c r="D141" s="14" t="s">
        <v>32</v>
      </c>
      <c r="E141" s="14">
        <v>97.647477565388698</v>
      </c>
      <c r="F141" s="15">
        <f>E141*_xlfn.XLOOKUP(D141,conversiones!$A$2:$A$6,conversiones!$B$2:$B$6,0)</f>
        <v>2656.9878645542267</v>
      </c>
      <c r="G141" s="14">
        <v>123.04126262626301</v>
      </c>
      <c r="H141" s="14" t="s">
        <v>32</v>
      </c>
      <c r="I141" s="15">
        <f>G141/_xlfn.XLOOKUP(H141,conversiones!$A$2:$A$6,conversiones!$B$2:$B$6,0)</f>
        <v>4.5219133636994853</v>
      </c>
      <c r="J141" s="14">
        <v>11259.713084354</v>
      </c>
      <c r="K141" s="15">
        <f>_xlfn.XLOOKUP(C141,Ciclo!$A$2:$A$13,Ciclo!$D$2:$D$13,0)</f>
        <v>1</v>
      </c>
      <c r="L141" s="15">
        <f t="shared" si="9"/>
        <v>754.95584756111566</v>
      </c>
      <c r="M141" s="16">
        <f t="shared" si="10"/>
        <v>6.7049297074023045E-2</v>
      </c>
      <c r="N141" s="17">
        <f t="shared" si="11"/>
        <v>6.7049297074023045E-2</v>
      </c>
    </row>
    <row r="142" spans="1:14" x14ac:dyDescent="0.35">
      <c r="A142" s="12">
        <v>2011</v>
      </c>
      <c r="B142" s="13">
        <f t="shared" si="8"/>
        <v>40908</v>
      </c>
      <c r="C142" s="14" t="s">
        <v>33</v>
      </c>
      <c r="D142" s="14" t="s">
        <v>34</v>
      </c>
      <c r="E142" s="14">
        <v>2.6718674274661098</v>
      </c>
      <c r="F142" s="15">
        <f>E142*_xlfn.XLOOKUP(D142,conversiones!$A$2:$A$6,conversiones!$B$2:$B$6,0)</f>
        <v>1090.5226905202926</v>
      </c>
      <c r="G142" s="14">
        <v>4343.0458585858596</v>
      </c>
      <c r="H142" s="14" t="s">
        <v>34</v>
      </c>
      <c r="I142" s="15">
        <f>G142/_xlfn.XLOOKUP(H142,conversiones!$A$2:$A$6,conversiones!$B$2:$B$6,0)</f>
        <v>10.6408081798012</v>
      </c>
      <c r="J142" s="14">
        <v>10868.026372878299</v>
      </c>
      <c r="K142" s="15">
        <f>_xlfn.XLOOKUP(C142,Ciclo!$A$2:$A$13,Ciclo!$D$2:$D$13,0)</f>
        <v>1</v>
      </c>
      <c r="L142" s="15">
        <f t="shared" si="9"/>
        <v>736.01639266884195</v>
      </c>
      <c r="M142" s="16">
        <f t="shared" si="10"/>
        <v>6.772309593447505E-2</v>
      </c>
      <c r="N142" s="17">
        <f t="shared" si="11"/>
        <v>6.772309593447505E-2</v>
      </c>
    </row>
    <row r="143" spans="1:14" x14ac:dyDescent="0.35">
      <c r="A143" s="12">
        <v>2011</v>
      </c>
      <c r="B143" s="13">
        <f t="shared" si="8"/>
        <v>40908</v>
      </c>
      <c r="C143" s="14" t="s">
        <v>28</v>
      </c>
      <c r="D143" s="14" t="s">
        <v>29</v>
      </c>
      <c r="E143" s="14">
        <v>1.28074038101863</v>
      </c>
      <c r="F143" s="15">
        <f>E143*_xlfn.XLOOKUP(D143,conversiones!$A$2:$A$6,conversiones!$B$2:$B$6,0)</f>
        <v>720.21154586201646</v>
      </c>
      <c r="G143" s="14">
        <v>6628.6939583333296</v>
      </c>
      <c r="H143" s="14" t="s">
        <v>29</v>
      </c>
      <c r="I143" s="15">
        <f>G143/_xlfn.XLOOKUP(H143,conversiones!$A$2:$A$6,conversiones!$B$2:$B$6,0)</f>
        <v>11.787697759955417</v>
      </c>
      <c r="J143" s="14">
        <v>6816.0513247333301</v>
      </c>
      <c r="K143" s="15">
        <f>_xlfn.XLOOKUP(C143,Ciclo!$A$2:$A$13,Ciclo!$D$2:$D$13,0)</f>
        <v>3</v>
      </c>
      <c r="L143" s="15">
        <f t="shared" si="9"/>
        <v>1673.5847011183896</v>
      </c>
      <c r="M143" s="16">
        <f t="shared" si="10"/>
        <v>0.24553581265526439</v>
      </c>
      <c r="N143" s="17">
        <f t="shared" si="11"/>
        <v>0.7366074379657932</v>
      </c>
    </row>
    <row r="144" spans="1:14" x14ac:dyDescent="0.35">
      <c r="A144" s="12">
        <v>2011</v>
      </c>
      <c r="B144" s="13">
        <f t="shared" si="8"/>
        <v>40908</v>
      </c>
      <c r="C144" s="14" t="s">
        <v>26</v>
      </c>
      <c r="D144" s="14" t="s">
        <v>18</v>
      </c>
      <c r="E144" s="14">
        <v>6.2002570505287897</v>
      </c>
      <c r="F144" s="15">
        <f>E144*_xlfn.XLOOKUP(D144,conversiones!$A$2:$A$6,conversiones!$B$2:$B$6,0)</f>
        <v>281.24365981198588</v>
      </c>
      <c r="G144" s="14">
        <v>461.58445833333298</v>
      </c>
      <c r="H144" s="14" t="s">
        <v>18</v>
      </c>
      <c r="I144" s="15">
        <f>G144/_xlfn.XLOOKUP(H144,conversiones!$A$2:$A$6,conversiones!$B$2:$B$6,0)</f>
        <v>10.176024213697817</v>
      </c>
      <c r="J144" s="14">
        <v>2009.79</v>
      </c>
      <c r="K144" s="15">
        <f>_xlfn.XLOOKUP(C144,Ciclo!$A$2:$A$13,Ciclo!$D$2:$D$13,0)</f>
        <v>3</v>
      </c>
      <c r="L144" s="15">
        <f t="shared" si="9"/>
        <v>852.15229219575986</v>
      </c>
      <c r="M144" s="16">
        <f t="shared" si="10"/>
        <v>0.42400066285321347</v>
      </c>
      <c r="N144" s="17">
        <f t="shared" si="11"/>
        <v>1.2720019885596403</v>
      </c>
    </row>
    <row r="145" spans="1:14" x14ac:dyDescent="0.35">
      <c r="A145" s="12">
        <v>2011</v>
      </c>
      <c r="B145" s="13">
        <f t="shared" si="8"/>
        <v>40908</v>
      </c>
      <c r="C145" s="14" t="s">
        <v>27</v>
      </c>
      <c r="D145" s="14" t="s">
        <v>18</v>
      </c>
      <c r="E145" s="14">
        <v>6.8824603358276102</v>
      </c>
      <c r="F145" s="15">
        <f>E145*_xlfn.XLOOKUP(D145,conversiones!$A$2:$A$6,conversiones!$B$2:$B$6,0)</f>
        <v>312.18840083314041</v>
      </c>
      <c r="G145" s="14">
        <v>461.58445833333298</v>
      </c>
      <c r="H145" s="14" t="s">
        <v>18</v>
      </c>
      <c r="I145" s="15">
        <f>G145/_xlfn.XLOOKUP(H145,conversiones!$A$2:$A$6,conversiones!$B$2:$B$6,0)</f>
        <v>10.176024213697817</v>
      </c>
      <c r="J145" s="14">
        <v>6922.0219999999999</v>
      </c>
      <c r="K145" s="15">
        <f>_xlfn.XLOOKUP(C145,Ciclo!$A$2:$A$13,Ciclo!$D$2:$D$13,0)</f>
        <v>2.4</v>
      </c>
      <c r="L145" s="15">
        <f t="shared" si="9"/>
        <v>-3745.1852738863636</v>
      </c>
      <c r="M145" s="16">
        <f t="shared" si="10"/>
        <v>-0.54105365078099488</v>
      </c>
      <c r="N145" s="17">
        <f t="shared" si="11"/>
        <v>-1.2985287618743877</v>
      </c>
    </row>
    <row r="146" spans="1:14" x14ac:dyDescent="0.35">
      <c r="A146" s="12">
        <v>2012</v>
      </c>
      <c r="B146" s="13">
        <f t="shared" si="8"/>
        <v>41274</v>
      </c>
      <c r="C146" s="14" t="s">
        <v>16</v>
      </c>
      <c r="D146" s="14" t="s">
        <v>18</v>
      </c>
      <c r="E146" s="14">
        <v>4.2382816668314902</v>
      </c>
      <c r="F146" s="15">
        <f>E146*_xlfn.XLOOKUP(D146,conversiones!$A$2:$A$6,conversiones!$B$2:$B$6,0)</f>
        <v>192.2484564074764</v>
      </c>
      <c r="G146" s="14">
        <v>1602.0447199386599</v>
      </c>
      <c r="H146" s="14" t="s">
        <v>19</v>
      </c>
      <c r="I146" s="15">
        <f>G146/_xlfn.XLOOKUP(H146,conversiones!$A$2:$A$6,conversiones!$B$2:$B$6,0)</f>
        <v>14.564042908533272</v>
      </c>
      <c r="J146" s="14">
        <v>7982.6190521234403</v>
      </c>
      <c r="K146" s="15">
        <f>_xlfn.XLOOKUP(C146,Ciclo!$A$2:$A$13,Ciclo!$D$2:$D$13,0)</f>
        <v>2.4</v>
      </c>
      <c r="L146" s="15">
        <f t="shared" si="9"/>
        <v>-5182.7042839056658</v>
      </c>
      <c r="M146" s="16">
        <f t="shared" si="10"/>
        <v>-0.64924860500853099</v>
      </c>
      <c r="N146" s="17">
        <f t="shared" si="11"/>
        <v>-1.5581966520204744</v>
      </c>
    </row>
    <row r="147" spans="1:14" x14ac:dyDescent="0.35">
      <c r="A147" s="12">
        <v>2012</v>
      </c>
      <c r="B147" s="13">
        <f t="shared" si="8"/>
        <v>41274</v>
      </c>
      <c r="C147" s="14" t="s">
        <v>20</v>
      </c>
      <c r="D147" s="14" t="s">
        <v>18</v>
      </c>
      <c r="E147" s="14">
        <v>2.1733421191104898</v>
      </c>
      <c r="F147" s="15">
        <f>E147*_xlfn.XLOOKUP(D147,conversiones!$A$2:$A$6,conversiones!$B$2:$B$6,0)</f>
        <v>98.582798522851817</v>
      </c>
      <c r="G147" s="14">
        <v>719.38342643298097</v>
      </c>
      <c r="H147" s="14" t="s">
        <v>18</v>
      </c>
      <c r="I147" s="15">
        <f>G147/_xlfn.XLOOKUP(H147,conversiones!$A$2:$A$6,conversiones!$B$2:$B$6,0)</f>
        <v>15.859422981326741</v>
      </c>
      <c r="J147" s="14">
        <v>2248.3053412475001</v>
      </c>
      <c r="K147" s="15">
        <f>_xlfn.XLOOKUP(C147,Ciclo!$A$2:$A$13,Ciclo!$D$2:$D$13,0)</f>
        <v>3</v>
      </c>
      <c r="L147" s="15">
        <f t="shared" si="9"/>
        <v>-684.8390407906802</v>
      </c>
      <c r="M147" s="16">
        <f t="shared" si="10"/>
        <v>-0.30460232790742237</v>
      </c>
      <c r="N147" s="17">
        <f t="shared" si="11"/>
        <v>-0.9138069837222671</v>
      </c>
    </row>
    <row r="148" spans="1:14" x14ac:dyDescent="0.35">
      <c r="A148" s="12">
        <v>2012</v>
      </c>
      <c r="B148" s="13">
        <f t="shared" si="8"/>
        <v>41274</v>
      </c>
      <c r="C148" s="14" t="s">
        <v>23</v>
      </c>
      <c r="D148" s="14" t="s">
        <v>18</v>
      </c>
      <c r="E148" s="14">
        <v>33.641582114353298</v>
      </c>
      <c r="F148" s="15">
        <f>E148*_xlfn.XLOOKUP(D148,conversiones!$A$2:$A$6,conversiones!$B$2:$B$6,0)</f>
        <v>1525.9821647070655</v>
      </c>
      <c r="G148" s="14">
        <v>882.58876577381</v>
      </c>
      <c r="H148" s="14" t="s">
        <v>18</v>
      </c>
      <c r="I148" s="15">
        <f>G148/_xlfn.XLOOKUP(H148,conversiones!$A$2:$A$6,conversiones!$B$2:$B$6,0)</f>
        <v>19.457424289546076</v>
      </c>
      <c r="J148" s="14">
        <v>24344.842076238001</v>
      </c>
      <c r="K148" s="15">
        <f>_xlfn.XLOOKUP(C148,Ciclo!$A$2:$A$13,Ciclo!$D$2:$D$13,0)</f>
        <v>4</v>
      </c>
      <c r="L148" s="15">
        <f t="shared" si="9"/>
        <v>5346.8403607473556</v>
      </c>
      <c r="M148" s="16">
        <f t="shared" si="10"/>
        <v>0.21962928919412406</v>
      </c>
      <c r="N148" s="17">
        <f t="shared" si="11"/>
        <v>0.87851715677649622</v>
      </c>
    </row>
    <row r="149" spans="1:14" x14ac:dyDescent="0.35">
      <c r="A149" s="12">
        <v>2012</v>
      </c>
      <c r="B149" s="13">
        <f t="shared" si="8"/>
        <v>41274</v>
      </c>
      <c r="C149" s="14" t="s">
        <v>21</v>
      </c>
      <c r="D149" s="14" t="s">
        <v>18</v>
      </c>
      <c r="E149" s="14">
        <v>11.232620994525799</v>
      </c>
      <c r="F149" s="15">
        <f>E149*_xlfn.XLOOKUP(D149,conversiones!$A$2:$A$6,conversiones!$B$2:$B$6,0)</f>
        <v>509.51168831169025</v>
      </c>
      <c r="G149" s="14">
        <v>354.60037979717799</v>
      </c>
      <c r="H149" s="14" t="s">
        <v>18</v>
      </c>
      <c r="I149" s="15">
        <f>G149/_xlfn.XLOOKUP(H149,conversiones!$A$2:$A$6,conversiones!$B$2:$B$6,0)</f>
        <v>7.8174686904139774</v>
      </c>
      <c r="J149" s="14">
        <v>5350.2017200091695</v>
      </c>
      <c r="K149" s="15">
        <f>_xlfn.XLOOKUP(C149,Ciclo!$A$2:$A$13,Ciclo!$D$2:$D$13,0)</f>
        <v>2</v>
      </c>
      <c r="L149" s="15">
        <f t="shared" si="9"/>
        <v>-1367.1100492325659</v>
      </c>
      <c r="M149" s="16">
        <f t="shared" si="10"/>
        <v>-0.25552495415634963</v>
      </c>
      <c r="N149" s="17">
        <f t="shared" si="11"/>
        <v>-0.51104990831269925</v>
      </c>
    </row>
    <row r="150" spans="1:14" x14ac:dyDescent="0.35">
      <c r="A150" s="12">
        <v>2012</v>
      </c>
      <c r="B150" s="13">
        <f t="shared" si="8"/>
        <v>41274</v>
      </c>
      <c r="C150" s="14" t="s">
        <v>25</v>
      </c>
      <c r="D150" s="14" t="s">
        <v>18</v>
      </c>
      <c r="E150" s="14">
        <v>10.410571431746</v>
      </c>
      <c r="F150" s="15">
        <f>E150*_xlfn.XLOOKUP(D150,conversiones!$A$2:$A$6,conversiones!$B$2:$B$6,0)</f>
        <v>472.22352014399854</v>
      </c>
      <c r="G150" s="14">
        <v>403.55777341269902</v>
      </c>
      <c r="H150" s="14" t="s">
        <v>18</v>
      </c>
      <c r="I150" s="15">
        <f>G150/_xlfn.XLOOKUP(H150,conversiones!$A$2:$A$6,conversiones!$B$2:$B$6,0)</f>
        <v>8.8967763098037711</v>
      </c>
      <c r="J150" s="14">
        <v>4628.4219376424999</v>
      </c>
      <c r="K150" s="15">
        <f>_xlfn.XLOOKUP(C150,Ciclo!$A$2:$A$13,Ciclo!$D$2:$D$13,0)</f>
        <v>1.2</v>
      </c>
      <c r="L150" s="15">
        <f t="shared" si="9"/>
        <v>-427.15491069322979</v>
      </c>
      <c r="M150" s="16">
        <f t="shared" si="10"/>
        <v>-9.2289535493560115E-2</v>
      </c>
      <c r="N150" s="17">
        <f t="shared" si="11"/>
        <v>-0.11074744259227214</v>
      </c>
    </row>
    <row r="151" spans="1:14" x14ac:dyDescent="0.35">
      <c r="A151" s="12">
        <v>2012</v>
      </c>
      <c r="B151" s="13">
        <f t="shared" si="8"/>
        <v>41274</v>
      </c>
      <c r="C151" s="14" t="s">
        <v>22</v>
      </c>
      <c r="D151" s="14" t="s">
        <v>18</v>
      </c>
      <c r="E151" s="14">
        <v>9.1828196721311492</v>
      </c>
      <c r="F151" s="15">
        <f>E151*_xlfn.XLOOKUP(D151,conversiones!$A$2:$A$6,conversiones!$B$2:$B$6,0)</f>
        <v>416.53270032786895</v>
      </c>
      <c r="G151" s="14">
        <v>1133.9301828703699</v>
      </c>
      <c r="H151" s="14" t="s">
        <v>18</v>
      </c>
      <c r="I151" s="15">
        <f>G151/_xlfn.XLOOKUP(H151,conversiones!$A$2:$A$6,conversiones!$B$2:$B$6,0)</f>
        <v>24.998460821657186</v>
      </c>
      <c r="J151" s="14">
        <v>8360.1905549999992</v>
      </c>
      <c r="K151" s="15">
        <f>_xlfn.XLOOKUP(C151,Ciclo!$A$2:$A$13,Ciclo!$D$2:$D$13,0)</f>
        <v>1</v>
      </c>
      <c r="L151" s="15">
        <f t="shared" si="9"/>
        <v>2052.4858350853065</v>
      </c>
      <c r="M151" s="16">
        <f t="shared" si="10"/>
        <v>0.24550706369459144</v>
      </c>
      <c r="N151" s="17">
        <f t="shared" si="11"/>
        <v>0.24550706369459144</v>
      </c>
    </row>
    <row r="152" spans="1:14" x14ac:dyDescent="0.35">
      <c r="A152" s="12">
        <v>2012</v>
      </c>
      <c r="B152" s="13">
        <f t="shared" si="8"/>
        <v>41274</v>
      </c>
      <c r="C152" s="14" t="s">
        <v>24</v>
      </c>
      <c r="D152" s="14" t="s">
        <v>18</v>
      </c>
      <c r="E152" s="14">
        <v>8.7531061196647801</v>
      </c>
      <c r="F152" s="15">
        <f>E152*_xlfn.XLOOKUP(D152,conversiones!$A$2:$A$6,conversiones!$B$2:$B$6,0)</f>
        <v>397.04089358799445</v>
      </c>
      <c r="G152" s="14">
        <v>1267.94772518267</v>
      </c>
      <c r="H152" s="14" t="s">
        <v>18</v>
      </c>
      <c r="I152" s="15">
        <f>G152/_xlfn.XLOOKUP(H152,conversiones!$A$2:$A$6,conversiones!$B$2:$B$6,0)</f>
        <v>27.952992177748456</v>
      </c>
      <c r="J152" s="14">
        <v>8104.7130577283997</v>
      </c>
      <c r="K152" s="15">
        <f>_xlfn.XLOOKUP(C152,Ciclo!$A$2:$A$13,Ciclo!$D$2:$D$13,0)</f>
        <v>1</v>
      </c>
      <c r="L152" s="15">
        <f t="shared" si="9"/>
        <v>2993.767934983066</v>
      </c>
      <c r="M152" s="16">
        <f t="shared" si="10"/>
        <v>0.36938604903825717</v>
      </c>
      <c r="N152" s="17">
        <f t="shared" si="11"/>
        <v>0.36938604903825717</v>
      </c>
    </row>
    <row r="153" spans="1:14" x14ac:dyDescent="0.35">
      <c r="A153" s="12">
        <v>2012</v>
      </c>
      <c r="B153" s="13">
        <f t="shared" si="8"/>
        <v>41274</v>
      </c>
      <c r="C153" s="14" t="s">
        <v>30</v>
      </c>
      <c r="D153" s="14" t="s">
        <v>32</v>
      </c>
      <c r="E153" s="14">
        <v>98.343945835272507</v>
      </c>
      <c r="F153" s="15">
        <f>E153*_xlfn.XLOOKUP(D153,conversiones!$A$2:$A$6,conversiones!$B$2:$B$6,0)</f>
        <v>2675.938766177765</v>
      </c>
      <c r="G153" s="14">
        <v>158.119965167549</v>
      </c>
      <c r="H153" s="14" t="s">
        <v>32</v>
      </c>
      <c r="I153" s="15">
        <f>G153/_xlfn.XLOOKUP(H153,conversiones!$A$2:$A$6,conversiones!$B$2:$B$6,0)</f>
        <v>5.8110975805787941</v>
      </c>
      <c r="J153" s="14">
        <v>12463.806077028201</v>
      </c>
      <c r="K153" s="15">
        <f>_xlfn.XLOOKUP(C153,Ciclo!$A$2:$A$13,Ciclo!$D$2:$D$13,0)</f>
        <v>1</v>
      </c>
      <c r="L153" s="15">
        <f t="shared" si="9"/>
        <v>3086.3352128844126</v>
      </c>
      <c r="M153" s="16">
        <f t="shared" si="10"/>
        <v>0.24762381521426086</v>
      </c>
      <c r="N153" s="17">
        <f t="shared" si="11"/>
        <v>0.24762381521426086</v>
      </c>
    </row>
    <row r="154" spans="1:14" x14ac:dyDescent="0.35">
      <c r="A154" s="12">
        <v>2012</v>
      </c>
      <c r="B154" s="13">
        <f t="shared" si="8"/>
        <v>41274</v>
      </c>
      <c r="C154" s="14" t="s">
        <v>33</v>
      </c>
      <c r="D154" s="14" t="s">
        <v>34</v>
      </c>
      <c r="E154" s="14">
        <v>2.8312792354005998</v>
      </c>
      <c r="F154" s="15">
        <f>E154*_xlfn.XLOOKUP(D154,conversiones!$A$2:$A$6,conversiones!$B$2:$B$6,0)</f>
        <v>1155.5866199287548</v>
      </c>
      <c r="G154" s="14">
        <v>4539.3502730536702</v>
      </c>
      <c r="H154" s="14" t="s">
        <v>34</v>
      </c>
      <c r="I154" s="15">
        <f>G154/_xlfn.XLOOKUP(H154,conversiones!$A$2:$A$6,conversiones!$B$2:$B$6,0)</f>
        <v>11.121769626494354</v>
      </c>
      <c r="J154" s="14">
        <v>11933.7643424532</v>
      </c>
      <c r="K154" s="15">
        <f>_xlfn.XLOOKUP(C154,Ciclo!$A$2:$A$13,Ciclo!$D$2:$D$13,0)</f>
        <v>1</v>
      </c>
      <c r="L154" s="15">
        <f t="shared" si="9"/>
        <v>918.40382785369911</v>
      </c>
      <c r="M154" s="16">
        <f t="shared" si="10"/>
        <v>7.6958435033492936E-2</v>
      </c>
      <c r="N154" s="17">
        <f t="shared" si="11"/>
        <v>7.6958435033492936E-2</v>
      </c>
    </row>
    <row r="155" spans="1:14" x14ac:dyDescent="0.35">
      <c r="A155" s="12">
        <v>2012</v>
      </c>
      <c r="B155" s="13">
        <f t="shared" si="8"/>
        <v>41274</v>
      </c>
      <c r="C155" s="14" t="s">
        <v>28</v>
      </c>
      <c r="D155" s="14" t="s">
        <v>29</v>
      </c>
      <c r="E155" s="14">
        <v>1.1984393422219199</v>
      </c>
      <c r="F155" s="15">
        <f>E155*_xlfn.XLOOKUP(D155,conversiones!$A$2:$A$6,conversiones!$B$2:$B$6,0)</f>
        <v>673.93037970507453</v>
      </c>
      <c r="G155" s="14">
        <v>5424.8194444444398</v>
      </c>
      <c r="H155" s="14" t="s">
        <v>29</v>
      </c>
      <c r="I155" s="15">
        <f>G155/_xlfn.XLOOKUP(H155,conversiones!$A$2:$A$6,conversiones!$B$2:$B$6,0)</f>
        <v>9.6468674546438802</v>
      </c>
      <c r="J155" s="14">
        <v>6923.3397737333999</v>
      </c>
      <c r="K155" s="15">
        <f>_xlfn.XLOOKUP(C155,Ciclo!$A$2:$A$13,Ciclo!$D$2:$D$13,0)</f>
        <v>3</v>
      </c>
      <c r="L155" s="15">
        <f t="shared" si="9"/>
        <v>-422.02272706072381</v>
      </c>
      <c r="M155" s="16">
        <f t="shared" si="10"/>
        <v>-6.0956523997542984E-2</v>
      </c>
      <c r="N155" s="17">
        <f t="shared" si="11"/>
        <v>-0.18286957199262896</v>
      </c>
    </row>
    <row r="156" spans="1:14" x14ac:dyDescent="0.35">
      <c r="A156" s="12">
        <v>2012</v>
      </c>
      <c r="B156" s="13">
        <f t="shared" si="8"/>
        <v>41274</v>
      </c>
      <c r="C156" s="14" t="s">
        <v>26</v>
      </c>
      <c r="D156" s="14" t="s">
        <v>18</v>
      </c>
      <c r="E156" s="14">
        <v>6.6570468927938196</v>
      </c>
      <c r="F156" s="15">
        <f>E156*_xlfn.XLOOKUP(D156,conversiones!$A$2:$A$6,conversiones!$B$2:$B$6,0)</f>
        <v>301.96364705712767</v>
      </c>
      <c r="G156" s="14">
        <v>779.87642416225697</v>
      </c>
      <c r="H156" s="14" t="s">
        <v>18</v>
      </c>
      <c r="I156" s="15">
        <f>G156/_xlfn.XLOOKUP(H156,conversiones!$A$2:$A$6,conversiones!$B$2:$B$6,0)</f>
        <v>17.193042860719952</v>
      </c>
      <c r="J156" s="14">
        <v>2035.7933205730001</v>
      </c>
      <c r="K156" s="15">
        <f>_xlfn.XLOOKUP(C156,Ciclo!$A$2:$A$13,Ciclo!$D$2:$D$13,0)</f>
        <v>3</v>
      </c>
      <c r="L156" s="15">
        <f t="shared" si="9"/>
        <v>3155.8806056595081</v>
      </c>
      <c r="M156" s="16">
        <f t="shared" si="10"/>
        <v>1.5501969545568826</v>
      </c>
      <c r="N156" s="17">
        <f t="shared" si="11"/>
        <v>4.6505908636706472</v>
      </c>
    </row>
    <row r="157" spans="1:14" x14ac:dyDescent="0.35">
      <c r="A157" s="12">
        <v>2012</v>
      </c>
      <c r="B157" s="13">
        <f t="shared" si="8"/>
        <v>41274</v>
      </c>
      <c r="C157" s="14" t="s">
        <v>27</v>
      </c>
      <c r="D157" s="14" t="s">
        <v>18</v>
      </c>
      <c r="E157" s="14">
        <v>7.2833416445035501</v>
      </c>
      <c r="F157" s="15">
        <f>E157*_xlfn.XLOOKUP(D157,conversiones!$A$2:$A$6,conversiones!$B$2:$B$6,0)</f>
        <v>330.37237699468102</v>
      </c>
      <c r="G157" s="14">
        <v>661.509261133157</v>
      </c>
      <c r="H157" s="14" t="s">
        <v>18</v>
      </c>
      <c r="I157" s="15">
        <f>G157/_xlfn.XLOOKUP(H157,conversiones!$A$2:$A$6,conversiones!$B$2:$B$6,0)</f>
        <v>14.58353750293556</v>
      </c>
      <c r="J157" s="14">
        <v>7766.2500132750001</v>
      </c>
      <c r="K157" s="15">
        <f>_xlfn.XLOOKUP(C157,Ciclo!$A$2:$A$13,Ciclo!$D$2:$D$13,0)</f>
        <v>2.4</v>
      </c>
      <c r="L157" s="15">
        <f t="shared" si="9"/>
        <v>-2948.2520634391039</v>
      </c>
      <c r="M157" s="16">
        <f t="shared" si="10"/>
        <v>-0.37962363539669725</v>
      </c>
      <c r="N157" s="17">
        <f t="shared" si="11"/>
        <v>-0.91109672495207339</v>
      </c>
    </row>
    <row r="158" spans="1:14" x14ac:dyDescent="0.35">
      <c r="A158" s="12">
        <v>2013</v>
      </c>
      <c r="B158" s="13">
        <f t="shared" si="8"/>
        <v>41639</v>
      </c>
      <c r="C158" s="14" t="s">
        <v>16</v>
      </c>
      <c r="D158" s="14" t="s">
        <v>18</v>
      </c>
      <c r="E158" s="14">
        <v>4.6344227668038798</v>
      </c>
      <c r="F158" s="15">
        <f>E158*_xlfn.XLOOKUP(D158,conversiones!$A$2:$A$6,conversiones!$B$2:$B$6,0)</f>
        <v>210.21741670222397</v>
      </c>
      <c r="G158" s="14">
        <v>1859.3422116357101</v>
      </c>
      <c r="H158" s="14" t="s">
        <v>19</v>
      </c>
      <c r="I158" s="15">
        <f>G158/_xlfn.XLOOKUP(H158,conversiones!$A$2:$A$6,conversiones!$B$2:$B$6,0)</f>
        <v>16.903111014870092</v>
      </c>
      <c r="J158" s="14">
        <v>7832.6079700315504</v>
      </c>
      <c r="K158" s="15">
        <f>_xlfn.XLOOKUP(C158,Ciclo!$A$2:$A$13,Ciclo!$D$2:$D$13,0)</f>
        <v>2.4</v>
      </c>
      <c r="L158" s="15">
        <f t="shared" si="9"/>
        <v>-4279.279638254653</v>
      </c>
      <c r="M158" s="16">
        <f t="shared" si="10"/>
        <v>-0.54634160864780468</v>
      </c>
      <c r="N158" s="17">
        <f t="shared" si="11"/>
        <v>-1.3112198607547312</v>
      </c>
    </row>
    <row r="159" spans="1:14" x14ac:dyDescent="0.35">
      <c r="A159" s="12">
        <v>2013</v>
      </c>
      <c r="B159" s="13">
        <f t="shared" si="8"/>
        <v>41639</v>
      </c>
      <c r="C159" s="14" t="s">
        <v>20</v>
      </c>
      <c r="D159" s="14" t="s">
        <v>18</v>
      </c>
      <c r="E159" s="14">
        <v>2.1857520526204302</v>
      </c>
      <c r="F159" s="15">
        <f>E159*_xlfn.XLOOKUP(D159,conversiones!$A$2:$A$6,conversiones!$B$2:$B$6,0)</f>
        <v>99.145713106862715</v>
      </c>
      <c r="G159" s="14">
        <v>733.72496221938798</v>
      </c>
      <c r="H159" s="14" t="s">
        <v>18</v>
      </c>
      <c r="I159" s="15">
        <f>G159/_xlfn.XLOOKUP(H159,conversiones!$A$2:$A$6,conversiones!$B$2:$B$6,0)</f>
        <v>16.175594405189329</v>
      </c>
      <c r="J159" s="14">
        <v>2208.9263820000001</v>
      </c>
      <c r="K159" s="15">
        <f>_xlfn.XLOOKUP(C159,Ciclo!$A$2:$A$13,Ciclo!$D$2:$D$13,0)</f>
        <v>3</v>
      </c>
      <c r="L159" s="15">
        <f t="shared" si="9"/>
        <v>-605.18553977012516</v>
      </c>
      <c r="M159" s="16">
        <f t="shared" si="10"/>
        <v>-0.27397270669662593</v>
      </c>
      <c r="N159" s="17">
        <f t="shared" si="11"/>
        <v>-0.82191812008987775</v>
      </c>
    </row>
    <row r="160" spans="1:14" x14ac:dyDescent="0.35">
      <c r="A160" s="12">
        <v>2013</v>
      </c>
      <c r="B160" s="13">
        <f t="shared" si="8"/>
        <v>41639</v>
      </c>
      <c r="C160" s="14" t="s">
        <v>23</v>
      </c>
      <c r="D160" s="14" t="s">
        <v>18</v>
      </c>
      <c r="E160" s="14">
        <v>35.579052369077303</v>
      </c>
      <c r="F160" s="15">
        <f>E160*_xlfn.XLOOKUP(D160,conversiones!$A$2:$A$6,conversiones!$B$2:$B$6,0)</f>
        <v>1613.8658154613465</v>
      </c>
      <c r="G160" s="14">
        <v>934.48487499999999</v>
      </c>
      <c r="H160" s="14" t="s">
        <v>18</v>
      </c>
      <c r="I160" s="15">
        <f>G160/_xlfn.XLOOKUP(H160,conversiones!$A$2:$A$6,conversiones!$B$2:$B$6,0)</f>
        <v>20.601518408289241</v>
      </c>
      <c r="J160" s="14">
        <v>24550.120818416199</v>
      </c>
      <c r="K160" s="15">
        <f>_xlfn.XLOOKUP(C160,Ciclo!$A$2:$A$13,Ciclo!$D$2:$D$13,0)</f>
        <v>4</v>
      </c>
      <c r="L160" s="15">
        <f t="shared" si="9"/>
        <v>8697.9654873194559</v>
      </c>
      <c r="M160" s="16">
        <f t="shared" si="10"/>
        <v>0.35429420293503011</v>
      </c>
      <c r="N160" s="17">
        <f t="shared" si="11"/>
        <v>1.4171768117401204</v>
      </c>
    </row>
    <row r="161" spans="1:14" x14ac:dyDescent="0.35">
      <c r="A161" s="12">
        <v>2013</v>
      </c>
      <c r="B161" s="13">
        <f t="shared" si="8"/>
        <v>41639</v>
      </c>
      <c r="C161" s="14" t="s">
        <v>21</v>
      </c>
      <c r="D161" s="14" t="s">
        <v>18</v>
      </c>
      <c r="E161" s="14">
        <v>11.066278904232201</v>
      </c>
      <c r="F161" s="15">
        <f>E161*_xlfn.XLOOKUP(D161,conversiones!$A$2:$A$6,conversiones!$B$2:$B$6,0)</f>
        <v>501.9664110959726</v>
      </c>
      <c r="G161" s="14">
        <v>396.99930278839298</v>
      </c>
      <c r="H161" s="14" t="s">
        <v>18</v>
      </c>
      <c r="I161" s="15">
        <f>G161/_xlfn.XLOOKUP(H161,conversiones!$A$2:$A$6,conversiones!$B$2:$B$6,0)</f>
        <v>8.7521892149116614</v>
      </c>
      <c r="J161" s="14">
        <v>4893.7504664999997</v>
      </c>
      <c r="K161" s="15">
        <f>_xlfn.XLOOKUP(C161,Ciclo!$A$2:$A$13,Ciclo!$D$2:$D$13,0)</f>
        <v>2</v>
      </c>
      <c r="L161" s="15">
        <f t="shared" si="9"/>
        <v>-500.44545705791461</v>
      </c>
      <c r="M161" s="16">
        <f t="shared" si="10"/>
        <v>-0.10226215261356229</v>
      </c>
      <c r="N161" s="17">
        <f t="shared" si="11"/>
        <v>-0.20452430522712459</v>
      </c>
    </row>
    <row r="162" spans="1:14" x14ac:dyDescent="0.35">
      <c r="A162" s="12">
        <v>2013</v>
      </c>
      <c r="B162" s="13">
        <f t="shared" si="8"/>
        <v>41639</v>
      </c>
      <c r="C162" s="14" t="s">
        <v>25</v>
      </c>
      <c r="D162" s="14" t="s">
        <v>18</v>
      </c>
      <c r="E162" s="14">
        <v>10.341565919018899</v>
      </c>
      <c r="F162" s="15">
        <f>E162*_xlfn.XLOOKUP(D162,conversiones!$A$2:$A$6,conversiones!$B$2:$B$6,0)</f>
        <v>469.09343008669725</v>
      </c>
      <c r="G162" s="14">
        <v>491.060576162698</v>
      </c>
      <c r="H162" s="14" t="s">
        <v>18</v>
      </c>
      <c r="I162" s="15">
        <f>G162/_xlfn.XLOOKUP(H162,conversiones!$A$2:$A$6,conversiones!$B$2:$B$6,0)</f>
        <v>10.825850444503924</v>
      </c>
      <c r="J162" s="14">
        <v>4461.1940527534698</v>
      </c>
      <c r="K162" s="15">
        <f>_xlfn.XLOOKUP(C162,Ciclo!$A$2:$A$13,Ciclo!$D$2:$D$13,0)</f>
        <v>1.2</v>
      </c>
      <c r="L162" s="15">
        <f t="shared" si="9"/>
        <v>617.14126586447219</v>
      </c>
      <c r="M162" s="16">
        <f t="shared" si="10"/>
        <v>0.13833544530159358</v>
      </c>
      <c r="N162" s="17">
        <f t="shared" si="11"/>
        <v>0.16600253436191229</v>
      </c>
    </row>
    <row r="163" spans="1:14" x14ac:dyDescent="0.35">
      <c r="A163" s="12">
        <v>2013</v>
      </c>
      <c r="B163" s="13">
        <f t="shared" si="8"/>
        <v>41639</v>
      </c>
      <c r="C163" s="14" t="s">
        <v>22</v>
      </c>
      <c r="D163" s="14" t="s">
        <v>18</v>
      </c>
      <c r="E163" s="14">
        <v>8.7950994583140591</v>
      </c>
      <c r="F163" s="15">
        <f>E163*_xlfn.XLOOKUP(D163,conversiones!$A$2:$A$6,conversiones!$B$2:$B$6,0)</f>
        <v>398.94571142912571</v>
      </c>
      <c r="G163" s="14">
        <v>1192.2804285714301</v>
      </c>
      <c r="H163" s="14" t="s">
        <v>18</v>
      </c>
      <c r="I163" s="15">
        <f>G163/_xlfn.XLOOKUP(H163,conversiones!$A$2:$A$6,conversiones!$B$2:$B$6,0)</f>
        <v>26.284841899722885</v>
      </c>
      <c r="J163" s="14">
        <v>8667.0620736000001</v>
      </c>
      <c r="K163" s="15">
        <f>_xlfn.XLOOKUP(C163,Ciclo!$A$2:$A$13,Ciclo!$D$2:$D$13,0)</f>
        <v>1</v>
      </c>
      <c r="L163" s="15">
        <f t="shared" si="9"/>
        <v>1819.1628778870381</v>
      </c>
      <c r="M163" s="16">
        <f t="shared" si="10"/>
        <v>0.20989383281657059</v>
      </c>
      <c r="N163" s="17">
        <f t="shared" si="11"/>
        <v>0.20989383281657059</v>
      </c>
    </row>
    <row r="164" spans="1:14" x14ac:dyDescent="0.35">
      <c r="A164" s="12">
        <v>2013</v>
      </c>
      <c r="B164" s="13">
        <f t="shared" si="8"/>
        <v>41639</v>
      </c>
      <c r="C164" s="14" t="s">
        <v>24</v>
      </c>
      <c r="D164" s="14" t="s">
        <v>18</v>
      </c>
      <c r="E164" s="14">
        <v>8.1913850553434902</v>
      </c>
      <c r="F164" s="15">
        <f>E164*_xlfn.XLOOKUP(D164,conversiones!$A$2:$A$6,conversiones!$B$2:$B$6,0)</f>
        <v>371.56122611038069</v>
      </c>
      <c r="G164" s="14">
        <v>1636.6013015873</v>
      </c>
      <c r="H164" s="14" t="s">
        <v>18</v>
      </c>
      <c r="I164" s="15">
        <f>G164/_xlfn.XLOOKUP(H164,conversiones!$A$2:$A$6,conversiones!$B$2:$B$6,0)</f>
        <v>36.080275608185623</v>
      </c>
      <c r="J164" s="14">
        <v>8436.0023040464603</v>
      </c>
      <c r="K164" s="15">
        <f>_xlfn.XLOOKUP(C164,Ciclo!$A$2:$A$13,Ciclo!$D$2:$D$13,0)</f>
        <v>1</v>
      </c>
      <c r="L164" s="15">
        <f t="shared" si="9"/>
        <v>4970.029139331451</v>
      </c>
      <c r="M164" s="16">
        <f t="shared" si="10"/>
        <v>0.58914506660903809</v>
      </c>
      <c r="N164" s="17">
        <f t="shared" si="11"/>
        <v>0.58914506660903809</v>
      </c>
    </row>
    <row r="165" spans="1:14" x14ac:dyDescent="0.35">
      <c r="A165" s="12">
        <v>2013</v>
      </c>
      <c r="B165" s="13">
        <f t="shared" si="8"/>
        <v>41639</v>
      </c>
      <c r="C165" s="14" t="s">
        <v>30</v>
      </c>
      <c r="D165" s="14" t="s">
        <v>32</v>
      </c>
      <c r="E165" s="14">
        <v>105.48948085776399</v>
      </c>
      <c r="F165" s="15">
        <f>E165*_xlfn.XLOOKUP(D165,conversiones!$A$2:$A$6,conversiones!$B$2:$B$6,0)</f>
        <v>2870.3687741397584</v>
      </c>
      <c r="G165" s="14">
        <v>148.94947534013599</v>
      </c>
      <c r="H165" s="14" t="s">
        <v>32</v>
      </c>
      <c r="I165" s="15">
        <f>G165/_xlfn.XLOOKUP(H165,conversiones!$A$2:$A$6,conversiones!$B$2:$B$6,0)</f>
        <v>5.4740711260615944</v>
      </c>
      <c r="J165" s="14">
        <v>11852.2845542745</v>
      </c>
      <c r="K165" s="15">
        <f>_xlfn.XLOOKUP(C165,Ciclo!$A$2:$A$13,Ciclo!$D$2:$D$13,0)</f>
        <v>1</v>
      </c>
      <c r="L165" s="15">
        <f t="shared" si="9"/>
        <v>3860.3182733927661</v>
      </c>
      <c r="M165" s="16">
        <f t="shared" si="10"/>
        <v>0.32570246315935358</v>
      </c>
      <c r="N165" s="17">
        <f t="shared" si="11"/>
        <v>0.32570246315935358</v>
      </c>
    </row>
    <row r="166" spans="1:14" x14ac:dyDescent="0.35">
      <c r="A166" s="12">
        <v>2013</v>
      </c>
      <c r="B166" s="13">
        <f t="shared" si="8"/>
        <v>41639</v>
      </c>
      <c r="C166" s="14" t="s">
        <v>33</v>
      </c>
      <c r="D166" s="14" t="s">
        <v>34</v>
      </c>
      <c r="E166" s="14">
        <v>3.0802603737809799</v>
      </c>
      <c r="F166" s="15">
        <f>E166*_xlfn.XLOOKUP(D166,conversiones!$A$2:$A$6,conversiones!$B$2:$B$6,0)</f>
        <v>1257.2082715587069</v>
      </c>
      <c r="G166" s="14">
        <v>4491.7975649092996</v>
      </c>
      <c r="H166" s="14" t="s">
        <v>34</v>
      </c>
      <c r="I166" s="15">
        <f>G166/_xlfn.XLOOKUP(H166,conversiones!$A$2:$A$6,conversiones!$B$2:$B$6,0)</f>
        <v>11.005261705033199</v>
      </c>
      <c r="J166" s="14">
        <v>11461.359791266201</v>
      </c>
      <c r="K166" s="15">
        <f>_xlfn.XLOOKUP(C166,Ciclo!$A$2:$A$13,Ciclo!$D$2:$D$13,0)</f>
        <v>1</v>
      </c>
      <c r="L166" s="15">
        <f t="shared" si="9"/>
        <v>2374.546254969815</v>
      </c>
      <c r="M166" s="16">
        <f t="shared" si="10"/>
        <v>0.20717840624628761</v>
      </c>
      <c r="N166" s="17">
        <f t="shared" si="11"/>
        <v>0.20717840624628761</v>
      </c>
    </row>
    <row r="167" spans="1:14" x14ac:dyDescent="0.35">
      <c r="A167" s="12">
        <v>2013</v>
      </c>
      <c r="B167" s="13">
        <f t="shared" si="8"/>
        <v>41639</v>
      </c>
      <c r="C167" s="14" t="s">
        <v>28</v>
      </c>
      <c r="D167" s="14" t="s">
        <v>29</v>
      </c>
      <c r="E167" s="14">
        <v>1.3860982000178499</v>
      </c>
      <c r="F167" s="15">
        <f>E167*_xlfn.XLOOKUP(D167,conversiones!$A$2:$A$6,conversiones!$B$2:$B$6,0)</f>
        <v>779.45846179803777</v>
      </c>
      <c r="G167" s="14">
        <v>5542.30163095238</v>
      </c>
      <c r="H167" s="14" t="s">
        <v>29</v>
      </c>
      <c r="I167" s="15">
        <f>G167/_xlfn.XLOOKUP(H167,conversiones!$A$2:$A$6,conversiones!$B$2:$B$6,0)</f>
        <v>9.8557841002816442</v>
      </c>
      <c r="J167" s="14">
        <v>6492.5610346041303</v>
      </c>
      <c r="K167" s="15">
        <f>_xlfn.XLOOKUP(C167,Ciclo!$A$2:$A$13,Ciclo!$D$2:$D$13,0)</f>
        <v>3</v>
      </c>
      <c r="L167" s="15">
        <f t="shared" si="9"/>
        <v>1189.613280014958</v>
      </c>
      <c r="M167" s="16">
        <f t="shared" si="10"/>
        <v>0.18322712311436778</v>
      </c>
      <c r="N167" s="17">
        <f t="shared" si="11"/>
        <v>0.5496813693431033</v>
      </c>
    </row>
    <row r="168" spans="1:14" x14ac:dyDescent="0.35">
      <c r="A168" s="12">
        <v>2013</v>
      </c>
      <c r="B168" s="13">
        <f t="shared" si="8"/>
        <v>41639</v>
      </c>
      <c r="C168" s="14" t="s">
        <v>26</v>
      </c>
      <c r="D168" s="14" t="s">
        <v>18</v>
      </c>
      <c r="E168" s="14">
        <v>6.3281034391253597</v>
      </c>
      <c r="F168" s="15">
        <f>E168*_xlfn.XLOOKUP(D168,conversiones!$A$2:$A$6,conversiones!$B$2:$B$6,0)</f>
        <v>287.04277199872632</v>
      </c>
      <c r="G168" s="14">
        <v>699.82420039682495</v>
      </c>
      <c r="H168" s="14" t="s">
        <v>18</v>
      </c>
      <c r="I168" s="15">
        <f>G168/_xlfn.XLOOKUP(H168,conversiones!$A$2:$A$6,conversiones!$B$2:$B$6,0)</f>
        <v>15.428223112804783</v>
      </c>
      <c r="J168" s="14">
        <v>1856.8216170000001</v>
      </c>
      <c r="K168" s="15">
        <f>_xlfn.XLOOKUP(C168,Ciclo!$A$2:$A$13,Ciclo!$D$2:$D$13,0)</f>
        <v>3</v>
      </c>
      <c r="L168" s="15">
        <f t="shared" si="9"/>
        <v>2571.7383123143031</v>
      </c>
      <c r="M168" s="16">
        <f t="shared" si="10"/>
        <v>1.3850217429444667</v>
      </c>
      <c r="N168" s="17">
        <f t="shared" si="11"/>
        <v>4.1550652288333998</v>
      </c>
    </row>
    <row r="169" spans="1:14" x14ac:dyDescent="0.35">
      <c r="A169" s="12">
        <v>2013</v>
      </c>
      <c r="B169" s="13">
        <f t="shared" si="8"/>
        <v>41639</v>
      </c>
      <c r="C169" s="14" t="s">
        <v>27</v>
      </c>
      <c r="D169" s="14" t="s">
        <v>18</v>
      </c>
      <c r="E169" s="14">
        <v>7.4398660292400898</v>
      </c>
      <c r="F169" s="15">
        <f>E169*_xlfn.XLOOKUP(D169,conversiones!$A$2:$A$6,conversiones!$B$2:$B$6,0)</f>
        <v>337.47232308633045</v>
      </c>
      <c r="G169" s="14">
        <v>646.19795248015896</v>
      </c>
      <c r="H169" s="14" t="s">
        <v>18</v>
      </c>
      <c r="I169" s="15">
        <f>G169/_xlfn.XLOOKUP(H169,conversiones!$A$2:$A$6,conversiones!$B$2:$B$6,0)</f>
        <v>14.245986606705445</v>
      </c>
      <c r="J169" s="14">
        <v>7498.499866956</v>
      </c>
      <c r="K169" s="15">
        <f>_xlfn.XLOOKUP(C169,Ciclo!$A$2:$A$13,Ciclo!$D$2:$D$13,0)</f>
        <v>2.4</v>
      </c>
      <c r="L169" s="15">
        <f t="shared" si="9"/>
        <v>-2690.8736721343639</v>
      </c>
      <c r="M169" s="16">
        <f t="shared" si="10"/>
        <v>-0.35885493363710874</v>
      </c>
      <c r="N169" s="17">
        <f t="shared" si="11"/>
        <v>-0.86125184072906091</v>
      </c>
    </row>
    <row r="170" spans="1:14" x14ac:dyDescent="0.35">
      <c r="A170" s="12">
        <v>2014</v>
      </c>
      <c r="B170" s="13">
        <f t="shared" si="8"/>
        <v>42004</v>
      </c>
      <c r="C170" s="14" t="s">
        <v>16</v>
      </c>
      <c r="D170" s="14" t="s">
        <v>18</v>
      </c>
      <c r="E170" s="14">
        <v>4.5212761405552504</v>
      </c>
      <c r="F170" s="15">
        <f>E170*_xlfn.XLOOKUP(D170,conversiones!$A$2:$A$6,conversiones!$B$2:$B$6,0)</f>
        <v>205.08508573558615</v>
      </c>
      <c r="G170" s="14">
        <v>1849.02859281523</v>
      </c>
      <c r="H170" s="14" t="s">
        <v>19</v>
      </c>
      <c r="I170" s="15">
        <f>G170/_xlfn.XLOOKUP(H170,conversiones!$A$2:$A$6,conversiones!$B$2:$B$6,0)</f>
        <v>16.809350843774819</v>
      </c>
      <c r="J170" s="14">
        <v>7973.2432584128101</v>
      </c>
      <c r="K170" s="15">
        <f>_xlfn.XLOOKUP(C170,Ciclo!$A$2:$A$13,Ciclo!$D$2:$D$13,0)</f>
        <v>2.4</v>
      </c>
      <c r="L170" s="15">
        <f t="shared" si="9"/>
        <v>-4525.8960994577037</v>
      </c>
      <c r="M170" s="16">
        <f t="shared" si="10"/>
        <v>-0.56763552205462864</v>
      </c>
      <c r="N170" s="17">
        <f t="shared" si="11"/>
        <v>-1.3623252529311087</v>
      </c>
    </row>
    <row r="171" spans="1:14" x14ac:dyDescent="0.35">
      <c r="A171" s="12">
        <v>2014</v>
      </c>
      <c r="B171" s="13">
        <f t="shared" si="8"/>
        <v>42004</v>
      </c>
      <c r="C171" s="14" t="s">
        <v>20</v>
      </c>
      <c r="D171" s="14" t="s">
        <v>18</v>
      </c>
      <c r="E171" s="14">
        <v>2.05977456302106</v>
      </c>
      <c r="F171" s="15">
        <f>E171*_xlfn.XLOOKUP(D171,conversiones!$A$2:$A$6,conversiones!$B$2:$B$6,0)</f>
        <v>93.431374178635281</v>
      </c>
      <c r="G171" s="14">
        <v>746.93210846560896</v>
      </c>
      <c r="H171" s="14" t="s">
        <v>18</v>
      </c>
      <c r="I171" s="15">
        <f>G171/_xlfn.XLOOKUP(H171,conversiones!$A$2:$A$6,conversiones!$B$2:$B$6,0)</f>
        <v>16.466757241305313</v>
      </c>
      <c r="J171" s="14">
        <v>2447.4016476000002</v>
      </c>
      <c r="K171" s="15">
        <f>_xlfn.XLOOKUP(C171,Ciclo!$A$2:$A$13,Ciclo!$D$2:$D$13,0)</f>
        <v>3</v>
      </c>
      <c r="L171" s="15">
        <f t="shared" si="9"/>
        <v>-908.88989027885145</v>
      </c>
      <c r="M171" s="16">
        <f t="shared" si="10"/>
        <v>-0.37136932189701588</v>
      </c>
      <c r="N171" s="17">
        <f t="shared" si="11"/>
        <v>-1.1141079656910478</v>
      </c>
    </row>
    <row r="172" spans="1:14" x14ac:dyDescent="0.35">
      <c r="A172" s="12">
        <v>2014</v>
      </c>
      <c r="B172" s="13">
        <f t="shared" si="8"/>
        <v>42004</v>
      </c>
      <c r="C172" s="14" t="s">
        <v>23</v>
      </c>
      <c r="D172" s="14" t="s">
        <v>18</v>
      </c>
      <c r="E172" s="14">
        <v>37.028020096483097</v>
      </c>
      <c r="F172" s="15">
        <f>E172*_xlfn.XLOOKUP(D172,conversiones!$A$2:$A$6,conversiones!$B$2:$B$6,0)</f>
        <v>1679.5909915764732</v>
      </c>
      <c r="G172" s="14">
        <v>857.64559722222202</v>
      </c>
      <c r="H172" s="14" t="s">
        <v>18</v>
      </c>
      <c r="I172" s="15">
        <f>G172/_xlfn.XLOOKUP(H172,conversiones!$A$2:$A$6,conversiones!$B$2:$B$6,0)</f>
        <v>18.907530802959041</v>
      </c>
      <c r="J172" s="14">
        <v>26184.1693466859</v>
      </c>
      <c r="K172" s="15">
        <f>_xlfn.XLOOKUP(C172,Ciclo!$A$2:$A$13,Ciclo!$D$2:$D$13,0)</f>
        <v>4</v>
      </c>
      <c r="L172" s="15">
        <f t="shared" si="9"/>
        <v>5572.7490629187887</v>
      </c>
      <c r="M172" s="16">
        <f t="shared" si="10"/>
        <v>0.2128289421418719</v>
      </c>
      <c r="N172" s="17">
        <f t="shared" si="11"/>
        <v>0.85131576856748759</v>
      </c>
    </row>
    <row r="173" spans="1:14" x14ac:dyDescent="0.35">
      <c r="A173" s="12">
        <v>2014</v>
      </c>
      <c r="B173" s="13">
        <f t="shared" si="8"/>
        <v>42004</v>
      </c>
      <c r="C173" s="14" t="s">
        <v>21</v>
      </c>
      <c r="D173" s="14" t="s">
        <v>18</v>
      </c>
      <c r="E173" s="14">
        <v>11.4644999593887</v>
      </c>
      <c r="F173" s="15">
        <f>E173*_xlfn.XLOOKUP(D173,conversiones!$A$2:$A$6,conversiones!$B$2:$B$6,0)</f>
        <v>520.02971815787146</v>
      </c>
      <c r="G173" s="14">
        <v>366.04304483024703</v>
      </c>
      <c r="H173" s="14" t="s">
        <v>18</v>
      </c>
      <c r="I173" s="15">
        <f>G173/_xlfn.XLOOKUP(H173,conversiones!$A$2:$A$6,conversiones!$B$2:$B$6,0)</f>
        <v>8.0697320288855163</v>
      </c>
      <c r="J173" s="14">
        <v>5243.9203424999996</v>
      </c>
      <c r="K173" s="15">
        <f>_xlfn.XLOOKUP(C173,Ciclo!$A$2:$A$13,Ciclo!$D$2:$D$13,0)</f>
        <v>2</v>
      </c>
      <c r="L173" s="15">
        <f t="shared" si="9"/>
        <v>-1047.4198699091166</v>
      </c>
      <c r="M173" s="16">
        <f t="shared" si="10"/>
        <v>-0.1997398513894601</v>
      </c>
      <c r="N173" s="17">
        <f t="shared" si="11"/>
        <v>-0.3994797027789202</v>
      </c>
    </row>
    <row r="174" spans="1:14" x14ac:dyDescent="0.35">
      <c r="A174" s="12">
        <v>2014</v>
      </c>
      <c r="B174" s="13">
        <f t="shared" si="8"/>
        <v>42004</v>
      </c>
      <c r="C174" s="14" t="s">
        <v>25</v>
      </c>
      <c r="D174" s="14" t="s">
        <v>18</v>
      </c>
      <c r="E174" s="14">
        <v>10.550500240126</v>
      </c>
      <c r="F174" s="15">
        <f>E174*_xlfn.XLOOKUP(D174,conversiones!$A$2:$A$6,conversiones!$B$2:$B$6,0)</f>
        <v>478.57069089211535</v>
      </c>
      <c r="G174" s="14">
        <v>292.58604012351202</v>
      </c>
      <c r="H174" s="14" t="s">
        <v>18</v>
      </c>
      <c r="I174" s="15">
        <f>G174/_xlfn.XLOOKUP(H174,conversiones!$A$2:$A$6,conversiones!$B$2:$B$6,0)</f>
        <v>6.4503095265324522</v>
      </c>
      <c r="J174" s="14">
        <v>4871.6687043187803</v>
      </c>
      <c r="K174" s="15">
        <f>_xlfn.XLOOKUP(C174,Ciclo!$A$2:$A$13,Ciclo!$D$2:$D$13,0)</f>
        <v>1.2</v>
      </c>
      <c r="L174" s="15">
        <f t="shared" si="9"/>
        <v>-1784.7396177381511</v>
      </c>
      <c r="M174" s="16">
        <f t="shared" si="10"/>
        <v>-0.36635077753870304</v>
      </c>
      <c r="N174" s="17">
        <f t="shared" si="11"/>
        <v>-0.43962093304644362</v>
      </c>
    </row>
    <row r="175" spans="1:14" x14ac:dyDescent="0.35">
      <c r="A175" s="12">
        <v>2014</v>
      </c>
      <c r="B175" s="13">
        <f t="shared" si="8"/>
        <v>42004</v>
      </c>
      <c r="C175" s="14" t="s">
        <v>22</v>
      </c>
      <c r="D175" s="14" t="s">
        <v>18</v>
      </c>
      <c r="E175" s="14">
        <v>8.9239750277564998</v>
      </c>
      <c r="F175" s="15">
        <f>E175*_xlfn.XLOOKUP(D175,conversiones!$A$2:$A$6,conversiones!$B$2:$B$6,0)</f>
        <v>404.7915072590348</v>
      </c>
      <c r="G175" s="14">
        <v>1057.8043287037001</v>
      </c>
      <c r="H175" s="14" t="s">
        <v>18</v>
      </c>
      <c r="I175" s="15">
        <f>G175/_xlfn.XLOOKUP(H175,conversiones!$A$2:$A$6,conversiones!$B$2:$B$6,0)</f>
        <v>23.320201250081571</v>
      </c>
      <c r="J175" s="14">
        <v>9418.5442175999997</v>
      </c>
      <c r="K175" s="15">
        <f>_xlfn.XLOOKUP(C175,Ciclo!$A$2:$A$13,Ciclo!$D$2:$D$13,0)</f>
        <v>1</v>
      </c>
      <c r="L175" s="15">
        <f t="shared" si="9"/>
        <v>21.27519600454616</v>
      </c>
      <c r="M175" s="16">
        <f t="shared" si="10"/>
        <v>2.2588624646248602E-3</v>
      </c>
      <c r="N175" s="17">
        <f t="shared" si="11"/>
        <v>2.2588624646248602E-3</v>
      </c>
    </row>
    <row r="176" spans="1:14" x14ac:dyDescent="0.35">
      <c r="A176" s="12">
        <v>2014</v>
      </c>
      <c r="B176" s="13">
        <f t="shared" si="8"/>
        <v>42004</v>
      </c>
      <c r="C176" s="14" t="s">
        <v>24</v>
      </c>
      <c r="D176" s="14" t="s">
        <v>18</v>
      </c>
      <c r="E176" s="14">
        <v>8.6359946548277193</v>
      </c>
      <c r="F176" s="15">
        <f>E176*_xlfn.XLOOKUP(D176,conversiones!$A$2:$A$6,conversiones!$B$2:$B$6,0)</f>
        <v>391.72871754298535</v>
      </c>
      <c r="G176" s="14">
        <v>1339.0141411111099</v>
      </c>
      <c r="H176" s="14" t="s">
        <v>18</v>
      </c>
      <c r="I176" s="15">
        <f>G176/_xlfn.XLOOKUP(H176,conversiones!$A$2:$A$6,conversiones!$B$2:$B$6,0)</f>
        <v>29.519712105624116</v>
      </c>
      <c r="J176" s="14">
        <v>9105.9886041600002</v>
      </c>
      <c r="K176" s="15">
        <f>_xlfn.XLOOKUP(C176,Ciclo!$A$2:$A$13,Ciclo!$D$2:$D$13,0)</f>
        <v>1</v>
      </c>
      <c r="L176" s="15">
        <f t="shared" si="9"/>
        <v>2457.730361214275</v>
      </c>
      <c r="M176" s="16">
        <f t="shared" si="10"/>
        <v>0.26990263968609407</v>
      </c>
      <c r="N176" s="17">
        <f t="shared" si="11"/>
        <v>0.26990263968609407</v>
      </c>
    </row>
    <row r="177" spans="1:14" x14ac:dyDescent="0.35">
      <c r="A177" s="12">
        <v>2014</v>
      </c>
      <c r="B177" s="13">
        <f t="shared" si="8"/>
        <v>42004</v>
      </c>
      <c r="C177" s="14" t="s">
        <v>30</v>
      </c>
      <c r="D177" s="14" t="s">
        <v>32</v>
      </c>
      <c r="E177" s="14">
        <v>99.760168490923903</v>
      </c>
      <c r="F177" s="15">
        <f>E177*_xlfn.XLOOKUP(D177,conversiones!$A$2:$A$6,conversiones!$B$2:$B$6,0)</f>
        <v>2714.4741846380393</v>
      </c>
      <c r="G177" s="14">
        <v>148.014211309524</v>
      </c>
      <c r="H177" s="14" t="s">
        <v>32</v>
      </c>
      <c r="I177" s="15">
        <f>G177/_xlfn.XLOOKUP(H177,conversiones!$A$2:$A$6,conversiones!$B$2:$B$6,0)</f>
        <v>5.4396990558443221</v>
      </c>
      <c r="J177" s="14">
        <v>12538.8969859716</v>
      </c>
      <c r="K177" s="15">
        <f>_xlfn.XLOOKUP(C177,Ciclo!$A$2:$A$13,Ciclo!$D$2:$D$13,0)</f>
        <v>1</v>
      </c>
      <c r="L177" s="15">
        <f t="shared" si="9"/>
        <v>2227.0256733177284</v>
      </c>
      <c r="M177" s="16">
        <f t="shared" si="10"/>
        <v>0.17760937631191195</v>
      </c>
      <c r="N177" s="17">
        <f t="shared" si="11"/>
        <v>0.17760937631191195</v>
      </c>
    </row>
    <row r="178" spans="1:14" x14ac:dyDescent="0.35">
      <c r="A178" s="12">
        <v>2014</v>
      </c>
      <c r="B178" s="13">
        <f t="shared" si="8"/>
        <v>42004</v>
      </c>
      <c r="C178" s="14" t="s">
        <v>33</v>
      </c>
      <c r="D178" s="14" t="s">
        <v>34</v>
      </c>
      <c r="E178" s="14">
        <v>3.35563868061974</v>
      </c>
      <c r="F178" s="15">
        <f>E178*_xlfn.XLOOKUP(D178,conversiones!$A$2:$A$6,conversiones!$B$2:$B$6,0)</f>
        <v>1369.6039274949469</v>
      </c>
      <c r="G178" s="14">
        <v>4676.0702017195799</v>
      </c>
      <c r="H178" s="14" t="s">
        <v>34</v>
      </c>
      <c r="I178" s="15">
        <f>G178/_xlfn.XLOOKUP(H178,conversiones!$A$2:$A$6,conversiones!$B$2:$B$6,0)</f>
        <v>11.45674433840397</v>
      </c>
      <c r="J178" s="14">
        <v>12054.016631725301</v>
      </c>
      <c r="K178" s="15">
        <f>_xlfn.XLOOKUP(C178,Ciclo!$A$2:$A$13,Ciclo!$D$2:$D$13,0)</f>
        <v>1</v>
      </c>
      <c r="L178" s="15">
        <f t="shared" si="9"/>
        <v>3637.1854104582744</v>
      </c>
      <c r="M178" s="16">
        <f t="shared" si="10"/>
        <v>0.30174053359819208</v>
      </c>
      <c r="N178" s="17">
        <f t="shared" si="11"/>
        <v>0.30174053359819208</v>
      </c>
    </row>
    <row r="179" spans="1:14" x14ac:dyDescent="0.35">
      <c r="A179" s="12">
        <v>2014</v>
      </c>
      <c r="B179" s="13">
        <f t="shared" si="8"/>
        <v>42004</v>
      </c>
      <c r="C179" s="14" t="s">
        <v>28</v>
      </c>
      <c r="D179" s="14" t="s">
        <v>29</v>
      </c>
      <c r="E179" s="14">
        <v>1.5313401610431301</v>
      </c>
      <c r="F179" s="15">
        <f>E179*_xlfn.XLOOKUP(D179,conversiones!$A$2:$A$6,conversiones!$B$2:$B$6,0)</f>
        <v>861.13382616099386</v>
      </c>
      <c r="G179" s="14">
        <v>5996.3974437830702</v>
      </c>
      <c r="H179" s="14" t="s">
        <v>29</v>
      </c>
      <c r="I179" s="15">
        <f>G179/_xlfn.XLOOKUP(H179,conversiones!$A$2:$A$6,conversiones!$B$2:$B$6,0)</f>
        <v>10.663295237370754</v>
      </c>
      <c r="J179" s="14">
        <v>7150.5342362867696</v>
      </c>
      <c r="K179" s="15">
        <f>_xlfn.XLOOKUP(C179,Ciclo!$A$2:$A$13,Ciclo!$D$2:$D$13,0)</f>
        <v>3</v>
      </c>
      <c r="L179" s="15">
        <f t="shared" si="9"/>
        <v>2031.9899909546102</v>
      </c>
      <c r="M179" s="16">
        <f t="shared" si="10"/>
        <v>0.28417317137548742</v>
      </c>
      <c r="N179" s="17">
        <f t="shared" si="11"/>
        <v>0.85251951412646232</v>
      </c>
    </row>
    <row r="180" spans="1:14" x14ac:dyDescent="0.35">
      <c r="A180" s="12">
        <v>2014</v>
      </c>
      <c r="B180" s="13">
        <f t="shared" si="8"/>
        <v>42004</v>
      </c>
      <c r="C180" s="14" t="s">
        <v>26</v>
      </c>
      <c r="D180" s="14" t="s">
        <v>18</v>
      </c>
      <c r="E180" s="14">
        <v>6.1317174385962403</v>
      </c>
      <c r="F180" s="15">
        <f>E180*_xlfn.XLOOKUP(D180,conversiones!$A$2:$A$6,conversiones!$B$2:$B$6,0)</f>
        <v>278.13470301472546</v>
      </c>
      <c r="G180" s="14">
        <v>821.22492815608496</v>
      </c>
      <c r="H180" s="14" t="s">
        <v>18</v>
      </c>
      <c r="I180" s="15">
        <f>G180/_xlfn.XLOOKUP(H180,conversiones!$A$2:$A$6,conversiones!$B$2:$B$6,0)</f>
        <v>18.104605999913691</v>
      </c>
      <c r="J180" s="14">
        <v>2107.5566399999998</v>
      </c>
      <c r="K180" s="15">
        <f>_xlfn.XLOOKUP(C180,Ciclo!$A$2:$A$13,Ciclo!$D$2:$D$13,0)</f>
        <v>3</v>
      </c>
      <c r="L180" s="15">
        <f t="shared" si="9"/>
        <v>2927.9625729846111</v>
      </c>
      <c r="M180" s="16">
        <f t="shared" si="10"/>
        <v>1.389268747237375</v>
      </c>
      <c r="N180" s="17">
        <f t="shared" si="11"/>
        <v>4.1678062417121247</v>
      </c>
    </row>
    <row r="181" spans="1:14" x14ac:dyDescent="0.35">
      <c r="A181" s="12">
        <v>2014</v>
      </c>
      <c r="B181" s="13">
        <f t="shared" si="8"/>
        <v>42004</v>
      </c>
      <c r="C181" s="14" t="s">
        <v>27</v>
      </c>
      <c r="D181" s="14" t="s">
        <v>18</v>
      </c>
      <c r="E181" s="14">
        <v>8.0390540318607293</v>
      </c>
      <c r="F181" s="15">
        <f>E181*_xlfn.XLOOKUP(D181,conversiones!$A$2:$A$6,conversiones!$B$2:$B$6,0)</f>
        <v>364.65149088520269</v>
      </c>
      <c r="G181" s="14">
        <v>693.68205390211597</v>
      </c>
      <c r="H181" s="14" t="s">
        <v>18</v>
      </c>
      <c r="I181" s="15">
        <f>G181/_xlfn.XLOOKUP(H181,conversiones!$A$2:$A$6,conversiones!$B$2:$B$6,0)</f>
        <v>15.292814239464638</v>
      </c>
      <c r="J181" s="14">
        <v>8288.2983415050003</v>
      </c>
      <c r="K181" s="15">
        <f>_xlfn.XLOOKUP(C181,Ciclo!$A$2:$A$13,Ciclo!$D$2:$D$13,0)</f>
        <v>2.4</v>
      </c>
      <c r="L181" s="15">
        <f t="shared" si="9"/>
        <v>-2711.7508292537632</v>
      </c>
      <c r="M181" s="16">
        <f t="shared" si="10"/>
        <v>-0.32717823581159361</v>
      </c>
      <c r="N181" s="17">
        <f t="shared" si="11"/>
        <v>-0.78522776594782462</v>
      </c>
    </row>
    <row r="182" spans="1:14" x14ac:dyDescent="0.35">
      <c r="A182" s="12">
        <v>2015</v>
      </c>
      <c r="B182" s="13">
        <f t="shared" si="8"/>
        <v>42369</v>
      </c>
      <c r="C182" s="14" t="s">
        <v>16</v>
      </c>
      <c r="D182" s="14" t="s">
        <v>18</v>
      </c>
      <c r="E182" s="14">
        <v>4.6599462476615097</v>
      </c>
      <c r="F182" s="15">
        <f>E182*_xlfn.XLOOKUP(D182,conversiones!$A$2:$A$6,conversiones!$B$2:$B$6,0)</f>
        <v>211.37516179392608</v>
      </c>
      <c r="G182" s="14">
        <v>1791.45969160404</v>
      </c>
      <c r="H182" s="14" t="s">
        <v>19</v>
      </c>
      <c r="I182" s="15">
        <f>G182/_xlfn.XLOOKUP(H182,conversiones!$A$2:$A$6,conversiones!$B$2:$B$6,0)</f>
        <v>16.285997196400363</v>
      </c>
      <c r="J182" s="14">
        <v>7019.0666646612499</v>
      </c>
      <c r="K182" s="15">
        <f>_xlfn.XLOOKUP(C182,Ciclo!$A$2:$A$13,Ciclo!$D$2:$D$13,0)</f>
        <v>2.4</v>
      </c>
      <c r="L182" s="15">
        <f t="shared" si="9"/>
        <v>-3576.6113722966966</v>
      </c>
      <c r="M182" s="16">
        <f t="shared" si="10"/>
        <v>-0.50955654692721297</v>
      </c>
      <c r="N182" s="17">
        <f t="shared" si="11"/>
        <v>-1.2229357126253111</v>
      </c>
    </row>
    <row r="183" spans="1:14" x14ac:dyDescent="0.35">
      <c r="A183" s="12">
        <v>2015</v>
      </c>
      <c r="B183" s="13">
        <f t="shared" si="8"/>
        <v>42369</v>
      </c>
      <c r="C183" s="14" t="s">
        <v>20</v>
      </c>
      <c r="D183" s="14" t="s">
        <v>18</v>
      </c>
      <c r="E183" s="14">
        <v>2.0109574291423198</v>
      </c>
      <c r="F183" s="15">
        <f>E183*_xlfn.XLOOKUP(D183,conversiones!$A$2:$A$6,conversiones!$B$2:$B$6,0)</f>
        <v>91.217028985895624</v>
      </c>
      <c r="G183" s="14">
        <v>864.32817555291001</v>
      </c>
      <c r="H183" s="14" t="s">
        <v>18</v>
      </c>
      <c r="I183" s="15">
        <f>G183/_xlfn.XLOOKUP(H183,conversiones!$A$2:$A$6,conversiones!$B$2:$B$6,0)</f>
        <v>19.054853958397487</v>
      </c>
      <c r="J183" s="14">
        <v>2574.5849057760001</v>
      </c>
      <c r="K183" s="15">
        <f>_xlfn.XLOOKUP(C183,Ciclo!$A$2:$A$13,Ciclo!$D$2:$D$13,0)</f>
        <v>3</v>
      </c>
      <c r="L183" s="15">
        <f t="shared" si="9"/>
        <v>-836.45773993084867</v>
      </c>
      <c r="M183" s="16">
        <f t="shared" si="10"/>
        <v>-0.32489033010885837</v>
      </c>
      <c r="N183" s="17">
        <f t="shared" si="11"/>
        <v>-0.97467099032657512</v>
      </c>
    </row>
    <row r="184" spans="1:14" x14ac:dyDescent="0.35">
      <c r="A184" s="12">
        <v>2015</v>
      </c>
      <c r="B184" s="13">
        <f t="shared" si="8"/>
        <v>42369</v>
      </c>
      <c r="C184" s="14" t="s">
        <v>23</v>
      </c>
      <c r="D184" s="14" t="s">
        <v>18</v>
      </c>
      <c r="E184" s="14">
        <v>36.9949330938069</v>
      </c>
      <c r="F184" s="15">
        <f>E184*_xlfn.XLOOKUP(D184,conversiones!$A$2:$A$6,conversiones!$B$2:$B$6,0)</f>
        <v>1678.090165135081</v>
      </c>
      <c r="G184" s="14">
        <v>960.11097222222202</v>
      </c>
      <c r="H184" s="14" t="s">
        <v>18</v>
      </c>
      <c r="I184" s="15">
        <f>G184/_xlfn.XLOOKUP(H184,conversiones!$A$2:$A$6,conversiones!$B$2:$B$6,0)</f>
        <v>21.166467641583377</v>
      </c>
      <c r="J184" s="14">
        <v>25505.193937477801</v>
      </c>
      <c r="K184" s="15">
        <f>_xlfn.XLOOKUP(C184,Ciclo!$A$2:$A$13,Ciclo!$D$2:$D$13,0)</f>
        <v>4</v>
      </c>
      <c r="L184" s="15">
        <f t="shared" si="9"/>
        <v>10014.047242513196</v>
      </c>
      <c r="M184" s="16">
        <f t="shared" si="10"/>
        <v>0.39262776307685199</v>
      </c>
      <c r="N184" s="17">
        <f t="shared" si="11"/>
        <v>1.570511052307408</v>
      </c>
    </row>
    <row r="185" spans="1:14" x14ac:dyDescent="0.35">
      <c r="A185" s="12">
        <v>2015</v>
      </c>
      <c r="B185" s="13">
        <f t="shared" si="8"/>
        <v>42369</v>
      </c>
      <c r="C185" s="14" t="s">
        <v>21</v>
      </c>
      <c r="D185" s="14" t="s">
        <v>18</v>
      </c>
      <c r="E185" s="14">
        <v>10.7800622610466</v>
      </c>
      <c r="F185" s="15">
        <f>E185*_xlfn.XLOOKUP(D185,conversiones!$A$2:$A$6,conversiones!$B$2:$B$6,0)</f>
        <v>488.98362416107381</v>
      </c>
      <c r="G185" s="14">
        <v>471.577051997355</v>
      </c>
      <c r="H185" s="14" t="s">
        <v>18</v>
      </c>
      <c r="I185" s="15">
        <f>G185/_xlfn.XLOOKUP(H185,conversiones!$A$2:$A$6,conversiones!$B$2:$B$6,0)</f>
        <v>10.396319488477843</v>
      </c>
      <c r="J185" s="14">
        <v>5153.8888283303804</v>
      </c>
      <c r="K185" s="15">
        <f>_xlfn.XLOOKUP(C185,Ciclo!$A$2:$A$13,Ciclo!$D$2:$D$13,0)</f>
        <v>2</v>
      </c>
      <c r="L185" s="15">
        <f t="shared" si="9"/>
        <v>-70.258846918083691</v>
      </c>
      <c r="M185" s="16">
        <f t="shared" si="10"/>
        <v>-1.3632200704811144E-2</v>
      </c>
      <c r="N185" s="17">
        <f t="shared" si="11"/>
        <v>-2.7264401409622288E-2</v>
      </c>
    </row>
    <row r="186" spans="1:14" x14ac:dyDescent="0.35">
      <c r="A186" s="12">
        <v>2015</v>
      </c>
      <c r="B186" s="13">
        <f t="shared" si="8"/>
        <v>42369</v>
      </c>
      <c r="C186" s="14" t="s">
        <v>25</v>
      </c>
      <c r="D186" s="14" t="s">
        <v>18</v>
      </c>
      <c r="E186" s="14">
        <v>9.8424500427105102</v>
      </c>
      <c r="F186" s="15">
        <f>E186*_xlfn.XLOOKUP(D186,conversiones!$A$2:$A$6,conversiones!$B$2:$B$6,0)</f>
        <v>446.45353393734871</v>
      </c>
      <c r="G186" s="14">
        <v>740.28966450892904</v>
      </c>
      <c r="H186" s="14" t="s">
        <v>18</v>
      </c>
      <c r="I186" s="15">
        <f>G186/_xlfn.XLOOKUP(H186,conversiones!$A$2:$A$6,conversiones!$B$2:$B$6,0)</f>
        <v>16.32031888247198</v>
      </c>
      <c r="J186" s="14">
        <v>5033.4530378825102</v>
      </c>
      <c r="K186" s="15">
        <f>_xlfn.XLOOKUP(C186,Ciclo!$A$2:$A$13,Ciclo!$D$2:$D$13,0)</f>
        <v>1.2</v>
      </c>
      <c r="L186" s="15">
        <f t="shared" si="9"/>
        <v>2252.8110021815473</v>
      </c>
      <c r="M186" s="16">
        <f t="shared" si="10"/>
        <v>0.44756770058775941</v>
      </c>
      <c r="N186" s="17">
        <f t="shared" si="11"/>
        <v>0.53708124070531127</v>
      </c>
    </row>
    <row r="187" spans="1:14" x14ac:dyDescent="0.35">
      <c r="A187" s="12">
        <v>2015</v>
      </c>
      <c r="B187" s="13">
        <f t="shared" si="8"/>
        <v>42369</v>
      </c>
      <c r="C187" s="14" t="s">
        <v>22</v>
      </c>
      <c r="D187" s="14" t="s">
        <v>18</v>
      </c>
      <c r="E187" s="14">
        <v>9.1243143121749704</v>
      </c>
      <c r="F187" s="15">
        <f>E187*_xlfn.XLOOKUP(D187,conversiones!$A$2:$A$6,conversiones!$B$2:$B$6,0)</f>
        <v>413.87889720025663</v>
      </c>
      <c r="G187" s="14">
        <v>1330.46675595238</v>
      </c>
      <c r="H187" s="14" t="s">
        <v>18</v>
      </c>
      <c r="I187" s="15">
        <f>G187/_xlfn.XLOOKUP(H187,conversiones!$A$2:$A$6,conversiones!$B$2:$B$6,0)</f>
        <v>29.331277688544535</v>
      </c>
      <c r="J187" s="14">
        <v>9360.0920089845204</v>
      </c>
      <c r="K187" s="15">
        <f>_xlfn.XLOOKUP(C187,Ciclo!$A$2:$A$13,Ciclo!$D$2:$D$13,0)</f>
        <v>1</v>
      </c>
      <c r="L187" s="15">
        <f t="shared" si="9"/>
        <v>2779.5048542247841</v>
      </c>
      <c r="M187" s="16">
        <f t="shared" si="10"/>
        <v>0.29695272776771919</v>
      </c>
      <c r="N187" s="17">
        <f t="shared" si="11"/>
        <v>0.29695272776771919</v>
      </c>
    </row>
    <row r="188" spans="1:14" x14ac:dyDescent="0.35">
      <c r="A188" s="12">
        <v>2015</v>
      </c>
      <c r="B188" s="13">
        <f t="shared" si="8"/>
        <v>42369</v>
      </c>
      <c r="C188" s="14" t="s">
        <v>24</v>
      </c>
      <c r="D188" s="14" t="s">
        <v>18</v>
      </c>
      <c r="E188" s="14">
        <v>9.23075787467622</v>
      </c>
      <c r="F188" s="15">
        <f>E188*_xlfn.XLOOKUP(D188,conversiones!$A$2:$A$6,conversiones!$B$2:$B$6,0)</f>
        <v>418.70717719531331</v>
      </c>
      <c r="G188" s="14">
        <v>1679.1760069444399</v>
      </c>
      <c r="H188" s="14" t="s">
        <v>18</v>
      </c>
      <c r="I188" s="15">
        <f>G188/_xlfn.XLOOKUP(H188,conversiones!$A$2:$A$6,conversiones!$B$2:$B$6,0)</f>
        <v>37.0188714053007</v>
      </c>
      <c r="J188" s="14">
        <v>9240.5655642007696</v>
      </c>
      <c r="K188" s="15">
        <f>_xlfn.XLOOKUP(C188,Ciclo!$A$2:$A$13,Ciclo!$D$2:$D$13,0)</f>
        <v>1</v>
      </c>
      <c r="L188" s="15">
        <f t="shared" si="9"/>
        <v>6259.5015848689873</v>
      </c>
      <c r="M188" s="16">
        <f t="shared" si="10"/>
        <v>0.67739377437233528</v>
      </c>
      <c r="N188" s="17">
        <f t="shared" si="11"/>
        <v>0.67739377437233528</v>
      </c>
    </row>
    <row r="189" spans="1:14" x14ac:dyDescent="0.35">
      <c r="A189" s="12">
        <v>2015</v>
      </c>
      <c r="B189" s="13">
        <f t="shared" si="8"/>
        <v>42369</v>
      </c>
      <c r="C189" s="14" t="s">
        <v>30</v>
      </c>
      <c r="D189" s="14" t="s">
        <v>32</v>
      </c>
      <c r="E189" s="14">
        <v>99.657349443470693</v>
      </c>
      <c r="F189" s="15">
        <f>E189*_xlfn.XLOOKUP(D189,conversiones!$A$2:$A$6,conversiones!$B$2:$B$6,0)</f>
        <v>2711.6764783568378</v>
      </c>
      <c r="G189" s="14">
        <v>184.496348214286</v>
      </c>
      <c r="H189" s="14" t="s">
        <v>32</v>
      </c>
      <c r="I189" s="15">
        <f>G189/_xlfn.XLOOKUP(H189,conversiones!$A$2:$A$6,conversiones!$B$2:$B$6,0)</f>
        <v>6.780461161862771</v>
      </c>
      <c r="J189" s="14">
        <v>22429.7248632058</v>
      </c>
      <c r="K189" s="15">
        <f>_xlfn.XLOOKUP(C189,Ciclo!$A$2:$A$13,Ciclo!$D$2:$D$13,0)</f>
        <v>1</v>
      </c>
      <c r="L189" s="15">
        <f t="shared" si="9"/>
        <v>-4043.3078181704477</v>
      </c>
      <c r="M189" s="16">
        <f t="shared" si="10"/>
        <v>-0.18026560035086192</v>
      </c>
      <c r="N189" s="17">
        <f t="shared" si="11"/>
        <v>-0.18026560035086192</v>
      </c>
    </row>
    <row r="190" spans="1:14" x14ac:dyDescent="0.35">
      <c r="A190" s="12">
        <v>2015</v>
      </c>
      <c r="B190" s="13">
        <f t="shared" si="8"/>
        <v>42369</v>
      </c>
      <c r="C190" s="14" t="s">
        <v>33</v>
      </c>
      <c r="D190" s="14" t="s">
        <v>34</v>
      </c>
      <c r="E190" s="14">
        <v>2.8969753467560899</v>
      </c>
      <c r="F190" s="15">
        <f>E190*_xlfn.XLOOKUP(D190,conversiones!$A$2:$A$6,conversiones!$B$2:$B$6,0)</f>
        <v>1182.400487778498</v>
      </c>
      <c r="G190" s="14">
        <v>7254.5815451388899</v>
      </c>
      <c r="H190" s="14" t="s">
        <v>34</v>
      </c>
      <c r="I190" s="15">
        <f>G190/_xlfn.XLOOKUP(H190,conversiones!$A$2:$A$6,conversiones!$B$2:$B$6,0)</f>
        <v>17.774302450419921</v>
      </c>
      <c r="J190" s="14">
        <v>16317.7474581161</v>
      </c>
      <c r="K190" s="15">
        <f>_xlfn.XLOOKUP(C190,Ciclo!$A$2:$A$13,Ciclo!$D$2:$D$13,0)</f>
        <v>1</v>
      </c>
      <c r="L190" s="15">
        <f t="shared" si="9"/>
        <v>4698.5964291829659</v>
      </c>
      <c r="M190" s="16">
        <f t="shared" si="10"/>
        <v>0.28794393596562151</v>
      </c>
      <c r="N190" s="17">
        <f t="shared" si="11"/>
        <v>0.28794393596562151</v>
      </c>
    </row>
    <row r="191" spans="1:14" x14ac:dyDescent="0.35">
      <c r="A191" s="12">
        <v>2015</v>
      </c>
      <c r="B191" s="13">
        <f t="shared" si="8"/>
        <v>42369</v>
      </c>
      <c r="C191" s="14" t="s">
        <v>28</v>
      </c>
      <c r="D191" s="14" t="s">
        <v>29</v>
      </c>
      <c r="E191" s="14">
        <v>4.6389674540413797</v>
      </c>
      <c r="F191" s="15">
        <f>E191*_xlfn.XLOOKUP(D191,conversiones!$A$2:$A$6,conversiones!$B$2:$B$6,0)</f>
        <v>2608.6769581056296</v>
      </c>
      <c r="G191" s="14">
        <v>7936.2499024470899</v>
      </c>
      <c r="H191" s="14" t="s">
        <v>29</v>
      </c>
      <c r="I191" s="15">
        <f>G191/_xlfn.XLOOKUP(H191,conversiones!$A$2:$A$6,conversiones!$B$2:$B$6,0)</f>
        <v>14.112903052329711</v>
      </c>
      <c r="J191" s="14">
        <v>7427.3786743830897</v>
      </c>
      <c r="K191" s="15">
        <f>_xlfn.XLOOKUP(C191,Ciclo!$A$2:$A$13,Ciclo!$D$2:$D$13,0)</f>
        <v>3</v>
      </c>
      <c r="L191" s="15">
        <f t="shared" si="9"/>
        <v>29388.626330208037</v>
      </c>
      <c r="M191" s="16">
        <f t="shared" si="10"/>
        <v>3.9567965521360771</v>
      </c>
      <c r="N191" s="17">
        <f t="shared" si="11"/>
        <v>11.870389656408232</v>
      </c>
    </row>
    <row r="192" spans="1:14" x14ac:dyDescent="0.35">
      <c r="A192" s="12">
        <v>2015</v>
      </c>
      <c r="B192" s="13">
        <f t="shared" si="8"/>
        <v>42369</v>
      </c>
      <c r="C192" s="14" t="s">
        <v>26</v>
      </c>
      <c r="D192" s="14" t="s">
        <v>18</v>
      </c>
      <c r="E192" s="14">
        <v>5.9167688844033801</v>
      </c>
      <c r="F192" s="15">
        <f>E192*_xlfn.XLOOKUP(D192,conversiones!$A$2:$A$6,conversiones!$B$2:$B$6,0)</f>
        <v>268.38463659653729</v>
      </c>
      <c r="G192" s="14">
        <v>872.33643240740696</v>
      </c>
      <c r="H192" s="14" t="s">
        <v>18</v>
      </c>
      <c r="I192" s="15">
        <f>G192/_xlfn.XLOOKUP(H192,conversiones!$A$2:$A$6,conversiones!$B$2:$B$6,0)</f>
        <v>19.231402830851124</v>
      </c>
      <c r="J192" s="14">
        <v>2123.3608896042601</v>
      </c>
      <c r="K192" s="15">
        <f>_xlfn.XLOOKUP(C192,Ciclo!$A$2:$A$13,Ciclo!$D$2:$D$13,0)</f>
        <v>3</v>
      </c>
      <c r="L192" s="15">
        <f t="shared" si="9"/>
        <v>3038.0521703953377</v>
      </c>
      <c r="M192" s="16">
        <f t="shared" si="10"/>
        <v>1.4307752324483816</v>
      </c>
      <c r="N192" s="17">
        <f t="shared" si="11"/>
        <v>4.2923256973451451</v>
      </c>
    </row>
    <row r="193" spans="1:14" x14ac:dyDescent="0.35">
      <c r="A193" s="12">
        <v>2015</v>
      </c>
      <c r="B193" s="13">
        <f t="shared" si="8"/>
        <v>42369</v>
      </c>
      <c r="C193" s="14" t="s">
        <v>27</v>
      </c>
      <c r="D193" s="14" t="s">
        <v>18</v>
      </c>
      <c r="E193" s="14">
        <v>7.89391274652096</v>
      </c>
      <c r="F193" s="15">
        <f>E193*_xlfn.XLOOKUP(D193,conversiones!$A$2:$A$6,conversiones!$B$2:$B$6,0)</f>
        <v>358.06788218219071</v>
      </c>
      <c r="G193" s="14">
        <v>706.06894173611101</v>
      </c>
      <c r="H193" s="14" t="s">
        <v>18</v>
      </c>
      <c r="I193" s="15">
        <f>G193/_xlfn.XLOOKUP(H193,conversiones!$A$2:$A$6,conversiones!$B$2:$B$6,0)</f>
        <v>15.565893777251125</v>
      </c>
      <c r="J193" s="14">
        <v>8682.6925456059998</v>
      </c>
      <c r="K193" s="15">
        <f>_xlfn.XLOOKUP(C193,Ciclo!$A$2:$A$13,Ciclo!$D$2:$D$13,0)</f>
        <v>2.4</v>
      </c>
      <c r="L193" s="15">
        <f t="shared" si="9"/>
        <v>-3109.0459265127483</v>
      </c>
      <c r="M193" s="16">
        <f t="shared" si="10"/>
        <v>-0.35807393964285023</v>
      </c>
      <c r="N193" s="17">
        <f t="shared" si="11"/>
        <v>-0.85937745514284047</v>
      </c>
    </row>
    <row r="194" spans="1:14" x14ac:dyDescent="0.35">
      <c r="A194" s="12">
        <v>2016</v>
      </c>
      <c r="B194" s="13">
        <f t="shared" ref="B194:B257" si="12">DATE(A194,12,31)</f>
        <v>42735</v>
      </c>
      <c r="C194" s="14" t="s">
        <v>16</v>
      </c>
      <c r="D194" s="14" t="s">
        <v>18</v>
      </c>
      <c r="E194" s="14">
        <v>4.7027279949681304</v>
      </c>
      <c r="F194" s="15">
        <f>E194*_xlfn.XLOOKUP(D194,conversiones!$A$2:$A$6,conversiones!$B$2:$B$6,0)</f>
        <v>213.31574185175438</v>
      </c>
      <c r="G194" s="14">
        <v>1953.56795485118</v>
      </c>
      <c r="H194" s="14" t="s">
        <v>19</v>
      </c>
      <c r="I194" s="15">
        <f>G194/_xlfn.XLOOKUP(H194,conversiones!$A$2:$A$6,conversiones!$B$2:$B$6,0)</f>
        <v>17.759708680465273</v>
      </c>
      <c r="J194" s="14">
        <v>5924.25478252843</v>
      </c>
      <c r="K194" s="15">
        <f>_xlfn.XLOOKUP(C194,Ciclo!$A$2:$A$13,Ciclo!$D$2:$D$13,0)</f>
        <v>2.4</v>
      </c>
      <c r="L194" s="15">
        <f t="shared" ref="L194:L257" si="13">F194*I194-J194</f>
        <v>-2135.8293502839383</v>
      </c>
      <c r="M194" s="16">
        <f t="shared" ref="M194:M257" si="14">IF(J194=0,0,L194/J194)</f>
        <v>-0.36052287227464269</v>
      </c>
      <c r="N194" s="17">
        <f t="shared" ref="N194:N257" si="15">M194*K194</f>
        <v>-0.86525489345914242</v>
      </c>
    </row>
    <row r="195" spans="1:14" x14ac:dyDescent="0.35">
      <c r="A195" s="12">
        <v>2016</v>
      </c>
      <c r="B195" s="13">
        <f t="shared" si="12"/>
        <v>42735</v>
      </c>
      <c r="C195" s="14" t="s">
        <v>20</v>
      </c>
      <c r="D195" s="14" t="s">
        <v>18</v>
      </c>
      <c r="E195" s="14">
        <v>2.2835120743403499</v>
      </c>
      <c r="F195" s="15">
        <f>E195*_xlfn.XLOOKUP(D195,conversiones!$A$2:$A$6,conversiones!$B$2:$B$6,0)</f>
        <v>103.58010769207827</v>
      </c>
      <c r="G195" s="14">
        <v>778.48424006163202</v>
      </c>
      <c r="H195" s="14" t="s">
        <v>18</v>
      </c>
      <c r="I195" s="15">
        <f>G195/_xlfn.XLOOKUP(H195,conversiones!$A$2:$A$6,conversiones!$B$2:$B$6,0)</f>
        <v>17.162350971376366</v>
      </c>
      <c r="J195" s="14">
        <v>2463.2928983520001</v>
      </c>
      <c r="K195" s="15">
        <f>_xlfn.XLOOKUP(C195,Ciclo!$A$2:$A$13,Ciclo!$D$2:$D$13,0)</f>
        <v>3</v>
      </c>
      <c r="L195" s="15">
        <f t="shared" si="13"/>
        <v>-685.61473648759193</v>
      </c>
      <c r="M195" s="16">
        <f t="shared" si="14"/>
        <v>-0.27833260792749576</v>
      </c>
      <c r="N195" s="17">
        <f t="shared" si="15"/>
        <v>-0.83499782378248733</v>
      </c>
    </row>
    <row r="196" spans="1:14" x14ac:dyDescent="0.35">
      <c r="A196" s="12">
        <v>2016</v>
      </c>
      <c r="B196" s="13">
        <f t="shared" si="12"/>
        <v>42735</v>
      </c>
      <c r="C196" s="14" t="s">
        <v>23</v>
      </c>
      <c r="D196" s="14" t="s">
        <v>18</v>
      </c>
      <c r="E196" s="14">
        <v>37.039802684134898</v>
      </c>
      <c r="F196" s="15">
        <f>E196*_xlfn.XLOOKUP(D196,conversiones!$A$2:$A$6,conversiones!$B$2:$B$6,0)</f>
        <v>1680.1254497523589</v>
      </c>
      <c r="G196" s="14">
        <v>911.06678240740803</v>
      </c>
      <c r="H196" s="14" t="s">
        <v>18</v>
      </c>
      <c r="I196" s="15">
        <f>G196/_xlfn.XLOOKUP(H196,conversiones!$A$2:$A$6,conversiones!$B$2:$B$6,0)</f>
        <v>20.085246525736508</v>
      </c>
      <c r="J196" s="14">
        <v>23192.17</v>
      </c>
      <c r="K196" s="15">
        <f>_xlfn.XLOOKUP(C196,Ciclo!$A$2:$A$13,Ciclo!$D$2:$D$13,0)</f>
        <v>4</v>
      </c>
      <c r="L196" s="15">
        <f t="shared" si="13"/>
        <v>10553.563852440057</v>
      </c>
      <c r="M196" s="16">
        <f t="shared" si="14"/>
        <v>0.4550485725328875</v>
      </c>
      <c r="N196" s="17">
        <f t="shared" si="15"/>
        <v>1.82019429013155</v>
      </c>
    </row>
    <row r="197" spans="1:14" x14ac:dyDescent="0.35">
      <c r="A197" s="12">
        <v>2016</v>
      </c>
      <c r="B197" s="13">
        <f t="shared" si="12"/>
        <v>42735</v>
      </c>
      <c r="C197" s="14" t="s">
        <v>21</v>
      </c>
      <c r="D197" s="14" t="s">
        <v>18</v>
      </c>
      <c r="E197" s="14">
        <v>10.942941440705701</v>
      </c>
      <c r="F197" s="15">
        <f>E197*_xlfn.XLOOKUP(D197,conversiones!$A$2:$A$6,conversiones!$B$2:$B$6,0)</f>
        <v>496.37182375041056</v>
      </c>
      <c r="G197" s="14">
        <v>402.88406929976901</v>
      </c>
      <c r="H197" s="14" t="s">
        <v>18</v>
      </c>
      <c r="I197" s="15">
        <f>G197/_xlfn.XLOOKUP(H197,conversiones!$A$2:$A$6,conversiones!$B$2:$B$6,0)</f>
        <v>8.8819239263617504</v>
      </c>
      <c r="J197" s="14">
        <v>4713.6874381607504</v>
      </c>
      <c r="K197" s="15">
        <f>_xlfn.XLOOKUP(C197,Ciclo!$A$2:$A$13,Ciclo!$D$2:$D$13,0)</f>
        <v>2</v>
      </c>
      <c r="L197" s="15">
        <f t="shared" si="13"/>
        <v>-304.95066042016151</v>
      </c>
      <c r="M197" s="16">
        <f t="shared" si="14"/>
        <v>-6.4694713941226278E-2</v>
      </c>
      <c r="N197" s="17">
        <f t="shared" si="15"/>
        <v>-0.12938942788245256</v>
      </c>
    </row>
    <row r="198" spans="1:14" x14ac:dyDescent="0.35">
      <c r="A198" s="12">
        <v>2016</v>
      </c>
      <c r="B198" s="13">
        <f t="shared" si="12"/>
        <v>42735</v>
      </c>
      <c r="C198" s="14" t="s">
        <v>25</v>
      </c>
      <c r="D198" s="14" t="s">
        <v>18</v>
      </c>
      <c r="E198" s="14">
        <v>10.052362648431201</v>
      </c>
      <c r="F198" s="15">
        <f>E198*_xlfn.XLOOKUP(D198,conversiones!$A$2:$A$6,conversiones!$B$2:$B$6,0)</f>
        <v>455.97516973283928</v>
      </c>
      <c r="G198" s="14">
        <v>765.94118634259303</v>
      </c>
      <c r="H198" s="14" t="s">
        <v>18</v>
      </c>
      <c r="I198" s="15">
        <f>G198/_xlfn.XLOOKUP(H198,conversiones!$A$2:$A$6,conversiones!$B$2:$B$6,0)</f>
        <v>16.885828623073039</v>
      </c>
      <c r="J198" s="14">
        <v>4784.7627198809196</v>
      </c>
      <c r="K198" s="15">
        <f>_xlfn.XLOOKUP(C198,Ciclo!$A$2:$A$13,Ciclo!$D$2:$D$13,0)</f>
        <v>1.2</v>
      </c>
      <c r="L198" s="15">
        <f t="shared" si="13"/>
        <v>2914.755852604445</v>
      </c>
      <c r="M198" s="16">
        <f t="shared" si="14"/>
        <v>0.60917458675505354</v>
      </c>
      <c r="N198" s="17">
        <f t="shared" si="15"/>
        <v>0.73100950410606425</v>
      </c>
    </row>
    <row r="199" spans="1:14" x14ac:dyDescent="0.35">
      <c r="A199" s="12">
        <v>2016</v>
      </c>
      <c r="B199" s="13">
        <f t="shared" si="12"/>
        <v>42735</v>
      </c>
      <c r="C199" s="14" t="s">
        <v>22</v>
      </c>
      <c r="D199" s="14" t="s">
        <v>18</v>
      </c>
      <c r="E199" s="14">
        <v>9.2397316405761707</v>
      </c>
      <c r="F199" s="15">
        <f>E199*_xlfn.XLOOKUP(D199,conversiones!$A$2:$A$6,conversiones!$B$2:$B$6,0)</f>
        <v>419.11422721653508</v>
      </c>
      <c r="G199" s="14">
        <v>1571.82264384921</v>
      </c>
      <c r="H199" s="14" t="s">
        <v>18</v>
      </c>
      <c r="I199" s="15">
        <f>G199/_xlfn.XLOOKUP(H199,conversiones!$A$2:$A$6,conversiones!$B$2:$B$6,0)</f>
        <v>34.652174688033732</v>
      </c>
      <c r="J199" s="14">
        <v>8550.1576563690305</v>
      </c>
      <c r="K199" s="15">
        <f>_xlfn.XLOOKUP(C199,Ciclo!$A$2:$A$13,Ciclo!$D$2:$D$13,0)</f>
        <v>1</v>
      </c>
      <c r="L199" s="15">
        <f t="shared" si="13"/>
        <v>5973.0617593786046</v>
      </c>
      <c r="M199" s="16">
        <f t="shared" si="14"/>
        <v>0.69859083299233182</v>
      </c>
      <c r="N199" s="17">
        <f t="shared" si="15"/>
        <v>0.69859083299233182</v>
      </c>
    </row>
    <row r="200" spans="1:14" x14ac:dyDescent="0.35">
      <c r="A200" s="12">
        <v>2016</v>
      </c>
      <c r="B200" s="13">
        <f t="shared" si="12"/>
        <v>42735</v>
      </c>
      <c r="C200" s="14" t="s">
        <v>24</v>
      </c>
      <c r="D200" s="14" t="s">
        <v>18</v>
      </c>
      <c r="E200" s="14">
        <v>9.4634824818838101</v>
      </c>
      <c r="F200" s="15">
        <f>E200*_xlfn.XLOOKUP(D200,conversiones!$A$2:$A$6,conversiones!$B$2:$B$6,0)</f>
        <v>429.26356537824961</v>
      </c>
      <c r="G200" s="14">
        <v>2289.7449942129601</v>
      </c>
      <c r="H200" s="14" t="s">
        <v>18</v>
      </c>
      <c r="I200" s="15">
        <f>G200/_xlfn.XLOOKUP(H200,conversiones!$A$2:$A$6,conversiones!$B$2:$B$6,0)</f>
        <v>50.479386997640212</v>
      </c>
      <c r="J200" s="14">
        <v>8705.1562241280008</v>
      </c>
      <c r="K200" s="15">
        <f>_xlfn.XLOOKUP(C200,Ciclo!$A$2:$A$13,Ciclo!$D$2:$D$13,0)</f>
        <v>1</v>
      </c>
      <c r="L200" s="15">
        <f t="shared" si="13"/>
        <v>12963.805416587493</v>
      </c>
      <c r="M200" s="16">
        <f t="shared" si="14"/>
        <v>1.4892099673818413</v>
      </c>
      <c r="N200" s="17">
        <f t="shared" si="15"/>
        <v>1.4892099673818413</v>
      </c>
    </row>
    <row r="201" spans="1:14" x14ac:dyDescent="0.35">
      <c r="A201" s="12">
        <v>2016</v>
      </c>
      <c r="B201" s="13">
        <f t="shared" si="12"/>
        <v>42735</v>
      </c>
      <c r="C201" s="14" t="s">
        <v>30</v>
      </c>
      <c r="D201" s="14" t="s">
        <v>32</v>
      </c>
      <c r="E201" s="14">
        <v>98.189366126581703</v>
      </c>
      <c r="F201" s="15">
        <f>E201*_xlfn.XLOOKUP(D201,conversiones!$A$2:$A$6,conversiones!$B$2:$B$6,0)</f>
        <v>2671.7326523042884</v>
      </c>
      <c r="G201" s="14">
        <v>172.840763888889</v>
      </c>
      <c r="H201" s="14" t="s">
        <v>32</v>
      </c>
      <c r="I201" s="15">
        <f>G201/_xlfn.XLOOKUP(H201,conversiones!$A$2:$A$6,conversiones!$B$2:$B$6,0)</f>
        <v>6.3521045163134504</v>
      </c>
      <c r="J201" s="14">
        <v>31633.940308743</v>
      </c>
      <c r="K201" s="15">
        <f>_xlfn.XLOOKUP(C201,Ciclo!$A$2:$A$13,Ciclo!$D$2:$D$13,0)</f>
        <v>1</v>
      </c>
      <c r="L201" s="15">
        <f t="shared" si="13"/>
        <v>-14662.815261658816</v>
      </c>
      <c r="M201" s="16">
        <f t="shared" si="14"/>
        <v>-0.46351529776410122</v>
      </c>
      <c r="N201" s="17">
        <f t="shared" si="15"/>
        <v>-0.46351529776410122</v>
      </c>
    </row>
    <row r="202" spans="1:14" x14ac:dyDescent="0.35">
      <c r="A202" s="12">
        <v>2016</v>
      </c>
      <c r="B202" s="13">
        <f t="shared" si="12"/>
        <v>42735</v>
      </c>
      <c r="C202" s="14" t="s">
        <v>33</v>
      </c>
      <c r="D202" s="14" t="s">
        <v>34</v>
      </c>
      <c r="E202" s="14">
        <v>3.1314636500791999</v>
      </c>
      <c r="F202" s="15">
        <f>E202*_xlfn.XLOOKUP(D202,conversiones!$A$2:$A$6,conversiones!$B$2:$B$6,0)</f>
        <v>1278.1068887798253</v>
      </c>
      <c r="G202" s="14">
        <v>5735.7407378472199</v>
      </c>
      <c r="H202" s="14" t="s">
        <v>34</v>
      </c>
      <c r="I202" s="15">
        <f>G202/_xlfn.XLOOKUP(H202,conversiones!$A$2:$A$6,conversiones!$B$2:$B$6,0)</f>
        <v>14.053021530925445</v>
      </c>
      <c r="J202" s="14">
        <v>19988.821444047899</v>
      </c>
      <c r="K202" s="15">
        <f>_xlfn.XLOOKUP(C202,Ciclo!$A$2:$A$13,Ciclo!$D$2:$D$13,0)</f>
        <v>1</v>
      </c>
      <c r="L202" s="15">
        <f t="shared" si="13"/>
        <v>-2027.5578172008791</v>
      </c>
      <c r="M202" s="16">
        <f t="shared" si="14"/>
        <v>-0.1014345854695014</v>
      </c>
      <c r="N202" s="17">
        <f t="shared" si="15"/>
        <v>-0.1014345854695014</v>
      </c>
    </row>
    <row r="203" spans="1:14" x14ac:dyDescent="0.35">
      <c r="A203" s="12">
        <v>2016</v>
      </c>
      <c r="B203" s="13">
        <f t="shared" si="12"/>
        <v>42735</v>
      </c>
      <c r="C203" s="14" t="s">
        <v>28</v>
      </c>
      <c r="D203" s="14" t="s">
        <v>29</v>
      </c>
      <c r="E203" s="14">
        <v>5.1950484341201904</v>
      </c>
      <c r="F203" s="15">
        <f>E203*_xlfn.XLOOKUP(D203,conversiones!$A$2:$A$6,conversiones!$B$2:$B$6,0)</f>
        <v>2921.3835364431479</v>
      </c>
      <c r="G203" s="14">
        <v>6457.4130660548899</v>
      </c>
      <c r="H203" s="14" t="s">
        <v>29</v>
      </c>
      <c r="I203" s="15">
        <f>G203/_xlfn.XLOOKUP(H203,conversiones!$A$2:$A$6,conversiones!$B$2:$B$6,0)</f>
        <v>11.483111758108777</v>
      </c>
      <c r="J203" s="14">
        <v>7046.2499107967797</v>
      </c>
      <c r="K203" s="15">
        <f>_xlfn.XLOOKUP(C203,Ciclo!$A$2:$A$13,Ciclo!$D$2:$D$13,0)</f>
        <v>3</v>
      </c>
      <c r="L203" s="15">
        <f t="shared" si="13"/>
        <v>26500.323726478928</v>
      </c>
      <c r="M203" s="16">
        <f t="shared" si="14"/>
        <v>3.7609116994095246</v>
      </c>
      <c r="N203" s="17">
        <f t="shared" si="15"/>
        <v>11.282735098228574</v>
      </c>
    </row>
    <row r="204" spans="1:14" x14ac:dyDescent="0.35">
      <c r="A204" s="12">
        <v>2016</v>
      </c>
      <c r="B204" s="13">
        <f t="shared" si="12"/>
        <v>42735</v>
      </c>
      <c r="C204" s="14" t="s">
        <v>26</v>
      </c>
      <c r="D204" s="14" t="s">
        <v>18</v>
      </c>
      <c r="E204" s="14">
        <v>6.3407271675185699</v>
      </c>
      <c r="F204" s="15">
        <f>E204*_xlfn.XLOOKUP(D204,conversiones!$A$2:$A$6,conversiones!$B$2:$B$6,0)</f>
        <v>287.61538431864233</v>
      </c>
      <c r="G204" s="14">
        <v>811.45747023809497</v>
      </c>
      <c r="H204" s="14" t="s">
        <v>18</v>
      </c>
      <c r="I204" s="15">
        <f>G204/_xlfn.XLOOKUP(H204,conversiones!$A$2:$A$6,conversiones!$B$2:$B$6,0)</f>
        <v>17.88927403523137</v>
      </c>
      <c r="J204" s="14">
        <v>1888.4301162085201</v>
      </c>
      <c r="K204" s="15">
        <f>_xlfn.XLOOKUP(C204,Ciclo!$A$2:$A$13,Ciclo!$D$2:$D$13,0)</f>
        <v>3</v>
      </c>
      <c r="L204" s="15">
        <f t="shared" si="13"/>
        <v>3256.8003106160595</v>
      </c>
      <c r="M204" s="16">
        <f t="shared" si="14"/>
        <v>1.7246072717559033</v>
      </c>
      <c r="N204" s="17">
        <f t="shared" si="15"/>
        <v>5.1738218152677096</v>
      </c>
    </row>
    <row r="205" spans="1:14" x14ac:dyDescent="0.35">
      <c r="A205" s="12">
        <v>2016</v>
      </c>
      <c r="B205" s="13">
        <f t="shared" si="12"/>
        <v>42735</v>
      </c>
      <c r="C205" s="14" t="s">
        <v>27</v>
      </c>
      <c r="D205" s="14" t="s">
        <v>18</v>
      </c>
      <c r="E205" s="14">
        <v>8.5256365204612994</v>
      </c>
      <c r="F205" s="15">
        <f>E205*_xlfn.XLOOKUP(D205,conversiones!$A$2:$A$6,conversiones!$B$2:$B$6,0)</f>
        <v>386.72287256812456</v>
      </c>
      <c r="G205" s="14">
        <v>665.38877169312195</v>
      </c>
      <c r="H205" s="14" t="s">
        <v>18</v>
      </c>
      <c r="I205" s="15">
        <f>G205/_xlfn.XLOOKUP(H205,conversiones!$A$2:$A$6,conversiones!$B$2:$B$6,0)</f>
        <v>14.669064631682582</v>
      </c>
      <c r="J205" s="14">
        <v>8287.288275158</v>
      </c>
      <c r="K205" s="15">
        <f>_xlfn.XLOOKUP(C205,Ciclo!$A$2:$A$13,Ciclo!$D$2:$D$13,0)</f>
        <v>2.4</v>
      </c>
      <c r="L205" s="15">
        <f t="shared" si="13"/>
        <v>-2614.4254629062334</v>
      </c>
      <c r="M205" s="16">
        <f t="shared" si="14"/>
        <v>-0.31547417877850864</v>
      </c>
      <c r="N205" s="17">
        <f t="shared" si="15"/>
        <v>-0.75713802906842076</v>
      </c>
    </row>
    <row r="206" spans="1:14" x14ac:dyDescent="0.35">
      <c r="A206" s="12">
        <v>2017</v>
      </c>
      <c r="B206" s="13">
        <f t="shared" si="12"/>
        <v>43100</v>
      </c>
      <c r="C206" s="14" t="s">
        <v>16</v>
      </c>
      <c r="D206" s="14" t="s">
        <v>18</v>
      </c>
      <c r="E206" s="14">
        <v>4.6773509945239198</v>
      </c>
      <c r="F206" s="15">
        <f>E206*_xlfn.XLOOKUP(D206,conversiones!$A$2:$A$6,conversiones!$B$2:$B$6,0)</f>
        <v>212.16464111160499</v>
      </c>
      <c r="G206" s="14">
        <v>1999.9310498525599</v>
      </c>
      <c r="H206" s="14" t="s">
        <v>19</v>
      </c>
      <c r="I206" s="15">
        <f>G206/_xlfn.XLOOKUP(H206,conversiones!$A$2:$A$6,conversiones!$B$2:$B$6,0)</f>
        <v>18.181191362295998</v>
      </c>
      <c r="J206" s="14">
        <v>6064.2164945385503</v>
      </c>
      <c r="K206" s="15">
        <f>_xlfn.XLOOKUP(C206,Ciclo!$A$2:$A$13,Ciclo!$D$2:$D$13,0)</f>
        <v>2.4</v>
      </c>
      <c r="L206" s="15">
        <f t="shared" si="13"/>
        <v>-2206.8105541756072</v>
      </c>
      <c r="M206" s="16">
        <f t="shared" si="14"/>
        <v>-0.36390695420637881</v>
      </c>
      <c r="N206" s="17">
        <f t="shared" si="15"/>
        <v>-0.87337669009530916</v>
      </c>
    </row>
    <row r="207" spans="1:14" x14ac:dyDescent="0.35">
      <c r="A207" s="12">
        <v>2017</v>
      </c>
      <c r="B207" s="13">
        <f t="shared" si="12"/>
        <v>43100</v>
      </c>
      <c r="C207" s="14" t="s">
        <v>20</v>
      </c>
      <c r="D207" s="14" t="s">
        <v>18</v>
      </c>
      <c r="E207" s="14">
        <v>2.3731562700272502</v>
      </c>
      <c r="F207" s="15">
        <f>E207*_xlfn.XLOOKUP(D207,conversiones!$A$2:$A$6,conversiones!$B$2:$B$6,0)</f>
        <v>107.64636840843606</v>
      </c>
      <c r="G207" s="14">
        <v>847.41515376984103</v>
      </c>
      <c r="H207" s="14" t="s">
        <v>18</v>
      </c>
      <c r="I207" s="15">
        <f>G207/_xlfn.XLOOKUP(H207,conversiones!$A$2:$A$6,conversiones!$B$2:$B$6,0)</f>
        <v>18.681991926142882</v>
      </c>
      <c r="J207" s="14">
        <v>2479.0864296156001</v>
      </c>
      <c r="K207" s="15">
        <f>_xlfn.XLOOKUP(C207,Ciclo!$A$2:$A$13,Ciclo!$D$2:$D$13,0)</f>
        <v>3</v>
      </c>
      <c r="L207" s="15">
        <f t="shared" si="13"/>
        <v>-468.03784413059543</v>
      </c>
      <c r="M207" s="16">
        <f t="shared" si="14"/>
        <v>-0.18879448434686805</v>
      </c>
      <c r="N207" s="17">
        <f t="shared" si="15"/>
        <v>-0.56638345304060411</v>
      </c>
    </row>
    <row r="208" spans="1:14" x14ac:dyDescent="0.35">
      <c r="A208" s="12">
        <v>2017</v>
      </c>
      <c r="B208" s="13">
        <f t="shared" si="12"/>
        <v>43100</v>
      </c>
      <c r="C208" s="14" t="s">
        <v>23</v>
      </c>
      <c r="D208" s="14" t="s">
        <v>18</v>
      </c>
      <c r="E208" s="14">
        <v>37.047821572620897</v>
      </c>
      <c r="F208" s="15">
        <f>E208*_xlfn.XLOOKUP(D208,conversiones!$A$2:$A$6,conversiones!$B$2:$B$6,0)</f>
        <v>1680.489186534084</v>
      </c>
      <c r="G208" s="14">
        <v>1005.67476851852</v>
      </c>
      <c r="H208" s="14" t="s">
        <v>18</v>
      </c>
      <c r="I208" s="15">
        <f>G208/_xlfn.XLOOKUP(H208,conversiones!$A$2:$A$6,conversiones!$B$2:$B$6,0)</f>
        <v>22.170960505258378</v>
      </c>
      <c r="J208" s="14">
        <v>23497.681152818699</v>
      </c>
      <c r="K208" s="15">
        <f>_xlfn.XLOOKUP(C208,Ciclo!$A$2:$A$13,Ciclo!$D$2:$D$13,0)</f>
        <v>4</v>
      </c>
      <c r="L208" s="15">
        <f t="shared" si="13"/>
        <v>13760.378231342253</v>
      </c>
      <c r="M208" s="16">
        <f t="shared" si="14"/>
        <v>0.58560579411435265</v>
      </c>
      <c r="N208" s="17">
        <f t="shared" si="15"/>
        <v>2.3424231764574106</v>
      </c>
    </row>
    <row r="209" spans="1:14" x14ac:dyDescent="0.35">
      <c r="A209" s="12">
        <v>2017</v>
      </c>
      <c r="B209" s="13">
        <f t="shared" si="12"/>
        <v>43100</v>
      </c>
      <c r="C209" s="14" t="s">
        <v>21</v>
      </c>
      <c r="D209" s="14" t="s">
        <v>18</v>
      </c>
      <c r="E209" s="14">
        <v>10.928025917575599</v>
      </c>
      <c r="F209" s="15">
        <f>E209*_xlfn.XLOOKUP(D209,conversiones!$A$2:$A$6,conversiones!$B$2:$B$6,0)</f>
        <v>495.69525562122919</v>
      </c>
      <c r="G209" s="14">
        <v>564.69260414599898</v>
      </c>
      <c r="H209" s="14" t="s">
        <v>18</v>
      </c>
      <c r="I209" s="15">
        <f>G209/_xlfn.XLOOKUP(H209,conversiones!$A$2:$A$6,conversiones!$B$2:$B$6,0)</f>
        <v>12.449131484700153</v>
      </c>
      <c r="J209" s="14">
        <v>5064.8045077463803</v>
      </c>
      <c r="K209" s="15">
        <f>_xlfn.XLOOKUP(C209,Ciclo!$A$2:$A$13,Ciclo!$D$2:$D$13,0)</f>
        <v>2</v>
      </c>
      <c r="L209" s="15">
        <f t="shared" si="13"/>
        <v>1106.170905824355</v>
      </c>
      <c r="M209" s="16">
        <f t="shared" si="14"/>
        <v>0.21840347522446693</v>
      </c>
      <c r="N209" s="17">
        <f t="shared" si="15"/>
        <v>0.43680695044893386</v>
      </c>
    </row>
    <row r="210" spans="1:14" x14ac:dyDescent="0.35">
      <c r="A210" s="12">
        <v>2017</v>
      </c>
      <c r="B210" s="13">
        <f t="shared" si="12"/>
        <v>43100</v>
      </c>
      <c r="C210" s="14" t="s">
        <v>25</v>
      </c>
      <c r="D210" s="14" t="s">
        <v>18</v>
      </c>
      <c r="E210" s="14">
        <v>10.1739573763005</v>
      </c>
      <c r="F210" s="15">
        <f>E210*_xlfn.XLOOKUP(D210,conversiones!$A$2:$A$6,conversiones!$B$2:$B$6,0)</f>
        <v>461.49070658899069</v>
      </c>
      <c r="G210" s="14">
        <v>517.09523220486096</v>
      </c>
      <c r="H210" s="14" t="s">
        <v>18</v>
      </c>
      <c r="I210" s="15">
        <f>G210/_xlfn.XLOOKUP(H210,conversiones!$A$2:$A$6,conversiones!$B$2:$B$6,0)</f>
        <v>11.399806706456371</v>
      </c>
      <c r="J210" s="14">
        <v>4667.2658565265501</v>
      </c>
      <c r="K210" s="15">
        <f>_xlfn.XLOOKUP(C210,Ciclo!$A$2:$A$13,Ciclo!$D$2:$D$13,0)</f>
        <v>1.2</v>
      </c>
      <c r="L210" s="15">
        <f t="shared" si="13"/>
        <v>593.63899541391493</v>
      </c>
      <c r="M210" s="16">
        <f t="shared" si="14"/>
        <v>0.1271920249804904</v>
      </c>
      <c r="N210" s="17">
        <f t="shared" si="15"/>
        <v>0.15263042997658846</v>
      </c>
    </row>
    <row r="211" spans="1:14" x14ac:dyDescent="0.35">
      <c r="A211" s="12">
        <v>2017</v>
      </c>
      <c r="B211" s="13">
        <f t="shared" si="12"/>
        <v>43100</v>
      </c>
      <c r="C211" s="14" t="s">
        <v>22</v>
      </c>
      <c r="D211" s="14" t="s">
        <v>18</v>
      </c>
      <c r="E211" s="14">
        <v>9.0842909956764206</v>
      </c>
      <c r="F211" s="15">
        <f>E211*_xlfn.XLOOKUP(D211,conversiones!$A$2:$A$6,conversiones!$B$2:$B$6,0)</f>
        <v>412.06343956388241</v>
      </c>
      <c r="G211" s="14">
        <v>1331.6449454365099</v>
      </c>
      <c r="H211" s="14" t="s">
        <v>18</v>
      </c>
      <c r="I211" s="15">
        <f>G211/_xlfn.XLOOKUP(H211,conversiones!$A$2:$A$6,conversiones!$B$2:$B$6,0)</f>
        <v>29.357251883520942</v>
      </c>
      <c r="J211" s="14">
        <v>9358.7144173845209</v>
      </c>
      <c r="K211" s="15">
        <f>_xlfn.XLOOKUP(C211,Ciclo!$A$2:$A$13,Ciclo!$D$2:$D$13,0)</f>
        <v>1</v>
      </c>
      <c r="L211" s="15">
        <f t="shared" si="13"/>
        <v>2738.3357698823838</v>
      </c>
      <c r="M211" s="16">
        <f t="shared" si="14"/>
        <v>0.29259742821040868</v>
      </c>
      <c r="N211" s="17">
        <f t="shared" si="15"/>
        <v>0.29259742821040868</v>
      </c>
    </row>
    <row r="212" spans="1:14" x14ac:dyDescent="0.35">
      <c r="A212" s="12">
        <v>2017</v>
      </c>
      <c r="B212" s="13">
        <f t="shared" si="12"/>
        <v>43100</v>
      </c>
      <c r="C212" s="14" t="s">
        <v>24</v>
      </c>
      <c r="D212" s="14" t="s">
        <v>18</v>
      </c>
      <c r="E212" s="14">
        <v>9.4362601500668095</v>
      </c>
      <c r="F212" s="15">
        <f>E212*_xlfn.XLOOKUP(D212,conversiones!$A$2:$A$6,conversiones!$B$2:$B$6,0)</f>
        <v>428.02876040703046</v>
      </c>
      <c r="G212" s="14">
        <v>1766.5927369584999</v>
      </c>
      <c r="H212" s="14" t="s">
        <v>18</v>
      </c>
      <c r="I212" s="15">
        <f>G212/_xlfn.XLOOKUP(H212,conversiones!$A$2:$A$6,conversiones!$B$2:$B$6,0)</f>
        <v>38.946047992912256</v>
      </c>
      <c r="J212" s="14">
        <v>9059.4442114895992</v>
      </c>
      <c r="K212" s="15">
        <f>_xlfn.XLOOKUP(C212,Ciclo!$A$2:$A$13,Ciclo!$D$2:$D$13,0)</f>
        <v>1</v>
      </c>
      <c r="L212" s="15">
        <f t="shared" si="13"/>
        <v>7610.5844336693499</v>
      </c>
      <c r="M212" s="16">
        <f t="shared" si="14"/>
        <v>0.84007189138791327</v>
      </c>
      <c r="N212" s="17">
        <f t="shared" si="15"/>
        <v>0.84007189138791327</v>
      </c>
    </row>
    <row r="213" spans="1:14" x14ac:dyDescent="0.35">
      <c r="A213" s="12">
        <v>2017</v>
      </c>
      <c r="B213" s="13">
        <f t="shared" si="12"/>
        <v>43100</v>
      </c>
      <c r="C213" s="14" t="s">
        <v>30</v>
      </c>
      <c r="D213" s="14" t="s">
        <v>32</v>
      </c>
      <c r="E213" s="14">
        <v>97.194692897395001</v>
      </c>
      <c r="F213" s="15">
        <f>E213*_xlfn.XLOOKUP(D213,conversiones!$A$2:$A$6,conversiones!$B$2:$B$6,0)</f>
        <v>2644.6675937381178</v>
      </c>
      <c r="G213" s="14">
        <v>153.15</v>
      </c>
      <c r="H213" s="14" t="s">
        <v>32</v>
      </c>
      <c r="I213" s="15">
        <f>G213/_xlfn.XLOOKUP(H213,conversiones!$A$2:$A$6,conversiones!$B$2:$B$6,0)</f>
        <v>5.6284454244762951</v>
      </c>
      <c r="J213" s="14">
        <v>32851.801352371498</v>
      </c>
      <c r="K213" s="15">
        <f>_xlfn.XLOOKUP(C213,Ciclo!$A$2:$A$13,Ciclo!$D$2:$D$13,0)</f>
        <v>1</v>
      </c>
      <c r="L213" s="15">
        <f t="shared" si="13"/>
        <v>-17966.434135135456</v>
      </c>
      <c r="M213" s="16">
        <f t="shared" si="14"/>
        <v>-0.54689342427301935</v>
      </c>
      <c r="N213" s="17">
        <f t="shared" si="15"/>
        <v>-0.54689342427301935</v>
      </c>
    </row>
    <row r="214" spans="1:14" x14ac:dyDescent="0.35">
      <c r="A214" s="12">
        <v>2017</v>
      </c>
      <c r="B214" s="13">
        <f t="shared" si="12"/>
        <v>43100</v>
      </c>
      <c r="C214" s="14" t="s">
        <v>33</v>
      </c>
      <c r="D214" s="14" t="s">
        <v>34</v>
      </c>
      <c r="E214" s="14">
        <v>3.2635978461793802</v>
      </c>
      <c r="F214" s="15">
        <f>E214*_xlfn.XLOOKUP(D214,conversiones!$A$2:$A$6,conversiones!$B$2:$B$6,0)</f>
        <v>1332.037460918114</v>
      </c>
      <c r="G214" s="14">
        <v>6052.69</v>
      </c>
      <c r="H214" s="14" t="s">
        <v>34</v>
      </c>
      <c r="I214" s="15">
        <f>G214/_xlfn.XLOOKUP(H214,conversiones!$A$2:$A$6,conversiones!$B$2:$B$6,0)</f>
        <v>14.829572461104986</v>
      </c>
      <c r="J214" s="14">
        <v>21460.483889989398</v>
      </c>
      <c r="K214" s="15">
        <f>_xlfn.XLOOKUP(C214,Ciclo!$A$2:$A$13,Ciclo!$D$2:$D$13,0)</f>
        <v>1</v>
      </c>
      <c r="L214" s="15">
        <f t="shared" si="13"/>
        <v>-1706.9378423979251</v>
      </c>
      <c r="M214" s="16">
        <f t="shared" si="14"/>
        <v>-7.9538646525773582E-2</v>
      </c>
      <c r="N214" s="17">
        <f t="shared" si="15"/>
        <v>-7.9538646525773582E-2</v>
      </c>
    </row>
    <row r="215" spans="1:14" x14ac:dyDescent="0.35">
      <c r="A215" s="12">
        <v>2017</v>
      </c>
      <c r="B215" s="13">
        <f t="shared" si="12"/>
        <v>43100</v>
      </c>
      <c r="C215" s="14" t="s">
        <v>28</v>
      </c>
      <c r="D215" s="14" t="s">
        <v>29</v>
      </c>
      <c r="E215" s="14">
        <v>1.76648095234505</v>
      </c>
      <c r="F215" s="15">
        <f>E215*_xlfn.XLOOKUP(D215,conversiones!$A$2:$A$6,conversiones!$B$2:$B$6,0)</f>
        <v>993.36289874171541</v>
      </c>
      <c r="G215" s="14">
        <v>10891.609945436499</v>
      </c>
      <c r="H215" s="14" t="s">
        <v>29</v>
      </c>
      <c r="I215" s="15">
        <f>G215/_xlfn.XLOOKUP(H215,conversiones!$A$2:$A$6,conversiones!$B$2:$B$6,0)</f>
        <v>19.368371350849127</v>
      </c>
      <c r="J215" s="14">
        <v>7106.9649214587198</v>
      </c>
      <c r="K215" s="15">
        <f>_xlfn.XLOOKUP(C215,Ciclo!$A$2:$A$13,Ciclo!$D$2:$D$13,0)</f>
        <v>3</v>
      </c>
      <c r="L215" s="15">
        <f t="shared" si="13"/>
        <v>12132.856587526763</v>
      </c>
      <c r="M215" s="16">
        <f t="shared" si="14"/>
        <v>1.7071783414735735</v>
      </c>
      <c r="N215" s="17">
        <f t="shared" si="15"/>
        <v>5.1215350244207203</v>
      </c>
    </row>
    <row r="216" spans="1:14" x14ac:dyDescent="0.35">
      <c r="A216" s="12">
        <v>2017</v>
      </c>
      <c r="B216" s="13">
        <f t="shared" si="12"/>
        <v>43100</v>
      </c>
      <c r="C216" s="14" t="s">
        <v>26</v>
      </c>
      <c r="D216" s="14" t="s">
        <v>18</v>
      </c>
      <c r="E216" s="14">
        <v>6.4254785064323796</v>
      </c>
      <c r="F216" s="15">
        <f>E216*_xlfn.XLOOKUP(D216,conversiones!$A$2:$A$6,conversiones!$B$2:$B$6,0)</f>
        <v>291.45970505177274</v>
      </c>
      <c r="G216" s="14">
        <v>993.17301630291001</v>
      </c>
      <c r="H216" s="14" t="s">
        <v>18</v>
      </c>
      <c r="I216" s="15">
        <f>G216/_xlfn.XLOOKUP(H216,conversiones!$A$2:$A$6,conversiones!$B$2:$B$6,0)</f>
        <v>21.895348683926589</v>
      </c>
      <c r="J216" s="14">
        <v>1810.9755302292599</v>
      </c>
      <c r="K216" s="15">
        <f>_xlfn.XLOOKUP(C216,Ciclo!$A$2:$A$13,Ciclo!$D$2:$D$13,0)</f>
        <v>3</v>
      </c>
      <c r="L216" s="15">
        <f t="shared" si="13"/>
        <v>4570.6363391937048</v>
      </c>
      <c r="M216" s="16">
        <f t="shared" si="14"/>
        <v>2.5238531735517631</v>
      </c>
      <c r="N216" s="17">
        <f t="shared" si="15"/>
        <v>7.5715595206552893</v>
      </c>
    </row>
    <row r="217" spans="1:14" x14ac:dyDescent="0.35">
      <c r="A217" s="12">
        <v>2017</v>
      </c>
      <c r="B217" s="13">
        <f t="shared" si="12"/>
        <v>43100</v>
      </c>
      <c r="C217" s="14" t="s">
        <v>27</v>
      </c>
      <c r="D217" s="14" t="s">
        <v>18</v>
      </c>
      <c r="E217" s="14">
        <v>8.4499224377582198</v>
      </c>
      <c r="F217" s="15">
        <f>E217*_xlfn.XLOOKUP(D217,conversiones!$A$2:$A$6,conversiones!$B$2:$B$6,0)</f>
        <v>383.28848177671284</v>
      </c>
      <c r="G217" s="14">
        <v>749.38028025793699</v>
      </c>
      <c r="H217" s="14" t="s">
        <v>18</v>
      </c>
      <c r="I217" s="15">
        <f>G217/_xlfn.XLOOKUP(H217,conversiones!$A$2:$A$6,conversiones!$B$2:$B$6,0)</f>
        <v>16.520729282582387</v>
      </c>
      <c r="J217" s="14">
        <v>8788.4318764689997</v>
      </c>
      <c r="K217" s="15">
        <f>_xlfn.XLOOKUP(C217,Ciclo!$A$2:$A$13,Ciclo!$D$2:$D$13,0)</f>
        <v>2.4</v>
      </c>
      <c r="L217" s="15">
        <f t="shared" si="13"/>
        <v>-2456.2266319039145</v>
      </c>
      <c r="M217" s="16">
        <f t="shared" si="14"/>
        <v>-0.27948406114183511</v>
      </c>
      <c r="N217" s="17">
        <f t="shared" si="15"/>
        <v>-0.67076174674040423</v>
      </c>
    </row>
    <row r="218" spans="1:14" x14ac:dyDescent="0.35">
      <c r="A218" s="12">
        <v>2018</v>
      </c>
      <c r="B218" s="13">
        <f t="shared" si="12"/>
        <v>43465</v>
      </c>
      <c r="C218" s="14" t="s">
        <v>16</v>
      </c>
      <c r="D218" s="14" t="s">
        <v>18</v>
      </c>
      <c r="E218" s="14">
        <v>4.5166913346520099</v>
      </c>
      <c r="F218" s="15">
        <f>E218*_xlfn.XLOOKUP(D218,conversiones!$A$2:$A$6,conversiones!$B$2:$B$6,0)</f>
        <v>204.87711893981518</v>
      </c>
      <c r="G218" s="14">
        <v>2075.3623900164998</v>
      </c>
      <c r="H218" s="14" t="s">
        <v>19</v>
      </c>
      <c r="I218" s="15">
        <f>G218/_xlfn.XLOOKUP(H218,conversiones!$A$2:$A$6,conversiones!$B$2:$B$6,0)</f>
        <v>18.866930818331817</v>
      </c>
      <c r="J218" s="14">
        <v>6204.1782065486696</v>
      </c>
      <c r="K218" s="15">
        <f>_xlfn.XLOOKUP(C218,Ciclo!$A$2:$A$13,Ciclo!$D$2:$D$13,0)</f>
        <v>2.4</v>
      </c>
      <c r="L218" s="15">
        <f t="shared" si="13"/>
        <v>-2338.7757772520376</v>
      </c>
      <c r="M218" s="16">
        <f t="shared" si="14"/>
        <v>-0.37696785930220372</v>
      </c>
      <c r="N218" s="17">
        <f t="shared" si="15"/>
        <v>-0.90472286232528887</v>
      </c>
    </row>
    <row r="219" spans="1:14" x14ac:dyDescent="0.35">
      <c r="A219" s="12">
        <v>2018</v>
      </c>
      <c r="B219" s="13">
        <f t="shared" si="12"/>
        <v>43465</v>
      </c>
      <c r="C219" s="14" t="s">
        <v>20</v>
      </c>
      <c r="D219" s="14" t="s">
        <v>18</v>
      </c>
      <c r="E219" s="14">
        <v>2.3687521492486301</v>
      </c>
      <c r="F219" s="15">
        <f>E219*_xlfn.XLOOKUP(D219,conversiones!$A$2:$A$6,conversiones!$B$2:$B$6,0)</f>
        <v>107.44659748991786</v>
      </c>
      <c r="G219" s="14">
        <v>907.54469411375703</v>
      </c>
      <c r="H219" s="14" t="s">
        <v>18</v>
      </c>
      <c r="I219" s="15">
        <f>G219/_xlfn.XLOOKUP(H219,conversiones!$A$2:$A$6,conversiones!$B$2:$B$6,0)</f>
        <v>20.007599076581947</v>
      </c>
      <c r="J219" s="14">
        <v>2494.8799608792001</v>
      </c>
      <c r="K219" s="15">
        <f>_xlfn.XLOOKUP(C219,Ciclo!$A$2:$A$13,Ciclo!$D$2:$D$13,0)</f>
        <v>3</v>
      </c>
      <c r="L219" s="15">
        <f t="shared" si="13"/>
        <v>-345.13151615804736</v>
      </c>
      <c r="M219" s="16">
        <f t="shared" si="14"/>
        <v>-0.13833592059331881</v>
      </c>
      <c r="N219" s="17">
        <f t="shared" si="15"/>
        <v>-0.41500776177995646</v>
      </c>
    </row>
    <row r="220" spans="1:14" x14ac:dyDescent="0.35">
      <c r="A220" s="12">
        <v>2018</v>
      </c>
      <c r="B220" s="13">
        <f t="shared" si="12"/>
        <v>43465</v>
      </c>
      <c r="C220" s="14" t="s">
        <v>23</v>
      </c>
      <c r="D220" s="14" t="s">
        <v>18</v>
      </c>
      <c r="E220" s="14">
        <v>36.975038351546402</v>
      </c>
      <c r="F220" s="15">
        <f>E220*_xlfn.XLOOKUP(D220,conversiones!$A$2:$A$6,conversiones!$B$2:$B$6,0)</f>
        <v>1677.1877396261448</v>
      </c>
      <c r="G220" s="14">
        <v>1003.81365740741</v>
      </c>
      <c r="H220" s="14" t="s">
        <v>18</v>
      </c>
      <c r="I220" s="15">
        <f>G220/_xlfn.XLOOKUP(H220,conversiones!$A$2:$A$6,conversiones!$B$2:$B$6,0)</f>
        <v>22.129930718858244</v>
      </c>
      <c r="J220" s="14">
        <v>23803.192305637302</v>
      </c>
      <c r="K220" s="15">
        <f>_xlfn.XLOOKUP(C220,Ciclo!$A$2:$A$13,Ciclo!$D$2:$D$13,0)</f>
        <v>4</v>
      </c>
      <c r="L220" s="15">
        <f t="shared" si="13"/>
        <v>13312.856174807745</v>
      </c>
      <c r="M220" s="16">
        <f t="shared" si="14"/>
        <v>0.55928868715877511</v>
      </c>
      <c r="N220" s="17">
        <f t="shared" si="15"/>
        <v>2.2371547486351004</v>
      </c>
    </row>
    <row r="221" spans="1:14" x14ac:dyDescent="0.35">
      <c r="A221" s="12">
        <v>2018</v>
      </c>
      <c r="B221" s="13">
        <f t="shared" si="12"/>
        <v>43465</v>
      </c>
      <c r="C221" s="14" t="s">
        <v>21</v>
      </c>
      <c r="D221" s="14" t="s">
        <v>18</v>
      </c>
      <c r="E221" s="14">
        <v>10.9767940055113</v>
      </c>
      <c r="F221" s="15">
        <f>E221*_xlfn.XLOOKUP(D221,conversiones!$A$2:$A$6,conversiones!$B$2:$B$6,0)</f>
        <v>497.90737608999257</v>
      </c>
      <c r="G221" s="14">
        <v>668.94178294973506</v>
      </c>
      <c r="H221" s="14" t="s">
        <v>18</v>
      </c>
      <c r="I221" s="15">
        <f>G221/_xlfn.XLOOKUP(H221,conversiones!$A$2:$A$6,conversiones!$B$2:$B$6,0)</f>
        <v>14.747393804006505</v>
      </c>
      <c r="J221" s="14">
        <v>5415.9215773320002</v>
      </c>
      <c r="K221" s="15">
        <f>_xlfn.XLOOKUP(C221,Ciclo!$A$2:$A$13,Ciclo!$D$2:$D$13,0)</f>
        <v>2</v>
      </c>
      <c r="L221" s="15">
        <f t="shared" si="13"/>
        <v>1926.9145757866927</v>
      </c>
      <c r="M221" s="16">
        <f t="shared" si="14"/>
        <v>0.35578701579647548</v>
      </c>
      <c r="N221" s="17">
        <f t="shared" si="15"/>
        <v>0.71157403159295096</v>
      </c>
    </row>
    <row r="222" spans="1:14" x14ac:dyDescent="0.35">
      <c r="A222" s="12">
        <v>2018</v>
      </c>
      <c r="B222" s="13">
        <f t="shared" si="12"/>
        <v>43465</v>
      </c>
      <c r="C222" s="14" t="s">
        <v>25</v>
      </c>
      <c r="D222" s="14" t="s">
        <v>18</v>
      </c>
      <c r="E222" s="14">
        <v>10.2723486750268</v>
      </c>
      <c r="F222" s="15">
        <f>E222*_xlfn.XLOOKUP(D222,conversiones!$A$2:$A$6,conversiones!$B$2:$B$6,0)</f>
        <v>465.95373589921564</v>
      </c>
      <c r="G222" s="14">
        <v>1062.80510755622</v>
      </c>
      <c r="H222" s="14" t="s">
        <v>18</v>
      </c>
      <c r="I222" s="15">
        <f>G222/_xlfn.XLOOKUP(H222,conversiones!$A$2:$A$6,conversiones!$B$2:$B$6,0)</f>
        <v>23.430447697447534</v>
      </c>
      <c r="J222" s="14">
        <v>4549.7689931721798</v>
      </c>
      <c r="K222" s="15">
        <f>_xlfn.XLOOKUP(C222,Ciclo!$A$2:$A$13,Ciclo!$D$2:$D$13,0)</f>
        <v>1.2</v>
      </c>
      <c r="L222" s="15">
        <f t="shared" si="13"/>
        <v>6367.7356452446729</v>
      </c>
      <c r="M222" s="16">
        <f t="shared" si="14"/>
        <v>1.3995733969792112</v>
      </c>
      <c r="N222" s="17">
        <f t="shared" si="15"/>
        <v>1.6794880763750535</v>
      </c>
    </row>
    <row r="223" spans="1:14" x14ac:dyDescent="0.35">
      <c r="A223" s="12">
        <v>2018</v>
      </c>
      <c r="B223" s="13">
        <f t="shared" si="12"/>
        <v>43465</v>
      </c>
      <c r="C223" s="14" t="s">
        <v>22</v>
      </c>
      <c r="D223" s="14" t="s">
        <v>18</v>
      </c>
      <c r="E223" s="14">
        <v>9.0736078179650796</v>
      </c>
      <c r="F223" s="15">
        <f>E223*_xlfn.XLOOKUP(D223,conversiones!$A$2:$A$6,conversiones!$B$2:$B$6,0)</f>
        <v>411.57885062289603</v>
      </c>
      <c r="G223" s="14">
        <v>1407.5200500165299</v>
      </c>
      <c r="H223" s="14" t="s">
        <v>18</v>
      </c>
      <c r="I223" s="15">
        <f>G223/_xlfn.XLOOKUP(H223,conversiones!$A$2:$A$6,conversiones!$B$2:$B$6,0)</f>
        <v>31.029983465972883</v>
      </c>
      <c r="J223" s="14">
        <v>10167.2711784</v>
      </c>
      <c r="K223" s="15">
        <f>_xlfn.XLOOKUP(C223,Ciclo!$A$2:$A$13,Ciclo!$D$2:$D$13,0)</f>
        <v>1</v>
      </c>
      <c r="L223" s="15">
        <f t="shared" si="13"/>
        <v>2604.0137513725858</v>
      </c>
      <c r="M223" s="16">
        <f t="shared" si="14"/>
        <v>0.25611727135838758</v>
      </c>
      <c r="N223" s="17">
        <f t="shared" si="15"/>
        <v>0.25611727135838758</v>
      </c>
    </row>
    <row r="224" spans="1:14" x14ac:dyDescent="0.35">
      <c r="A224" s="12">
        <v>2018</v>
      </c>
      <c r="B224" s="13">
        <f t="shared" si="12"/>
        <v>43465</v>
      </c>
      <c r="C224" s="14" t="s">
        <v>24</v>
      </c>
      <c r="D224" s="14" t="s">
        <v>18</v>
      </c>
      <c r="E224" s="14">
        <v>9.3779535048030507</v>
      </c>
      <c r="F224" s="15">
        <f>E224*_xlfn.XLOOKUP(D224,conversiones!$A$2:$A$6,conversiones!$B$2:$B$6,0)</f>
        <v>425.3839709778664</v>
      </c>
      <c r="G224" s="14">
        <v>2237.2585875496002</v>
      </c>
      <c r="H224" s="14" t="s">
        <v>18</v>
      </c>
      <c r="I224" s="15">
        <f>G224/_xlfn.XLOOKUP(H224,conversiones!$A$2:$A$6,conversiones!$B$2:$B$6,0)</f>
        <v>49.322279266966497</v>
      </c>
      <c r="J224" s="14">
        <v>9413.7321988511994</v>
      </c>
      <c r="K224" s="15">
        <f>_xlfn.XLOOKUP(C224,Ciclo!$A$2:$A$13,Ciclo!$D$2:$D$13,0)</f>
        <v>1</v>
      </c>
      <c r="L224" s="15">
        <f t="shared" si="13"/>
        <v>11567.174813410298</v>
      </c>
      <c r="M224" s="16">
        <f t="shared" si="14"/>
        <v>1.2287554573542991</v>
      </c>
      <c r="N224" s="17">
        <f t="shared" si="15"/>
        <v>1.2287554573542991</v>
      </c>
    </row>
    <row r="225" spans="1:14" x14ac:dyDescent="0.35">
      <c r="A225" s="12">
        <v>2018</v>
      </c>
      <c r="B225" s="13">
        <f t="shared" si="12"/>
        <v>43465</v>
      </c>
      <c r="C225" s="14" t="s">
        <v>30</v>
      </c>
      <c r="D225" s="14" t="s">
        <v>32</v>
      </c>
      <c r="E225" s="14">
        <v>96.966237066109002</v>
      </c>
      <c r="F225" s="15">
        <f>E225*_xlfn.XLOOKUP(D225,conversiones!$A$2:$A$6,conversiones!$B$2:$B$6,0)</f>
        <v>2638.4513105688261</v>
      </c>
      <c r="G225" s="14">
        <v>147.67163938492101</v>
      </c>
      <c r="H225" s="14" t="s">
        <v>32</v>
      </c>
      <c r="I225" s="15">
        <f>G225/_xlfn.XLOOKUP(H225,conversiones!$A$2:$A$6,conversiones!$B$2:$B$6,0)</f>
        <v>5.4271091284425212</v>
      </c>
      <c r="J225" s="14">
        <v>34069.662396</v>
      </c>
      <c r="K225" s="15">
        <f>_xlfn.XLOOKUP(C225,Ciclo!$A$2:$A$13,Ciclo!$D$2:$D$13,0)</f>
        <v>1</v>
      </c>
      <c r="L225" s="15">
        <f t="shared" si="13"/>
        <v>-19750.499203460789</v>
      </c>
      <c r="M225" s="16">
        <f t="shared" si="14"/>
        <v>-0.57970927254564242</v>
      </c>
      <c r="N225" s="17">
        <f t="shared" si="15"/>
        <v>-0.57970927254564242</v>
      </c>
    </row>
    <row r="226" spans="1:14" x14ac:dyDescent="0.35">
      <c r="A226" s="12">
        <v>2018</v>
      </c>
      <c r="B226" s="13">
        <f t="shared" si="12"/>
        <v>43465</v>
      </c>
      <c r="C226" s="14" t="s">
        <v>33</v>
      </c>
      <c r="D226" s="14" t="s">
        <v>34</v>
      </c>
      <c r="E226" s="14">
        <v>3.24352053226841</v>
      </c>
      <c r="F226" s="15">
        <f>E226*_xlfn.XLOOKUP(D226,conversiones!$A$2:$A$6,conversiones!$B$2:$B$6,0)</f>
        <v>1323.8429052453514</v>
      </c>
      <c r="G226" s="14">
        <v>6405.7164372519801</v>
      </c>
      <c r="H226" s="14" t="s">
        <v>34</v>
      </c>
      <c r="I226" s="15">
        <f>G226/_xlfn.XLOOKUP(H226,conversiones!$A$2:$A$6,conversiones!$B$2:$B$6,0)</f>
        <v>15.694515343016</v>
      </c>
      <c r="J226" s="14">
        <v>22932.1463359308</v>
      </c>
      <c r="K226" s="15">
        <f>_xlfn.XLOOKUP(C226,Ciclo!$A$2:$A$13,Ciclo!$D$2:$D$13,0)</f>
        <v>1</v>
      </c>
      <c r="L226" s="15">
        <f t="shared" si="13"/>
        <v>-2155.0735478147544</v>
      </c>
      <c r="M226" s="16">
        <f t="shared" si="14"/>
        <v>-9.3976094354418019E-2</v>
      </c>
      <c r="N226" s="17">
        <f t="shared" si="15"/>
        <v>-9.3976094354418019E-2</v>
      </c>
    </row>
    <row r="227" spans="1:14" x14ac:dyDescent="0.35">
      <c r="A227" s="12">
        <v>2018</v>
      </c>
      <c r="B227" s="13">
        <f t="shared" si="12"/>
        <v>43465</v>
      </c>
      <c r="C227" s="14" t="s">
        <v>28</v>
      </c>
      <c r="D227" s="14" t="s">
        <v>29</v>
      </c>
      <c r="E227" s="14">
        <v>1.78473490671248</v>
      </c>
      <c r="F227" s="15">
        <f>E227*_xlfn.XLOOKUP(D227,conversiones!$A$2:$A$6,conversiones!$B$2:$B$6,0)</f>
        <v>1003.627827440696</v>
      </c>
      <c r="G227" s="14">
        <v>7378.7239592352098</v>
      </c>
      <c r="H227" s="14" t="s">
        <v>29</v>
      </c>
      <c r="I227" s="15">
        <f>G227/_xlfn.XLOOKUP(H227,conversiones!$A$2:$A$6,conversiones!$B$2:$B$6,0)</f>
        <v>13.121463810568711</v>
      </c>
      <c r="J227" s="14">
        <v>7167.6799321206599</v>
      </c>
      <c r="K227" s="15">
        <f>_xlfn.XLOOKUP(C227,Ciclo!$A$2:$A$13,Ciclo!$D$2:$D$13,0)</f>
        <v>3</v>
      </c>
      <c r="L227" s="15">
        <f t="shared" si="13"/>
        <v>6001.3862849221314</v>
      </c>
      <c r="M227" s="16">
        <f t="shared" si="14"/>
        <v>0.83728435724759487</v>
      </c>
      <c r="N227" s="17">
        <f t="shared" si="15"/>
        <v>2.5118530717427845</v>
      </c>
    </row>
    <row r="228" spans="1:14" x14ac:dyDescent="0.35">
      <c r="A228" s="12">
        <v>2018</v>
      </c>
      <c r="B228" s="13">
        <f t="shared" si="12"/>
        <v>43465</v>
      </c>
      <c r="C228" s="14" t="s">
        <v>26</v>
      </c>
      <c r="D228" s="14" t="s">
        <v>18</v>
      </c>
      <c r="E228" s="14">
        <v>6.5533839894520396</v>
      </c>
      <c r="F228" s="15">
        <f>E228*_xlfn.XLOOKUP(D228,conversiones!$A$2:$A$6,conversiones!$B$2:$B$6,0)</f>
        <v>297.26149776154449</v>
      </c>
      <c r="G228" s="14">
        <v>993.92528576388895</v>
      </c>
      <c r="H228" s="14" t="s">
        <v>18</v>
      </c>
      <c r="I228" s="15">
        <f>G228/_xlfn.XLOOKUP(H228,conversiones!$A$2:$A$6,conversiones!$B$2:$B$6,0)</f>
        <v>21.911933107669508</v>
      </c>
      <c r="J228" s="14">
        <v>1733.52094425</v>
      </c>
      <c r="K228" s="15">
        <f>_xlfn.XLOOKUP(C228,Ciclo!$A$2:$A$13,Ciclo!$D$2:$D$13,0)</f>
        <v>3</v>
      </c>
      <c r="L228" s="15">
        <f t="shared" si="13"/>
        <v>4780.0531101866118</v>
      </c>
      <c r="M228" s="16">
        <f t="shared" si="14"/>
        <v>2.7574244926441778</v>
      </c>
      <c r="N228" s="17">
        <f t="shared" si="15"/>
        <v>8.2722734779325329</v>
      </c>
    </row>
    <row r="229" spans="1:14" x14ac:dyDescent="0.35">
      <c r="A229" s="12">
        <v>2018</v>
      </c>
      <c r="B229" s="13">
        <f t="shared" si="12"/>
        <v>43465</v>
      </c>
      <c r="C229" s="14" t="s">
        <v>27</v>
      </c>
      <c r="D229" s="14" t="s">
        <v>18</v>
      </c>
      <c r="E229" s="14">
        <v>8.97035914532505</v>
      </c>
      <c r="F229" s="15">
        <f>E229*_xlfn.XLOOKUP(D229,conversiones!$A$2:$A$6,conversiones!$B$2:$B$6,0)</f>
        <v>406.89549083194424</v>
      </c>
      <c r="G229" s="14">
        <v>750.29649720017596</v>
      </c>
      <c r="H229" s="14" t="s">
        <v>18</v>
      </c>
      <c r="I229" s="15">
        <f>G229/_xlfn.XLOOKUP(H229,conversiones!$A$2:$A$6,conversiones!$B$2:$B$6,0)</f>
        <v>16.540928068786947</v>
      </c>
      <c r="J229" s="14">
        <v>9289.5754777799993</v>
      </c>
      <c r="K229" s="15">
        <f>_xlfn.XLOOKUP(C229,Ciclo!$A$2:$A$13,Ciclo!$D$2:$D$13,0)</f>
        <v>2.4</v>
      </c>
      <c r="L229" s="15">
        <f t="shared" si="13"/>
        <v>-2559.1464324150511</v>
      </c>
      <c r="M229" s="16">
        <f t="shared" si="14"/>
        <v>-0.27548583232208473</v>
      </c>
      <c r="N229" s="17">
        <f t="shared" si="15"/>
        <v>-0.66116599757300332</v>
      </c>
    </row>
    <row r="230" spans="1:14" x14ac:dyDescent="0.35">
      <c r="A230" s="12">
        <v>2019</v>
      </c>
      <c r="B230" s="13">
        <f t="shared" si="12"/>
        <v>43830</v>
      </c>
      <c r="C230" s="14" t="s">
        <v>16</v>
      </c>
      <c r="D230" s="14" t="s">
        <v>18</v>
      </c>
      <c r="E230" s="14">
        <v>4.63648955033963</v>
      </c>
      <c r="F230" s="15">
        <f>E230*_xlfn.XLOOKUP(D230,conversiones!$A$2:$A$6,conversiones!$B$2:$B$6,0)</f>
        <v>210.31116600340562</v>
      </c>
      <c r="G230" s="14">
        <v>2268.38370827069</v>
      </c>
      <c r="H230" s="14" t="s">
        <v>19</v>
      </c>
      <c r="I230" s="15">
        <f>G230/_xlfn.XLOOKUP(H230,conversiones!$A$2:$A$6,conversiones!$B$2:$B$6,0)</f>
        <v>20.621670075188092</v>
      </c>
      <c r="J230" s="14">
        <v>6284.7907932016997</v>
      </c>
      <c r="K230" s="15">
        <f>_xlfn.XLOOKUP(C230,Ciclo!$A$2:$A$13,Ciclo!$D$2:$D$13,0)</f>
        <v>2.4</v>
      </c>
      <c r="L230" s="15">
        <f t="shared" si="13"/>
        <v>-1947.8233147513547</v>
      </c>
      <c r="M230" s="16">
        <f t="shared" si="14"/>
        <v>-0.30992651606769922</v>
      </c>
      <c r="N230" s="17">
        <f t="shared" si="15"/>
        <v>-0.74382363856247813</v>
      </c>
    </row>
    <row r="231" spans="1:14" x14ac:dyDescent="0.35">
      <c r="A231" s="12">
        <v>2019</v>
      </c>
      <c r="B231" s="13">
        <f t="shared" si="12"/>
        <v>43830</v>
      </c>
      <c r="C231" s="14" t="s">
        <v>20</v>
      </c>
      <c r="D231" s="14" t="s">
        <v>18</v>
      </c>
      <c r="E231" s="14">
        <v>2.36122094622473</v>
      </c>
      <c r="F231" s="15">
        <f>E231*_xlfn.XLOOKUP(D231,conversiones!$A$2:$A$6,conversiones!$B$2:$B$6,0)</f>
        <v>107.10498212075375</v>
      </c>
      <c r="G231" s="14">
        <v>1018.3562577505</v>
      </c>
      <c r="H231" s="14" t="s">
        <v>18</v>
      </c>
      <c r="I231" s="15">
        <f>G231/_xlfn.XLOOKUP(H231,conversiones!$A$2:$A$6,conversiones!$B$2:$B$6,0)</f>
        <v>22.45053478285935</v>
      </c>
      <c r="J231" s="14">
        <v>2409.2436004449601</v>
      </c>
      <c r="K231" s="15">
        <f>_xlfn.XLOOKUP(C231,Ciclo!$A$2:$A$13,Ciclo!$D$2:$D$13,0)</f>
        <v>3</v>
      </c>
      <c r="L231" s="15">
        <f t="shared" si="13"/>
        <v>-4.6794739254492015</v>
      </c>
      <c r="M231" s="16">
        <f t="shared" si="14"/>
        <v>-1.94230003333202E-3</v>
      </c>
      <c r="N231" s="17">
        <f t="shared" si="15"/>
        <v>-5.8269000999960595E-3</v>
      </c>
    </row>
    <row r="232" spans="1:14" x14ac:dyDescent="0.35">
      <c r="A232" s="12">
        <v>2019</v>
      </c>
      <c r="B232" s="13">
        <f t="shared" si="12"/>
        <v>43830</v>
      </c>
      <c r="C232" s="14" t="s">
        <v>23</v>
      </c>
      <c r="D232" s="14" t="s">
        <v>18</v>
      </c>
      <c r="E232" s="14">
        <v>37.231564131306598</v>
      </c>
      <c r="F232" s="15">
        <f>E232*_xlfn.XLOOKUP(D232,conversiones!$A$2:$A$6,conversiones!$B$2:$B$6,0)</f>
        <v>1688.8237489960673</v>
      </c>
      <c r="G232" s="14">
        <v>1051.3067129629601</v>
      </c>
      <c r="H232" s="14" t="s">
        <v>18</v>
      </c>
      <c r="I232" s="15">
        <f>G232/_xlfn.XLOOKUP(H232,conversiones!$A$2:$A$6,conversiones!$B$2:$B$6,0)</f>
        <v>23.176955753151677</v>
      </c>
      <c r="J232" s="14">
        <v>26088.260008087302</v>
      </c>
      <c r="K232" s="15">
        <f>_xlfn.XLOOKUP(C232,Ciclo!$A$2:$A$13,Ciclo!$D$2:$D$13,0)</f>
        <v>4</v>
      </c>
      <c r="L232" s="15">
        <f t="shared" si="13"/>
        <v>13053.533297266287</v>
      </c>
      <c r="M232" s="16">
        <f t="shared" si="14"/>
        <v>0.50036044156335924</v>
      </c>
      <c r="N232" s="17">
        <f t="shared" si="15"/>
        <v>2.0014417662534369</v>
      </c>
    </row>
    <row r="233" spans="1:14" x14ac:dyDescent="0.35">
      <c r="A233" s="12">
        <v>2019</v>
      </c>
      <c r="B233" s="13">
        <f t="shared" si="12"/>
        <v>43830</v>
      </c>
      <c r="C233" s="14" t="s">
        <v>21</v>
      </c>
      <c r="D233" s="14" t="s">
        <v>18</v>
      </c>
      <c r="E233" s="14">
        <v>11.000109152431399</v>
      </c>
      <c r="F233" s="15">
        <f>E233*_xlfn.XLOOKUP(D233,conversiones!$A$2:$A$6,conversiones!$B$2:$B$6,0)</f>
        <v>498.96495115428826</v>
      </c>
      <c r="G233" s="14">
        <v>807.13775545634905</v>
      </c>
      <c r="H233" s="14" t="s">
        <v>18</v>
      </c>
      <c r="I233" s="15">
        <f>G233/_xlfn.XLOOKUP(H233,conversiones!$A$2:$A$6,conversiones!$B$2:$B$6,0)</f>
        <v>17.794042227873657</v>
      </c>
      <c r="J233" s="14">
        <v>5846.9700795819999</v>
      </c>
      <c r="K233" s="15">
        <f>_xlfn.XLOOKUP(C233,Ciclo!$A$2:$A$13,Ciclo!$D$2:$D$13,0)</f>
        <v>2</v>
      </c>
      <c r="L233" s="15">
        <f t="shared" si="13"/>
        <v>3031.6333314863214</v>
      </c>
      <c r="M233" s="16">
        <f t="shared" si="14"/>
        <v>0.51849646743926092</v>
      </c>
      <c r="N233" s="17">
        <f t="shared" si="15"/>
        <v>1.0369929348785218</v>
      </c>
    </row>
    <row r="234" spans="1:14" x14ac:dyDescent="0.35">
      <c r="A234" s="12">
        <v>2019</v>
      </c>
      <c r="B234" s="13">
        <f t="shared" si="12"/>
        <v>43830</v>
      </c>
      <c r="C234" s="14" t="s">
        <v>25</v>
      </c>
      <c r="D234" s="14" t="s">
        <v>18</v>
      </c>
      <c r="E234" s="14">
        <v>10.4936445594349</v>
      </c>
      <c r="F234" s="15">
        <f>E234*_xlfn.XLOOKUP(D234,conversiones!$A$2:$A$6,conversiones!$B$2:$B$6,0)</f>
        <v>475.99171721596707</v>
      </c>
      <c r="G234" s="14">
        <v>893.46114667658696</v>
      </c>
      <c r="H234" s="14" t="s">
        <v>18</v>
      </c>
      <c r="I234" s="15">
        <f>G234/_xlfn.XLOOKUP(H234,conversiones!$A$2:$A$6,conversiones!$B$2:$B$6,0)</f>
        <v>19.69711522655615</v>
      </c>
      <c r="J234" s="14">
        <v>4718.2914901260801</v>
      </c>
      <c r="K234" s="15">
        <f>_xlfn.XLOOKUP(C234,Ciclo!$A$2:$A$13,Ciclo!$D$2:$D$13,0)</f>
        <v>1.2</v>
      </c>
      <c r="L234" s="15">
        <f t="shared" si="13"/>
        <v>4657.3722107631538</v>
      </c>
      <c r="M234" s="16">
        <f t="shared" si="14"/>
        <v>0.98708869948149425</v>
      </c>
      <c r="N234" s="17">
        <f t="shared" si="15"/>
        <v>1.1845064393777931</v>
      </c>
    </row>
    <row r="235" spans="1:14" x14ac:dyDescent="0.35">
      <c r="A235" s="12">
        <v>2019</v>
      </c>
      <c r="B235" s="13">
        <f t="shared" si="12"/>
        <v>43830</v>
      </c>
      <c r="C235" s="14" t="s">
        <v>22</v>
      </c>
      <c r="D235" s="14" t="s">
        <v>18</v>
      </c>
      <c r="E235" s="14">
        <v>9.1068429456473101</v>
      </c>
      <c r="F235" s="15">
        <f>E235*_xlfn.XLOOKUP(D235,conversiones!$A$2:$A$6,conversiones!$B$2:$B$6,0)</f>
        <v>413.08639601456196</v>
      </c>
      <c r="G235" s="14">
        <v>1602.6326350859799</v>
      </c>
      <c r="H235" s="14" t="s">
        <v>18</v>
      </c>
      <c r="I235" s="15">
        <f>G235/_xlfn.XLOOKUP(H235,conversiones!$A$2:$A$6,conversiones!$B$2:$B$6,0)</f>
        <v>35.331407299073632</v>
      </c>
      <c r="J235" s="14">
        <v>10137.37206528</v>
      </c>
      <c r="K235" s="15">
        <f>_xlfn.XLOOKUP(C235,Ciclo!$A$2:$A$13,Ciclo!$D$2:$D$13,0)</f>
        <v>1</v>
      </c>
      <c r="L235" s="15">
        <f t="shared" si="13"/>
        <v>4457.5516420169151</v>
      </c>
      <c r="M235" s="16">
        <f t="shared" si="14"/>
        <v>0.43971471238426868</v>
      </c>
      <c r="N235" s="17">
        <f t="shared" si="15"/>
        <v>0.43971471238426868</v>
      </c>
    </row>
    <row r="236" spans="1:14" x14ac:dyDescent="0.35">
      <c r="A236" s="12">
        <v>2019</v>
      </c>
      <c r="B236" s="13">
        <f t="shared" si="12"/>
        <v>43830</v>
      </c>
      <c r="C236" s="14" t="s">
        <v>24</v>
      </c>
      <c r="D236" s="14" t="s">
        <v>18</v>
      </c>
      <c r="E236" s="14">
        <v>9.2832488605186008</v>
      </c>
      <c r="F236" s="15">
        <f>E236*_xlfn.XLOOKUP(D236,conversiones!$A$2:$A$6,conversiones!$B$2:$B$6,0)</f>
        <v>421.08816831312373</v>
      </c>
      <c r="G236" s="14">
        <v>2930.53342179233</v>
      </c>
      <c r="H236" s="14" t="s">
        <v>18</v>
      </c>
      <c r="I236" s="15">
        <f>G236/_xlfn.XLOOKUP(H236,conversiones!$A$2:$A$6,conversiones!$B$2:$B$6,0)</f>
        <v>64.606116000712746</v>
      </c>
      <c r="J236" s="14">
        <v>8388.8026628831994</v>
      </c>
      <c r="K236" s="15">
        <f>_xlfn.XLOOKUP(C236,Ciclo!$A$2:$A$13,Ciclo!$D$2:$D$13,0)</f>
        <v>1</v>
      </c>
      <c r="L236" s="15">
        <f t="shared" si="13"/>
        <v>18816.068385682127</v>
      </c>
      <c r="M236" s="16">
        <f t="shared" si="14"/>
        <v>2.2429980942256562</v>
      </c>
      <c r="N236" s="17">
        <f t="shared" si="15"/>
        <v>2.2429980942256562</v>
      </c>
    </row>
    <row r="237" spans="1:14" x14ac:dyDescent="0.35">
      <c r="A237" s="12">
        <v>2019</v>
      </c>
      <c r="B237" s="13">
        <f t="shared" si="12"/>
        <v>43830</v>
      </c>
      <c r="C237" s="14" t="s">
        <v>30</v>
      </c>
      <c r="D237" s="14" t="s">
        <v>32</v>
      </c>
      <c r="E237" s="14">
        <v>96.827483879647005</v>
      </c>
      <c r="F237" s="15">
        <f>E237*_xlfn.XLOOKUP(D237,conversiones!$A$2:$A$6,conversiones!$B$2:$B$6,0)</f>
        <v>2634.6758363651952</v>
      </c>
      <c r="G237" s="14">
        <v>172.974181547619</v>
      </c>
      <c r="H237" s="14" t="s">
        <v>32</v>
      </c>
      <c r="I237" s="15">
        <f>G237/_xlfn.XLOOKUP(H237,conversiones!$A$2:$A$6,conversiones!$B$2:$B$6,0)</f>
        <v>6.3570077746276734</v>
      </c>
      <c r="J237" s="14">
        <v>35445.717948420002</v>
      </c>
      <c r="K237" s="15">
        <f>_xlfn.XLOOKUP(C237,Ciclo!$A$2:$A$13,Ciclo!$D$2:$D$13,0)</f>
        <v>1</v>
      </c>
      <c r="L237" s="15">
        <f t="shared" si="13"/>
        <v>-18697.063173022787</v>
      </c>
      <c r="M237" s="16">
        <f t="shared" si="14"/>
        <v>-0.52748439741664788</v>
      </c>
      <c r="N237" s="17">
        <f t="shared" si="15"/>
        <v>-0.52748439741664788</v>
      </c>
    </row>
    <row r="238" spans="1:14" x14ac:dyDescent="0.35">
      <c r="A238" s="12">
        <v>2019</v>
      </c>
      <c r="B238" s="13">
        <f t="shared" si="12"/>
        <v>43830</v>
      </c>
      <c r="C238" s="14" t="s">
        <v>33</v>
      </c>
      <c r="D238" s="14" t="s">
        <v>34</v>
      </c>
      <c r="E238" s="14">
        <v>3.23200955560488</v>
      </c>
      <c r="F238" s="15">
        <f>E238*_xlfn.XLOOKUP(D238,conversiones!$A$2:$A$6,conversiones!$B$2:$B$6,0)</f>
        <v>1319.1447001201318</v>
      </c>
      <c r="G238" s="14">
        <v>8835.4070932539707</v>
      </c>
      <c r="H238" s="14" t="s">
        <v>34</v>
      </c>
      <c r="I238" s="15">
        <f>G238/_xlfn.XLOOKUP(H238,conversiones!$A$2:$A$6,conversiones!$B$2:$B$6,0)</f>
        <v>21.647450920627151</v>
      </c>
      <c r="J238" s="14">
        <v>22691.3984505224</v>
      </c>
      <c r="K238" s="15">
        <f>_xlfn.XLOOKUP(C238,Ciclo!$A$2:$A$13,Ciclo!$D$2:$D$13,0)</f>
        <v>1</v>
      </c>
      <c r="L238" s="15">
        <f t="shared" si="13"/>
        <v>5864.721702533574</v>
      </c>
      <c r="M238" s="16">
        <f t="shared" si="14"/>
        <v>0.25845571903914794</v>
      </c>
      <c r="N238" s="17">
        <f t="shared" si="15"/>
        <v>0.25845571903914794</v>
      </c>
    </row>
    <row r="239" spans="1:14" x14ac:dyDescent="0.35">
      <c r="A239" s="12">
        <v>2019</v>
      </c>
      <c r="B239" s="13">
        <f t="shared" si="12"/>
        <v>43830</v>
      </c>
      <c r="C239" s="14" t="s">
        <v>28</v>
      </c>
      <c r="D239" s="14" t="s">
        <v>29</v>
      </c>
      <c r="E239" s="14">
        <v>1.80667843900297</v>
      </c>
      <c r="F239" s="15">
        <f>E239*_xlfn.XLOOKUP(D239,conversiones!$A$2:$A$6,conversiones!$B$2:$B$6,0)</f>
        <v>1015.9675533889302</v>
      </c>
      <c r="G239" s="14">
        <v>8370.3114583333299</v>
      </c>
      <c r="H239" s="14" t="s">
        <v>29</v>
      </c>
      <c r="I239" s="15">
        <f>G239/_xlfn.XLOOKUP(H239,conversiones!$A$2:$A$6,conversiones!$B$2:$B$6,0)</f>
        <v>14.884787598842923</v>
      </c>
      <c r="J239" s="14">
        <v>7149.9398177165003</v>
      </c>
      <c r="K239" s="15">
        <f>_xlfn.XLOOKUP(C239,Ciclo!$A$2:$A$13,Ciclo!$D$2:$D$13,0)</f>
        <v>3</v>
      </c>
      <c r="L239" s="15">
        <f t="shared" si="13"/>
        <v>7972.5214217938337</v>
      </c>
      <c r="M239" s="16">
        <f t="shared" si="14"/>
        <v>1.1150473465579525</v>
      </c>
      <c r="N239" s="17">
        <f t="shared" si="15"/>
        <v>3.3451420396738571</v>
      </c>
    </row>
    <row r="240" spans="1:14" x14ac:dyDescent="0.35">
      <c r="A240" s="12">
        <v>2019</v>
      </c>
      <c r="B240" s="13">
        <f t="shared" si="12"/>
        <v>43830</v>
      </c>
      <c r="C240" s="14" t="s">
        <v>26</v>
      </c>
      <c r="D240" s="14" t="s">
        <v>18</v>
      </c>
      <c r="E240" s="14">
        <v>6.5630921498060504</v>
      </c>
      <c r="F240" s="15">
        <f>E240*_xlfn.XLOOKUP(D240,conversiones!$A$2:$A$6,conversiones!$B$2:$B$6,0)</f>
        <v>297.70185991520242</v>
      </c>
      <c r="G240" s="14">
        <v>1002.6346237929901</v>
      </c>
      <c r="H240" s="14" t="s">
        <v>18</v>
      </c>
      <c r="I240" s="15">
        <f>G240/_xlfn.XLOOKUP(H240,conversiones!$A$2:$A$6,conversiones!$B$2:$B$6,0)</f>
        <v>22.10393791430754</v>
      </c>
      <c r="J240" s="14">
        <v>1668.6966112895</v>
      </c>
      <c r="K240" s="15">
        <f>_xlfn.XLOOKUP(C240,Ciclo!$A$2:$A$13,Ciclo!$D$2:$D$13,0)</f>
        <v>3</v>
      </c>
      <c r="L240" s="15">
        <f t="shared" si="13"/>
        <v>4911.6868172500153</v>
      </c>
      <c r="M240" s="16">
        <f t="shared" si="14"/>
        <v>2.9434270939487712</v>
      </c>
      <c r="N240" s="17">
        <f t="shared" si="15"/>
        <v>8.8302812818463146</v>
      </c>
    </row>
    <row r="241" spans="1:14" x14ac:dyDescent="0.35">
      <c r="A241" s="12">
        <v>2019</v>
      </c>
      <c r="B241" s="13">
        <f t="shared" si="12"/>
        <v>43830</v>
      </c>
      <c r="C241" s="14" t="s">
        <v>27</v>
      </c>
      <c r="D241" s="14" t="s">
        <v>18</v>
      </c>
      <c r="E241" s="14">
        <v>9.0076691261132105</v>
      </c>
      <c r="F241" s="15">
        <f>E241*_xlfn.XLOOKUP(D241,conversiones!$A$2:$A$6,conversiones!$B$2:$B$6,0)</f>
        <v>408.58787156049522</v>
      </c>
      <c r="G241" s="14">
        <v>837.365259264771</v>
      </c>
      <c r="H241" s="14" t="s">
        <v>18</v>
      </c>
      <c r="I241" s="15">
        <f>G241/_xlfn.XLOOKUP(H241,conversiones!$A$2:$A$6,conversiones!$B$2:$B$6,0)</f>
        <v>18.460433405308002</v>
      </c>
      <c r="J241" s="14">
        <v>9222.1943510245001</v>
      </c>
      <c r="K241" s="15">
        <f>_xlfn.XLOOKUP(C241,Ciclo!$A$2:$A$13,Ciclo!$D$2:$D$13,0)</f>
        <v>2.4</v>
      </c>
      <c r="L241" s="15">
        <f t="shared" si="13"/>
        <v>-1679.4851578654389</v>
      </c>
      <c r="M241" s="16">
        <f t="shared" si="14"/>
        <v>-0.18211339882235986</v>
      </c>
      <c r="N241" s="17">
        <f t="shared" si="15"/>
        <v>-0.43707215717366366</v>
      </c>
    </row>
    <row r="242" spans="1:14" x14ac:dyDescent="0.35">
      <c r="A242" s="12">
        <v>2020</v>
      </c>
      <c r="B242" s="13">
        <f t="shared" si="12"/>
        <v>44196</v>
      </c>
      <c r="C242" s="14" t="s">
        <v>16</v>
      </c>
      <c r="D242" s="14" t="s">
        <v>18</v>
      </c>
      <c r="E242" s="14">
        <v>4.5990516188264401</v>
      </c>
      <c r="F242" s="15">
        <f>E242*_xlfn.XLOOKUP(D242,conversiones!$A$2:$A$6,conversiones!$B$2:$B$6,0)</f>
        <v>208.61298142996731</v>
      </c>
      <c r="G242" s="14">
        <v>2335.0424223874902</v>
      </c>
      <c r="H242" s="14" t="s">
        <v>19</v>
      </c>
      <c r="I242" s="15">
        <f>G242/_xlfn.XLOOKUP(H242,conversiones!$A$2:$A$6,conversiones!$B$2:$B$6,0)</f>
        <v>21.227658385340821</v>
      </c>
      <c r="J242" s="14">
        <v>7092.5943689866499</v>
      </c>
      <c r="K242" s="15">
        <f>_xlfn.XLOOKUP(C242,Ciclo!$A$2:$A$13,Ciclo!$D$2:$D$13,0)</f>
        <v>2.4</v>
      </c>
      <c r="L242" s="15">
        <f t="shared" si="13"/>
        <v>-2664.2292644438558</v>
      </c>
      <c r="M242" s="16">
        <f t="shared" si="14"/>
        <v>-0.375635363569298</v>
      </c>
      <c r="N242" s="17">
        <f t="shared" si="15"/>
        <v>-0.90152487256631519</v>
      </c>
    </row>
    <row r="243" spans="1:14" x14ac:dyDescent="0.35">
      <c r="A243" s="12">
        <v>2020</v>
      </c>
      <c r="B243" s="13">
        <f t="shared" si="12"/>
        <v>44196</v>
      </c>
      <c r="C243" s="14" t="s">
        <v>20</v>
      </c>
      <c r="D243" s="14" t="s">
        <v>18</v>
      </c>
      <c r="E243" s="14">
        <v>2.48719536582484</v>
      </c>
      <c r="F243" s="15">
        <f>E243*_xlfn.XLOOKUP(D243,conversiones!$A$2:$A$6,conversiones!$B$2:$B$6,0)</f>
        <v>112.81918179381474</v>
      </c>
      <c r="G243" s="14">
        <v>934.90659329530399</v>
      </c>
      <c r="H243" s="14" t="s">
        <v>18</v>
      </c>
      <c r="I243" s="15">
        <f>G243/_xlfn.XLOOKUP(H243,conversiones!$A$2:$A$6,conversiones!$B$2:$B$6,0)</f>
        <v>20.610815548838271</v>
      </c>
      <c r="J243" s="14">
        <v>2584.1546858372599</v>
      </c>
      <c r="K243" s="15">
        <f>_xlfn.XLOOKUP(C243,Ciclo!$A$2:$A$13,Ciclo!$D$2:$D$13,0)</f>
        <v>3</v>
      </c>
      <c r="L243" s="15">
        <f t="shared" si="13"/>
        <v>-258.85933951409152</v>
      </c>
      <c r="M243" s="16">
        <f t="shared" si="14"/>
        <v>-0.10017176639339673</v>
      </c>
      <c r="N243" s="17">
        <f t="shared" si="15"/>
        <v>-0.30051529918019015</v>
      </c>
    </row>
    <row r="244" spans="1:14" x14ac:dyDescent="0.35">
      <c r="A244" s="12">
        <v>2020</v>
      </c>
      <c r="B244" s="13">
        <f t="shared" si="12"/>
        <v>44196</v>
      </c>
      <c r="C244" s="14" t="s">
        <v>23</v>
      </c>
      <c r="D244" s="14" t="s">
        <v>18</v>
      </c>
      <c r="E244" s="14">
        <v>36.939922399782802</v>
      </c>
      <c r="F244" s="15">
        <f>E244*_xlfn.XLOOKUP(D244,conversiones!$A$2:$A$6,conversiones!$B$2:$B$6,0)</f>
        <v>1675.5948800541478</v>
      </c>
      <c r="G244" s="14">
        <v>1172.34296296296</v>
      </c>
      <c r="H244" s="14" t="s">
        <v>18</v>
      </c>
      <c r="I244" s="15">
        <f>G244/_xlfn.XLOOKUP(H244,conversiones!$A$2:$A$6,conversiones!$B$2:$B$6,0)</f>
        <v>25.845303416291006</v>
      </c>
      <c r="J244" s="14">
        <v>28931.455637376999</v>
      </c>
      <c r="K244" s="15">
        <f>_xlfn.XLOOKUP(C244,Ciclo!$A$2:$A$13,Ciclo!$D$2:$D$13,0)</f>
        <v>4</v>
      </c>
      <c r="L244" s="15">
        <f t="shared" si="13"/>
        <v>14374.802440406183</v>
      </c>
      <c r="M244" s="16">
        <f t="shared" si="14"/>
        <v>0.49685721384288567</v>
      </c>
      <c r="N244" s="17">
        <f t="shared" si="15"/>
        <v>1.9874288553715427</v>
      </c>
    </row>
    <row r="245" spans="1:14" x14ac:dyDescent="0.35">
      <c r="A245" s="12">
        <v>2020</v>
      </c>
      <c r="B245" s="13">
        <f t="shared" si="12"/>
        <v>44196</v>
      </c>
      <c r="C245" s="14" t="s">
        <v>21</v>
      </c>
      <c r="D245" s="14" t="s">
        <v>18</v>
      </c>
      <c r="E245" s="14">
        <v>11.608594458602999</v>
      </c>
      <c r="F245" s="15">
        <f>E245*_xlfn.XLOOKUP(D245,conversiones!$A$2:$A$6,conversiones!$B$2:$B$6,0)</f>
        <v>526.56584464223204</v>
      </c>
      <c r="G245" s="14">
        <v>788.08129990630505</v>
      </c>
      <c r="H245" s="14" t="s">
        <v>18</v>
      </c>
      <c r="I245" s="15">
        <f>G245/_xlfn.XLOOKUP(H245,conversiones!$A$2:$A$6,conversiones!$B$2:$B$6,0)</f>
        <v>17.37392636477745</v>
      </c>
      <c r="J245" s="14">
        <v>6271.4601073596496</v>
      </c>
      <c r="K245" s="15">
        <f>_xlfn.XLOOKUP(C245,Ciclo!$A$2:$A$13,Ciclo!$D$2:$D$13,0)</f>
        <v>2</v>
      </c>
      <c r="L245" s="15">
        <f t="shared" si="13"/>
        <v>2877.0561036613326</v>
      </c>
      <c r="M245" s="16">
        <f t="shared" si="14"/>
        <v>0.45875379168641534</v>
      </c>
      <c r="N245" s="17">
        <f t="shared" si="15"/>
        <v>0.91750758337283067</v>
      </c>
    </row>
    <row r="246" spans="1:14" x14ac:dyDescent="0.35">
      <c r="A246" s="12">
        <v>2020</v>
      </c>
      <c r="B246" s="13">
        <f t="shared" si="12"/>
        <v>44196</v>
      </c>
      <c r="C246" s="14" t="s">
        <v>25</v>
      </c>
      <c r="D246" s="14" t="s">
        <v>18</v>
      </c>
      <c r="E246" s="14">
        <v>10.7400058344914</v>
      </c>
      <c r="F246" s="15">
        <f>E246*_xlfn.XLOOKUP(D246,conversiones!$A$2:$A$6,conversiones!$B$2:$B$6,0)</f>
        <v>487.1666646525299</v>
      </c>
      <c r="G246" s="14">
        <v>645.64495726548705</v>
      </c>
      <c r="H246" s="14" t="s">
        <v>18</v>
      </c>
      <c r="I246" s="15">
        <f>G246/_xlfn.XLOOKUP(H246,conversiones!$A$2:$A$6,conversiones!$B$2:$B$6,0)</f>
        <v>14.233795354177404</v>
      </c>
      <c r="J246" s="14">
        <v>5060.8394523092302</v>
      </c>
      <c r="K246" s="15">
        <f>_xlfn.XLOOKUP(C246,Ciclo!$A$2:$A$13,Ciclo!$D$2:$D$13,0)</f>
        <v>1.2</v>
      </c>
      <c r="L246" s="15">
        <f t="shared" si="13"/>
        <v>1873.3911557320516</v>
      </c>
      <c r="M246" s="16">
        <f t="shared" si="14"/>
        <v>0.37017399452915556</v>
      </c>
      <c r="N246" s="17">
        <f t="shared" si="15"/>
        <v>0.44420879343498665</v>
      </c>
    </row>
    <row r="247" spans="1:14" x14ac:dyDescent="0.35">
      <c r="A247" s="12">
        <v>2020</v>
      </c>
      <c r="B247" s="13">
        <f t="shared" si="12"/>
        <v>44196</v>
      </c>
      <c r="C247" s="14" t="s">
        <v>22</v>
      </c>
      <c r="D247" s="14" t="s">
        <v>18</v>
      </c>
      <c r="E247" s="14">
        <v>9.7793230539362597</v>
      </c>
      <c r="F247" s="15">
        <f>E247*_xlfn.XLOOKUP(D247,conversiones!$A$2:$A$6,conversiones!$B$2:$B$6,0)</f>
        <v>443.59009372654873</v>
      </c>
      <c r="G247" s="14">
        <v>1869.9009216765901</v>
      </c>
      <c r="H247" s="14" t="s">
        <v>18</v>
      </c>
      <c r="I247" s="15">
        <f>G247/_xlfn.XLOOKUP(H247,conversiones!$A$2:$A$6,conversiones!$B$2:$B$6,0)</f>
        <v>41.223565292693785</v>
      </c>
      <c r="J247" s="14">
        <v>10873.3452772193</v>
      </c>
      <c r="K247" s="15">
        <f>_xlfn.XLOOKUP(C247,Ciclo!$A$2:$A$13,Ciclo!$D$2:$D$13,0)</f>
        <v>1</v>
      </c>
      <c r="L247" s="15">
        <f t="shared" si="13"/>
        <v>7413.0199147092371</v>
      </c>
      <c r="M247" s="16">
        <f t="shared" si="14"/>
        <v>0.68176073928602487</v>
      </c>
      <c r="N247" s="17">
        <f t="shared" si="15"/>
        <v>0.68176073928602487</v>
      </c>
    </row>
    <row r="248" spans="1:14" x14ac:dyDescent="0.35">
      <c r="A248" s="12">
        <v>2020</v>
      </c>
      <c r="B248" s="13">
        <f t="shared" si="12"/>
        <v>44196</v>
      </c>
      <c r="C248" s="14" t="s">
        <v>24</v>
      </c>
      <c r="D248" s="14" t="s">
        <v>18</v>
      </c>
      <c r="E248" s="14">
        <v>10.473675934904</v>
      </c>
      <c r="F248" s="15">
        <f>E248*_xlfn.XLOOKUP(D248,conversiones!$A$2:$A$6,conversiones!$B$2:$B$6,0)</f>
        <v>475.0859404072454</v>
      </c>
      <c r="G248" s="14">
        <v>2930.1694873511901</v>
      </c>
      <c r="H248" s="14" t="s">
        <v>18</v>
      </c>
      <c r="I248" s="15">
        <f>G248/_xlfn.XLOOKUP(H248,conversiones!$A$2:$A$6,conversiones!$B$2:$B$6,0)</f>
        <v>64.598092754655866</v>
      </c>
      <c r="J248" s="14">
        <v>8997.8297362085195</v>
      </c>
      <c r="K248" s="15">
        <f>_xlfn.XLOOKUP(C248,Ciclo!$A$2:$A$13,Ciclo!$D$2:$D$13,0)</f>
        <v>1</v>
      </c>
      <c r="L248" s="15">
        <f t="shared" si="13"/>
        <v>21691.815908651632</v>
      </c>
      <c r="M248" s="16">
        <f t="shared" si="14"/>
        <v>2.4107831048814745</v>
      </c>
      <c r="N248" s="17">
        <f t="shared" si="15"/>
        <v>2.4107831048814745</v>
      </c>
    </row>
    <row r="249" spans="1:14" x14ac:dyDescent="0.35">
      <c r="A249" s="12">
        <v>2020</v>
      </c>
      <c r="B249" s="13">
        <f t="shared" si="12"/>
        <v>44196</v>
      </c>
      <c r="C249" s="14" t="s">
        <v>30</v>
      </c>
      <c r="D249" s="14" t="s">
        <v>32</v>
      </c>
      <c r="E249" s="14">
        <v>101.32426418258</v>
      </c>
      <c r="F249" s="15">
        <f>E249*_xlfn.XLOOKUP(D249,conversiones!$A$2:$A$6,conversiones!$B$2:$B$6,0)</f>
        <v>2757.0332284080018</v>
      </c>
      <c r="G249" s="14">
        <v>199.408196924603</v>
      </c>
      <c r="H249" s="14" t="s">
        <v>32</v>
      </c>
      <c r="I249" s="15">
        <f>G249/_xlfn.XLOOKUP(H249,conversiones!$A$2:$A$6,conversiones!$B$2:$B$6,0)</f>
        <v>7.3284894128850793</v>
      </c>
      <c r="J249" s="14">
        <v>38019.0770714752</v>
      </c>
      <c r="K249" s="15">
        <f>_xlfn.XLOOKUP(C249,Ciclo!$A$2:$A$13,Ciclo!$D$2:$D$13,0)</f>
        <v>1</v>
      </c>
      <c r="L249" s="15">
        <f t="shared" si="13"/>
        <v>-17814.188246114787</v>
      </c>
      <c r="M249" s="16">
        <f t="shared" si="14"/>
        <v>-0.46855919760031062</v>
      </c>
      <c r="N249" s="17">
        <f t="shared" si="15"/>
        <v>-0.46855919760031062</v>
      </c>
    </row>
    <row r="250" spans="1:14" x14ac:dyDescent="0.35">
      <c r="A250" s="12">
        <v>2020</v>
      </c>
      <c r="B250" s="13">
        <f t="shared" si="12"/>
        <v>44196</v>
      </c>
      <c r="C250" s="14" t="s">
        <v>33</v>
      </c>
      <c r="D250" s="14" t="s">
        <v>34</v>
      </c>
      <c r="E250" s="14">
        <v>3.9439264323781602</v>
      </c>
      <c r="F250" s="15">
        <f>E250*_xlfn.XLOOKUP(D250,conversiones!$A$2:$A$6,conversiones!$B$2:$B$6,0)</f>
        <v>1609.7135733751461</v>
      </c>
      <c r="G250" s="14">
        <v>9622.1418650793694</v>
      </c>
      <c r="H250" s="14" t="s">
        <v>34</v>
      </c>
      <c r="I250" s="15">
        <f>G250/_xlfn.XLOOKUP(H250,conversiones!$A$2:$A$6,conversiones!$B$2:$B$6,0)</f>
        <v>23.57501375739157</v>
      </c>
      <c r="J250" s="14">
        <v>33327.4212424613</v>
      </c>
      <c r="K250" s="15">
        <f>_xlfn.XLOOKUP(C250,Ciclo!$A$2:$A$13,Ciclo!$D$2:$D$13,0)</f>
        <v>1</v>
      </c>
      <c r="L250" s="15">
        <f t="shared" si="13"/>
        <v>4621.5983953177129</v>
      </c>
      <c r="M250" s="16">
        <f t="shared" si="14"/>
        <v>0.13867254720054656</v>
      </c>
      <c r="N250" s="17">
        <f t="shared" si="15"/>
        <v>0.13867254720054656</v>
      </c>
    </row>
    <row r="251" spans="1:14" x14ac:dyDescent="0.35">
      <c r="A251" s="12">
        <v>2020</v>
      </c>
      <c r="B251" s="13">
        <f t="shared" si="12"/>
        <v>44196</v>
      </c>
      <c r="C251" s="14" t="s">
        <v>28</v>
      </c>
      <c r="D251" s="14" t="s">
        <v>29</v>
      </c>
      <c r="E251" s="14">
        <v>1.8943648358415901</v>
      </c>
      <c r="F251" s="15">
        <f>E251*_xlfn.XLOOKUP(D251,conversiones!$A$2:$A$6,conversiones!$B$2:$B$6,0)</f>
        <v>1065.2771217871598</v>
      </c>
      <c r="G251" s="14">
        <v>8045.0022665895103</v>
      </c>
      <c r="H251" s="14" t="s">
        <v>29</v>
      </c>
      <c r="I251" s="15">
        <f>G251/_xlfn.XLOOKUP(H251,conversiones!$A$2:$A$6,conversiones!$B$2:$B$6,0)</f>
        <v>14.306295598018121</v>
      </c>
      <c r="J251" s="14">
        <v>13735.141908858301</v>
      </c>
      <c r="K251" s="15">
        <f>_xlfn.XLOOKUP(C251,Ciclo!$A$2:$A$13,Ciclo!$D$2:$D$13,0)</f>
        <v>3</v>
      </c>
      <c r="L251" s="15">
        <f t="shared" si="13"/>
        <v>1505.027489234757</v>
      </c>
      <c r="M251" s="16">
        <f t="shared" si="14"/>
        <v>0.10957495009673757</v>
      </c>
      <c r="N251" s="17">
        <f t="shared" si="15"/>
        <v>0.3287248502902127</v>
      </c>
    </row>
    <row r="252" spans="1:14" x14ac:dyDescent="0.35">
      <c r="A252" s="12">
        <v>2020</v>
      </c>
      <c r="B252" s="13">
        <f t="shared" si="12"/>
        <v>44196</v>
      </c>
      <c r="C252" s="14" t="s">
        <v>26</v>
      </c>
      <c r="D252" s="14" t="s">
        <v>18</v>
      </c>
      <c r="E252" s="14">
        <v>7.2568116465131398</v>
      </c>
      <c r="F252" s="15">
        <f>E252*_xlfn.XLOOKUP(D252,conversiones!$A$2:$A$6,conversiones!$B$2:$B$6,0)</f>
        <v>329.16897628583604</v>
      </c>
      <c r="G252" s="14">
        <v>1033.67262938161</v>
      </c>
      <c r="H252" s="14" t="s">
        <v>18</v>
      </c>
      <c r="I252" s="15">
        <f>G252/_xlfn.XLOOKUP(H252,conversiones!$A$2:$A$6,conversiones!$B$2:$B$6,0)</f>
        <v>22.788197296772708</v>
      </c>
      <c r="J252" s="14">
        <v>1789.8439852691199</v>
      </c>
      <c r="K252" s="15">
        <f>_xlfn.XLOOKUP(C252,Ciclo!$A$2:$A$13,Ciclo!$D$2:$D$13,0)</f>
        <v>3</v>
      </c>
      <c r="L252" s="15">
        <f t="shared" si="13"/>
        <v>5711.3235903092082</v>
      </c>
      <c r="M252" s="16">
        <f t="shared" si="14"/>
        <v>3.19096169125068</v>
      </c>
      <c r="N252" s="17">
        <f t="shared" si="15"/>
        <v>9.5728850737520403</v>
      </c>
    </row>
    <row r="253" spans="1:14" x14ac:dyDescent="0.35">
      <c r="A253" s="12">
        <v>2020</v>
      </c>
      <c r="B253" s="13">
        <f t="shared" si="12"/>
        <v>44196</v>
      </c>
      <c r="C253" s="14" t="s">
        <v>27</v>
      </c>
      <c r="D253" s="14" t="s">
        <v>18</v>
      </c>
      <c r="E253" s="14">
        <v>9.8739975742654895</v>
      </c>
      <c r="F253" s="15">
        <f>E253*_xlfn.XLOOKUP(D253,conversiones!$A$2:$A$6,conversiones!$B$2:$B$6,0)</f>
        <v>447.88452996868261</v>
      </c>
      <c r="G253" s="14">
        <v>917.43239914021206</v>
      </c>
      <c r="H253" s="14" t="s">
        <v>18</v>
      </c>
      <c r="I253" s="15">
        <f>G253/_xlfn.XLOOKUP(H253,conversiones!$A$2:$A$6,conversiones!$B$2:$B$6,0)</f>
        <v>20.225581991627251</v>
      </c>
      <c r="J253" s="14">
        <v>9891.7256609088799</v>
      </c>
      <c r="K253" s="15">
        <f>_xlfn.XLOOKUP(C253,Ciclo!$A$2:$A$13,Ciclo!$D$2:$D$13,0)</f>
        <v>2.4</v>
      </c>
      <c r="L253" s="15">
        <f t="shared" si="13"/>
        <v>-833.00037724585673</v>
      </c>
      <c r="M253" s="16">
        <f t="shared" si="14"/>
        <v>-8.4211835811196387E-2</v>
      </c>
      <c r="N253" s="17">
        <f t="shared" si="15"/>
        <v>-0.20210840594687132</v>
      </c>
    </row>
    <row r="254" spans="1:14" x14ac:dyDescent="0.35">
      <c r="A254" s="12">
        <v>2021</v>
      </c>
      <c r="B254" s="13">
        <f t="shared" si="12"/>
        <v>44561</v>
      </c>
      <c r="C254" s="14" t="s">
        <v>16</v>
      </c>
      <c r="D254" s="14" t="s">
        <v>18</v>
      </c>
      <c r="E254" s="14">
        <v>4.74395661546124</v>
      </c>
      <c r="F254" s="15">
        <f>E254*_xlfn.XLOOKUP(D254,conversiones!$A$2:$A$6,conversiones!$B$2:$B$6,0)</f>
        <v>215.18587207732185</v>
      </c>
      <c r="G254" s="14">
        <v>2502.1195471864098</v>
      </c>
      <c r="H254" s="14" t="s">
        <v>19</v>
      </c>
      <c r="I254" s="15">
        <f>G254/_xlfn.XLOOKUP(H254,conversiones!$A$2:$A$6,conversiones!$B$2:$B$6,0)</f>
        <v>22.746541338058272</v>
      </c>
      <c r="J254" s="14">
        <v>7900.3979447716101</v>
      </c>
      <c r="K254" s="15">
        <f>_xlfn.XLOOKUP(C254,Ciclo!$A$2:$A$13,Ciclo!$D$2:$D$13,0)</f>
        <v>2.4</v>
      </c>
      <c r="L254" s="15">
        <f t="shared" si="13"/>
        <v>-3005.6636101986896</v>
      </c>
      <c r="M254" s="16">
        <f t="shared" si="14"/>
        <v>-0.38044458408424886</v>
      </c>
      <c r="N254" s="17">
        <f t="shared" si="15"/>
        <v>-0.91306700180219724</v>
      </c>
    </row>
    <row r="255" spans="1:14" x14ac:dyDescent="0.35">
      <c r="A255" s="12">
        <v>2021</v>
      </c>
      <c r="B255" s="13">
        <f t="shared" si="12"/>
        <v>44561</v>
      </c>
      <c r="C255" s="14" t="s">
        <v>20</v>
      </c>
      <c r="D255" s="14" t="s">
        <v>18</v>
      </c>
      <c r="E255" s="14">
        <v>2.49421813736119</v>
      </c>
      <c r="F255" s="15">
        <f>E255*_xlfn.XLOOKUP(D255,conversiones!$A$2:$A$6,conversiones!$B$2:$B$6,0)</f>
        <v>113.13773471070358</v>
      </c>
      <c r="G255" s="14">
        <v>1048.5024476273099</v>
      </c>
      <c r="H255" s="14" t="s">
        <v>18</v>
      </c>
      <c r="I255" s="15">
        <f>G255/_xlfn.XLOOKUP(H255,conversiones!$A$2:$A$6,conversiones!$B$2:$B$6,0)</f>
        <v>23.115133325117064</v>
      </c>
      <c r="J255" s="14">
        <v>2759.0657712295701</v>
      </c>
      <c r="K255" s="15">
        <f>_xlfn.XLOOKUP(C255,Ciclo!$A$2:$A$13,Ciclo!$D$2:$D$13,0)</f>
        <v>3</v>
      </c>
      <c r="L255" s="15">
        <f t="shared" si="13"/>
        <v>-143.87194928993222</v>
      </c>
      <c r="M255" s="16">
        <f t="shared" si="14"/>
        <v>-5.2145168408151456E-2</v>
      </c>
      <c r="N255" s="17">
        <f t="shared" si="15"/>
        <v>-0.15643550522445437</v>
      </c>
    </row>
    <row r="256" spans="1:14" x14ac:dyDescent="0.35">
      <c r="A256" s="12">
        <v>2021</v>
      </c>
      <c r="B256" s="13">
        <f t="shared" si="12"/>
        <v>44561</v>
      </c>
      <c r="C256" s="14" t="s">
        <v>23</v>
      </c>
      <c r="D256" s="14" t="s">
        <v>18</v>
      </c>
      <c r="E256" s="14">
        <v>36.893033542204201</v>
      </c>
      <c r="F256" s="15">
        <f>E256*_xlfn.XLOOKUP(D256,conversiones!$A$2:$A$6,conversiones!$B$2:$B$6,0)</f>
        <v>1673.4680014743826</v>
      </c>
      <c r="G256" s="14">
        <v>1040.8315972222199</v>
      </c>
      <c r="H256" s="14" t="s">
        <v>18</v>
      </c>
      <c r="I256" s="15">
        <f>G256/_xlfn.XLOOKUP(H256,conversiones!$A$2:$A$6,conversiones!$B$2:$B$6,0)</f>
        <v>22.946022866451056</v>
      </c>
      <c r="J256" s="14">
        <v>31774.6512666667</v>
      </c>
      <c r="K256" s="15">
        <f>_xlfn.XLOOKUP(C256,Ciclo!$A$2:$A$13,Ciclo!$D$2:$D$13,0)</f>
        <v>4</v>
      </c>
      <c r="L256" s="15">
        <f t="shared" si="13"/>
        <v>6624.7837614386335</v>
      </c>
      <c r="M256" s="16">
        <f t="shared" si="14"/>
        <v>0.20849272918341621</v>
      </c>
      <c r="N256" s="17">
        <f t="shared" si="15"/>
        <v>0.83397091673366486</v>
      </c>
    </row>
    <row r="257" spans="1:14" x14ac:dyDescent="0.35">
      <c r="A257" s="12">
        <v>2021</v>
      </c>
      <c r="B257" s="13">
        <f t="shared" si="12"/>
        <v>44561</v>
      </c>
      <c r="C257" s="14" t="s">
        <v>21</v>
      </c>
      <c r="D257" s="14" t="s">
        <v>18</v>
      </c>
      <c r="E257" s="14">
        <v>11.647680856857599</v>
      </c>
      <c r="F257" s="15">
        <f>E257*_xlfn.XLOOKUP(D257,conversiones!$A$2:$A$6,conversiones!$B$2:$B$6,0)</f>
        <v>528.33880366706069</v>
      </c>
      <c r="G257" s="14">
        <v>772.34297001488096</v>
      </c>
      <c r="H257" s="14" t="s">
        <v>18</v>
      </c>
      <c r="I257" s="15">
        <f>G257/_xlfn.XLOOKUP(H257,conversiones!$A$2:$A$6,conversiones!$B$2:$B$6,0)</f>
        <v>17.02696142008115</v>
      </c>
      <c r="J257" s="14">
        <v>6695.9501351373101</v>
      </c>
      <c r="K257" s="15">
        <f>_xlfn.XLOOKUP(C257,Ciclo!$A$2:$A$13,Ciclo!$D$2:$D$13,0)</f>
        <v>2</v>
      </c>
      <c r="L257" s="15">
        <f t="shared" si="13"/>
        <v>2300.0542916335608</v>
      </c>
      <c r="M257" s="16">
        <f t="shared" si="14"/>
        <v>0.34349931603640815</v>
      </c>
      <c r="N257" s="17">
        <f t="shared" si="15"/>
        <v>0.68699863207281631</v>
      </c>
    </row>
    <row r="258" spans="1:14" x14ac:dyDescent="0.35">
      <c r="A258" s="12">
        <v>2021</v>
      </c>
      <c r="B258" s="13">
        <f t="shared" ref="B258:B277" si="16">DATE(A258,12,31)</f>
        <v>44561</v>
      </c>
      <c r="C258" s="14" t="s">
        <v>25</v>
      </c>
      <c r="D258" s="14" t="s">
        <v>18</v>
      </c>
      <c r="E258" s="14">
        <v>10.791022416270501</v>
      </c>
      <c r="F258" s="15">
        <f>E258*_xlfn.XLOOKUP(D258,conversiones!$A$2:$A$6,conversiones!$B$2:$B$6,0)</f>
        <v>489.48077680202988</v>
      </c>
      <c r="G258" s="14">
        <v>741.08084027777795</v>
      </c>
      <c r="H258" s="14" t="s">
        <v>18</v>
      </c>
      <c r="I258" s="15">
        <f>G258/_xlfn.XLOOKUP(H258,conversiones!$A$2:$A$6,conversiones!$B$2:$B$6,0)</f>
        <v>16.337761029051542</v>
      </c>
      <c r="J258" s="14">
        <v>5403.3874144923902</v>
      </c>
      <c r="K258" s="15">
        <f>_xlfn.XLOOKUP(C258,Ciclo!$A$2:$A$13,Ciclo!$D$2:$D$13,0)</f>
        <v>1.2</v>
      </c>
      <c r="L258" s="15">
        <f t="shared" ref="L258:L277" si="17">F258*I258-J258</f>
        <v>2593.6325452136898</v>
      </c>
      <c r="M258" s="16">
        <f t="shared" ref="M258:M277" si="18">IF(J258=0,0,L258/J258)</f>
        <v>0.48000121891266295</v>
      </c>
      <c r="N258" s="17">
        <f t="shared" ref="N258:N277" si="19">M258*K258</f>
        <v>0.57600146269519548</v>
      </c>
    </row>
    <row r="259" spans="1:14" x14ac:dyDescent="0.35">
      <c r="A259" s="12">
        <v>2021</v>
      </c>
      <c r="B259" s="13">
        <f t="shared" si="16"/>
        <v>44561</v>
      </c>
      <c r="C259" s="14" t="s">
        <v>22</v>
      </c>
      <c r="D259" s="14" t="s">
        <v>18</v>
      </c>
      <c r="E259" s="14">
        <v>9.7862209711470793</v>
      </c>
      <c r="F259" s="15">
        <f>E259*_xlfn.XLOOKUP(D259,conversiones!$A$2:$A$6,conversiones!$B$2:$B$6,0)</f>
        <v>443.90298325123149</v>
      </c>
      <c r="G259" s="14">
        <v>1873.3053232473501</v>
      </c>
      <c r="H259" s="14" t="s">
        <v>18</v>
      </c>
      <c r="I259" s="15">
        <f>G259/_xlfn.XLOOKUP(H259,conversiones!$A$2:$A$6,conversiones!$B$2:$B$6,0)</f>
        <v>41.298618237375443</v>
      </c>
      <c r="J259" s="14">
        <v>11609.318489158701</v>
      </c>
      <c r="K259" s="15">
        <f>_xlfn.XLOOKUP(C259,Ciclo!$A$2:$A$13,Ciclo!$D$2:$D$13,0)</f>
        <v>1</v>
      </c>
      <c r="L259" s="15">
        <f t="shared" si="17"/>
        <v>6723.2613505659756</v>
      </c>
      <c r="M259" s="16">
        <f t="shared" si="18"/>
        <v>0.57912627316103493</v>
      </c>
      <c r="N259" s="17">
        <f t="shared" si="19"/>
        <v>0.57912627316103493</v>
      </c>
    </row>
    <row r="260" spans="1:14" x14ac:dyDescent="0.35">
      <c r="A260" s="12">
        <v>2021</v>
      </c>
      <c r="B260" s="13">
        <f t="shared" si="16"/>
        <v>44561</v>
      </c>
      <c r="C260" s="14" t="s">
        <v>24</v>
      </c>
      <c r="D260" s="14" t="s">
        <v>18</v>
      </c>
      <c r="E260" s="14">
        <v>10.4592318589643</v>
      </c>
      <c r="F260" s="15">
        <f>E260*_xlfn.XLOOKUP(D260,conversiones!$A$2:$A$6,conversiones!$B$2:$B$6,0)</f>
        <v>474.43075712262061</v>
      </c>
      <c r="G260" s="14">
        <v>2506.8108851410898</v>
      </c>
      <c r="H260" s="14" t="s">
        <v>18</v>
      </c>
      <c r="I260" s="15">
        <f>G260/_xlfn.XLOOKUP(H260,conversiones!$A$2:$A$6,conversiones!$B$2:$B$6,0)</f>
        <v>55.264790236796514</v>
      </c>
      <c r="J260" s="14">
        <v>9606.8568095338396</v>
      </c>
      <c r="K260" s="15">
        <f>_xlfn.XLOOKUP(C260,Ciclo!$A$2:$A$13,Ciclo!$D$2:$D$13,0)</f>
        <v>1</v>
      </c>
      <c r="L260" s="15">
        <f t="shared" si="17"/>
        <v>16612.459464732339</v>
      </c>
      <c r="M260" s="16">
        <f t="shared" si="18"/>
        <v>1.7292294237430648</v>
      </c>
      <c r="N260" s="17">
        <f t="shared" si="19"/>
        <v>1.7292294237430648</v>
      </c>
    </row>
    <row r="261" spans="1:14" x14ac:dyDescent="0.35">
      <c r="A261" s="12">
        <v>2021</v>
      </c>
      <c r="B261" s="13">
        <f t="shared" si="16"/>
        <v>44561</v>
      </c>
      <c r="C261" s="14" t="s">
        <v>30</v>
      </c>
      <c r="D261" s="14" t="s">
        <v>32</v>
      </c>
      <c r="E261" s="14">
        <v>99.613299022631594</v>
      </c>
      <c r="F261" s="15">
        <f>E261*_xlfn.XLOOKUP(D261,conversiones!$A$2:$A$6,conversiones!$B$2:$B$6,0)</f>
        <v>2710.4778664058058</v>
      </c>
      <c r="G261" s="14">
        <v>233.927677951389</v>
      </c>
      <c r="H261" s="14" t="s">
        <v>32</v>
      </c>
      <c r="I261" s="15">
        <f>G261/_xlfn.XLOOKUP(H261,conversiones!$A$2:$A$6,conversiones!$B$2:$B$6,0)</f>
        <v>8.5971215711646085</v>
      </c>
      <c r="J261" s="14">
        <v>40592.436194530601</v>
      </c>
      <c r="K261" s="15">
        <f>_xlfn.XLOOKUP(C261,Ciclo!$A$2:$A$13,Ciclo!$D$2:$D$13,0)</f>
        <v>1</v>
      </c>
      <c r="L261" s="15">
        <f t="shared" si="17"/>
        <v>-17290.128461089025</v>
      </c>
      <c r="M261" s="16">
        <f t="shared" si="18"/>
        <v>-0.42594458677547137</v>
      </c>
      <c r="N261" s="17">
        <f t="shared" si="19"/>
        <v>-0.42594458677547137</v>
      </c>
    </row>
    <row r="262" spans="1:14" x14ac:dyDescent="0.35">
      <c r="A262" s="12">
        <v>2021</v>
      </c>
      <c r="B262" s="13">
        <f t="shared" si="16"/>
        <v>44561</v>
      </c>
      <c r="C262" s="14" t="s">
        <v>33</v>
      </c>
      <c r="D262" s="14" t="s">
        <v>34</v>
      </c>
      <c r="E262" s="14">
        <v>3.4223002200508699</v>
      </c>
      <c r="F262" s="15">
        <f>E262*_xlfn.XLOOKUP(D262,conversiones!$A$2:$A$6,conversiones!$B$2:$B$6,0)</f>
        <v>1396.8118348137625</v>
      </c>
      <c r="G262" s="14">
        <v>7068.2511140046299</v>
      </c>
      <c r="H262" s="14" t="s">
        <v>34</v>
      </c>
      <c r="I262" s="15">
        <f>G262/_xlfn.XLOOKUP(H262,conversiones!$A$2:$A$6,conversiones!$B$2:$B$6,0)</f>
        <v>17.317778057098199</v>
      </c>
      <c r="J262" s="14">
        <v>43963.444034400003</v>
      </c>
      <c r="K262" s="15">
        <f>_xlfn.XLOOKUP(C262,Ciclo!$A$2:$A$13,Ciclo!$D$2:$D$13,0)</f>
        <v>1</v>
      </c>
      <c r="L262" s="15">
        <f t="shared" si="17"/>
        <v>-19773.766691567154</v>
      </c>
      <c r="M262" s="16">
        <f t="shared" si="18"/>
        <v>-0.44977747139407021</v>
      </c>
      <c r="N262" s="17">
        <f t="shared" si="19"/>
        <v>-0.44977747139407021</v>
      </c>
    </row>
    <row r="263" spans="1:14" x14ac:dyDescent="0.35">
      <c r="A263" s="12">
        <v>2021</v>
      </c>
      <c r="B263" s="13">
        <f t="shared" si="16"/>
        <v>44561</v>
      </c>
      <c r="C263" s="14" t="s">
        <v>28</v>
      </c>
      <c r="D263" s="14" t="s">
        <v>29</v>
      </c>
      <c r="E263" s="14">
        <v>1.89317055648064</v>
      </c>
      <c r="F263" s="15">
        <f>E263*_xlfn.XLOOKUP(D263,conversiones!$A$2:$A$6,conversiones!$B$2:$B$6,0)</f>
        <v>1064.6055307313231</v>
      </c>
      <c r="G263" s="14">
        <v>9888.2591170634896</v>
      </c>
      <c r="H263" s="14" t="s">
        <v>29</v>
      </c>
      <c r="I263" s="15">
        <f>G263/_xlfn.XLOOKUP(H263,conversiones!$A$2:$A$6,conversiones!$B$2:$B$6,0)</f>
        <v>17.584129027036116</v>
      </c>
      <c r="J263" s="14">
        <v>20320.344000000001</v>
      </c>
      <c r="K263" s="15">
        <f>_xlfn.XLOOKUP(C263,Ciclo!$A$2:$A$13,Ciclo!$D$2:$D$13,0)</f>
        <v>3</v>
      </c>
      <c r="L263" s="15">
        <f t="shared" si="17"/>
        <v>-1600.1829847241497</v>
      </c>
      <c r="M263" s="16">
        <f t="shared" si="18"/>
        <v>-7.8747829501515806E-2</v>
      </c>
      <c r="N263" s="17">
        <f t="shared" si="19"/>
        <v>-0.23624348850454741</v>
      </c>
    </row>
    <row r="264" spans="1:14" x14ac:dyDescent="0.35">
      <c r="A264" s="12">
        <v>2021</v>
      </c>
      <c r="B264" s="13">
        <f t="shared" si="16"/>
        <v>44561</v>
      </c>
      <c r="C264" s="14" t="s">
        <v>26</v>
      </c>
      <c r="D264" s="14" t="s">
        <v>18</v>
      </c>
      <c r="E264" s="14">
        <v>7.2672964992366103</v>
      </c>
      <c r="F264" s="15">
        <f>E264*_xlfn.XLOOKUP(D264,conversiones!$A$2:$A$6,conversiones!$B$2:$B$6,0)</f>
        <v>329.64456920537265</v>
      </c>
      <c r="G264" s="14">
        <v>1091.36305636574</v>
      </c>
      <c r="H264" s="14" t="s">
        <v>18</v>
      </c>
      <c r="I264" s="15">
        <f>G264/_xlfn.XLOOKUP(H264,conversiones!$A$2:$A$6,conversiones!$B$2:$B$6,0)</f>
        <v>24.060032106828483</v>
      </c>
      <c r="J264" s="14">
        <v>1910.9913592487401</v>
      </c>
      <c r="K264" s="15">
        <f>_xlfn.XLOOKUP(C264,Ciclo!$A$2:$A$13,Ciclo!$D$2:$D$13,0)</f>
        <v>3</v>
      </c>
      <c r="L264" s="15">
        <f t="shared" si="17"/>
        <v>6020.2675596741701</v>
      </c>
      <c r="M264" s="16">
        <f t="shared" si="18"/>
        <v>3.1503374050005606</v>
      </c>
      <c r="N264" s="17">
        <f t="shared" si="19"/>
        <v>9.4510122150016826</v>
      </c>
    </row>
    <row r="265" spans="1:14" x14ac:dyDescent="0.35">
      <c r="A265" s="12">
        <v>2021</v>
      </c>
      <c r="B265" s="13">
        <f t="shared" si="16"/>
        <v>44561</v>
      </c>
      <c r="C265" s="14" t="s">
        <v>27</v>
      </c>
      <c r="D265" s="14" t="s">
        <v>18</v>
      </c>
      <c r="E265" s="14">
        <v>9.8463493908085606</v>
      </c>
      <c r="F265" s="15">
        <f>E265*_xlfn.XLOOKUP(D265,conversiones!$A$2:$A$6,conversiones!$B$2:$B$6,0)</f>
        <v>446.63040836707631</v>
      </c>
      <c r="G265" s="14">
        <v>877.83938684964698</v>
      </c>
      <c r="H265" s="14" t="s">
        <v>18</v>
      </c>
      <c r="I265" s="15">
        <f>G265/_xlfn.XLOOKUP(H265,conversiones!$A$2:$A$6,conversiones!$B$2:$B$6,0)</f>
        <v>19.35272016864301</v>
      </c>
      <c r="J265" s="14">
        <v>10561.2569707933</v>
      </c>
      <c r="K265" s="15">
        <f>_xlfn.XLOOKUP(C265,Ciclo!$A$2:$A$13,Ciclo!$D$2:$D$13,0)</f>
        <v>2.4</v>
      </c>
      <c r="L265" s="15">
        <f t="shared" si="17"/>
        <v>-1917.7436588585188</v>
      </c>
      <c r="M265" s="16">
        <f t="shared" si="18"/>
        <v>-0.18158289909638181</v>
      </c>
      <c r="N265" s="17">
        <f t="shared" si="19"/>
        <v>-0.43579895783131634</v>
      </c>
    </row>
    <row r="266" spans="1:14" x14ac:dyDescent="0.35">
      <c r="A266" s="12">
        <v>2022</v>
      </c>
      <c r="B266" s="13">
        <f t="shared" si="16"/>
        <v>44926</v>
      </c>
      <c r="C266" s="14" t="s">
        <v>16</v>
      </c>
      <c r="D266" s="14" t="s">
        <v>18</v>
      </c>
      <c r="E266" s="14">
        <v>4.6891111647723998</v>
      </c>
      <c r="F266" s="15">
        <f>E266*_xlfn.XLOOKUP(D266,conversiones!$A$2:$A$6,conversiones!$B$2:$B$6,0)</f>
        <v>212.69808243407604</v>
      </c>
      <c r="G266" s="14">
        <v>2716.24017766424</v>
      </c>
      <c r="H266" s="14" t="s">
        <v>19</v>
      </c>
      <c r="I266" s="15">
        <f>G266/_xlfn.XLOOKUP(H266,conversiones!$A$2:$A$6,conversiones!$B$2:$B$6,0)</f>
        <v>24.693092524220365</v>
      </c>
      <c r="J266" s="14">
        <v>10006.778605990599</v>
      </c>
      <c r="K266" s="15">
        <f>_xlfn.XLOOKUP(C266,Ciclo!$A$2:$A$13,Ciclo!$D$2:$D$13,0)</f>
        <v>2.4</v>
      </c>
      <c r="L266" s="15">
        <f t="shared" si="17"/>
        <v>-4754.6051767217095</v>
      </c>
      <c r="M266" s="16">
        <f t="shared" si="18"/>
        <v>-0.47513844004456596</v>
      </c>
      <c r="N266" s="17">
        <f t="shared" si="19"/>
        <v>-1.1403322561069582</v>
      </c>
    </row>
    <row r="267" spans="1:14" x14ac:dyDescent="0.35">
      <c r="A267" s="12">
        <v>2022</v>
      </c>
      <c r="B267" s="13">
        <f t="shared" si="16"/>
        <v>44926</v>
      </c>
      <c r="C267" s="14" t="s">
        <v>20</v>
      </c>
      <c r="D267" s="14" t="s">
        <v>18</v>
      </c>
      <c r="E267" s="14">
        <v>2.5588176471720998</v>
      </c>
      <c r="F267" s="15">
        <f>E267*_xlfn.XLOOKUP(D267,conversiones!$A$2:$A$6,conversiones!$B$2:$B$6,0)</f>
        <v>116.06796847572645</v>
      </c>
      <c r="G267" s="14">
        <v>1322.5240440641501</v>
      </c>
      <c r="H267" s="14" t="s">
        <v>18</v>
      </c>
      <c r="I267" s="15">
        <f>G267/_xlfn.XLOOKUP(H267,conversiones!$A$2:$A$6,conversiones!$B$2:$B$6,0)</f>
        <v>29.156173810938053</v>
      </c>
      <c r="J267" s="14">
        <v>4130.0977179150004</v>
      </c>
      <c r="K267" s="15">
        <f>_xlfn.XLOOKUP(C267,Ciclo!$A$2:$A$13,Ciclo!$D$2:$D$13,0)</f>
        <v>3</v>
      </c>
      <c r="L267" s="15">
        <f t="shared" si="17"/>
        <v>-745.99985515424169</v>
      </c>
      <c r="M267" s="16">
        <f t="shared" si="18"/>
        <v>-0.18062523119449223</v>
      </c>
      <c r="N267" s="17">
        <f t="shared" si="19"/>
        <v>-0.54187569358347665</v>
      </c>
    </row>
    <row r="268" spans="1:14" x14ac:dyDescent="0.35">
      <c r="A268" s="12">
        <v>2022</v>
      </c>
      <c r="B268" s="13">
        <f t="shared" si="16"/>
        <v>44926</v>
      </c>
      <c r="C268" s="14" t="s">
        <v>23</v>
      </c>
      <c r="D268" s="14" t="s">
        <v>18</v>
      </c>
      <c r="E268" s="14">
        <v>38.177305943745701</v>
      </c>
      <c r="F268" s="15">
        <f>E268*_xlfn.XLOOKUP(D268,conversiones!$A$2:$A$6,conversiones!$B$2:$B$6,0)</f>
        <v>1731.722597608305</v>
      </c>
      <c r="G268" s="14">
        <v>1430.2737268518499</v>
      </c>
      <c r="H268" s="14" t="s">
        <v>18</v>
      </c>
      <c r="I268" s="15">
        <f>G268/_xlfn.XLOOKUP(H268,conversiones!$A$2:$A$6,conversiones!$B$2:$B$6,0)</f>
        <v>31.531607734829144</v>
      </c>
      <c r="J268" s="14">
        <v>30322</v>
      </c>
      <c r="K268" s="15">
        <f>_xlfn.XLOOKUP(C268,Ciclo!$A$2:$A$13,Ciclo!$D$2:$D$13,0)</f>
        <v>4</v>
      </c>
      <c r="L268" s="15">
        <f t="shared" si="17"/>
        <v>24281.997653324448</v>
      </c>
      <c r="M268" s="16">
        <f t="shared" si="18"/>
        <v>0.80080461886829524</v>
      </c>
      <c r="N268" s="17">
        <f t="shared" si="19"/>
        <v>3.2032184754731809</v>
      </c>
    </row>
    <row r="269" spans="1:14" x14ac:dyDescent="0.35">
      <c r="A269" s="12">
        <v>2022</v>
      </c>
      <c r="B269" s="13">
        <f t="shared" si="16"/>
        <v>44926</v>
      </c>
      <c r="C269" s="14" t="s">
        <v>21</v>
      </c>
      <c r="D269" s="14" t="s">
        <v>18</v>
      </c>
      <c r="E269" s="14">
        <v>11.8937481895139</v>
      </c>
      <c r="F269" s="15">
        <f>E269*_xlfn.XLOOKUP(D269,conversiones!$A$2:$A$6,conversiones!$B$2:$B$6,0)</f>
        <v>539.50041787635053</v>
      </c>
      <c r="G269" s="14">
        <v>1122.34344039352</v>
      </c>
      <c r="H269" s="14" t="s">
        <v>18</v>
      </c>
      <c r="I269" s="15">
        <f>G269/_xlfn.XLOOKUP(H269,conversiones!$A$2:$A$6,conversiones!$B$2:$B$6,0)</f>
        <v>24.74302117269665</v>
      </c>
      <c r="J269" s="14">
        <v>5858.17</v>
      </c>
      <c r="K269" s="15">
        <f>_xlfn.XLOOKUP(C269,Ciclo!$A$2:$A$13,Ciclo!$D$2:$D$13,0)</f>
        <v>2</v>
      </c>
      <c r="L269" s="15">
        <f t="shared" si="17"/>
        <v>7490.7002621932315</v>
      </c>
      <c r="M269" s="16">
        <f t="shared" si="18"/>
        <v>1.2786758086899546</v>
      </c>
      <c r="N269" s="17">
        <f t="shared" si="19"/>
        <v>2.5573516173799091</v>
      </c>
    </row>
    <row r="270" spans="1:14" x14ac:dyDescent="0.35">
      <c r="A270" s="12">
        <v>2022</v>
      </c>
      <c r="B270" s="13">
        <f t="shared" si="16"/>
        <v>44926</v>
      </c>
      <c r="C270" s="14" t="s">
        <v>25</v>
      </c>
      <c r="D270" s="14" t="s">
        <v>18</v>
      </c>
      <c r="E270" s="14">
        <v>6.72750265973474</v>
      </c>
      <c r="F270" s="15">
        <f>E270*_xlfn.XLOOKUP(D270,conversiones!$A$2:$A$6,conversiones!$B$2:$B$6,0)</f>
        <v>305.1595206455678</v>
      </c>
      <c r="G270" s="14">
        <v>1249.19116276042</v>
      </c>
      <c r="H270" s="14" t="s">
        <v>18</v>
      </c>
      <c r="I270" s="15">
        <f>G270/_xlfn.XLOOKUP(H270,conversiones!$A$2:$A$6,conversiones!$B$2:$B$6,0)</f>
        <v>27.539487715176808</v>
      </c>
      <c r="J270" s="14">
        <v>6557.61</v>
      </c>
      <c r="K270" s="15">
        <f>_xlfn.XLOOKUP(C270,Ciclo!$A$2:$A$13,Ciclo!$D$2:$D$13,0)</f>
        <v>1.2</v>
      </c>
      <c r="L270" s="15">
        <f t="shared" si="17"/>
        <v>1846.3268699878581</v>
      </c>
      <c r="M270" s="16">
        <f t="shared" si="18"/>
        <v>0.28155484543726422</v>
      </c>
      <c r="N270" s="17">
        <f t="shared" si="19"/>
        <v>0.33786581452471703</v>
      </c>
    </row>
    <row r="271" spans="1:14" x14ac:dyDescent="0.35">
      <c r="A271" s="12">
        <v>2022</v>
      </c>
      <c r="B271" s="13">
        <f t="shared" si="16"/>
        <v>44926</v>
      </c>
      <c r="C271" s="14" t="s">
        <v>22</v>
      </c>
      <c r="D271" s="14" t="s">
        <v>18</v>
      </c>
      <c r="E271" s="14">
        <v>10.546708802936401</v>
      </c>
      <c r="F271" s="15">
        <f>E271*_xlfn.XLOOKUP(D271,conversiones!$A$2:$A$6,conversiones!$B$2:$B$6,0)</f>
        <v>478.39871130119514</v>
      </c>
      <c r="G271" s="14">
        <v>1952.6898201884901</v>
      </c>
      <c r="H271" s="14" t="s">
        <v>18</v>
      </c>
      <c r="I271" s="15">
        <f>G271/_xlfn.XLOOKUP(H271,conversiones!$A$2:$A$6,conversiones!$B$2:$B$6,0)</f>
        <v>43.048717376289467</v>
      </c>
      <c r="J271" s="14">
        <v>12106.08</v>
      </c>
      <c r="K271" s="15">
        <f>_xlfn.XLOOKUP(C271,Ciclo!$A$2:$A$13,Ciclo!$D$2:$D$13,0)</f>
        <v>1</v>
      </c>
      <c r="L271" s="15">
        <f t="shared" si="17"/>
        <v>8488.3709159862465</v>
      </c>
      <c r="M271" s="16">
        <f t="shared" si="18"/>
        <v>0.70116593612352196</v>
      </c>
      <c r="N271" s="17">
        <f t="shared" si="19"/>
        <v>0.70116593612352196</v>
      </c>
    </row>
    <row r="272" spans="1:14" x14ac:dyDescent="0.35">
      <c r="A272" s="12">
        <v>2022</v>
      </c>
      <c r="B272" s="13">
        <f t="shared" si="16"/>
        <v>44926</v>
      </c>
      <c r="C272" s="14" t="s">
        <v>24</v>
      </c>
      <c r="D272" s="14" t="s">
        <v>18</v>
      </c>
      <c r="E272" s="14">
        <v>12.5525375396253</v>
      </c>
      <c r="F272" s="15">
        <f>E272*_xlfn.XLOOKUP(D272,conversiones!$A$2:$A$6,conversiones!$B$2:$B$6,0)</f>
        <v>569.38310279740358</v>
      </c>
      <c r="G272" s="14">
        <v>2958.1075892857102</v>
      </c>
      <c r="H272" s="14" t="s">
        <v>18</v>
      </c>
      <c r="I272" s="15">
        <f>G272/_xlfn.XLOOKUP(H272,conversiones!$A$2:$A$6,conversiones!$B$2:$B$6,0)</f>
        <v>65.21401210947333</v>
      </c>
      <c r="J272" s="14">
        <v>16342.43</v>
      </c>
      <c r="K272" s="15">
        <f>_xlfn.XLOOKUP(C272,Ciclo!$A$2:$A$13,Ciclo!$D$2:$D$13,0)</f>
        <v>1</v>
      </c>
      <c r="L272" s="15">
        <f t="shared" si="17"/>
        <v>20789.326560759371</v>
      </c>
      <c r="M272" s="16">
        <f t="shared" si="18"/>
        <v>1.2721074259311114</v>
      </c>
      <c r="N272" s="17">
        <f t="shared" si="19"/>
        <v>1.2721074259311114</v>
      </c>
    </row>
    <row r="273" spans="1:14" x14ac:dyDescent="0.35">
      <c r="A273" s="12">
        <v>2022</v>
      </c>
      <c r="B273" s="13">
        <f t="shared" si="16"/>
        <v>44926</v>
      </c>
      <c r="C273" s="14" t="s">
        <v>30</v>
      </c>
      <c r="D273" s="14" t="s">
        <v>32</v>
      </c>
      <c r="E273" s="14">
        <v>101.616154920131</v>
      </c>
      <c r="F273" s="15">
        <f>E273*_xlfn.XLOOKUP(D273,conversiones!$A$2:$A$6,conversiones!$B$2:$B$6,0)</f>
        <v>2764.9755753767645</v>
      </c>
      <c r="G273" s="14">
        <v>241.483469965278</v>
      </c>
      <c r="H273" s="14" t="s">
        <v>32</v>
      </c>
      <c r="I273" s="15">
        <f>G273/_xlfn.XLOOKUP(H273,conversiones!$A$2:$A$6,conversiones!$B$2:$B$6,0)</f>
        <v>8.8748059524174199</v>
      </c>
      <c r="J273" s="14">
        <v>47396.15</v>
      </c>
      <c r="K273" s="15">
        <f>_xlfn.XLOOKUP(C273,Ciclo!$A$2:$A$13,Ciclo!$D$2:$D$13,0)</f>
        <v>1</v>
      </c>
      <c r="L273" s="15">
        <f t="shared" si="17"/>
        <v>-22857.528305357511</v>
      </c>
      <c r="M273" s="16">
        <f t="shared" si="18"/>
        <v>-0.48226550691052988</v>
      </c>
      <c r="N273" s="17">
        <f t="shared" si="19"/>
        <v>-0.48226550691052988</v>
      </c>
    </row>
    <row r="274" spans="1:14" x14ac:dyDescent="0.35">
      <c r="A274" s="12">
        <v>2022</v>
      </c>
      <c r="B274" s="13">
        <f t="shared" si="16"/>
        <v>44926</v>
      </c>
      <c r="C274" s="14" t="s">
        <v>33</v>
      </c>
      <c r="D274" s="14" t="s">
        <v>34</v>
      </c>
      <c r="E274" s="14">
        <v>3.2666139888026202</v>
      </c>
      <c r="F274" s="15">
        <f>E274*_xlfn.XLOOKUP(D274,conversiones!$A$2:$A$6,conversiones!$B$2:$B$6,0)</f>
        <v>1333.2684995297893</v>
      </c>
      <c r="G274" s="14">
        <v>9364.7341037326405</v>
      </c>
      <c r="H274" s="14" t="s">
        <v>34</v>
      </c>
      <c r="I274" s="15">
        <f>G274/_xlfn.XLOOKUP(H274,conversiones!$A$2:$A$6,conversiones!$B$2:$B$6,0)</f>
        <v>22.944344245332942</v>
      </c>
      <c r="J274" s="14">
        <v>25908.33</v>
      </c>
      <c r="K274" s="15">
        <f>_xlfn.XLOOKUP(C274,Ciclo!$A$2:$A$13,Ciclo!$D$2:$D$13,0)</f>
        <v>1</v>
      </c>
      <c r="L274" s="15">
        <f t="shared" si="17"/>
        <v>4682.6414246700078</v>
      </c>
      <c r="M274" s="16">
        <f t="shared" si="18"/>
        <v>0.18073883668573032</v>
      </c>
      <c r="N274" s="17">
        <f t="shared" si="19"/>
        <v>0.18073883668573032</v>
      </c>
    </row>
    <row r="275" spans="1:14" x14ac:dyDescent="0.35">
      <c r="A275" s="12">
        <v>2022</v>
      </c>
      <c r="B275" s="13">
        <f t="shared" si="16"/>
        <v>44926</v>
      </c>
      <c r="C275" s="14" t="s">
        <v>28</v>
      </c>
      <c r="D275" s="14" t="s">
        <v>29</v>
      </c>
      <c r="E275" s="14">
        <v>2.1520494893416799</v>
      </c>
      <c r="F275" s="15">
        <f>E275*_xlfn.XLOOKUP(D275,conversiones!$A$2:$A$6,conversiones!$B$2:$B$6,0)</f>
        <v>1210.1835098364004</v>
      </c>
      <c r="G275" s="14">
        <v>7278.4766666666701</v>
      </c>
      <c r="H275" s="14" t="s">
        <v>29</v>
      </c>
      <c r="I275" s="15">
        <f>G275/_xlfn.XLOOKUP(H275,conversiones!$A$2:$A$6,conversiones!$B$2:$B$6,0)</f>
        <v>12.943195694182647</v>
      </c>
      <c r="J275" s="14">
        <v>8552.64</v>
      </c>
      <c r="K275" s="15">
        <f>_xlfn.XLOOKUP(C275,Ciclo!$A$2:$A$13,Ciclo!$D$2:$D$13,0)</f>
        <v>3</v>
      </c>
      <c r="L275" s="15">
        <f t="shared" si="17"/>
        <v>7111.0019936853405</v>
      </c>
      <c r="M275" s="16">
        <f t="shared" si="18"/>
        <v>0.83143941445978564</v>
      </c>
      <c r="N275" s="17">
        <f t="shared" si="19"/>
        <v>2.4943182433793569</v>
      </c>
    </row>
    <row r="276" spans="1:14" x14ac:dyDescent="0.35">
      <c r="A276" s="12">
        <v>2022</v>
      </c>
      <c r="B276" s="13">
        <f t="shared" si="16"/>
        <v>44926</v>
      </c>
      <c r="C276" s="14" t="s">
        <v>26</v>
      </c>
      <c r="D276" s="14" t="s">
        <v>18</v>
      </c>
      <c r="E276" s="14">
        <v>8.1941170137635808</v>
      </c>
      <c r="F276" s="15">
        <f>E276*_xlfn.XLOOKUP(D276,conversiones!$A$2:$A$6,conversiones!$B$2:$B$6,0)</f>
        <v>371.685147744316</v>
      </c>
      <c r="G276" s="14">
        <v>1290.39137392526</v>
      </c>
      <c r="H276" s="14" t="s">
        <v>18</v>
      </c>
      <c r="I276" s="15">
        <f>G276/_xlfn.XLOOKUP(H276,conversiones!$A$2:$A$6,conversiones!$B$2:$B$6,0)</f>
        <v>28.447781612108908</v>
      </c>
      <c r="J276" s="14">
        <v>2133.92</v>
      </c>
      <c r="K276" s="15">
        <f>_xlfn.XLOOKUP(C276,Ciclo!$A$2:$A$13,Ciclo!$D$2:$D$13,0)</f>
        <v>3</v>
      </c>
      <c r="L276" s="15">
        <f t="shared" si="17"/>
        <v>8439.6979114947353</v>
      </c>
      <c r="M276" s="16">
        <f t="shared" si="18"/>
        <v>3.9550207653026987</v>
      </c>
      <c r="N276" s="17">
        <f t="shared" si="19"/>
        <v>11.865062295908096</v>
      </c>
    </row>
    <row r="277" spans="1:14" x14ac:dyDescent="0.35">
      <c r="A277" s="12">
        <v>2022</v>
      </c>
      <c r="B277" s="13">
        <f t="shared" si="16"/>
        <v>44926</v>
      </c>
      <c r="C277" s="18" t="s">
        <v>27</v>
      </c>
      <c r="D277" s="18" t="s">
        <v>18</v>
      </c>
      <c r="E277" s="18">
        <v>9.9498850881537493</v>
      </c>
      <c r="F277" s="19">
        <f>E277*_xlfn.XLOOKUP(D277,conversiones!$A$2:$A$6,conversiones!$B$2:$B$6,0)</f>
        <v>451.32678759865405</v>
      </c>
      <c r="G277" s="18">
        <v>1112.46510582011</v>
      </c>
      <c r="H277" s="18" t="s">
        <v>18</v>
      </c>
      <c r="I277" s="19">
        <f>G277/_xlfn.XLOOKUP(H277,conversiones!$A$2:$A$6,conversiones!$B$2:$B$6,0)</f>
        <v>24.525244837304012</v>
      </c>
      <c r="J277" s="18">
        <v>11717.05</v>
      </c>
      <c r="K277" s="19">
        <f>_xlfn.XLOOKUP(C277,Ciclo!$A$2:$A$13,Ciclo!$D$2:$D$13,0)</f>
        <v>2.4</v>
      </c>
      <c r="L277" s="19">
        <f t="shared" si="17"/>
        <v>-648.15003250910559</v>
      </c>
      <c r="M277" s="16">
        <f t="shared" si="18"/>
        <v>-5.5316827401872111E-2</v>
      </c>
      <c r="N277" s="17">
        <f t="shared" si="19"/>
        <v>-0.13276038576449306</v>
      </c>
    </row>
  </sheetData>
  <autoFilter ref="A1:N277" xr:uid="{00000000-0009-0000-0000-000001000000}"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93" zoomScaleNormal="93" workbookViewId="0">
      <selection activeCell="A4" activeCellId="1" sqref="C258:C259 A4"/>
    </sheetView>
  </sheetViews>
  <sheetFormatPr baseColWidth="10" defaultColWidth="10.54296875" defaultRowHeight="14.5" x14ac:dyDescent="0.35"/>
  <cols>
    <col min="1" max="1" width="13.26953125" customWidth="1"/>
    <col min="2" max="2" width="18.453125" customWidth="1"/>
  </cols>
  <sheetData>
    <row r="1" spans="1:2" x14ac:dyDescent="0.35">
      <c r="A1" t="s">
        <v>44</v>
      </c>
      <c r="B1" t="s">
        <v>45</v>
      </c>
    </row>
    <row r="2" spans="1:2" x14ac:dyDescent="0.35">
      <c r="A2" t="s">
        <v>18</v>
      </c>
      <c r="B2">
        <v>45.36</v>
      </c>
    </row>
    <row r="3" spans="1:2" x14ac:dyDescent="0.35">
      <c r="A3" t="s">
        <v>32</v>
      </c>
      <c r="B3">
        <v>27.21</v>
      </c>
    </row>
    <row r="4" spans="1:2" x14ac:dyDescent="0.35">
      <c r="A4" t="s">
        <v>29</v>
      </c>
      <c r="B4">
        <v>562.34</v>
      </c>
    </row>
    <row r="5" spans="1:2" x14ac:dyDescent="0.35">
      <c r="A5" t="s">
        <v>34</v>
      </c>
      <c r="B5">
        <v>408.15</v>
      </c>
    </row>
    <row r="6" spans="1:2" x14ac:dyDescent="0.35">
      <c r="A6" t="s">
        <v>19</v>
      </c>
      <c r="B6">
        <v>110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="93" zoomScaleNormal="93" workbookViewId="0">
      <selection activeCell="F27" activeCellId="1" sqref="C258:C259 F27"/>
    </sheetView>
  </sheetViews>
  <sheetFormatPr baseColWidth="10" defaultColWidth="10.54296875" defaultRowHeight="14.5" x14ac:dyDescent="0.35"/>
  <cols>
    <col min="1" max="1" width="16.81640625" customWidth="1"/>
    <col min="2" max="2" width="6.6328125" customWidth="1"/>
    <col min="3" max="3" width="7.7265625" customWidth="1"/>
    <col min="4" max="4" width="9.08984375" customWidth="1"/>
    <col min="5" max="5" width="12.7265625" customWidth="1"/>
    <col min="6" max="6" width="13" customWidth="1"/>
  </cols>
  <sheetData>
    <row r="1" spans="1:6" x14ac:dyDescent="0.35">
      <c r="A1" s="10" t="s">
        <v>1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</row>
    <row r="2" spans="1:6" x14ac:dyDescent="0.35">
      <c r="A2" s="12" t="s">
        <v>16</v>
      </c>
      <c r="B2" s="14">
        <v>5</v>
      </c>
      <c r="C2" s="14" t="s">
        <v>47</v>
      </c>
      <c r="D2" s="15">
        <f t="shared" ref="D2:D13" si="0">12/B2</f>
        <v>2.4</v>
      </c>
      <c r="E2" s="14"/>
      <c r="F2" s="18"/>
    </row>
    <row r="3" spans="1:6" x14ac:dyDescent="0.35">
      <c r="A3" s="12" t="s">
        <v>20</v>
      </c>
      <c r="B3" s="14">
        <v>4</v>
      </c>
      <c r="C3" s="14" t="s">
        <v>47</v>
      </c>
      <c r="D3" s="15">
        <f t="shared" si="0"/>
        <v>3</v>
      </c>
      <c r="E3" s="14" t="s">
        <v>51</v>
      </c>
      <c r="F3" s="18" t="s">
        <v>51</v>
      </c>
    </row>
    <row r="4" spans="1:6" x14ac:dyDescent="0.35">
      <c r="A4" s="12" t="s">
        <v>23</v>
      </c>
      <c r="B4" s="14">
        <v>3</v>
      </c>
      <c r="C4" s="14" t="s">
        <v>47</v>
      </c>
      <c r="D4" s="15">
        <f t="shared" si="0"/>
        <v>4</v>
      </c>
      <c r="E4" s="14"/>
      <c r="F4" s="18"/>
    </row>
    <row r="5" spans="1:6" x14ac:dyDescent="0.35">
      <c r="A5" s="12" t="s">
        <v>21</v>
      </c>
      <c r="B5" s="14">
        <v>6</v>
      </c>
      <c r="C5" s="14" t="s">
        <v>47</v>
      </c>
      <c r="D5" s="15">
        <f t="shared" si="0"/>
        <v>2</v>
      </c>
      <c r="E5" s="14"/>
      <c r="F5" s="18"/>
    </row>
    <row r="6" spans="1:6" x14ac:dyDescent="0.35">
      <c r="A6" s="12" t="s">
        <v>25</v>
      </c>
      <c r="B6" s="14">
        <v>10</v>
      </c>
      <c r="C6" s="14" t="s">
        <v>47</v>
      </c>
      <c r="D6" s="15">
        <f t="shared" si="0"/>
        <v>1.2</v>
      </c>
      <c r="E6" s="14"/>
      <c r="F6" s="18"/>
    </row>
    <row r="7" spans="1:6" x14ac:dyDescent="0.35">
      <c r="A7" s="12" t="s">
        <v>22</v>
      </c>
      <c r="B7" s="14">
        <v>12</v>
      </c>
      <c r="C7" s="14" t="s">
        <v>47</v>
      </c>
      <c r="D7" s="15">
        <f t="shared" si="0"/>
        <v>1</v>
      </c>
      <c r="E7" s="14"/>
      <c r="F7" s="18"/>
    </row>
    <row r="8" spans="1:6" x14ac:dyDescent="0.35">
      <c r="A8" s="12" t="s">
        <v>24</v>
      </c>
      <c r="B8" s="14">
        <v>12</v>
      </c>
      <c r="C8" s="14" t="s">
        <v>47</v>
      </c>
      <c r="D8" s="15">
        <f t="shared" si="0"/>
        <v>1</v>
      </c>
      <c r="E8" s="14"/>
      <c r="F8" s="18"/>
    </row>
    <row r="9" spans="1:6" x14ac:dyDescent="0.35">
      <c r="A9" s="12" t="s">
        <v>30</v>
      </c>
      <c r="B9" s="14">
        <v>12</v>
      </c>
      <c r="C9" s="14" t="s">
        <v>47</v>
      </c>
      <c r="D9" s="15">
        <f t="shared" si="0"/>
        <v>1</v>
      </c>
      <c r="E9" s="14"/>
      <c r="F9" s="18"/>
    </row>
    <row r="10" spans="1:6" x14ac:dyDescent="0.35">
      <c r="A10" s="12" t="s">
        <v>33</v>
      </c>
      <c r="B10" s="14">
        <v>12</v>
      </c>
      <c r="C10" s="14" t="s">
        <v>47</v>
      </c>
      <c r="D10" s="15">
        <f t="shared" si="0"/>
        <v>1</v>
      </c>
      <c r="E10" s="14"/>
      <c r="F10" s="18"/>
    </row>
    <row r="11" spans="1:6" x14ac:dyDescent="0.35">
      <c r="A11" s="12" t="s">
        <v>28</v>
      </c>
      <c r="B11" s="14">
        <v>4</v>
      </c>
      <c r="C11" s="14" t="s">
        <v>47</v>
      </c>
      <c r="D11" s="15">
        <f t="shared" si="0"/>
        <v>3</v>
      </c>
      <c r="E11" s="14"/>
      <c r="F11" s="18"/>
    </row>
    <row r="12" spans="1:6" x14ac:dyDescent="0.35">
      <c r="A12" s="12" t="s">
        <v>26</v>
      </c>
      <c r="B12" s="14">
        <v>4</v>
      </c>
      <c r="C12" s="14" t="s">
        <v>47</v>
      </c>
      <c r="D12" s="15">
        <f t="shared" si="0"/>
        <v>3</v>
      </c>
      <c r="E12" s="14"/>
      <c r="F12" s="18"/>
    </row>
    <row r="13" spans="1:6" x14ac:dyDescent="0.35">
      <c r="A13" s="12" t="s">
        <v>27</v>
      </c>
      <c r="B13" s="18">
        <v>5</v>
      </c>
      <c r="C13" s="18" t="s">
        <v>47</v>
      </c>
      <c r="D13" s="15">
        <f t="shared" si="0"/>
        <v>2.4</v>
      </c>
      <c r="E13" s="18"/>
      <c r="F13" s="18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"/>
  <sheetViews>
    <sheetView topLeftCell="A9" zoomScale="93" zoomScaleNormal="93" workbookViewId="0">
      <selection activeCell="A26" activeCellId="1" sqref="C258:C259 A26"/>
    </sheetView>
  </sheetViews>
  <sheetFormatPr baseColWidth="10" defaultColWidth="10.54296875" defaultRowHeight="14.5" x14ac:dyDescent="0.35"/>
  <cols>
    <col min="1" max="1" width="43.1796875" customWidth="1"/>
    <col min="2" max="2" width="11.1796875" customWidth="1"/>
    <col min="3" max="3" width="20.81640625" customWidth="1"/>
  </cols>
  <sheetData>
    <row r="1" spans="1:4" x14ac:dyDescent="0.35">
      <c r="A1" t="s">
        <v>52</v>
      </c>
      <c r="B1" t="s">
        <v>53</v>
      </c>
    </row>
    <row r="2" spans="1:4" x14ac:dyDescent="0.35">
      <c r="A2" t="s">
        <v>54</v>
      </c>
      <c r="B2" t="s">
        <v>55</v>
      </c>
    </row>
    <row r="5" spans="1:4" x14ac:dyDescent="0.35">
      <c r="A5" t="s">
        <v>56</v>
      </c>
    </row>
    <row r="6" spans="1:4" x14ac:dyDescent="0.35">
      <c r="A6" t="s">
        <v>30</v>
      </c>
    </row>
    <row r="7" spans="1:4" x14ac:dyDescent="0.35">
      <c r="A7" t="s">
        <v>33</v>
      </c>
    </row>
    <row r="13" spans="1:4" x14ac:dyDescent="0.35">
      <c r="A13" t="s">
        <v>57</v>
      </c>
      <c r="B13">
        <v>0.9</v>
      </c>
      <c r="C13">
        <f>60 * 2.2</f>
        <v>132</v>
      </c>
      <c r="D13">
        <f>C13/B13</f>
        <v>146.66666666666666</v>
      </c>
    </row>
    <row r="14" spans="1:4" x14ac:dyDescent="0.35">
      <c r="A14" t="s">
        <v>58</v>
      </c>
      <c r="B14">
        <v>0.5</v>
      </c>
    </row>
    <row r="15" spans="1:4" x14ac:dyDescent="0.35">
      <c r="A15" t="s">
        <v>59</v>
      </c>
      <c r="B15">
        <f>B13*B20</f>
        <v>0.40815000000000001</v>
      </c>
      <c r="D15">
        <f>B15*1000</f>
        <v>408.15000000000003</v>
      </c>
    </row>
    <row r="17" spans="1:4" x14ac:dyDescent="0.35">
      <c r="A17" t="s">
        <v>60</v>
      </c>
      <c r="B17">
        <f>B14*B20</f>
        <v>0.22675000000000001</v>
      </c>
    </row>
    <row r="18" spans="1:4" x14ac:dyDescent="0.35">
      <c r="A18" t="s">
        <v>61</v>
      </c>
      <c r="B18">
        <v>40</v>
      </c>
      <c r="C18" t="s">
        <v>62</v>
      </c>
      <c r="D18" t="s">
        <v>63</v>
      </c>
    </row>
    <row r="20" spans="1:4" x14ac:dyDescent="0.35">
      <c r="A20" t="s">
        <v>64</v>
      </c>
      <c r="B20">
        <v>0.45350000000000001</v>
      </c>
      <c r="C20" t="s">
        <v>62</v>
      </c>
    </row>
    <row r="21" spans="1:4" x14ac:dyDescent="0.35">
      <c r="B21">
        <v>45.36</v>
      </c>
    </row>
    <row r="23" spans="1:4" x14ac:dyDescent="0.35">
      <c r="A23" t="s">
        <v>65</v>
      </c>
      <c r="B23">
        <v>60</v>
      </c>
    </row>
    <row r="24" spans="1:4" x14ac:dyDescent="0.35">
      <c r="A24" t="s">
        <v>66</v>
      </c>
      <c r="B24">
        <f>B23*B20</f>
        <v>27.21</v>
      </c>
    </row>
    <row r="27" spans="1:4" x14ac:dyDescent="0.35">
      <c r="A27" t="s">
        <v>67</v>
      </c>
      <c r="B27">
        <v>1.24</v>
      </c>
    </row>
    <row r="28" spans="1:4" x14ac:dyDescent="0.35">
      <c r="A28" t="s">
        <v>68</v>
      </c>
      <c r="B28">
        <f>B27*B20</f>
        <v>0.56234000000000006</v>
      </c>
      <c r="D28">
        <f>1000*B28</f>
        <v>562.34</v>
      </c>
    </row>
    <row r="33" spans="1:4" x14ac:dyDescent="0.35">
      <c r="A33" t="s">
        <v>9</v>
      </c>
    </row>
    <row r="34" spans="1:4" x14ac:dyDescent="0.35">
      <c r="A34" t="s">
        <v>69</v>
      </c>
      <c r="B34" t="s">
        <v>70</v>
      </c>
      <c r="C34" t="s">
        <v>71</v>
      </c>
    </row>
    <row r="35" spans="1:4" x14ac:dyDescent="0.35">
      <c r="A35" t="s">
        <v>20</v>
      </c>
      <c r="B35" t="s">
        <v>18</v>
      </c>
      <c r="C35" t="s">
        <v>72</v>
      </c>
    </row>
    <row r="36" spans="1:4" x14ac:dyDescent="0.35">
      <c r="A36" t="s">
        <v>21</v>
      </c>
      <c r="B36" t="s">
        <v>18</v>
      </c>
      <c r="C36" t="s">
        <v>73</v>
      </c>
    </row>
    <row r="37" spans="1:4" x14ac:dyDescent="0.35">
      <c r="A37" t="s">
        <v>22</v>
      </c>
      <c r="B37" t="s">
        <v>18</v>
      </c>
      <c r="C37" t="s">
        <v>74</v>
      </c>
    </row>
    <row r="38" spans="1:4" x14ac:dyDescent="0.35">
      <c r="A38" t="s">
        <v>75</v>
      </c>
      <c r="B38" t="s">
        <v>18</v>
      </c>
      <c r="C38" t="s">
        <v>76</v>
      </c>
    </row>
    <row r="39" spans="1:4" x14ac:dyDescent="0.35">
      <c r="A39" t="s">
        <v>24</v>
      </c>
      <c r="B39" t="s">
        <v>18</v>
      </c>
      <c r="C39" t="s">
        <v>77</v>
      </c>
    </row>
    <row r="40" spans="1:4" x14ac:dyDescent="0.35">
      <c r="A40" t="s">
        <v>25</v>
      </c>
      <c r="B40" t="s">
        <v>18</v>
      </c>
      <c r="C40" t="s">
        <v>78</v>
      </c>
      <c r="D40" t="s">
        <v>79</v>
      </c>
    </row>
    <row r="41" spans="1:4" x14ac:dyDescent="0.35">
      <c r="A41" t="s">
        <v>26</v>
      </c>
      <c r="B41" t="s">
        <v>18</v>
      </c>
      <c r="C41" t="s">
        <v>80</v>
      </c>
    </row>
    <row r="42" spans="1:4" x14ac:dyDescent="0.35">
      <c r="A42" t="s">
        <v>27</v>
      </c>
      <c r="B42" t="s">
        <v>18</v>
      </c>
      <c r="C42" t="s">
        <v>81</v>
      </c>
    </row>
    <row r="43" spans="1:4" x14ac:dyDescent="0.35">
      <c r="A43" t="s">
        <v>28</v>
      </c>
      <c r="B43" t="s">
        <v>82</v>
      </c>
      <c r="C43" t="s">
        <v>83</v>
      </c>
    </row>
    <row r="44" spans="1:4" x14ac:dyDescent="0.35">
      <c r="A44" t="s">
        <v>30</v>
      </c>
      <c r="B44" t="s">
        <v>32</v>
      </c>
      <c r="C44" t="s">
        <v>84</v>
      </c>
    </row>
    <row r="45" spans="1:4" x14ac:dyDescent="0.35">
      <c r="A45" t="s">
        <v>33</v>
      </c>
      <c r="B45" t="s">
        <v>82</v>
      </c>
      <c r="C45" t="s">
        <v>85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data_anual</vt:lpstr>
      <vt:lpstr>conversiones</vt:lpstr>
      <vt:lpstr>Ciclo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[Est - ECO] Lagrange Pena, Elvis Miguel</dc:creator>
  <dc:description/>
  <cp:lastModifiedBy>[Est - ECO] Lagrange Pena, Elvis Miguel</cp:lastModifiedBy>
  <cp:revision>6</cp:revision>
  <dcterms:created xsi:type="dcterms:W3CDTF">2024-12-15T15:18:36Z</dcterms:created>
  <dcterms:modified xsi:type="dcterms:W3CDTF">2025-01-10T16:40:37Z</dcterms:modified>
  <dc:language>en-US</dc:language>
</cp:coreProperties>
</file>